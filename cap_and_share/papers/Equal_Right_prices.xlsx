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bre\Downloads\"/>
    </mc:Choice>
  </mc:AlternateContent>
  <bookViews>
    <workbookView xWindow="0" yWindow="0" windowWidth="28800" windowHeight="13290"/>
  </bookViews>
  <sheets>
    <sheet name="Global 1 (1.5)" sheetId="1" r:id="rId1"/>
    <sheet name="Global 2 (1.6)" sheetId="2" r:id="rId2"/>
    <sheet name="Carbon charge rates" sheetId="3" r:id="rId3"/>
    <sheet name="Malawi Norway summary" sheetId="4" r:id="rId4"/>
    <sheet name="Malawi-only" sheetId="5" r:id="rId5"/>
    <sheet name="Norway" sheetId="6" r:id="rId6"/>
    <sheet name="Malawi and Norway" sheetId="7" r:id="rId7"/>
    <sheet name="Per tank of petrol" sheetId="8" r:id="rId8"/>
    <sheet name="Initial endowments" sheetId="9" r:id="rId9"/>
    <sheet name="Brazil" sheetId="10" r:id="rId10"/>
    <sheet name="UK" sheetId="11" r:id="rId11"/>
    <sheet name="Palau" sheetId="12" r:id="rId12"/>
  </sheets>
  <calcPr calcId="162913"/>
  <extLst>
    <ext uri="GoogleSheetsCustomDataVersion2">
      <go:sheetsCustomData xmlns:go="http://customooxmlschemas.google.com/" r:id="rId16" roundtripDataChecksum="Wpkym8+6wjC8815VekzNgVrz8Up396vqRsniRW3/btM="/>
    </ext>
  </extLst>
</workbook>
</file>

<file path=xl/calcChain.xml><?xml version="1.0" encoding="utf-8"?>
<calcChain xmlns="http://schemas.openxmlformats.org/spreadsheetml/2006/main">
  <c r="I184" i="12" l="1"/>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T99" i="12"/>
  <c r="T100" i="12" s="1"/>
  <c r="T101" i="12" s="1"/>
  <c r="T102" i="12" s="1"/>
  <c r="T103" i="12" s="1"/>
  <c r="T104" i="12" s="1"/>
  <c r="T105" i="12" s="1"/>
  <c r="T106" i="12" s="1"/>
  <c r="T107" i="12" s="1"/>
  <c r="T108" i="12" s="1"/>
  <c r="T109" i="12" s="1"/>
  <c r="T110" i="12" s="1"/>
  <c r="T111" i="12" s="1"/>
  <c r="T112" i="12" s="1"/>
  <c r="T113" i="12" s="1"/>
  <c r="T114" i="12" s="1"/>
  <c r="T115" i="12" s="1"/>
  <c r="T116" i="12" s="1"/>
  <c r="T117" i="12" s="1"/>
  <c r="T118" i="12" s="1"/>
  <c r="T119" i="12" s="1"/>
  <c r="T120" i="12" s="1"/>
  <c r="T121" i="12" s="1"/>
  <c r="T122" i="12" s="1"/>
  <c r="T123" i="12" s="1"/>
  <c r="T124" i="12" s="1"/>
  <c r="T125" i="12" s="1"/>
  <c r="T126" i="12" s="1"/>
  <c r="T127" i="12" s="1"/>
  <c r="T128" i="12" s="1"/>
  <c r="T129" i="12" s="1"/>
  <c r="T130" i="12" s="1"/>
  <c r="T131" i="12" s="1"/>
  <c r="T132" i="12" s="1"/>
  <c r="T133" i="12" s="1"/>
  <c r="T134" i="12" s="1"/>
  <c r="T135" i="12" s="1"/>
  <c r="T136" i="12" s="1"/>
  <c r="T137" i="12" s="1"/>
  <c r="T138" i="12" s="1"/>
  <c r="T139" i="12" s="1"/>
  <c r="T140" i="12" s="1"/>
  <c r="T141" i="12" s="1"/>
  <c r="T142" i="12" s="1"/>
  <c r="T143" i="12" s="1"/>
  <c r="T144" i="12" s="1"/>
  <c r="T145" i="12" s="1"/>
  <c r="T146" i="12" s="1"/>
  <c r="T147" i="12" s="1"/>
  <c r="T148" i="12" s="1"/>
  <c r="T149" i="12" s="1"/>
  <c r="T150" i="12" s="1"/>
  <c r="T151" i="12" s="1"/>
  <c r="T152" i="12" s="1"/>
  <c r="T153" i="12" s="1"/>
  <c r="T154" i="12" s="1"/>
  <c r="T155" i="12" s="1"/>
  <c r="T156" i="12" s="1"/>
  <c r="T157" i="12" s="1"/>
  <c r="T158" i="12" s="1"/>
  <c r="T159" i="12" s="1"/>
  <c r="T160" i="12" s="1"/>
  <c r="T161" i="12" s="1"/>
  <c r="T162" i="12" s="1"/>
  <c r="T163" i="12" s="1"/>
  <c r="T164" i="12" s="1"/>
  <c r="T165" i="12" s="1"/>
  <c r="T166" i="12" s="1"/>
  <c r="T167" i="12" s="1"/>
  <c r="T168" i="12" s="1"/>
  <c r="T169" i="12" s="1"/>
  <c r="T170" i="12" s="1"/>
  <c r="T171" i="12" s="1"/>
  <c r="T172" i="12" s="1"/>
  <c r="T173" i="12" s="1"/>
  <c r="T174" i="12" s="1"/>
  <c r="T175" i="12" s="1"/>
  <c r="T176" i="12" s="1"/>
  <c r="T177" i="12" s="1"/>
  <c r="T178" i="12" s="1"/>
  <c r="T179" i="12" s="1"/>
  <c r="T180" i="12" s="1"/>
  <c r="T181" i="12" s="1"/>
  <c r="T182" i="12" s="1"/>
  <c r="T183" i="12" s="1"/>
  <c r="T184" i="12" s="1"/>
  <c r="I99" i="12"/>
  <c r="I98" i="12"/>
  <c r="I97" i="12"/>
  <c r="T96" i="12"/>
  <c r="T97" i="12" s="1"/>
  <c r="T98" i="12" s="1"/>
  <c r="I96" i="12"/>
  <c r="I95" i="12"/>
  <c r="I94" i="12"/>
  <c r="I93" i="12"/>
  <c r="I92" i="12"/>
  <c r="I91" i="12"/>
  <c r="I90" i="12"/>
  <c r="T89" i="12"/>
  <c r="T90" i="12" s="1"/>
  <c r="T91" i="12" s="1"/>
  <c r="T92" i="12" s="1"/>
  <c r="T93" i="12" s="1"/>
  <c r="T94" i="12" s="1"/>
  <c r="T95" i="12" s="1"/>
  <c r="I89" i="12"/>
  <c r="I88" i="12"/>
  <c r="I87" i="12"/>
  <c r="T86" i="12"/>
  <c r="T87" i="12" s="1"/>
  <c r="T88" i="12" s="1"/>
  <c r="I86" i="12"/>
  <c r="T85"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10" i="12"/>
  <c r="I11" i="12" s="1"/>
  <c r="I12" i="12" s="1"/>
  <c r="I13" i="12" s="1"/>
  <c r="I14" i="12" s="1"/>
  <c r="I15" i="12" s="1"/>
  <c r="I16" i="12" s="1"/>
  <c r="I17" i="12" s="1"/>
  <c r="I18" i="12" s="1"/>
  <c r="I19" i="12" s="1"/>
  <c r="I20" i="12" s="1"/>
  <c r="I21" i="12" s="1"/>
  <c r="I22" i="12" s="1"/>
  <c r="I23" i="12" s="1"/>
  <c r="I24" i="12" s="1"/>
  <c r="I25" i="12" s="1"/>
  <c r="I26" i="12" s="1"/>
  <c r="I27" i="12" s="1"/>
  <c r="I28" i="12" s="1"/>
  <c r="I29" i="12" s="1"/>
  <c r="I30" i="12" s="1"/>
  <c r="I31" i="12" s="1"/>
  <c r="I32" i="12" s="1"/>
  <c r="I33" i="12" s="1"/>
  <c r="I34" i="12" s="1"/>
  <c r="I35" i="12" s="1"/>
  <c r="I36" i="12" s="1"/>
  <c r="I37" i="12" s="1"/>
  <c r="I38" i="12" s="1"/>
  <c r="D10" i="12"/>
  <c r="S9" i="12"/>
  <c r="I9" i="12"/>
  <c r="F9" i="12"/>
  <c r="F10" i="12" s="1"/>
  <c r="F11" i="12" s="1"/>
  <c r="F12" i="12" s="1"/>
  <c r="F13" i="12" s="1"/>
  <c r="F14" i="12" s="1"/>
  <c r="F15" i="12" s="1"/>
  <c r="F16" i="12" s="1"/>
  <c r="F17" i="12" s="1"/>
  <c r="F18" i="12" s="1"/>
  <c r="F19" i="12" s="1"/>
  <c r="F20" i="12" s="1"/>
  <c r="F21" i="12" s="1"/>
  <c r="F22" i="12" s="1"/>
  <c r="F23" i="12" s="1"/>
  <c r="F24" i="12" s="1"/>
  <c r="F25" i="12" s="1"/>
  <c r="F26" i="12" s="1"/>
  <c r="F27" i="12" s="1"/>
  <c r="F28" i="12" s="1"/>
  <c r="F29" i="12" s="1"/>
  <c r="F30" i="12" s="1"/>
  <c r="D9" i="12"/>
  <c r="O5" i="12"/>
  <c r="N5" i="12"/>
  <c r="K5" i="12"/>
  <c r="F5" i="12"/>
  <c r="A5" i="12"/>
  <c r="N3" i="12"/>
  <c r="I184" i="11"/>
  <c r="I183" i="11"/>
  <c r="I182" i="11"/>
  <c r="I181" i="11"/>
  <c r="I180" i="11"/>
  <c r="I179" i="11"/>
  <c r="I178" i="11"/>
  <c r="I177" i="11"/>
  <c r="I176" i="11"/>
  <c r="I175" i="11"/>
  <c r="I174" i="11"/>
  <c r="I173" i="11"/>
  <c r="I172" i="11"/>
  <c r="I171" i="11"/>
  <c r="I170" i="11"/>
  <c r="I169" i="11"/>
  <c r="I168" i="11"/>
  <c r="I167" i="11"/>
  <c r="I166" i="11"/>
  <c r="I165" i="11"/>
  <c r="I164" i="11"/>
  <c r="I163" i="11"/>
  <c r="I162" i="11"/>
  <c r="I161" i="11"/>
  <c r="I160" i="11"/>
  <c r="I159" i="11"/>
  <c r="I158" i="11"/>
  <c r="I157" i="11"/>
  <c r="I156" i="11"/>
  <c r="I155" i="11"/>
  <c r="I154" i="11"/>
  <c r="I153" i="11"/>
  <c r="I152" i="11"/>
  <c r="I151" i="11"/>
  <c r="I150" i="11"/>
  <c r="I149" i="11"/>
  <c r="I148" i="11"/>
  <c r="I147" i="11"/>
  <c r="I146" i="11"/>
  <c r="I145" i="11"/>
  <c r="I144" i="11"/>
  <c r="I143" i="11"/>
  <c r="I142" i="11"/>
  <c r="I141" i="11"/>
  <c r="I140" i="11"/>
  <c r="I139" i="11"/>
  <c r="I138" i="11"/>
  <c r="I137" i="11"/>
  <c r="I136" i="11"/>
  <c r="I135" i="11"/>
  <c r="I134" i="11"/>
  <c r="I133" i="11"/>
  <c r="I132" i="11"/>
  <c r="I131" i="11"/>
  <c r="I130" i="11"/>
  <c r="I129" i="11"/>
  <c r="I128" i="11"/>
  <c r="I127" i="11"/>
  <c r="I126" i="11"/>
  <c r="I125" i="11"/>
  <c r="I124" i="11"/>
  <c r="I123" i="11"/>
  <c r="I122" i="11"/>
  <c r="I121" i="11"/>
  <c r="I120" i="11"/>
  <c r="I119" i="11"/>
  <c r="I118" i="11"/>
  <c r="I117" i="11"/>
  <c r="I116" i="11"/>
  <c r="I115" i="11"/>
  <c r="I114" i="11"/>
  <c r="I113" i="11"/>
  <c r="I112" i="11"/>
  <c r="I111" i="11"/>
  <c r="I110" i="11"/>
  <c r="I109" i="11"/>
  <c r="I108" i="11"/>
  <c r="I107" i="11"/>
  <c r="I106" i="11"/>
  <c r="I105" i="11"/>
  <c r="I104" i="11"/>
  <c r="I103" i="11"/>
  <c r="I102" i="11"/>
  <c r="I101" i="11"/>
  <c r="I100" i="11"/>
  <c r="I99" i="11"/>
  <c r="U98" i="11"/>
  <c r="I98" i="11"/>
  <c r="I97" i="11"/>
  <c r="I96" i="11"/>
  <c r="I95" i="11"/>
  <c r="I94" i="11"/>
  <c r="I93" i="11"/>
  <c r="I92" i="11"/>
  <c r="T91" i="11"/>
  <c r="T92" i="11" s="1"/>
  <c r="T93" i="11" s="1"/>
  <c r="T94" i="11" s="1"/>
  <c r="T95" i="11" s="1"/>
  <c r="T96" i="11" s="1"/>
  <c r="T97" i="11" s="1"/>
  <c r="T98" i="11" s="1"/>
  <c r="T99" i="11" s="1"/>
  <c r="T100" i="11" s="1"/>
  <c r="T101" i="11" s="1"/>
  <c r="T102" i="11" s="1"/>
  <c r="T103" i="11" s="1"/>
  <c r="T104" i="11" s="1"/>
  <c r="T105" i="11" s="1"/>
  <c r="T106" i="11" s="1"/>
  <c r="T107" i="11" s="1"/>
  <c r="T108" i="11" s="1"/>
  <c r="T109" i="11" s="1"/>
  <c r="T110" i="11" s="1"/>
  <c r="T111" i="11" s="1"/>
  <c r="T112" i="11" s="1"/>
  <c r="T113" i="11" s="1"/>
  <c r="T114" i="11" s="1"/>
  <c r="T115" i="11" s="1"/>
  <c r="T116" i="11" s="1"/>
  <c r="T117" i="11" s="1"/>
  <c r="T118" i="11" s="1"/>
  <c r="T119" i="11" s="1"/>
  <c r="T120" i="11" s="1"/>
  <c r="T121" i="11" s="1"/>
  <c r="T122" i="11" s="1"/>
  <c r="T123" i="11" s="1"/>
  <c r="T124" i="11" s="1"/>
  <c r="T125" i="11" s="1"/>
  <c r="T126" i="11" s="1"/>
  <c r="T127" i="11" s="1"/>
  <c r="T128" i="11" s="1"/>
  <c r="T129" i="11" s="1"/>
  <c r="T130" i="11" s="1"/>
  <c r="T131" i="11" s="1"/>
  <c r="T132" i="11" s="1"/>
  <c r="T133" i="11" s="1"/>
  <c r="T134" i="11" s="1"/>
  <c r="T135" i="11" s="1"/>
  <c r="T136" i="11" s="1"/>
  <c r="T137" i="11" s="1"/>
  <c r="T138" i="11" s="1"/>
  <c r="T139" i="11" s="1"/>
  <c r="T140" i="11" s="1"/>
  <c r="T141" i="11" s="1"/>
  <c r="T142" i="11" s="1"/>
  <c r="T143" i="11" s="1"/>
  <c r="T144" i="11" s="1"/>
  <c r="T145" i="11" s="1"/>
  <c r="T146" i="11" s="1"/>
  <c r="T147" i="11" s="1"/>
  <c r="T148" i="11" s="1"/>
  <c r="T149" i="11" s="1"/>
  <c r="T150" i="11" s="1"/>
  <c r="T151" i="11" s="1"/>
  <c r="T152" i="11" s="1"/>
  <c r="T153" i="11" s="1"/>
  <c r="T154" i="11" s="1"/>
  <c r="T155" i="11" s="1"/>
  <c r="T156" i="11" s="1"/>
  <c r="T157" i="11" s="1"/>
  <c r="T158" i="11" s="1"/>
  <c r="T159" i="11" s="1"/>
  <c r="T160" i="11" s="1"/>
  <c r="T161" i="11" s="1"/>
  <c r="T162" i="11" s="1"/>
  <c r="T163" i="11" s="1"/>
  <c r="T164" i="11" s="1"/>
  <c r="T165" i="11" s="1"/>
  <c r="T166" i="11" s="1"/>
  <c r="T167" i="11" s="1"/>
  <c r="T168" i="11" s="1"/>
  <c r="T169" i="11" s="1"/>
  <c r="T170" i="11" s="1"/>
  <c r="T171" i="11" s="1"/>
  <c r="T172" i="11" s="1"/>
  <c r="T173" i="11" s="1"/>
  <c r="T174" i="11" s="1"/>
  <c r="T175" i="11" s="1"/>
  <c r="T176" i="11" s="1"/>
  <c r="T177" i="11" s="1"/>
  <c r="T178" i="11" s="1"/>
  <c r="T179" i="11" s="1"/>
  <c r="T180" i="11" s="1"/>
  <c r="T181" i="11" s="1"/>
  <c r="T182" i="11" s="1"/>
  <c r="T183" i="11" s="1"/>
  <c r="T184" i="11" s="1"/>
  <c r="I91" i="11"/>
  <c r="T90" i="11"/>
  <c r="I90" i="11"/>
  <c r="I89" i="11"/>
  <c r="I88" i="11"/>
  <c r="I87" i="11"/>
  <c r="I86" i="11"/>
  <c r="T85" i="11"/>
  <c r="T86" i="11" s="1"/>
  <c r="T87" i="11" s="1"/>
  <c r="T88" i="11" s="1"/>
  <c r="T89" i="11" s="1"/>
  <c r="I85" i="11"/>
  <c r="I84" i="11"/>
  <c r="I83" i="11"/>
  <c r="I82" i="11"/>
  <c r="I81" i="11"/>
  <c r="I80" i="11"/>
  <c r="I79" i="11"/>
  <c r="I78" i="11"/>
  <c r="I77" i="11"/>
  <c r="I76" i="11"/>
  <c r="I75" i="11"/>
  <c r="I74" i="11"/>
  <c r="I73" i="11"/>
  <c r="I72" i="11"/>
  <c r="I71" i="11"/>
  <c r="I70" i="11"/>
  <c r="I69" i="11"/>
  <c r="I68" i="11"/>
  <c r="I67" i="11"/>
  <c r="I66" i="11"/>
  <c r="I65" i="11"/>
  <c r="I64" i="11"/>
  <c r="I63" i="11"/>
  <c r="I62" i="11"/>
  <c r="I61" i="11"/>
  <c r="I60" i="11"/>
  <c r="I59" i="11"/>
  <c r="I58" i="11"/>
  <c r="I57" i="11"/>
  <c r="U53" i="11"/>
  <c r="U45" i="11"/>
  <c r="I21" i="11"/>
  <c r="I22" i="11" s="1"/>
  <c r="I23" i="11" s="1"/>
  <c r="I24" i="11" s="1"/>
  <c r="I25" i="11" s="1"/>
  <c r="I26" i="11" s="1"/>
  <c r="I27" i="11" s="1"/>
  <c r="I28" i="11" s="1"/>
  <c r="I29" i="11" s="1"/>
  <c r="I30" i="11" s="1"/>
  <c r="I31" i="11" s="1"/>
  <c r="I32" i="11" s="1"/>
  <c r="I33" i="11" s="1"/>
  <c r="I34" i="11" s="1"/>
  <c r="I35" i="11" s="1"/>
  <c r="I36" i="11" s="1"/>
  <c r="I37" i="11" s="1"/>
  <c r="I38" i="11" s="1"/>
  <c r="U15" i="11"/>
  <c r="I13" i="11"/>
  <c r="I14" i="11" s="1"/>
  <c r="I15" i="11" s="1"/>
  <c r="I16" i="11" s="1"/>
  <c r="I17" i="11" s="1"/>
  <c r="I18" i="11" s="1"/>
  <c r="I19" i="11" s="1"/>
  <c r="I20" i="11" s="1"/>
  <c r="U11" i="11"/>
  <c r="F11" i="11"/>
  <c r="F12" i="11" s="1"/>
  <c r="F13" i="11" s="1"/>
  <c r="F14" i="11" s="1"/>
  <c r="F15" i="11" s="1"/>
  <c r="F16" i="11" s="1"/>
  <c r="F17" i="11" s="1"/>
  <c r="F18" i="11" s="1"/>
  <c r="F19" i="11" s="1"/>
  <c r="F20" i="11" s="1"/>
  <c r="F21" i="11" s="1"/>
  <c r="F22" i="11" s="1"/>
  <c r="F23" i="11" s="1"/>
  <c r="F24" i="11" s="1"/>
  <c r="F25" i="11" s="1"/>
  <c r="F26" i="11" s="1"/>
  <c r="F27" i="11" s="1"/>
  <c r="U10" i="11"/>
  <c r="I10" i="11"/>
  <c r="I11" i="11" s="1"/>
  <c r="I12" i="11" s="1"/>
  <c r="F10" i="11"/>
  <c r="C10" i="11"/>
  <c r="C11" i="11" s="1"/>
  <c r="S9" i="11"/>
  <c r="I9" i="11"/>
  <c r="D9" i="11"/>
  <c r="D10" i="11" s="1"/>
  <c r="O5" i="11"/>
  <c r="N5" i="11"/>
  <c r="K5" i="11"/>
  <c r="B5" i="11"/>
  <c r="C9" i="11" s="1"/>
  <c r="A5" i="11"/>
  <c r="U3" i="11"/>
  <c r="U104" i="11" s="1"/>
  <c r="N3" i="11"/>
  <c r="I184" i="10"/>
  <c r="I183" i="10"/>
  <c r="I182" i="10"/>
  <c r="I181" i="10"/>
  <c r="I180" i="10"/>
  <c r="I179" i="10"/>
  <c r="I178" i="10"/>
  <c r="I177" i="10"/>
  <c r="I176" i="10"/>
  <c r="I175" i="10"/>
  <c r="I174" i="10"/>
  <c r="I173" i="10"/>
  <c r="I172" i="10"/>
  <c r="I171" i="10"/>
  <c r="I170" i="10"/>
  <c r="I169" i="10"/>
  <c r="I168" i="10"/>
  <c r="I167" i="10"/>
  <c r="I166" i="10"/>
  <c r="I165" i="10"/>
  <c r="I164" i="10"/>
  <c r="I163" i="10"/>
  <c r="I162" i="10"/>
  <c r="I161" i="10"/>
  <c r="I160" i="10"/>
  <c r="I159" i="10"/>
  <c r="I158" i="10"/>
  <c r="I157" i="10"/>
  <c r="I156" i="10"/>
  <c r="I155" i="10"/>
  <c r="I154" i="10"/>
  <c r="I153" i="10"/>
  <c r="I152" i="10"/>
  <c r="I151" i="10"/>
  <c r="I150" i="10"/>
  <c r="I149" i="10"/>
  <c r="I148" i="10"/>
  <c r="I147" i="10"/>
  <c r="I146" i="10"/>
  <c r="I145" i="10"/>
  <c r="I144" i="10"/>
  <c r="I143" i="10"/>
  <c r="I142" i="10"/>
  <c r="I141" i="10"/>
  <c r="I140" i="10"/>
  <c r="I139" i="10"/>
  <c r="I138" i="10"/>
  <c r="I137" i="10"/>
  <c r="I136" i="10"/>
  <c r="I135" i="10"/>
  <c r="I134" i="10"/>
  <c r="I133" i="10"/>
  <c r="I132" i="10"/>
  <c r="I131" i="10"/>
  <c r="I130" i="10"/>
  <c r="I129" i="10"/>
  <c r="I128" i="10"/>
  <c r="I127" i="10"/>
  <c r="I126" i="10"/>
  <c r="I125" i="10"/>
  <c r="I124" i="10"/>
  <c r="I123" i="10"/>
  <c r="I122" i="10"/>
  <c r="I121" i="10"/>
  <c r="I120" i="10"/>
  <c r="I119" i="10"/>
  <c r="I118" i="10"/>
  <c r="I117" i="10"/>
  <c r="I116" i="10"/>
  <c r="I115" i="10"/>
  <c r="I114" i="10"/>
  <c r="I113" i="10"/>
  <c r="I112" i="10"/>
  <c r="I111" i="10"/>
  <c r="I110" i="10"/>
  <c r="I109" i="10"/>
  <c r="I108" i="10"/>
  <c r="I107" i="10"/>
  <c r="T106" i="10"/>
  <c r="T107" i="10" s="1"/>
  <c r="T108" i="10" s="1"/>
  <c r="T109" i="10" s="1"/>
  <c r="T110" i="10" s="1"/>
  <c r="T111" i="10" s="1"/>
  <c r="T112" i="10" s="1"/>
  <c r="T113" i="10" s="1"/>
  <c r="T114" i="10" s="1"/>
  <c r="T115" i="10" s="1"/>
  <c r="T116" i="10" s="1"/>
  <c r="T117" i="10" s="1"/>
  <c r="T118" i="10" s="1"/>
  <c r="T119" i="10" s="1"/>
  <c r="T120" i="10" s="1"/>
  <c r="T121" i="10" s="1"/>
  <c r="T122" i="10" s="1"/>
  <c r="T123" i="10" s="1"/>
  <c r="T124" i="10" s="1"/>
  <c r="T125" i="10" s="1"/>
  <c r="T126" i="10" s="1"/>
  <c r="T127" i="10" s="1"/>
  <c r="T128" i="10" s="1"/>
  <c r="T129" i="10" s="1"/>
  <c r="T130" i="10" s="1"/>
  <c r="T131" i="10" s="1"/>
  <c r="T132" i="10" s="1"/>
  <c r="T133" i="10" s="1"/>
  <c r="T134" i="10" s="1"/>
  <c r="T135" i="10" s="1"/>
  <c r="T136" i="10" s="1"/>
  <c r="T137" i="10" s="1"/>
  <c r="T138" i="10" s="1"/>
  <c r="T139" i="10" s="1"/>
  <c r="T140" i="10" s="1"/>
  <c r="T141" i="10" s="1"/>
  <c r="T142" i="10" s="1"/>
  <c r="T143" i="10" s="1"/>
  <c r="T144" i="10" s="1"/>
  <c r="T145" i="10" s="1"/>
  <c r="T146" i="10" s="1"/>
  <c r="T147" i="10" s="1"/>
  <c r="T148" i="10" s="1"/>
  <c r="T149" i="10" s="1"/>
  <c r="T150" i="10" s="1"/>
  <c r="T151" i="10" s="1"/>
  <c r="T152" i="10" s="1"/>
  <c r="T153" i="10" s="1"/>
  <c r="T154" i="10" s="1"/>
  <c r="T155" i="10" s="1"/>
  <c r="T156" i="10" s="1"/>
  <c r="T157" i="10" s="1"/>
  <c r="T158" i="10" s="1"/>
  <c r="T159" i="10" s="1"/>
  <c r="T160" i="10" s="1"/>
  <c r="T161" i="10" s="1"/>
  <c r="T162" i="10" s="1"/>
  <c r="T163" i="10" s="1"/>
  <c r="T164" i="10" s="1"/>
  <c r="T165" i="10" s="1"/>
  <c r="T166" i="10" s="1"/>
  <c r="T167" i="10" s="1"/>
  <c r="T168" i="10" s="1"/>
  <c r="T169" i="10" s="1"/>
  <c r="T170" i="10" s="1"/>
  <c r="T171" i="10" s="1"/>
  <c r="T172" i="10" s="1"/>
  <c r="T173" i="10" s="1"/>
  <c r="T174" i="10" s="1"/>
  <c r="T175" i="10" s="1"/>
  <c r="T176" i="10" s="1"/>
  <c r="T177" i="10" s="1"/>
  <c r="T178" i="10" s="1"/>
  <c r="T179" i="10" s="1"/>
  <c r="T180" i="10" s="1"/>
  <c r="T181" i="10" s="1"/>
  <c r="T182" i="10" s="1"/>
  <c r="T183" i="10" s="1"/>
  <c r="T184" i="10" s="1"/>
  <c r="I106" i="10"/>
  <c r="I105" i="10"/>
  <c r="I104" i="10"/>
  <c r="I103" i="10"/>
  <c r="I102" i="10"/>
  <c r="I101" i="10"/>
  <c r="I100" i="10"/>
  <c r="I99" i="10"/>
  <c r="I98" i="10"/>
  <c r="I97" i="10"/>
  <c r="I96" i="10"/>
  <c r="I95" i="10"/>
  <c r="I94" i="10"/>
  <c r="I93" i="10"/>
  <c r="I92" i="10"/>
  <c r="I91" i="10"/>
  <c r="I90" i="10"/>
  <c r="T89" i="10"/>
  <c r="T90" i="10" s="1"/>
  <c r="T91" i="10" s="1"/>
  <c r="T92" i="10" s="1"/>
  <c r="T93" i="10" s="1"/>
  <c r="T94" i="10" s="1"/>
  <c r="T95" i="10" s="1"/>
  <c r="T96" i="10" s="1"/>
  <c r="T97" i="10" s="1"/>
  <c r="T98" i="10" s="1"/>
  <c r="T99" i="10" s="1"/>
  <c r="T100" i="10" s="1"/>
  <c r="T101" i="10" s="1"/>
  <c r="T102" i="10" s="1"/>
  <c r="T103" i="10" s="1"/>
  <c r="T104" i="10" s="1"/>
  <c r="T105" i="10" s="1"/>
  <c r="I89" i="10"/>
  <c r="I88" i="10"/>
  <c r="I87" i="10"/>
  <c r="I86" i="10"/>
  <c r="T85" i="10"/>
  <c r="T86" i="10" s="1"/>
  <c r="T87" i="10" s="1"/>
  <c r="T88" i="10" s="1"/>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31" i="10"/>
  <c r="I32" i="10" s="1"/>
  <c r="I33" i="10" s="1"/>
  <c r="I34" i="10" s="1"/>
  <c r="I35" i="10" s="1"/>
  <c r="I36" i="10" s="1"/>
  <c r="I37" i="10" s="1"/>
  <c r="I38" i="10" s="1"/>
  <c r="D16" i="10"/>
  <c r="D15" i="10"/>
  <c r="D14" i="10"/>
  <c r="F13" i="10"/>
  <c r="F14" i="10" s="1"/>
  <c r="F15" i="10" s="1"/>
  <c r="F16" i="10" s="1"/>
  <c r="F17" i="10" s="1"/>
  <c r="F18" i="10" s="1"/>
  <c r="F19" i="10" s="1"/>
  <c r="F20" i="10" s="1"/>
  <c r="F21" i="10" s="1"/>
  <c r="F22" i="10" s="1"/>
  <c r="F23" i="10" s="1"/>
  <c r="F24" i="10" s="1"/>
  <c r="F25" i="10" s="1"/>
  <c r="F26" i="10" s="1"/>
  <c r="F27" i="10" s="1"/>
  <c r="F28" i="10" s="1"/>
  <c r="F29" i="10" s="1"/>
  <c r="F30" i="10" s="1"/>
  <c r="F31" i="10" s="1"/>
  <c r="F32" i="10" s="1"/>
  <c r="D13" i="10"/>
  <c r="F12" i="10"/>
  <c r="D12" i="10"/>
  <c r="I11" i="10"/>
  <c r="I12" i="10" s="1"/>
  <c r="I13" i="10" s="1"/>
  <c r="I14" i="10" s="1"/>
  <c r="I15" i="10" s="1"/>
  <c r="I16" i="10" s="1"/>
  <c r="I17" i="10" s="1"/>
  <c r="I18" i="10" s="1"/>
  <c r="I19" i="10" s="1"/>
  <c r="I20" i="10" s="1"/>
  <c r="I21" i="10" s="1"/>
  <c r="I22" i="10" s="1"/>
  <c r="I23" i="10" s="1"/>
  <c r="I24" i="10" s="1"/>
  <c r="I25" i="10" s="1"/>
  <c r="I26" i="10" s="1"/>
  <c r="I27" i="10" s="1"/>
  <c r="I28" i="10" s="1"/>
  <c r="I29" i="10" s="1"/>
  <c r="I30" i="10" s="1"/>
  <c r="D11" i="10"/>
  <c r="I10" i="10"/>
  <c r="D10" i="10"/>
  <c r="S9" i="10"/>
  <c r="D9" i="10"/>
  <c r="O5" i="10"/>
  <c r="N5" i="10"/>
  <c r="K5" i="10"/>
  <c r="F5" i="10"/>
  <c r="F10" i="10" s="1"/>
  <c r="F11" i="10" s="1"/>
  <c r="A5" i="10"/>
  <c r="N3" i="10"/>
  <c r="C7" i="9"/>
  <c r="C6" i="9"/>
  <c r="C5" i="9"/>
  <c r="C4" i="9"/>
  <c r="J6" i="8"/>
  <c r="B6" i="8" s="1"/>
  <c r="F6" i="8" s="1"/>
  <c r="D6" i="8"/>
  <c r="C6" i="8"/>
  <c r="J5" i="8"/>
  <c r="E5" i="8" s="1"/>
  <c r="F5" i="8"/>
  <c r="D5" i="8"/>
  <c r="D18" i="8" s="1"/>
  <c r="B5" i="8"/>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T89" i="7"/>
  <c r="T90" i="7" s="1"/>
  <c r="T91" i="7" s="1"/>
  <c r="T92" i="7" s="1"/>
  <c r="T93" i="7" s="1"/>
  <c r="T94" i="7" s="1"/>
  <c r="T95" i="7" s="1"/>
  <c r="T96" i="7" s="1"/>
  <c r="T97" i="7" s="1"/>
  <c r="T98" i="7" s="1"/>
  <c r="T99" i="7" s="1"/>
  <c r="T100" i="7" s="1"/>
  <c r="T101" i="7" s="1"/>
  <c r="T102" i="7" s="1"/>
  <c r="T103" i="7" s="1"/>
  <c r="T104" i="7" s="1"/>
  <c r="T105" i="7" s="1"/>
  <c r="T106" i="7" s="1"/>
  <c r="T107" i="7" s="1"/>
  <c r="T108" i="7" s="1"/>
  <c r="T109" i="7" s="1"/>
  <c r="T110" i="7" s="1"/>
  <c r="T111" i="7" s="1"/>
  <c r="T112" i="7" s="1"/>
  <c r="T113" i="7" s="1"/>
  <c r="T114" i="7" s="1"/>
  <c r="T115" i="7" s="1"/>
  <c r="T116" i="7" s="1"/>
  <c r="T117" i="7" s="1"/>
  <c r="T118" i="7" s="1"/>
  <c r="T119" i="7" s="1"/>
  <c r="T120" i="7" s="1"/>
  <c r="T121" i="7" s="1"/>
  <c r="T122" i="7" s="1"/>
  <c r="T123" i="7" s="1"/>
  <c r="T124" i="7" s="1"/>
  <c r="T125" i="7" s="1"/>
  <c r="T126" i="7" s="1"/>
  <c r="T127" i="7" s="1"/>
  <c r="T128" i="7" s="1"/>
  <c r="T129" i="7" s="1"/>
  <c r="T130" i="7" s="1"/>
  <c r="T131" i="7" s="1"/>
  <c r="T132" i="7" s="1"/>
  <c r="T133" i="7" s="1"/>
  <c r="T134" i="7" s="1"/>
  <c r="T135" i="7" s="1"/>
  <c r="T136" i="7" s="1"/>
  <c r="T137" i="7" s="1"/>
  <c r="T138" i="7" s="1"/>
  <c r="T139" i="7" s="1"/>
  <c r="T140" i="7" s="1"/>
  <c r="T141" i="7" s="1"/>
  <c r="T142" i="7" s="1"/>
  <c r="T143" i="7" s="1"/>
  <c r="T144" i="7" s="1"/>
  <c r="T145" i="7" s="1"/>
  <c r="T146" i="7" s="1"/>
  <c r="T147" i="7" s="1"/>
  <c r="T148" i="7" s="1"/>
  <c r="T149" i="7" s="1"/>
  <c r="T150" i="7" s="1"/>
  <c r="T151" i="7" s="1"/>
  <c r="T152" i="7" s="1"/>
  <c r="T153" i="7" s="1"/>
  <c r="T154" i="7" s="1"/>
  <c r="T155" i="7" s="1"/>
  <c r="T156" i="7" s="1"/>
  <c r="T157" i="7" s="1"/>
  <c r="T158" i="7" s="1"/>
  <c r="T159" i="7" s="1"/>
  <c r="T160" i="7" s="1"/>
  <c r="T161" i="7" s="1"/>
  <c r="T162" i="7" s="1"/>
  <c r="T163" i="7" s="1"/>
  <c r="T164" i="7" s="1"/>
  <c r="T165" i="7" s="1"/>
  <c r="T166" i="7" s="1"/>
  <c r="T167" i="7" s="1"/>
  <c r="T168" i="7" s="1"/>
  <c r="T169" i="7" s="1"/>
  <c r="T170" i="7" s="1"/>
  <c r="T171" i="7" s="1"/>
  <c r="T172" i="7" s="1"/>
  <c r="T173" i="7" s="1"/>
  <c r="T174" i="7" s="1"/>
  <c r="T175" i="7" s="1"/>
  <c r="T176" i="7" s="1"/>
  <c r="T177" i="7" s="1"/>
  <c r="T178" i="7" s="1"/>
  <c r="T179" i="7" s="1"/>
  <c r="T180" i="7" s="1"/>
  <c r="T181" i="7" s="1"/>
  <c r="T182" i="7" s="1"/>
  <c r="T183" i="7" s="1"/>
  <c r="T184" i="7" s="1"/>
  <c r="I89" i="7"/>
  <c r="I88" i="7"/>
  <c r="I87" i="7"/>
  <c r="T86" i="7"/>
  <c r="T87" i="7" s="1"/>
  <c r="T88" i="7" s="1"/>
  <c r="I86" i="7"/>
  <c r="T85"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D11" i="7"/>
  <c r="I10" i="7"/>
  <c r="I11" i="7" s="1"/>
  <c r="I12" i="7" s="1"/>
  <c r="I13" i="7" s="1"/>
  <c r="I14" i="7" s="1"/>
  <c r="I15" i="7" s="1"/>
  <c r="I16" i="7" s="1"/>
  <c r="I17" i="7" s="1"/>
  <c r="I18" i="7" s="1"/>
  <c r="I19" i="7" s="1"/>
  <c r="I20" i="7" s="1"/>
  <c r="I21" i="7" s="1"/>
  <c r="I22" i="7" s="1"/>
  <c r="I23" i="7" s="1"/>
  <c r="I24" i="7" s="1"/>
  <c r="I25" i="7" s="1"/>
  <c r="I26" i="7" s="1"/>
  <c r="I27" i="7" s="1"/>
  <c r="I28" i="7" s="1"/>
  <c r="I29" i="7" s="1"/>
  <c r="I30" i="7" s="1"/>
  <c r="I31" i="7" s="1"/>
  <c r="I32" i="7" s="1"/>
  <c r="I33" i="7" s="1"/>
  <c r="I34" i="7" s="1"/>
  <c r="D10" i="7"/>
  <c r="M9" i="7"/>
  <c r="I9" i="7"/>
  <c r="F9" i="7"/>
  <c r="F10" i="7" s="1"/>
  <c r="F11" i="7" s="1"/>
  <c r="F12" i="7" s="1"/>
  <c r="F13" i="7" s="1"/>
  <c r="F14" i="7" s="1"/>
  <c r="F15" i="7" s="1"/>
  <c r="F16" i="7" s="1"/>
  <c r="F17" i="7" s="1"/>
  <c r="F18" i="7" s="1"/>
  <c r="F19" i="7" s="1"/>
  <c r="F20" i="7" s="1"/>
  <c r="F21" i="7" s="1"/>
  <c r="F22" i="7" s="1"/>
  <c r="F23" i="7" s="1"/>
  <c r="F24" i="7" s="1"/>
  <c r="D9" i="7"/>
  <c r="N5" i="7"/>
  <c r="L5" i="7"/>
  <c r="K5" i="7"/>
  <c r="F5" i="7"/>
  <c r="A5" i="7"/>
  <c r="B5" i="7" s="1"/>
  <c r="C9" i="7" s="1"/>
  <c r="N3" i="7"/>
  <c r="F3" i="7"/>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U136"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T111" i="6"/>
  <c r="T112" i="6" s="1"/>
  <c r="T113" i="6" s="1"/>
  <c r="T114" i="6" s="1"/>
  <c r="T115" i="6" s="1"/>
  <c r="T116" i="6" s="1"/>
  <c r="T117" i="6" s="1"/>
  <c r="T118" i="6" s="1"/>
  <c r="T119" i="6" s="1"/>
  <c r="T120" i="6" s="1"/>
  <c r="T121" i="6" s="1"/>
  <c r="T122" i="6" s="1"/>
  <c r="T123" i="6" s="1"/>
  <c r="T124" i="6" s="1"/>
  <c r="T125" i="6" s="1"/>
  <c r="T126" i="6" s="1"/>
  <c r="T127" i="6" s="1"/>
  <c r="T128" i="6" s="1"/>
  <c r="T129" i="6" s="1"/>
  <c r="T130" i="6" s="1"/>
  <c r="T131" i="6" s="1"/>
  <c r="T132" i="6" s="1"/>
  <c r="T133" i="6" s="1"/>
  <c r="T134" i="6" s="1"/>
  <c r="T135" i="6" s="1"/>
  <c r="T136" i="6" s="1"/>
  <c r="T137" i="6" s="1"/>
  <c r="T138" i="6" s="1"/>
  <c r="T139" i="6" s="1"/>
  <c r="T140" i="6" s="1"/>
  <c r="T141" i="6" s="1"/>
  <c r="T142" i="6" s="1"/>
  <c r="T143" i="6" s="1"/>
  <c r="T144" i="6" s="1"/>
  <c r="T145" i="6" s="1"/>
  <c r="T146" i="6" s="1"/>
  <c r="T147" i="6" s="1"/>
  <c r="T148" i="6" s="1"/>
  <c r="T149" i="6" s="1"/>
  <c r="T150" i="6" s="1"/>
  <c r="T151" i="6" s="1"/>
  <c r="T152" i="6" s="1"/>
  <c r="T153" i="6" s="1"/>
  <c r="T154" i="6" s="1"/>
  <c r="T155" i="6" s="1"/>
  <c r="T156" i="6" s="1"/>
  <c r="T157" i="6" s="1"/>
  <c r="T158" i="6" s="1"/>
  <c r="T159" i="6" s="1"/>
  <c r="T160" i="6" s="1"/>
  <c r="T161" i="6" s="1"/>
  <c r="T162" i="6" s="1"/>
  <c r="T163" i="6" s="1"/>
  <c r="T164" i="6" s="1"/>
  <c r="T165" i="6" s="1"/>
  <c r="T166" i="6" s="1"/>
  <c r="T167" i="6" s="1"/>
  <c r="T168" i="6" s="1"/>
  <c r="T169" i="6" s="1"/>
  <c r="T170" i="6" s="1"/>
  <c r="T171" i="6" s="1"/>
  <c r="T172" i="6" s="1"/>
  <c r="T173" i="6" s="1"/>
  <c r="T174" i="6" s="1"/>
  <c r="T175" i="6" s="1"/>
  <c r="T176" i="6" s="1"/>
  <c r="T177" i="6" s="1"/>
  <c r="T178" i="6" s="1"/>
  <c r="T179" i="6" s="1"/>
  <c r="T180" i="6" s="1"/>
  <c r="T181" i="6" s="1"/>
  <c r="T182" i="6" s="1"/>
  <c r="T183" i="6" s="1"/>
  <c r="T184" i="6" s="1"/>
  <c r="I111" i="6"/>
  <c r="I110" i="6"/>
  <c r="I109" i="6"/>
  <c r="I108" i="6"/>
  <c r="I107" i="6"/>
  <c r="I106" i="6"/>
  <c r="I105" i="6"/>
  <c r="I104" i="6"/>
  <c r="I103" i="6"/>
  <c r="I102" i="6"/>
  <c r="I101" i="6"/>
  <c r="I100" i="6"/>
  <c r="I99" i="6"/>
  <c r="I98" i="6"/>
  <c r="I97" i="6"/>
  <c r="T96" i="6"/>
  <c r="T97" i="6" s="1"/>
  <c r="T98" i="6" s="1"/>
  <c r="T99" i="6" s="1"/>
  <c r="T100" i="6" s="1"/>
  <c r="T101" i="6" s="1"/>
  <c r="T102" i="6" s="1"/>
  <c r="T103" i="6" s="1"/>
  <c r="T104" i="6" s="1"/>
  <c r="T105" i="6" s="1"/>
  <c r="T106" i="6" s="1"/>
  <c r="T107" i="6" s="1"/>
  <c r="T108" i="6" s="1"/>
  <c r="T109" i="6" s="1"/>
  <c r="T110" i="6" s="1"/>
  <c r="I96" i="6"/>
  <c r="I95" i="6"/>
  <c r="I94" i="6"/>
  <c r="I93" i="6"/>
  <c r="I92" i="6"/>
  <c r="I91" i="6"/>
  <c r="I90" i="6"/>
  <c r="U89" i="6"/>
  <c r="I89" i="6"/>
  <c r="I88" i="6"/>
  <c r="I87" i="6"/>
  <c r="T86" i="6"/>
  <c r="T87" i="6" s="1"/>
  <c r="T88" i="6" s="1"/>
  <c r="T89" i="6" s="1"/>
  <c r="T90" i="6" s="1"/>
  <c r="T91" i="6" s="1"/>
  <c r="T92" i="6" s="1"/>
  <c r="T93" i="6" s="1"/>
  <c r="T94" i="6" s="1"/>
  <c r="T95" i="6" s="1"/>
  <c r="I86" i="6"/>
  <c r="T85"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U37" i="6"/>
  <c r="U35" i="6"/>
  <c r="U31" i="6"/>
  <c r="U25" i="6"/>
  <c r="U21" i="6"/>
  <c r="I10" i="6"/>
  <c r="I11" i="6" s="1"/>
  <c r="I12" i="6" s="1"/>
  <c r="I13" i="6" s="1"/>
  <c r="I14" i="6" s="1"/>
  <c r="I15" i="6" s="1"/>
  <c r="I16" i="6" s="1"/>
  <c r="I17" i="6" s="1"/>
  <c r="I18" i="6" s="1"/>
  <c r="I19" i="6" s="1"/>
  <c r="I20" i="6" s="1"/>
  <c r="I21" i="6" s="1"/>
  <c r="I22" i="6" s="1"/>
  <c r="I23" i="6" s="1"/>
  <c r="I24" i="6" s="1"/>
  <c r="I25" i="6" s="1"/>
  <c r="I26" i="6" s="1"/>
  <c r="I27" i="6" s="1"/>
  <c r="I28" i="6" s="1"/>
  <c r="I29" i="6" s="1"/>
  <c r="I30" i="6" s="1"/>
  <c r="I31" i="6" s="1"/>
  <c r="I32" i="6" s="1"/>
  <c r="I33" i="6" s="1"/>
  <c r="I34" i="6" s="1"/>
  <c r="F10" i="6"/>
  <c r="F11" i="6" s="1"/>
  <c r="F12" i="6" s="1"/>
  <c r="F13" i="6" s="1"/>
  <c r="F14" i="6" s="1"/>
  <c r="F15" i="6" s="1"/>
  <c r="F16" i="6" s="1"/>
  <c r="F17" i="6" s="1"/>
  <c r="F18" i="6" s="1"/>
  <c r="F19" i="6" s="1"/>
  <c r="F20" i="6" s="1"/>
  <c r="F21" i="6" s="1"/>
  <c r="F22" i="6" s="1"/>
  <c r="F23" i="6" s="1"/>
  <c r="F24" i="6" s="1"/>
  <c r="F25" i="6" s="1"/>
  <c r="F26" i="6" s="1"/>
  <c r="F27" i="6" s="1"/>
  <c r="M9" i="6"/>
  <c r="I9" i="6"/>
  <c r="F9" i="6"/>
  <c r="D9" i="6"/>
  <c r="D10" i="6" s="1"/>
  <c r="C9" i="6"/>
  <c r="O5" i="6"/>
  <c r="N5" i="6"/>
  <c r="K5" i="6"/>
  <c r="F5" i="6"/>
  <c r="B5" i="6"/>
  <c r="A5" i="6"/>
  <c r="U3" i="6"/>
  <c r="U149" i="6" s="1"/>
  <c r="N3" i="6"/>
  <c r="F3" i="6"/>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T101" i="5"/>
  <c r="T102" i="5" s="1"/>
  <c r="T103" i="5" s="1"/>
  <c r="T104" i="5" s="1"/>
  <c r="T105" i="5" s="1"/>
  <c r="T106" i="5" s="1"/>
  <c r="T107" i="5" s="1"/>
  <c r="T108" i="5" s="1"/>
  <c r="T109" i="5" s="1"/>
  <c r="T110" i="5" s="1"/>
  <c r="T111" i="5" s="1"/>
  <c r="T112" i="5" s="1"/>
  <c r="T113" i="5" s="1"/>
  <c r="T114" i="5" s="1"/>
  <c r="T115" i="5" s="1"/>
  <c r="T116" i="5" s="1"/>
  <c r="T117" i="5" s="1"/>
  <c r="T118" i="5" s="1"/>
  <c r="T119" i="5" s="1"/>
  <c r="T120" i="5" s="1"/>
  <c r="T121" i="5" s="1"/>
  <c r="T122" i="5" s="1"/>
  <c r="T123" i="5" s="1"/>
  <c r="T124" i="5" s="1"/>
  <c r="T125" i="5" s="1"/>
  <c r="T126" i="5" s="1"/>
  <c r="T127" i="5" s="1"/>
  <c r="T128" i="5" s="1"/>
  <c r="T129" i="5" s="1"/>
  <c r="T130" i="5" s="1"/>
  <c r="T131" i="5" s="1"/>
  <c r="T132" i="5" s="1"/>
  <c r="T133" i="5" s="1"/>
  <c r="T134" i="5" s="1"/>
  <c r="T135" i="5" s="1"/>
  <c r="T136" i="5" s="1"/>
  <c r="T137" i="5" s="1"/>
  <c r="T138" i="5" s="1"/>
  <c r="T139" i="5" s="1"/>
  <c r="T140" i="5" s="1"/>
  <c r="T141" i="5" s="1"/>
  <c r="T142" i="5" s="1"/>
  <c r="T143" i="5" s="1"/>
  <c r="T144" i="5" s="1"/>
  <c r="T145" i="5" s="1"/>
  <c r="T146" i="5" s="1"/>
  <c r="T147" i="5" s="1"/>
  <c r="T148" i="5" s="1"/>
  <c r="T149" i="5" s="1"/>
  <c r="T150" i="5" s="1"/>
  <c r="T151" i="5" s="1"/>
  <c r="T152" i="5" s="1"/>
  <c r="T153" i="5" s="1"/>
  <c r="T154" i="5" s="1"/>
  <c r="T155" i="5" s="1"/>
  <c r="T156" i="5" s="1"/>
  <c r="T157" i="5" s="1"/>
  <c r="T158" i="5" s="1"/>
  <c r="T159" i="5" s="1"/>
  <c r="T160" i="5" s="1"/>
  <c r="T161" i="5" s="1"/>
  <c r="T162" i="5" s="1"/>
  <c r="T163" i="5" s="1"/>
  <c r="T164" i="5" s="1"/>
  <c r="T165" i="5" s="1"/>
  <c r="T166" i="5" s="1"/>
  <c r="T167" i="5" s="1"/>
  <c r="T168" i="5" s="1"/>
  <c r="T169" i="5" s="1"/>
  <c r="T170" i="5" s="1"/>
  <c r="T171" i="5" s="1"/>
  <c r="T172" i="5" s="1"/>
  <c r="T173" i="5" s="1"/>
  <c r="T174" i="5" s="1"/>
  <c r="T175" i="5" s="1"/>
  <c r="T176" i="5" s="1"/>
  <c r="T177" i="5" s="1"/>
  <c r="T178" i="5" s="1"/>
  <c r="T179" i="5" s="1"/>
  <c r="T180" i="5" s="1"/>
  <c r="T181" i="5" s="1"/>
  <c r="T182" i="5" s="1"/>
  <c r="T183" i="5" s="1"/>
  <c r="T184" i="5" s="1"/>
  <c r="I101" i="5"/>
  <c r="I100" i="5"/>
  <c r="I99" i="5"/>
  <c r="I98" i="5"/>
  <c r="I97" i="5"/>
  <c r="I96" i="5"/>
  <c r="I95" i="5"/>
  <c r="I94" i="5"/>
  <c r="I93" i="5"/>
  <c r="I92" i="5"/>
  <c r="I91" i="5"/>
  <c r="I90" i="5"/>
  <c r="T89" i="5"/>
  <c r="T90" i="5" s="1"/>
  <c r="T91" i="5" s="1"/>
  <c r="T92" i="5" s="1"/>
  <c r="T93" i="5" s="1"/>
  <c r="T94" i="5" s="1"/>
  <c r="T95" i="5" s="1"/>
  <c r="T96" i="5" s="1"/>
  <c r="T97" i="5" s="1"/>
  <c r="T98" i="5" s="1"/>
  <c r="T99" i="5" s="1"/>
  <c r="T100" i="5" s="1"/>
  <c r="I89" i="5"/>
  <c r="I88" i="5"/>
  <c r="I87" i="5"/>
  <c r="I86" i="5"/>
  <c r="T85" i="5"/>
  <c r="T86" i="5" s="1"/>
  <c r="T87" i="5" s="1"/>
  <c r="T88" i="5" s="1"/>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17" i="5"/>
  <c r="I18" i="5" s="1"/>
  <c r="I19" i="5" s="1"/>
  <c r="I20" i="5" s="1"/>
  <c r="I21" i="5" s="1"/>
  <c r="I22" i="5" s="1"/>
  <c r="I23" i="5" s="1"/>
  <c r="I24" i="5" s="1"/>
  <c r="I25" i="5" s="1"/>
  <c r="I26" i="5" s="1"/>
  <c r="I27" i="5" s="1"/>
  <c r="I28" i="5" s="1"/>
  <c r="I29" i="5" s="1"/>
  <c r="I30" i="5" s="1"/>
  <c r="I31" i="5" s="1"/>
  <c r="I32" i="5" s="1"/>
  <c r="I33" i="5" s="1"/>
  <c r="I34" i="5" s="1"/>
  <c r="I12" i="5"/>
  <c r="I13" i="5" s="1"/>
  <c r="I14" i="5" s="1"/>
  <c r="I15" i="5" s="1"/>
  <c r="I16" i="5" s="1"/>
  <c r="I10" i="5"/>
  <c r="I11" i="5" s="1"/>
  <c r="F10" i="5"/>
  <c r="F11" i="5" s="1"/>
  <c r="F12" i="5" s="1"/>
  <c r="F13" i="5" s="1"/>
  <c r="F14" i="5" s="1"/>
  <c r="M9" i="5"/>
  <c r="I9" i="5"/>
  <c r="G9" i="5"/>
  <c r="F9" i="5"/>
  <c r="B4" i="8" s="1"/>
  <c r="D9" i="5"/>
  <c r="D10" i="5" s="1"/>
  <c r="N5" i="5"/>
  <c r="L5" i="5"/>
  <c r="K5" i="5"/>
  <c r="F5" i="5"/>
  <c r="A5" i="5"/>
  <c r="B5" i="5" s="1"/>
  <c r="C9" i="5" s="1"/>
  <c r="N3" i="5"/>
  <c r="F3" i="5"/>
  <c r="J196" i="3"/>
  <c r="I194" i="3"/>
  <c r="K194" i="3" s="1"/>
  <c r="G194" i="3"/>
  <c r="I193" i="3"/>
  <c r="K193" i="3" s="1"/>
  <c r="G193" i="3"/>
  <c r="I192" i="3"/>
  <c r="K192" i="3" s="1"/>
  <c r="G192" i="3"/>
  <c r="I191" i="3"/>
  <c r="K191" i="3" s="1"/>
  <c r="G191" i="3"/>
  <c r="I190" i="3"/>
  <c r="K190" i="3" s="1"/>
  <c r="G190" i="3"/>
  <c r="H189" i="3"/>
  <c r="I189" i="3" s="1"/>
  <c r="K189" i="3" s="1"/>
  <c r="H188" i="3"/>
  <c r="I188" i="3" s="1"/>
  <c r="K188" i="3" s="1"/>
  <c r="H187" i="3"/>
  <c r="I187" i="3" s="1"/>
  <c r="K187" i="3" s="1"/>
  <c r="H186" i="3"/>
  <c r="I186" i="3" s="1"/>
  <c r="K186" i="3" s="1"/>
  <c r="H185" i="3"/>
  <c r="I185" i="3" s="1"/>
  <c r="K185" i="3" s="1"/>
  <c r="I184" i="3"/>
  <c r="K184" i="3" s="1"/>
  <c r="H184" i="3"/>
  <c r="I183" i="3"/>
  <c r="K183" i="3" s="1"/>
  <c r="H183" i="3"/>
  <c r="I182" i="3"/>
  <c r="K182" i="3" s="1"/>
  <c r="H182" i="3"/>
  <c r="K181" i="3"/>
  <c r="H181" i="3"/>
  <c r="I181" i="3" s="1"/>
  <c r="K180" i="3"/>
  <c r="H180" i="3"/>
  <c r="I180" i="3" s="1"/>
  <c r="H179" i="3"/>
  <c r="I179" i="3" s="1"/>
  <c r="K179" i="3" s="1"/>
  <c r="I178" i="3"/>
  <c r="K178" i="3" s="1"/>
  <c r="H178" i="3"/>
  <c r="H177" i="3"/>
  <c r="I177" i="3" s="1"/>
  <c r="K177" i="3" s="1"/>
  <c r="I176" i="3"/>
  <c r="K176" i="3" s="1"/>
  <c r="H176" i="3"/>
  <c r="K175" i="3"/>
  <c r="I175" i="3"/>
  <c r="H175" i="3"/>
  <c r="I174" i="3"/>
  <c r="K174" i="3" s="1"/>
  <c r="H174" i="3"/>
  <c r="H173" i="3"/>
  <c r="I173" i="3" s="1"/>
  <c r="K173" i="3" s="1"/>
  <c r="H172" i="3"/>
  <c r="I172" i="3" s="1"/>
  <c r="K172" i="3" s="1"/>
  <c r="H171" i="3"/>
  <c r="I171" i="3" s="1"/>
  <c r="K171" i="3" s="1"/>
  <c r="H170" i="3"/>
  <c r="I170" i="3" s="1"/>
  <c r="K170" i="3" s="1"/>
  <c r="H169" i="3"/>
  <c r="I169" i="3" s="1"/>
  <c r="K169" i="3" s="1"/>
  <c r="I168" i="3"/>
  <c r="K168" i="3" s="1"/>
  <c r="H168" i="3"/>
  <c r="I167" i="3"/>
  <c r="K167" i="3" s="1"/>
  <c r="H167" i="3"/>
  <c r="I166" i="3"/>
  <c r="K166" i="3" s="1"/>
  <c r="H166" i="3"/>
  <c r="H165" i="3"/>
  <c r="I165" i="3" s="1"/>
  <c r="K165" i="3" s="1"/>
  <c r="K164" i="3"/>
  <c r="H164" i="3"/>
  <c r="I164" i="3" s="1"/>
  <c r="H163" i="3"/>
  <c r="I163" i="3" s="1"/>
  <c r="K163" i="3" s="1"/>
  <c r="H162" i="3"/>
  <c r="I162" i="3" s="1"/>
  <c r="K162" i="3" s="1"/>
  <c r="H161" i="3"/>
  <c r="I161" i="3" s="1"/>
  <c r="K161" i="3" s="1"/>
  <c r="I160" i="3"/>
  <c r="K160" i="3" s="1"/>
  <c r="H160" i="3"/>
  <c r="K159" i="3"/>
  <c r="I159" i="3"/>
  <c r="H159" i="3"/>
  <c r="I158" i="3"/>
  <c r="K158" i="3" s="1"/>
  <c r="H158" i="3"/>
  <c r="K157" i="3"/>
  <c r="H157" i="3"/>
  <c r="I157" i="3" s="1"/>
  <c r="H156" i="3"/>
  <c r="I156" i="3" s="1"/>
  <c r="K156" i="3" s="1"/>
  <c r="H155" i="3"/>
  <c r="I155" i="3" s="1"/>
  <c r="K155" i="3" s="1"/>
  <c r="I154" i="3"/>
  <c r="K154" i="3" s="1"/>
  <c r="H154" i="3"/>
  <c r="H153" i="3"/>
  <c r="I153" i="3" s="1"/>
  <c r="K153" i="3" s="1"/>
  <c r="I152" i="3"/>
  <c r="K152" i="3" s="1"/>
  <c r="H152" i="3"/>
  <c r="I151" i="3"/>
  <c r="K151" i="3" s="1"/>
  <c r="H151" i="3"/>
  <c r="I150" i="3"/>
  <c r="K150" i="3" s="1"/>
  <c r="H150" i="3"/>
  <c r="H149" i="3"/>
  <c r="I149" i="3" s="1"/>
  <c r="K149" i="3" s="1"/>
  <c r="K148" i="3"/>
  <c r="I148" i="3"/>
  <c r="G148" i="3"/>
  <c r="H147" i="3"/>
  <c r="I147" i="3" s="1"/>
  <c r="K147" i="3" s="1"/>
  <c r="I146" i="3"/>
  <c r="K146" i="3" s="1"/>
  <c r="H146" i="3"/>
  <c r="H145" i="3"/>
  <c r="I145" i="3" s="1"/>
  <c r="K145" i="3" s="1"/>
  <c r="I144" i="3"/>
  <c r="K144" i="3" s="1"/>
  <c r="G144" i="3"/>
  <c r="K143" i="3"/>
  <c r="I143" i="3"/>
  <c r="H143" i="3"/>
  <c r="I142" i="3"/>
  <c r="K142" i="3" s="1"/>
  <c r="H142" i="3"/>
  <c r="H141" i="3"/>
  <c r="I141" i="3" s="1"/>
  <c r="K141" i="3" s="1"/>
  <c r="H140" i="3"/>
  <c r="I140" i="3" s="1"/>
  <c r="K140" i="3" s="1"/>
  <c r="H139" i="3"/>
  <c r="I139" i="3" s="1"/>
  <c r="K139" i="3" s="1"/>
  <c r="H138" i="3"/>
  <c r="I138" i="3" s="1"/>
  <c r="K138" i="3" s="1"/>
  <c r="H137" i="3"/>
  <c r="I137" i="3" s="1"/>
  <c r="K137" i="3" s="1"/>
  <c r="I136" i="3"/>
  <c r="K136" i="3" s="1"/>
  <c r="H136" i="3"/>
  <c r="I135" i="3"/>
  <c r="K135" i="3" s="1"/>
  <c r="H135" i="3"/>
  <c r="I134" i="3"/>
  <c r="K134" i="3" s="1"/>
  <c r="H134" i="3"/>
  <c r="H133" i="3"/>
  <c r="I133" i="3" s="1"/>
  <c r="K133" i="3" s="1"/>
  <c r="K132" i="3"/>
  <c r="H132" i="3"/>
  <c r="I132" i="3" s="1"/>
  <c r="H131" i="3"/>
  <c r="I131" i="3" s="1"/>
  <c r="K131" i="3" s="1"/>
  <c r="I130" i="3"/>
  <c r="K130" i="3" s="1"/>
  <c r="H130" i="3"/>
  <c r="I129" i="3"/>
  <c r="K129" i="3" s="1"/>
  <c r="G129" i="3"/>
  <c r="I128" i="3"/>
  <c r="K128" i="3" s="1"/>
  <c r="H128" i="3"/>
  <c r="I127" i="3"/>
  <c r="K127" i="3" s="1"/>
  <c r="H127" i="3"/>
  <c r="I126" i="3"/>
  <c r="K126" i="3" s="1"/>
  <c r="H126" i="3"/>
  <c r="H125" i="3"/>
  <c r="I125" i="3" s="1"/>
  <c r="K125" i="3" s="1"/>
  <c r="K124" i="3"/>
  <c r="H124" i="3"/>
  <c r="I124" i="3" s="1"/>
  <c r="H123" i="3"/>
  <c r="I123" i="3" s="1"/>
  <c r="K123" i="3" s="1"/>
  <c r="I122" i="3"/>
  <c r="K122" i="3" s="1"/>
  <c r="H122" i="3"/>
  <c r="H121" i="3"/>
  <c r="I121" i="3" s="1"/>
  <c r="K121" i="3" s="1"/>
  <c r="I120" i="3"/>
  <c r="K120" i="3" s="1"/>
  <c r="H120" i="3"/>
  <c r="K119" i="3"/>
  <c r="I119" i="3"/>
  <c r="H119" i="3"/>
  <c r="I118" i="3"/>
  <c r="K118" i="3" s="1"/>
  <c r="H118" i="3"/>
  <c r="K117" i="3"/>
  <c r="I117" i="3"/>
  <c r="G117" i="3"/>
  <c r="K116" i="3"/>
  <c r="H116" i="3"/>
  <c r="I116" i="3" s="1"/>
  <c r="H115" i="3"/>
  <c r="I115" i="3" s="1"/>
  <c r="K115" i="3" s="1"/>
  <c r="I114" i="3"/>
  <c r="K114" i="3" s="1"/>
  <c r="H114" i="3"/>
  <c r="H113" i="3"/>
  <c r="I113" i="3" s="1"/>
  <c r="K113" i="3" s="1"/>
  <c r="I112" i="3"/>
  <c r="K112" i="3" s="1"/>
  <c r="H112" i="3"/>
  <c r="K111" i="3"/>
  <c r="I111" i="3"/>
  <c r="H111" i="3"/>
  <c r="I110" i="3"/>
  <c r="K110" i="3" s="1"/>
  <c r="H110" i="3"/>
  <c r="K109" i="3"/>
  <c r="H109" i="3"/>
  <c r="I109" i="3" s="1"/>
  <c r="H108" i="3"/>
  <c r="I108" i="3" s="1"/>
  <c r="K108" i="3" s="1"/>
  <c r="K107" i="3"/>
  <c r="I107" i="3"/>
  <c r="G107" i="3"/>
  <c r="I106" i="3"/>
  <c r="K106" i="3" s="1"/>
  <c r="G106" i="3"/>
  <c r="H105" i="3"/>
  <c r="I105" i="3" s="1"/>
  <c r="K105" i="3" s="1"/>
  <c r="I104" i="3"/>
  <c r="K104" i="3" s="1"/>
  <c r="G104" i="3"/>
  <c r="I103" i="3"/>
  <c r="K103" i="3" s="1"/>
  <c r="H103" i="3"/>
  <c r="I102" i="3"/>
  <c r="K102" i="3" s="1"/>
  <c r="H102" i="3"/>
  <c r="H101" i="3"/>
  <c r="I101" i="3" s="1"/>
  <c r="K101" i="3" s="1"/>
  <c r="K100" i="3"/>
  <c r="H100" i="3"/>
  <c r="I100" i="3" s="1"/>
  <c r="H99" i="3"/>
  <c r="I99" i="3" s="1"/>
  <c r="K99" i="3" s="1"/>
  <c r="I98" i="3"/>
  <c r="K98" i="3" s="1"/>
  <c r="H98" i="3"/>
  <c r="H97" i="3"/>
  <c r="I97" i="3" s="1"/>
  <c r="K97" i="3" s="1"/>
  <c r="I96" i="3"/>
  <c r="K96" i="3" s="1"/>
  <c r="G96" i="3"/>
  <c r="K95" i="3"/>
  <c r="I95" i="3"/>
  <c r="G95" i="3"/>
  <c r="I94" i="3"/>
  <c r="K94" i="3" s="1"/>
  <c r="H94" i="3"/>
  <c r="K93" i="3"/>
  <c r="H93" i="3"/>
  <c r="I93" i="3" s="1"/>
  <c r="H92" i="3"/>
  <c r="I92" i="3" s="1"/>
  <c r="K92" i="3" s="1"/>
  <c r="K91" i="3"/>
  <c r="I91" i="3"/>
  <c r="G91" i="3"/>
  <c r="H90" i="3"/>
  <c r="I90" i="3" s="1"/>
  <c r="K90" i="3" s="1"/>
  <c r="I89" i="3"/>
  <c r="K89" i="3" s="1"/>
  <c r="G89" i="3"/>
  <c r="I88" i="3"/>
  <c r="K88" i="3" s="1"/>
  <c r="H88" i="3"/>
  <c r="I87" i="3"/>
  <c r="K87" i="3" s="1"/>
  <c r="H87" i="3"/>
  <c r="I86" i="3"/>
  <c r="K86" i="3" s="1"/>
  <c r="H86" i="3"/>
  <c r="H85" i="3"/>
  <c r="I85" i="3" s="1"/>
  <c r="K85" i="3" s="1"/>
  <c r="K84" i="3"/>
  <c r="I84" i="3"/>
  <c r="G84" i="3"/>
  <c r="H83" i="3"/>
  <c r="I83" i="3" s="1"/>
  <c r="K83" i="3" s="1"/>
  <c r="I82" i="3"/>
  <c r="K82" i="3" s="1"/>
  <c r="H82" i="3"/>
  <c r="H81" i="3"/>
  <c r="I81" i="3" s="1"/>
  <c r="K81" i="3" s="1"/>
  <c r="I80" i="3"/>
  <c r="K80" i="3" s="1"/>
  <c r="H80" i="3"/>
  <c r="K79" i="3"/>
  <c r="I79" i="3"/>
  <c r="H79" i="3"/>
  <c r="I78" i="3"/>
  <c r="K78" i="3" s="1"/>
  <c r="G78" i="3"/>
  <c r="H77" i="3"/>
  <c r="I77" i="3" s="1"/>
  <c r="K77" i="3" s="1"/>
  <c r="K76" i="3"/>
  <c r="I76" i="3"/>
  <c r="G76" i="3"/>
  <c r="H75" i="3"/>
  <c r="I75" i="3" s="1"/>
  <c r="K75" i="3" s="1"/>
  <c r="I74" i="3"/>
  <c r="K74" i="3" s="1"/>
  <c r="H74" i="3"/>
  <c r="H73" i="3"/>
  <c r="I73" i="3" s="1"/>
  <c r="K73" i="3" s="1"/>
  <c r="I72" i="3"/>
  <c r="K72" i="3" s="1"/>
  <c r="G72" i="3"/>
  <c r="I71" i="3"/>
  <c r="K71" i="3" s="1"/>
  <c r="H71" i="3"/>
  <c r="I70" i="3"/>
  <c r="K70" i="3" s="1"/>
  <c r="G70" i="3"/>
  <c r="H69" i="3"/>
  <c r="I69" i="3" s="1"/>
  <c r="K69" i="3" s="1"/>
  <c r="H68" i="3"/>
  <c r="I68" i="3" s="1"/>
  <c r="K68" i="3" s="1"/>
  <c r="H67" i="3"/>
  <c r="I67" i="3" s="1"/>
  <c r="K67" i="3" s="1"/>
  <c r="H66" i="3"/>
  <c r="I66" i="3" s="1"/>
  <c r="K66" i="3" s="1"/>
  <c r="I65" i="3"/>
  <c r="K65" i="3" s="1"/>
  <c r="G65" i="3"/>
  <c r="I64" i="3"/>
  <c r="K64" i="3" s="1"/>
  <c r="H64" i="3"/>
  <c r="K63" i="3"/>
  <c r="I63" i="3"/>
  <c r="H63" i="3"/>
  <c r="I62" i="3"/>
  <c r="K62" i="3" s="1"/>
  <c r="G62" i="3"/>
  <c r="H61" i="3"/>
  <c r="I61" i="3" s="1"/>
  <c r="K61" i="3" s="1"/>
  <c r="H60" i="3"/>
  <c r="I60" i="3" s="1"/>
  <c r="K60" i="3" s="1"/>
  <c r="H59" i="3"/>
  <c r="I59" i="3" s="1"/>
  <c r="K59" i="3" s="1"/>
  <c r="H58" i="3"/>
  <c r="I58" i="3" s="1"/>
  <c r="K58" i="3" s="1"/>
  <c r="H57" i="3"/>
  <c r="I57" i="3" s="1"/>
  <c r="K57" i="3" s="1"/>
  <c r="I56" i="3"/>
  <c r="K56" i="3" s="1"/>
  <c r="H56" i="3"/>
  <c r="I55" i="3"/>
  <c r="K55" i="3" s="1"/>
  <c r="H55" i="3"/>
  <c r="I54" i="3"/>
  <c r="K54" i="3" s="1"/>
  <c r="G54" i="3"/>
  <c r="K53" i="3"/>
  <c r="I53" i="3"/>
  <c r="G53" i="3"/>
  <c r="H52" i="3"/>
  <c r="I52" i="3" s="1"/>
  <c r="K52" i="3" s="1"/>
  <c r="H51" i="3"/>
  <c r="I51" i="3" s="1"/>
  <c r="K51" i="3" s="1"/>
  <c r="H50" i="3"/>
  <c r="I50" i="3" s="1"/>
  <c r="K50" i="3" s="1"/>
  <c r="I49" i="3"/>
  <c r="K49" i="3" s="1"/>
  <c r="G49" i="3"/>
  <c r="I48" i="3"/>
  <c r="K48" i="3" s="1"/>
  <c r="G48" i="3"/>
  <c r="I47" i="3"/>
  <c r="K47" i="3" s="1"/>
  <c r="H47" i="3"/>
  <c r="I46" i="3"/>
  <c r="K46" i="3" s="1"/>
  <c r="G46" i="3"/>
  <c r="H45" i="3"/>
  <c r="I45" i="3" s="1"/>
  <c r="K45" i="3" s="1"/>
  <c r="K44" i="3"/>
  <c r="I44" i="3"/>
  <c r="G44" i="3"/>
  <c r="K43" i="3"/>
  <c r="I43" i="3"/>
  <c r="G43" i="3"/>
  <c r="I42" i="3"/>
  <c r="K42" i="3" s="1"/>
  <c r="G42" i="3"/>
  <c r="H41" i="3"/>
  <c r="I41" i="3" s="1"/>
  <c r="K41" i="3" s="1"/>
  <c r="I40" i="3"/>
  <c r="K40" i="3" s="1"/>
  <c r="G40" i="3"/>
  <c r="I39" i="3"/>
  <c r="K39" i="3" s="1"/>
  <c r="G39" i="3"/>
  <c r="I38" i="3"/>
  <c r="K38" i="3" s="1"/>
  <c r="H38" i="3"/>
  <c r="H37" i="3"/>
  <c r="I37" i="3" s="1"/>
  <c r="K37" i="3" s="1"/>
  <c r="K36" i="3"/>
  <c r="I36" i="3"/>
  <c r="G36" i="3"/>
  <c r="K35" i="3"/>
  <c r="I35" i="3"/>
  <c r="G35" i="3"/>
  <c r="I34" i="3"/>
  <c r="K34" i="3" s="1"/>
  <c r="G34" i="3"/>
  <c r="H33" i="3"/>
  <c r="I33" i="3" s="1"/>
  <c r="K33" i="3" s="1"/>
  <c r="I32" i="3"/>
  <c r="K32" i="3" s="1"/>
  <c r="G32" i="3"/>
  <c r="I31" i="3"/>
  <c r="K31" i="3" s="1"/>
  <c r="G31" i="3"/>
  <c r="I30" i="3"/>
  <c r="K30" i="3" s="1"/>
  <c r="G30" i="3"/>
  <c r="K29" i="3"/>
  <c r="I29" i="3"/>
  <c r="G29" i="3"/>
  <c r="K28" i="3"/>
  <c r="I28" i="3"/>
  <c r="G28" i="3"/>
  <c r="H27" i="3"/>
  <c r="I27" i="3" s="1"/>
  <c r="K27" i="3" s="1"/>
  <c r="I26" i="3"/>
  <c r="K26" i="3" s="1"/>
  <c r="G26" i="3"/>
  <c r="I25" i="3"/>
  <c r="K25" i="3" s="1"/>
  <c r="G25" i="3"/>
  <c r="I24" i="3"/>
  <c r="K24" i="3" s="1"/>
  <c r="H24" i="3"/>
  <c r="K23" i="3"/>
  <c r="I23" i="3"/>
  <c r="G23" i="3"/>
  <c r="I22" i="3"/>
  <c r="K22" i="3" s="1"/>
  <c r="G22" i="3"/>
  <c r="K21" i="3"/>
  <c r="I21" i="3"/>
  <c r="G21" i="3"/>
  <c r="K20" i="3"/>
  <c r="H20" i="3"/>
  <c r="I20" i="3" s="1"/>
  <c r="K19" i="3"/>
  <c r="I19" i="3"/>
  <c r="G19" i="3"/>
  <c r="I18" i="3"/>
  <c r="K18" i="3" s="1"/>
  <c r="G18" i="3"/>
  <c r="I17" i="3"/>
  <c r="K17" i="3" s="1"/>
  <c r="G17" i="3"/>
  <c r="I16" i="3"/>
  <c r="K16" i="3" s="1"/>
  <c r="G16" i="3"/>
  <c r="K15" i="3"/>
  <c r="I15" i="3"/>
  <c r="G15" i="3"/>
  <c r="I14" i="3"/>
  <c r="K14" i="3" s="1"/>
  <c r="G14" i="3"/>
  <c r="K13" i="3"/>
  <c r="I13" i="3"/>
  <c r="G13" i="3"/>
  <c r="K12" i="3"/>
  <c r="I12" i="3"/>
  <c r="G12" i="3"/>
  <c r="K11" i="3"/>
  <c r="I11" i="3"/>
  <c r="G11" i="3"/>
  <c r="I10" i="3"/>
  <c r="K10" i="3" s="1"/>
  <c r="G10" i="3"/>
  <c r="I9" i="3"/>
  <c r="K9" i="3" s="1"/>
  <c r="G9" i="3"/>
  <c r="I8" i="3"/>
  <c r="K8" i="3" s="1"/>
  <c r="G8" i="3"/>
  <c r="I7" i="3"/>
  <c r="K7" i="3" s="1"/>
  <c r="G7" i="3"/>
  <c r="I6" i="3"/>
  <c r="K6" i="3" s="1"/>
  <c r="G6" i="3"/>
  <c r="K5" i="3"/>
  <c r="I5" i="3"/>
  <c r="G5" i="3"/>
  <c r="K4" i="3"/>
  <c r="I4" i="3"/>
  <c r="G4" i="3"/>
  <c r="K3" i="3"/>
  <c r="I3" i="3"/>
  <c r="G3" i="3"/>
  <c r="S184" i="2"/>
  <c r="G184" i="2"/>
  <c r="S183" i="2"/>
  <c r="G183" i="2"/>
  <c r="S182" i="2"/>
  <c r="G182" i="2"/>
  <c r="S181" i="2"/>
  <c r="G181" i="2"/>
  <c r="S180" i="2"/>
  <c r="G180" i="2"/>
  <c r="S179" i="2"/>
  <c r="G179" i="2"/>
  <c r="S178" i="2"/>
  <c r="G178" i="2"/>
  <c r="S177" i="2"/>
  <c r="G177" i="2"/>
  <c r="S176" i="2"/>
  <c r="G176" i="2"/>
  <c r="S175" i="2"/>
  <c r="G175" i="2"/>
  <c r="S174" i="2"/>
  <c r="G174" i="2"/>
  <c r="S173" i="2"/>
  <c r="G173" i="2"/>
  <c r="S172" i="2"/>
  <c r="G172" i="2"/>
  <c r="S171" i="2"/>
  <c r="G171" i="2"/>
  <c r="S170" i="2"/>
  <c r="G170" i="2"/>
  <c r="S169" i="2"/>
  <c r="G169" i="2"/>
  <c r="S168" i="2"/>
  <c r="G168" i="2"/>
  <c r="S167" i="2"/>
  <c r="G167" i="2"/>
  <c r="S166" i="2"/>
  <c r="G166" i="2"/>
  <c r="S165" i="2"/>
  <c r="G165" i="2"/>
  <c r="S164" i="2"/>
  <c r="G164" i="2"/>
  <c r="S163" i="2"/>
  <c r="G163" i="2"/>
  <c r="S162" i="2"/>
  <c r="G162" i="2"/>
  <c r="S161" i="2"/>
  <c r="G161" i="2"/>
  <c r="S160" i="2"/>
  <c r="G160" i="2"/>
  <c r="S159" i="2"/>
  <c r="G159" i="2"/>
  <c r="S158" i="2"/>
  <c r="G158" i="2"/>
  <c r="S157" i="2"/>
  <c r="G157" i="2"/>
  <c r="S156" i="2"/>
  <c r="G156" i="2"/>
  <c r="S155" i="2"/>
  <c r="G155" i="2"/>
  <c r="S154" i="2"/>
  <c r="G154" i="2"/>
  <c r="S153" i="2"/>
  <c r="G153" i="2"/>
  <c r="S152" i="2"/>
  <c r="G152" i="2"/>
  <c r="S151" i="2"/>
  <c r="G151" i="2"/>
  <c r="S150" i="2"/>
  <c r="G150" i="2"/>
  <c r="S149" i="2"/>
  <c r="G149" i="2"/>
  <c r="S148" i="2"/>
  <c r="G148" i="2"/>
  <c r="S147" i="2"/>
  <c r="G147" i="2"/>
  <c r="S146" i="2"/>
  <c r="G146" i="2"/>
  <c r="S145" i="2"/>
  <c r="G145" i="2"/>
  <c r="S144" i="2"/>
  <c r="G144" i="2"/>
  <c r="S143" i="2"/>
  <c r="G143" i="2"/>
  <c r="S142" i="2"/>
  <c r="G142" i="2"/>
  <c r="S141" i="2"/>
  <c r="G141" i="2"/>
  <c r="S140" i="2"/>
  <c r="G140" i="2"/>
  <c r="S139" i="2"/>
  <c r="G139" i="2"/>
  <c r="S138" i="2"/>
  <c r="G138" i="2"/>
  <c r="S137" i="2"/>
  <c r="G137" i="2"/>
  <c r="S136" i="2"/>
  <c r="G136" i="2"/>
  <c r="S135" i="2"/>
  <c r="G135" i="2"/>
  <c r="S134" i="2"/>
  <c r="G134" i="2"/>
  <c r="S133" i="2"/>
  <c r="G133" i="2"/>
  <c r="S132" i="2"/>
  <c r="G132" i="2"/>
  <c r="S131" i="2"/>
  <c r="G131" i="2"/>
  <c r="S130" i="2"/>
  <c r="G130" i="2"/>
  <c r="S129" i="2"/>
  <c r="G129" i="2"/>
  <c r="S128" i="2"/>
  <c r="G128" i="2"/>
  <c r="S127" i="2"/>
  <c r="G127" i="2"/>
  <c r="S126" i="2"/>
  <c r="G126" i="2"/>
  <c r="S125" i="2"/>
  <c r="G125" i="2"/>
  <c r="S124" i="2"/>
  <c r="G124" i="2"/>
  <c r="S123" i="2"/>
  <c r="G123" i="2"/>
  <c r="S122" i="2"/>
  <c r="G122" i="2"/>
  <c r="S121" i="2"/>
  <c r="G121" i="2"/>
  <c r="S120" i="2"/>
  <c r="G120" i="2"/>
  <c r="S119" i="2"/>
  <c r="G119" i="2"/>
  <c r="S118" i="2"/>
  <c r="G118" i="2"/>
  <c r="S117" i="2"/>
  <c r="G117" i="2"/>
  <c r="S116" i="2"/>
  <c r="G116" i="2"/>
  <c r="S115" i="2"/>
  <c r="G115" i="2"/>
  <c r="S114" i="2"/>
  <c r="G114" i="2"/>
  <c r="S113" i="2"/>
  <c r="G113" i="2"/>
  <c r="S112" i="2"/>
  <c r="G112" i="2"/>
  <c r="S111" i="2"/>
  <c r="G111" i="2"/>
  <c r="S110" i="2"/>
  <c r="G110" i="2"/>
  <c r="S109" i="2"/>
  <c r="G109" i="2"/>
  <c r="S108" i="2"/>
  <c r="G108" i="2"/>
  <c r="S107" i="2"/>
  <c r="G107" i="2"/>
  <c r="S106" i="2"/>
  <c r="G106" i="2"/>
  <c r="S105" i="2"/>
  <c r="G105" i="2"/>
  <c r="S104" i="2"/>
  <c r="G104" i="2"/>
  <c r="S103" i="2"/>
  <c r="G103" i="2"/>
  <c r="S102" i="2"/>
  <c r="G102" i="2"/>
  <c r="S101" i="2"/>
  <c r="G101" i="2"/>
  <c r="S100" i="2"/>
  <c r="G100" i="2"/>
  <c r="S99" i="2"/>
  <c r="G99" i="2"/>
  <c r="S98" i="2"/>
  <c r="G98" i="2"/>
  <c r="S97" i="2"/>
  <c r="G97" i="2"/>
  <c r="S96" i="2"/>
  <c r="G96" i="2"/>
  <c r="S95" i="2"/>
  <c r="G95" i="2"/>
  <c r="S94" i="2"/>
  <c r="G94" i="2"/>
  <c r="S93" i="2"/>
  <c r="G93" i="2"/>
  <c r="S92" i="2"/>
  <c r="G92" i="2"/>
  <c r="S91" i="2"/>
  <c r="G91" i="2"/>
  <c r="S90" i="2"/>
  <c r="G90" i="2"/>
  <c r="S89" i="2"/>
  <c r="G89" i="2"/>
  <c r="S88" i="2"/>
  <c r="G88" i="2"/>
  <c r="S87" i="2"/>
  <c r="R87" i="2"/>
  <c r="R88" i="2" s="1"/>
  <c r="R89" i="2" s="1"/>
  <c r="R90" i="2" s="1"/>
  <c r="R91" i="2" s="1"/>
  <c r="R92" i="2" s="1"/>
  <c r="R93" i="2" s="1"/>
  <c r="R94" i="2" s="1"/>
  <c r="R95" i="2" s="1"/>
  <c r="R96" i="2" s="1"/>
  <c r="R97" i="2" s="1"/>
  <c r="R98" i="2" s="1"/>
  <c r="R99" i="2" s="1"/>
  <c r="R100" i="2" s="1"/>
  <c r="R101" i="2" s="1"/>
  <c r="R102" i="2" s="1"/>
  <c r="R103" i="2" s="1"/>
  <c r="R104" i="2" s="1"/>
  <c r="R105" i="2" s="1"/>
  <c r="R106" i="2" s="1"/>
  <c r="R107" i="2" s="1"/>
  <c r="R108" i="2" s="1"/>
  <c r="R109" i="2" s="1"/>
  <c r="R110" i="2" s="1"/>
  <c r="R111" i="2" s="1"/>
  <c r="R112" i="2" s="1"/>
  <c r="R113" i="2" s="1"/>
  <c r="R114" i="2" s="1"/>
  <c r="R115" i="2" s="1"/>
  <c r="R116" i="2" s="1"/>
  <c r="R117" i="2" s="1"/>
  <c r="R118" i="2" s="1"/>
  <c r="R119" i="2" s="1"/>
  <c r="R120" i="2" s="1"/>
  <c r="R121" i="2" s="1"/>
  <c r="R122" i="2" s="1"/>
  <c r="R123" i="2" s="1"/>
  <c r="R124" i="2" s="1"/>
  <c r="R125" i="2" s="1"/>
  <c r="R126" i="2" s="1"/>
  <c r="R127" i="2" s="1"/>
  <c r="R128" i="2" s="1"/>
  <c r="R129" i="2" s="1"/>
  <c r="R130" i="2" s="1"/>
  <c r="R131" i="2" s="1"/>
  <c r="R132" i="2" s="1"/>
  <c r="R133" i="2" s="1"/>
  <c r="R134" i="2" s="1"/>
  <c r="R135" i="2" s="1"/>
  <c r="R136" i="2" s="1"/>
  <c r="R137" i="2" s="1"/>
  <c r="R138" i="2" s="1"/>
  <c r="R139" i="2" s="1"/>
  <c r="R140" i="2" s="1"/>
  <c r="R141" i="2" s="1"/>
  <c r="R142" i="2" s="1"/>
  <c r="R143" i="2" s="1"/>
  <c r="R144" i="2" s="1"/>
  <c r="R145" i="2" s="1"/>
  <c r="R146" i="2" s="1"/>
  <c r="R147" i="2" s="1"/>
  <c r="R148" i="2" s="1"/>
  <c r="R149" i="2" s="1"/>
  <c r="R150" i="2" s="1"/>
  <c r="R151" i="2" s="1"/>
  <c r="R152" i="2" s="1"/>
  <c r="R153" i="2" s="1"/>
  <c r="R154" i="2" s="1"/>
  <c r="R155" i="2" s="1"/>
  <c r="R156" i="2" s="1"/>
  <c r="R157" i="2" s="1"/>
  <c r="R158" i="2" s="1"/>
  <c r="R159" i="2" s="1"/>
  <c r="R160" i="2" s="1"/>
  <c r="R161" i="2" s="1"/>
  <c r="R162" i="2" s="1"/>
  <c r="R163" i="2" s="1"/>
  <c r="R164" i="2" s="1"/>
  <c r="R165" i="2" s="1"/>
  <c r="R166" i="2" s="1"/>
  <c r="R167" i="2" s="1"/>
  <c r="R168" i="2" s="1"/>
  <c r="R169" i="2" s="1"/>
  <c r="R170" i="2" s="1"/>
  <c r="R171" i="2" s="1"/>
  <c r="R172" i="2" s="1"/>
  <c r="R173" i="2" s="1"/>
  <c r="R174" i="2" s="1"/>
  <c r="R175" i="2" s="1"/>
  <c r="R176" i="2" s="1"/>
  <c r="R177" i="2" s="1"/>
  <c r="R178" i="2" s="1"/>
  <c r="R179" i="2" s="1"/>
  <c r="R180" i="2" s="1"/>
  <c r="R181" i="2" s="1"/>
  <c r="R182" i="2" s="1"/>
  <c r="R183" i="2" s="1"/>
  <c r="R184" i="2" s="1"/>
  <c r="G87" i="2"/>
  <c r="S86" i="2"/>
  <c r="R86" i="2"/>
  <c r="G86" i="2"/>
  <c r="S85" i="2"/>
  <c r="R85" i="2"/>
  <c r="G85" i="2"/>
  <c r="S84" i="2"/>
  <c r="G84" i="2"/>
  <c r="S83" i="2"/>
  <c r="G83" i="2"/>
  <c r="S82" i="2"/>
  <c r="G82" i="2"/>
  <c r="S81" i="2"/>
  <c r="G81" i="2"/>
  <c r="S80" i="2"/>
  <c r="G80" i="2"/>
  <c r="S79" i="2"/>
  <c r="G79" i="2"/>
  <c r="S78" i="2"/>
  <c r="G78" i="2"/>
  <c r="S77" i="2"/>
  <c r="G77" i="2"/>
  <c r="S76" i="2"/>
  <c r="G76" i="2"/>
  <c r="S75" i="2"/>
  <c r="G75" i="2"/>
  <c r="S74" i="2"/>
  <c r="G74" i="2"/>
  <c r="S73" i="2"/>
  <c r="G73" i="2"/>
  <c r="S72" i="2"/>
  <c r="G72" i="2"/>
  <c r="S71" i="2"/>
  <c r="G71" i="2"/>
  <c r="S70" i="2"/>
  <c r="G70" i="2"/>
  <c r="S69" i="2"/>
  <c r="G69" i="2"/>
  <c r="S68" i="2"/>
  <c r="G68" i="2"/>
  <c r="S67" i="2"/>
  <c r="G67" i="2"/>
  <c r="S66" i="2"/>
  <c r="G66" i="2"/>
  <c r="S65" i="2"/>
  <c r="G65" i="2"/>
  <c r="S64" i="2"/>
  <c r="G64" i="2"/>
  <c r="S63" i="2"/>
  <c r="G63" i="2"/>
  <c r="S62" i="2"/>
  <c r="G62" i="2"/>
  <c r="S61" i="2"/>
  <c r="G61" i="2"/>
  <c r="S60" i="2"/>
  <c r="G60" i="2"/>
  <c r="S59" i="2"/>
  <c r="S58" i="2"/>
  <c r="S57" i="2"/>
  <c r="S56" i="2"/>
  <c r="S55" i="2"/>
  <c r="S54" i="2"/>
  <c r="S53" i="2"/>
  <c r="S52" i="2"/>
  <c r="S51" i="2"/>
  <c r="S50" i="2"/>
  <c r="S49" i="2"/>
  <c r="S48" i="2"/>
  <c r="S47" i="2"/>
  <c r="S46" i="2"/>
  <c r="S45" i="2"/>
  <c r="S44" i="2"/>
  <c r="S43" i="2"/>
  <c r="S42" i="2"/>
  <c r="S41" i="2"/>
  <c r="S40" i="2"/>
  <c r="S39" i="2"/>
  <c r="C39" i="2"/>
  <c r="S38" i="2"/>
  <c r="C38" i="2"/>
  <c r="E38" i="2" s="1"/>
  <c r="F38" i="2" s="1"/>
  <c r="S37" i="2"/>
  <c r="E37" i="2"/>
  <c r="F37" i="2" s="1"/>
  <c r="C37" i="2"/>
  <c r="S36" i="2"/>
  <c r="E36" i="2"/>
  <c r="F36" i="2" s="1"/>
  <c r="C36" i="2"/>
  <c r="S35" i="2"/>
  <c r="F35" i="2"/>
  <c r="E35" i="2"/>
  <c r="S34" i="2"/>
  <c r="P34" i="2"/>
  <c r="S33" i="2"/>
  <c r="P33" i="2"/>
  <c r="S32" i="2"/>
  <c r="P32" i="2"/>
  <c r="S31" i="2"/>
  <c r="P31" i="2"/>
  <c r="G31" i="2"/>
  <c r="G32" i="2" s="1"/>
  <c r="G33" i="2" s="1"/>
  <c r="G34" i="2" s="1"/>
  <c r="G35" i="2" s="1"/>
  <c r="S30" i="2"/>
  <c r="P30" i="2"/>
  <c r="D30" i="2"/>
  <c r="S29" i="2"/>
  <c r="P29" i="2"/>
  <c r="S28" i="2"/>
  <c r="P28" i="2"/>
  <c r="S27" i="2"/>
  <c r="P27" i="2"/>
  <c r="S26" i="2"/>
  <c r="P26" i="2"/>
  <c r="S25" i="2"/>
  <c r="P25" i="2"/>
  <c r="S24" i="2"/>
  <c r="P24" i="2"/>
  <c r="S23" i="2"/>
  <c r="P23" i="2"/>
  <c r="S22" i="2"/>
  <c r="P22" i="2"/>
  <c r="S21" i="2"/>
  <c r="P21" i="2"/>
  <c r="G21" i="2"/>
  <c r="G22" i="2" s="1"/>
  <c r="G23" i="2" s="1"/>
  <c r="G24" i="2" s="1"/>
  <c r="G25" i="2" s="1"/>
  <c r="G26" i="2" s="1"/>
  <c r="G27" i="2" s="1"/>
  <c r="G28" i="2" s="1"/>
  <c r="G29" i="2" s="1"/>
  <c r="G30" i="2" s="1"/>
  <c r="S20" i="2"/>
  <c r="P20" i="2"/>
  <c r="S19" i="2"/>
  <c r="P19" i="2"/>
  <c r="S18" i="2"/>
  <c r="P18" i="2"/>
  <c r="S17" i="2"/>
  <c r="P17" i="2"/>
  <c r="S16" i="2"/>
  <c r="P16" i="2"/>
  <c r="S15" i="2"/>
  <c r="P15" i="2"/>
  <c r="S14" i="2"/>
  <c r="P14" i="2"/>
  <c r="S13" i="2"/>
  <c r="P13" i="2"/>
  <c r="S12" i="2"/>
  <c r="P12" i="2"/>
  <c r="S11" i="2"/>
  <c r="P11" i="2"/>
  <c r="G11" i="2"/>
  <c r="G12" i="2" s="1"/>
  <c r="G13" i="2" s="1"/>
  <c r="G14" i="2" s="1"/>
  <c r="G15" i="2" s="1"/>
  <c r="G16" i="2" s="1"/>
  <c r="G17" i="2" s="1"/>
  <c r="G18" i="2" s="1"/>
  <c r="G19" i="2" s="1"/>
  <c r="C11" i="2"/>
  <c r="C12" i="2" s="1"/>
  <c r="C13" i="2" s="1"/>
  <c r="C14" i="2" s="1"/>
  <c r="C15" i="2" s="1"/>
  <c r="C16" i="2" s="1"/>
  <c r="C17" i="2" s="1"/>
  <c r="C18" i="2" s="1"/>
  <c r="C19" i="2" s="1"/>
  <c r="C20" i="2" s="1"/>
  <c r="C21" i="2" s="1"/>
  <c r="C22" i="2" s="1"/>
  <c r="C23" i="2" s="1"/>
  <c r="C24" i="2" s="1"/>
  <c r="C25" i="2" s="1"/>
  <c r="C26" i="2" s="1"/>
  <c r="C27" i="2" s="1"/>
  <c r="C28" i="2" s="1"/>
  <c r="C29" i="2" s="1"/>
  <c r="S10" i="2"/>
  <c r="P10" i="2"/>
  <c r="C10" i="2"/>
  <c r="S9" i="2"/>
  <c r="P9" i="2"/>
  <c r="K9" i="2"/>
  <c r="D9" i="2"/>
  <c r="E9" i="2" s="1"/>
  <c r="C9" i="2"/>
  <c r="S184" i="1"/>
  <c r="P184" i="1"/>
  <c r="G184" i="1"/>
  <c r="S183" i="1"/>
  <c r="P183" i="1"/>
  <c r="G183" i="1"/>
  <c r="S182" i="1"/>
  <c r="P182" i="1"/>
  <c r="G182" i="1"/>
  <c r="S181" i="1"/>
  <c r="P181" i="1"/>
  <c r="G181" i="1"/>
  <c r="S180" i="1"/>
  <c r="P180" i="1"/>
  <c r="G180" i="1"/>
  <c r="S179" i="1"/>
  <c r="P179" i="1"/>
  <c r="G179" i="1"/>
  <c r="S178" i="1"/>
  <c r="P178" i="1"/>
  <c r="G178" i="1"/>
  <c r="S177" i="1"/>
  <c r="P177" i="1"/>
  <c r="G177" i="1"/>
  <c r="S176" i="1"/>
  <c r="P176" i="1"/>
  <c r="G176" i="1"/>
  <c r="S175" i="1"/>
  <c r="P175" i="1"/>
  <c r="G175" i="1"/>
  <c r="S174" i="1"/>
  <c r="P174" i="1"/>
  <c r="G174" i="1"/>
  <c r="S173" i="1"/>
  <c r="P173" i="1"/>
  <c r="G173" i="1"/>
  <c r="S172" i="1"/>
  <c r="P172" i="1"/>
  <c r="G172" i="1"/>
  <c r="S171" i="1"/>
  <c r="P171" i="1"/>
  <c r="G171" i="1"/>
  <c r="S170" i="1"/>
  <c r="P170" i="1"/>
  <c r="G170" i="1"/>
  <c r="S169" i="1"/>
  <c r="P169" i="1"/>
  <c r="G169" i="1"/>
  <c r="S168" i="1"/>
  <c r="P168" i="1"/>
  <c r="G168" i="1"/>
  <c r="S167" i="1"/>
  <c r="P167" i="1"/>
  <c r="G167" i="1"/>
  <c r="S166" i="1"/>
  <c r="P166" i="1"/>
  <c r="G166" i="1"/>
  <c r="S165" i="1"/>
  <c r="P165" i="1"/>
  <c r="G165" i="1"/>
  <c r="S164" i="1"/>
  <c r="P164" i="1"/>
  <c r="G164" i="1"/>
  <c r="S163" i="1"/>
  <c r="P163" i="1"/>
  <c r="G163" i="1"/>
  <c r="S162" i="1"/>
  <c r="P162" i="1"/>
  <c r="G162" i="1"/>
  <c r="S161" i="1"/>
  <c r="P161" i="1"/>
  <c r="G161" i="1"/>
  <c r="S160" i="1"/>
  <c r="P160" i="1"/>
  <c r="G160" i="1"/>
  <c r="S159" i="1"/>
  <c r="P159" i="1"/>
  <c r="G159" i="1"/>
  <c r="S158" i="1"/>
  <c r="P158" i="1"/>
  <c r="G158" i="1"/>
  <c r="S157" i="1"/>
  <c r="P157" i="1"/>
  <c r="G157" i="1"/>
  <c r="S156" i="1"/>
  <c r="P156" i="1"/>
  <c r="G156" i="1"/>
  <c r="S155" i="1"/>
  <c r="P155" i="1"/>
  <c r="G155" i="1"/>
  <c r="S154" i="1"/>
  <c r="P154" i="1"/>
  <c r="G154" i="1"/>
  <c r="S153" i="1"/>
  <c r="P153" i="1"/>
  <c r="G153" i="1"/>
  <c r="S152" i="1"/>
  <c r="P152" i="1"/>
  <c r="G152" i="1"/>
  <c r="S151" i="1"/>
  <c r="P151" i="1"/>
  <c r="G151" i="1"/>
  <c r="S150" i="1"/>
  <c r="P150" i="1"/>
  <c r="G150" i="1"/>
  <c r="S149" i="1"/>
  <c r="P149" i="1"/>
  <c r="G149" i="1"/>
  <c r="S148" i="1"/>
  <c r="P148" i="1"/>
  <c r="G148" i="1"/>
  <c r="S147" i="1"/>
  <c r="P147" i="1"/>
  <c r="G147" i="1"/>
  <c r="S146" i="1"/>
  <c r="P146" i="1"/>
  <c r="G146" i="1"/>
  <c r="S145" i="1"/>
  <c r="P145" i="1"/>
  <c r="G145" i="1"/>
  <c r="S144" i="1"/>
  <c r="P144" i="1"/>
  <c r="G144" i="1"/>
  <c r="S143" i="1"/>
  <c r="P143" i="1"/>
  <c r="G143" i="1"/>
  <c r="S142" i="1"/>
  <c r="P142" i="1"/>
  <c r="G142" i="1"/>
  <c r="S141" i="1"/>
  <c r="P141" i="1"/>
  <c r="G141" i="1"/>
  <c r="S140" i="1"/>
  <c r="P140" i="1"/>
  <c r="G140" i="1"/>
  <c r="S139" i="1"/>
  <c r="P139" i="1"/>
  <c r="G139" i="1"/>
  <c r="S138" i="1"/>
  <c r="P138" i="1"/>
  <c r="G138" i="1"/>
  <c r="S137" i="1"/>
  <c r="P137" i="1"/>
  <c r="G137" i="1"/>
  <c r="S136" i="1"/>
  <c r="P136" i="1"/>
  <c r="G136" i="1"/>
  <c r="S135" i="1"/>
  <c r="P135" i="1"/>
  <c r="G135" i="1"/>
  <c r="S134" i="1"/>
  <c r="P134" i="1"/>
  <c r="G134" i="1"/>
  <c r="S133" i="1"/>
  <c r="P133" i="1"/>
  <c r="G133" i="1"/>
  <c r="S132" i="1"/>
  <c r="P132" i="1"/>
  <c r="G132" i="1"/>
  <c r="S131" i="1"/>
  <c r="P131" i="1"/>
  <c r="G131" i="1"/>
  <c r="S130" i="1"/>
  <c r="P130" i="1"/>
  <c r="G130" i="1"/>
  <c r="S129" i="1"/>
  <c r="P129" i="1"/>
  <c r="G129" i="1"/>
  <c r="S128" i="1"/>
  <c r="P128" i="1"/>
  <c r="G128" i="1"/>
  <c r="S127" i="1"/>
  <c r="P127" i="1"/>
  <c r="G127" i="1"/>
  <c r="S126" i="1"/>
  <c r="P126" i="1"/>
  <c r="G126" i="1"/>
  <c r="S125" i="1"/>
  <c r="P125" i="1"/>
  <c r="G125" i="1"/>
  <c r="S124" i="1"/>
  <c r="P124" i="1"/>
  <c r="G124" i="1"/>
  <c r="S123" i="1"/>
  <c r="P123" i="1"/>
  <c r="G123" i="1"/>
  <c r="S122" i="1"/>
  <c r="P122" i="1"/>
  <c r="G122" i="1"/>
  <c r="S121" i="1"/>
  <c r="P121" i="1"/>
  <c r="G121" i="1"/>
  <c r="S120" i="1"/>
  <c r="P120" i="1"/>
  <c r="G120" i="1"/>
  <c r="S119" i="1"/>
  <c r="P119" i="1"/>
  <c r="G119" i="1"/>
  <c r="S118" i="1"/>
  <c r="P118" i="1"/>
  <c r="G118" i="1"/>
  <c r="S117" i="1"/>
  <c r="P117" i="1"/>
  <c r="G117" i="1"/>
  <c r="S116" i="1"/>
  <c r="P116" i="1"/>
  <c r="G116" i="1"/>
  <c r="S115" i="1"/>
  <c r="P115" i="1"/>
  <c r="G115" i="1"/>
  <c r="S114" i="1"/>
  <c r="P114" i="1"/>
  <c r="G114" i="1"/>
  <c r="S113" i="1"/>
  <c r="P113" i="1"/>
  <c r="G113" i="1"/>
  <c r="S112" i="1"/>
  <c r="P112" i="1"/>
  <c r="G112" i="1"/>
  <c r="S111" i="1"/>
  <c r="P111" i="1"/>
  <c r="G111" i="1"/>
  <c r="S110" i="1"/>
  <c r="P110" i="1"/>
  <c r="G110" i="1"/>
  <c r="S109" i="1"/>
  <c r="P109" i="1"/>
  <c r="G109" i="1"/>
  <c r="S108" i="1"/>
  <c r="P108" i="1"/>
  <c r="G108" i="1"/>
  <c r="S107" i="1"/>
  <c r="P107" i="1"/>
  <c r="G107" i="1"/>
  <c r="S106" i="1"/>
  <c r="P106" i="1"/>
  <c r="G106" i="1"/>
  <c r="S105" i="1"/>
  <c r="P105" i="1"/>
  <c r="G105" i="1"/>
  <c r="S104" i="1"/>
  <c r="P104" i="1"/>
  <c r="G104" i="1"/>
  <c r="S103" i="1"/>
  <c r="P103" i="1"/>
  <c r="G103" i="1"/>
  <c r="S102" i="1"/>
  <c r="P102" i="1"/>
  <c r="G102" i="1"/>
  <c r="S101" i="1"/>
  <c r="P101" i="1"/>
  <c r="G101" i="1"/>
  <c r="S100" i="1"/>
  <c r="P100" i="1"/>
  <c r="G100" i="1"/>
  <c r="S99" i="1"/>
  <c r="P99" i="1"/>
  <c r="G99" i="1"/>
  <c r="S98" i="1"/>
  <c r="P98" i="1"/>
  <c r="G98" i="1"/>
  <c r="S97" i="1"/>
  <c r="P97" i="1"/>
  <c r="G97" i="1"/>
  <c r="S96" i="1"/>
  <c r="P96" i="1"/>
  <c r="G96" i="1"/>
  <c r="S95" i="1"/>
  <c r="P95" i="1"/>
  <c r="G95" i="1"/>
  <c r="S94" i="1"/>
  <c r="P94" i="1"/>
  <c r="G94" i="1"/>
  <c r="S93" i="1"/>
  <c r="P93" i="1"/>
  <c r="G93" i="1"/>
  <c r="S92" i="1"/>
  <c r="P92" i="1"/>
  <c r="G92" i="1"/>
  <c r="S91" i="1"/>
  <c r="P91" i="1"/>
  <c r="G91" i="1"/>
  <c r="S90" i="1"/>
  <c r="P90" i="1"/>
  <c r="G90" i="1"/>
  <c r="S89" i="1"/>
  <c r="P89" i="1"/>
  <c r="G89" i="1"/>
  <c r="S88" i="1"/>
  <c r="P88" i="1"/>
  <c r="G88" i="1"/>
  <c r="S87" i="1"/>
  <c r="P87" i="1"/>
  <c r="G87" i="1"/>
  <c r="S86" i="1"/>
  <c r="P86" i="1"/>
  <c r="G86" i="1"/>
  <c r="S85" i="1"/>
  <c r="R85" i="1"/>
  <c r="R86" i="1" s="1"/>
  <c r="R87" i="1" s="1"/>
  <c r="R88" i="1" s="1"/>
  <c r="R89" i="1" s="1"/>
  <c r="R90" i="1" s="1"/>
  <c r="R91" i="1" s="1"/>
  <c r="R92" i="1" s="1"/>
  <c r="R93" i="1" s="1"/>
  <c r="R94" i="1" s="1"/>
  <c r="R95" i="1" s="1"/>
  <c r="R96" i="1" s="1"/>
  <c r="R97" i="1" s="1"/>
  <c r="R98" i="1" s="1"/>
  <c r="R99" i="1" s="1"/>
  <c r="R100" i="1" s="1"/>
  <c r="R101" i="1" s="1"/>
  <c r="R102" i="1" s="1"/>
  <c r="R103" i="1" s="1"/>
  <c r="R104" i="1" s="1"/>
  <c r="R105" i="1" s="1"/>
  <c r="R106" i="1" s="1"/>
  <c r="R107" i="1" s="1"/>
  <c r="R108" i="1" s="1"/>
  <c r="R109" i="1" s="1"/>
  <c r="R110" i="1" s="1"/>
  <c r="R111" i="1" s="1"/>
  <c r="R112" i="1" s="1"/>
  <c r="R113" i="1" s="1"/>
  <c r="R114" i="1" s="1"/>
  <c r="R115" i="1" s="1"/>
  <c r="R116" i="1" s="1"/>
  <c r="R117" i="1" s="1"/>
  <c r="R118" i="1" s="1"/>
  <c r="R119" i="1" s="1"/>
  <c r="R120" i="1" s="1"/>
  <c r="R121" i="1" s="1"/>
  <c r="R122" i="1" s="1"/>
  <c r="R123" i="1" s="1"/>
  <c r="R124" i="1" s="1"/>
  <c r="R125" i="1" s="1"/>
  <c r="R126" i="1" s="1"/>
  <c r="R127" i="1" s="1"/>
  <c r="R128" i="1" s="1"/>
  <c r="R129" i="1" s="1"/>
  <c r="R130" i="1" s="1"/>
  <c r="R131" i="1" s="1"/>
  <c r="R132" i="1" s="1"/>
  <c r="R133" i="1" s="1"/>
  <c r="R134" i="1" s="1"/>
  <c r="R135" i="1" s="1"/>
  <c r="R136" i="1" s="1"/>
  <c r="R137" i="1" s="1"/>
  <c r="R138" i="1" s="1"/>
  <c r="R139" i="1" s="1"/>
  <c r="R140" i="1" s="1"/>
  <c r="R141" i="1" s="1"/>
  <c r="R142" i="1" s="1"/>
  <c r="R143" i="1" s="1"/>
  <c r="R144" i="1" s="1"/>
  <c r="R145" i="1" s="1"/>
  <c r="R146" i="1" s="1"/>
  <c r="R147" i="1" s="1"/>
  <c r="R148" i="1" s="1"/>
  <c r="R149" i="1" s="1"/>
  <c r="R150" i="1" s="1"/>
  <c r="R151" i="1" s="1"/>
  <c r="R152" i="1" s="1"/>
  <c r="R153" i="1" s="1"/>
  <c r="R154" i="1" s="1"/>
  <c r="R155" i="1" s="1"/>
  <c r="R156" i="1" s="1"/>
  <c r="R157" i="1" s="1"/>
  <c r="R158" i="1" s="1"/>
  <c r="R159" i="1" s="1"/>
  <c r="R160" i="1" s="1"/>
  <c r="R161" i="1" s="1"/>
  <c r="R162" i="1" s="1"/>
  <c r="R163" i="1" s="1"/>
  <c r="R164" i="1" s="1"/>
  <c r="R165" i="1" s="1"/>
  <c r="R166" i="1" s="1"/>
  <c r="R167" i="1" s="1"/>
  <c r="R168" i="1" s="1"/>
  <c r="R169" i="1" s="1"/>
  <c r="R170" i="1" s="1"/>
  <c r="R171" i="1" s="1"/>
  <c r="R172" i="1" s="1"/>
  <c r="R173" i="1" s="1"/>
  <c r="R174" i="1" s="1"/>
  <c r="R175" i="1" s="1"/>
  <c r="R176" i="1" s="1"/>
  <c r="R177" i="1" s="1"/>
  <c r="R178" i="1" s="1"/>
  <c r="R179" i="1" s="1"/>
  <c r="R180" i="1" s="1"/>
  <c r="R181" i="1" s="1"/>
  <c r="R182" i="1" s="1"/>
  <c r="R183" i="1" s="1"/>
  <c r="R184" i="1" s="1"/>
  <c r="P85" i="1"/>
  <c r="G85" i="1"/>
  <c r="S84" i="1"/>
  <c r="P84" i="1"/>
  <c r="G84" i="1"/>
  <c r="S83" i="1"/>
  <c r="P83" i="1"/>
  <c r="G83" i="1"/>
  <c r="S82" i="1"/>
  <c r="P82" i="1"/>
  <c r="G82" i="1"/>
  <c r="S81" i="1"/>
  <c r="P81" i="1"/>
  <c r="G81" i="1"/>
  <c r="S80" i="1"/>
  <c r="P80" i="1"/>
  <c r="G80" i="1"/>
  <c r="S79" i="1"/>
  <c r="P79" i="1"/>
  <c r="G79" i="1"/>
  <c r="S78" i="1"/>
  <c r="P78" i="1"/>
  <c r="G78" i="1"/>
  <c r="S77" i="1"/>
  <c r="P77" i="1"/>
  <c r="G77" i="1"/>
  <c r="S76" i="1"/>
  <c r="P76" i="1"/>
  <c r="G76" i="1"/>
  <c r="S75" i="1"/>
  <c r="P75" i="1"/>
  <c r="G75" i="1"/>
  <c r="S74" i="1"/>
  <c r="P74" i="1"/>
  <c r="G74" i="1"/>
  <c r="S73" i="1"/>
  <c r="P73" i="1"/>
  <c r="G73" i="1"/>
  <c r="S72" i="1"/>
  <c r="P72" i="1"/>
  <c r="G72" i="1"/>
  <c r="S71" i="1"/>
  <c r="P71" i="1"/>
  <c r="G71" i="1"/>
  <c r="S70" i="1"/>
  <c r="P70" i="1"/>
  <c r="G70" i="1"/>
  <c r="S69" i="1"/>
  <c r="P69" i="1"/>
  <c r="G69" i="1"/>
  <c r="S68" i="1"/>
  <c r="P68" i="1"/>
  <c r="G68" i="1"/>
  <c r="S67" i="1"/>
  <c r="P67" i="1"/>
  <c r="G67" i="1"/>
  <c r="S66" i="1"/>
  <c r="P66" i="1"/>
  <c r="G66" i="1"/>
  <c r="S65" i="1"/>
  <c r="P65" i="1"/>
  <c r="G65" i="1"/>
  <c r="S64" i="1"/>
  <c r="P64" i="1"/>
  <c r="G64" i="1"/>
  <c r="S63" i="1"/>
  <c r="P63" i="1"/>
  <c r="G63" i="1"/>
  <c r="S62" i="1"/>
  <c r="P62" i="1"/>
  <c r="G62" i="1"/>
  <c r="S61" i="1"/>
  <c r="P61" i="1"/>
  <c r="G61" i="1"/>
  <c r="S60" i="1"/>
  <c r="P60" i="1"/>
  <c r="G60" i="1"/>
  <c r="S59" i="1"/>
  <c r="P59" i="1"/>
  <c r="S58" i="1"/>
  <c r="P58" i="1"/>
  <c r="S57" i="1"/>
  <c r="P57" i="1"/>
  <c r="S56" i="1"/>
  <c r="P56" i="1"/>
  <c r="S55" i="1"/>
  <c r="P55" i="1"/>
  <c r="S54" i="1"/>
  <c r="P54" i="1"/>
  <c r="S53" i="1"/>
  <c r="P53" i="1"/>
  <c r="S52" i="1"/>
  <c r="P52" i="1"/>
  <c r="S51" i="1"/>
  <c r="P51" i="1"/>
  <c r="S50" i="1"/>
  <c r="P50" i="1"/>
  <c r="S49" i="1"/>
  <c r="P49" i="1"/>
  <c r="S48" i="1"/>
  <c r="P48" i="1"/>
  <c r="S47" i="1"/>
  <c r="P47" i="1"/>
  <c r="S46" i="1"/>
  <c r="P46" i="1"/>
  <c r="S45" i="1"/>
  <c r="P45" i="1"/>
  <c r="S44" i="1"/>
  <c r="P44" i="1"/>
  <c r="S43" i="1"/>
  <c r="P43" i="1"/>
  <c r="S42" i="1"/>
  <c r="P42" i="1"/>
  <c r="S41" i="1"/>
  <c r="P41" i="1"/>
  <c r="S40" i="1"/>
  <c r="P40" i="1"/>
  <c r="S39" i="1"/>
  <c r="P39" i="1"/>
  <c r="S38" i="1"/>
  <c r="P38" i="1"/>
  <c r="S37" i="1"/>
  <c r="P37" i="1"/>
  <c r="S36" i="1"/>
  <c r="P36" i="1"/>
  <c r="S35" i="1"/>
  <c r="P35" i="1"/>
  <c r="S34" i="1"/>
  <c r="P34" i="1"/>
  <c r="S33" i="1"/>
  <c r="P33" i="1"/>
  <c r="S32" i="1"/>
  <c r="P32" i="1"/>
  <c r="S31" i="1"/>
  <c r="P31" i="1"/>
  <c r="S30" i="1"/>
  <c r="P30" i="1"/>
  <c r="D30" i="1"/>
  <c r="S29" i="1"/>
  <c r="P29" i="1"/>
  <c r="S28" i="1"/>
  <c r="P28" i="1"/>
  <c r="S27" i="1"/>
  <c r="P27" i="1"/>
  <c r="S26" i="1"/>
  <c r="P26" i="1"/>
  <c r="S25" i="1"/>
  <c r="P25" i="1"/>
  <c r="S24" i="1"/>
  <c r="P24" i="1"/>
  <c r="S23" i="1"/>
  <c r="P23" i="1"/>
  <c r="S22" i="1"/>
  <c r="P22" i="1"/>
  <c r="S21" i="1"/>
  <c r="P21" i="1"/>
  <c r="S20" i="1"/>
  <c r="P20" i="1"/>
  <c r="S19" i="1"/>
  <c r="P19" i="1"/>
  <c r="S18" i="1"/>
  <c r="P18" i="1"/>
  <c r="S17" i="1"/>
  <c r="P17" i="1"/>
  <c r="S16" i="1"/>
  <c r="P16" i="1"/>
  <c r="S15" i="1"/>
  <c r="P15" i="1"/>
  <c r="S14" i="1"/>
  <c r="P14" i="1"/>
  <c r="S13" i="1"/>
  <c r="P13" i="1"/>
  <c r="S12" i="1"/>
  <c r="P12" i="1"/>
  <c r="S11" i="1"/>
  <c r="P11" i="1"/>
  <c r="G11" i="1"/>
  <c r="G12" i="1" s="1"/>
  <c r="G13" i="1" s="1"/>
  <c r="G14" i="1" s="1"/>
  <c r="G15" i="1" s="1"/>
  <c r="G16" i="1" s="1"/>
  <c r="G17" i="1" s="1"/>
  <c r="G18" i="1" s="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S10" i="1"/>
  <c r="P10" i="1"/>
  <c r="G10" i="1"/>
  <c r="S9" i="1"/>
  <c r="P9" i="1"/>
  <c r="K9" i="1"/>
  <c r="G9" i="1"/>
  <c r="F9" i="1"/>
  <c r="L9" i="1" s="1"/>
  <c r="M9" i="1" s="1"/>
  <c r="O9" i="1" s="1"/>
  <c r="E9" i="1"/>
  <c r="D9" i="1"/>
  <c r="D10" i="1" s="1"/>
  <c r="C9" i="1"/>
  <c r="C10" i="1" s="1"/>
  <c r="C11" i="1" s="1"/>
  <c r="C12" i="1" s="1"/>
  <c r="C13" i="1" s="1"/>
  <c r="C14" i="1" s="1"/>
  <c r="C15" i="1" s="1"/>
  <c r="C16" i="1" s="1"/>
  <c r="C17" i="1" s="1"/>
  <c r="C18" i="1" s="1"/>
  <c r="C19" i="1" s="1"/>
  <c r="C20" i="1" s="1"/>
  <c r="C21" i="1" s="1"/>
  <c r="C22" i="1" s="1"/>
  <c r="C23" i="1" s="1"/>
  <c r="C24" i="1" s="1"/>
  <c r="C25" i="1" s="1"/>
  <c r="C26" i="1" s="1"/>
  <c r="C27" i="1" s="1"/>
  <c r="C28" i="1" s="1"/>
  <c r="C29" i="1" s="1"/>
  <c r="E29" i="2" l="1"/>
  <c r="F29" i="2" s="1"/>
  <c r="C30" i="2"/>
  <c r="C4" i="8"/>
  <c r="F15" i="5"/>
  <c r="F16" i="5" s="1"/>
  <c r="F17" i="5" s="1"/>
  <c r="F18" i="5" s="1"/>
  <c r="F19" i="5" s="1"/>
  <c r="L36" i="2"/>
  <c r="H36" i="2"/>
  <c r="C30" i="1"/>
  <c r="C31" i="1" s="1"/>
  <c r="E29" i="1"/>
  <c r="F29" i="1" s="1"/>
  <c r="E10" i="1"/>
  <c r="F10" i="1" s="1"/>
  <c r="D11" i="1"/>
  <c r="G36" i="2"/>
  <c r="G37" i="2" s="1"/>
  <c r="L35" i="2"/>
  <c r="Q9" i="1"/>
  <c r="T9" i="1" s="1"/>
  <c r="C10" i="5"/>
  <c r="C11" i="5" s="1"/>
  <c r="C12" i="5" s="1"/>
  <c r="C13" i="5" s="1"/>
  <c r="C14" i="5" s="1"/>
  <c r="C15" i="5" s="1"/>
  <c r="C16" i="5" s="1"/>
  <c r="C17" i="5" s="1"/>
  <c r="C18" i="5" s="1"/>
  <c r="C19" i="5" s="1"/>
  <c r="C20" i="5" s="1"/>
  <c r="C21" i="5" s="1"/>
  <c r="C22" i="5" s="1"/>
  <c r="C23" i="5" s="1"/>
  <c r="C24" i="5" s="1"/>
  <c r="C25" i="5" s="1"/>
  <c r="K196" i="3"/>
  <c r="K199" i="3" s="1"/>
  <c r="H35" i="2"/>
  <c r="C40" i="2"/>
  <c r="E39" i="2"/>
  <c r="F39" i="2" s="1"/>
  <c r="H9" i="1"/>
  <c r="F9" i="2"/>
  <c r="L37" i="2"/>
  <c r="G10" i="5"/>
  <c r="H10" i="5" s="1"/>
  <c r="D11" i="5"/>
  <c r="D10" i="2"/>
  <c r="C10" i="6"/>
  <c r="E9" i="6"/>
  <c r="E9" i="7" s="1"/>
  <c r="U28" i="6"/>
  <c r="U30" i="6"/>
  <c r="U64" i="6"/>
  <c r="U3" i="5"/>
  <c r="U182" i="6"/>
  <c r="U174" i="6"/>
  <c r="U184" i="6"/>
  <c r="U177" i="6"/>
  <c r="U178" i="6"/>
  <c r="U181" i="6"/>
  <c r="U169" i="6"/>
  <c r="U161" i="6"/>
  <c r="U153" i="6"/>
  <c r="U145" i="6"/>
  <c r="U137" i="6"/>
  <c r="U129" i="6"/>
  <c r="U121" i="6"/>
  <c r="U113" i="6"/>
  <c r="U105" i="6"/>
  <c r="U173" i="6"/>
  <c r="U170" i="6"/>
  <c r="U162" i="6"/>
  <c r="U154" i="6"/>
  <c r="U146" i="6"/>
  <c r="U138" i="6"/>
  <c r="U130" i="6"/>
  <c r="U122" i="6"/>
  <c r="U114" i="6"/>
  <c r="U106" i="6"/>
  <c r="U98" i="6"/>
  <c r="U183" i="6"/>
  <c r="U172" i="6"/>
  <c r="U163" i="6"/>
  <c r="U155" i="6"/>
  <c r="U147" i="6"/>
  <c r="U139" i="6"/>
  <c r="U131" i="6"/>
  <c r="U123" i="6"/>
  <c r="U115" i="6"/>
  <c r="U107" i="6"/>
  <c r="U99" i="6"/>
  <c r="U171" i="6"/>
  <c r="U164" i="6"/>
  <c r="U156" i="6"/>
  <c r="U148" i="6"/>
  <c r="U140" i="6"/>
  <c r="U132" i="6"/>
  <c r="U124" i="6"/>
  <c r="U116" i="6"/>
  <c r="U108" i="6"/>
  <c r="U100" i="6"/>
  <c r="U179" i="6"/>
  <c r="U175" i="6"/>
  <c r="U166" i="6"/>
  <c r="U158" i="6"/>
  <c r="U150" i="6"/>
  <c r="U142" i="6"/>
  <c r="U134" i="6"/>
  <c r="U126" i="6"/>
  <c r="U118" i="6"/>
  <c r="U110" i="6"/>
  <c r="U102" i="6"/>
  <c r="U159" i="6"/>
  <c r="U127" i="6"/>
  <c r="U91" i="6"/>
  <c r="U165" i="6"/>
  <c r="U152" i="6"/>
  <c r="U133" i="6"/>
  <c r="U120" i="6"/>
  <c r="U101" i="6"/>
  <c r="U92" i="6"/>
  <c r="U84" i="6"/>
  <c r="U80" i="6"/>
  <c r="U76" i="6"/>
  <c r="U72" i="6"/>
  <c r="U151" i="6"/>
  <c r="U119" i="6"/>
  <c r="U93" i="6"/>
  <c r="U85" i="6"/>
  <c r="U157" i="6"/>
  <c r="U144" i="6"/>
  <c r="U125" i="6"/>
  <c r="U112" i="6"/>
  <c r="U94" i="6"/>
  <c r="U86" i="6"/>
  <c r="U81" i="6"/>
  <c r="U160" i="6"/>
  <c r="U141" i="6"/>
  <c r="U128" i="6"/>
  <c r="U109" i="6"/>
  <c r="U90" i="6"/>
  <c r="U83" i="6"/>
  <c r="U79" i="6"/>
  <c r="U167" i="6"/>
  <c r="U117" i="6"/>
  <c r="U103" i="6"/>
  <c r="U88" i="6"/>
  <c r="U82" i="6"/>
  <c r="U75" i="6"/>
  <c r="U51" i="6"/>
  <c r="U43" i="6"/>
  <c r="U38" i="6"/>
  <c r="U36" i="6"/>
  <c r="U34" i="6"/>
  <c r="U87" i="6"/>
  <c r="U74" i="6"/>
  <c r="U73" i="6"/>
  <c r="U69" i="6"/>
  <c r="U65" i="6"/>
  <c r="U61" i="6"/>
  <c r="U57" i="6"/>
  <c r="U54" i="6"/>
  <c r="U46" i="6"/>
  <c r="U29" i="6"/>
  <c r="U26" i="6"/>
  <c r="U22" i="6"/>
  <c r="U18" i="6"/>
  <c r="U14" i="6"/>
  <c r="U10" i="6"/>
  <c r="U143" i="6"/>
  <c r="U49" i="6"/>
  <c r="U41" i="6"/>
  <c r="U32" i="6"/>
  <c r="U180" i="6"/>
  <c r="U168" i="6"/>
  <c r="U104" i="6"/>
  <c r="U70" i="6"/>
  <c r="U66" i="6"/>
  <c r="U62" i="6"/>
  <c r="U58" i="6"/>
  <c r="U52" i="6"/>
  <c r="U44" i="6"/>
  <c r="U27" i="6"/>
  <c r="U23" i="6"/>
  <c r="U19" i="6"/>
  <c r="U15" i="6"/>
  <c r="U11" i="6"/>
  <c r="U176" i="6"/>
  <c r="U97" i="6"/>
  <c r="U71" i="6"/>
  <c r="U67" i="6"/>
  <c r="U63" i="6"/>
  <c r="U59" i="6"/>
  <c r="U50" i="6"/>
  <c r="U42" i="6"/>
  <c r="U33" i="6"/>
  <c r="U24" i="6"/>
  <c r="U20" i="6"/>
  <c r="U16" i="6"/>
  <c r="U12" i="6"/>
  <c r="U111" i="6"/>
  <c r="U96" i="6"/>
  <c r="U78" i="6"/>
  <c r="U77" i="6"/>
  <c r="D11" i="6"/>
  <c r="G10" i="6"/>
  <c r="H10" i="6" s="1"/>
  <c r="U9" i="6"/>
  <c r="U56" i="6"/>
  <c r="U48" i="6"/>
  <c r="U53" i="6"/>
  <c r="U55" i="6"/>
  <c r="G9" i="6"/>
  <c r="U13" i="6"/>
  <c r="U40" i="6"/>
  <c r="U45" i="6"/>
  <c r="U47" i="6"/>
  <c r="U95" i="6"/>
  <c r="U135" i="6"/>
  <c r="H9" i="5"/>
  <c r="U17" i="6"/>
  <c r="U39" i="6"/>
  <c r="U60" i="6"/>
  <c r="U68" i="6"/>
  <c r="F25" i="7"/>
  <c r="F26" i="7" s="1"/>
  <c r="F27" i="7" s="1"/>
  <c r="F28" i="7" s="1"/>
  <c r="F29" i="7" s="1"/>
  <c r="F30" i="7" s="1"/>
  <c r="F31" i="7" s="1"/>
  <c r="F32" i="7" s="1"/>
  <c r="G24" i="7"/>
  <c r="H24" i="7" s="1"/>
  <c r="C10" i="7"/>
  <c r="C11" i="7" s="1"/>
  <c r="C12" i="7" s="1"/>
  <c r="C13" i="7" s="1"/>
  <c r="C14" i="7" s="1"/>
  <c r="C15" i="7" s="1"/>
  <c r="C16" i="7" s="1"/>
  <c r="C17" i="7" s="1"/>
  <c r="C18" i="7" s="1"/>
  <c r="C19" i="7" s="1"/>
  <c r="C20" i="7" s="1"/>
  <c r="C21" i="7" s="1"/>
  <c r="C22" i="7" s="1"/>
  <c r="C23" i="7" s="1"/>
  <c r="C24" i="7" s="1"/>
  <c r="C25" i="7" s="1"/>
  <c r="G11" i="7"/>
  <c r="H11" i="7" s="1"/>
  <c r="D12" i="7"/>
  <c r="U3" i="7"/>
  <c r="G10" i="7"/>
  <c r="H10" i="7" s="1"/>
  <c r="G9" i="7"/>
  <c r="C13" i="8"/>
  <c r="C8" i="8"/>
  <c r="D13" i="8"/>
  <c r="D8" i="8"/>
  <c r="G10" i="11"/>
  <c r="H10" i="11" s="1"/>
  <c r="D11" i="11"/>
  <c r="B13" i="8"/>
  <c r="B8" i="8"/>
  <c r="B5" i="10"/>
  <c r="C9" i="10" s="1"/>
  <c r="U3" i="10"/>
  <c r="B18" i="8"/>
  <c r="C5" i="8"/>
  <c r="C18" i="8" s="1"/>
  <c r="E6" i="8"/>
  <c r="C12" i="11"/>
  <c r="E11" i="11"/>
  <c r="G9" i="11"/>
  <c r="E9" i="11"/>
  <c r="U14" i="11"/>
  <c r="U50" i="11"/>
  <c r="U182" i="11"/>
  <c r="U183" i="11"/>
  <c r="U184" i="11"/>
  <c r="U177" i="11"/>
  <c r="U169" i="11"/>
  <c r="U161" i="11"/>
  <c r="U153" i="11"/>
  <c r="U145" i="11"/>
  <c r="U137" i="11"/>
  <c r="U178" i="11"/>
  <c r="U170" i="11"/>
  <c r="U162" i="11"/>
  <c r="U154" i="11"/>
  <c r="U146" i="11"/>
  <c r="U138" i="11"/>
  <c r="U179" i="11"/>
  <c r="U171" i="11"/>
  <c r="U163" i="11"/>
  <c r="U155" i="11"/>
  <c r="U147" i="11"/>
  <c r="U139" i="11"/>
  <c r="U131" i="11"/>
  <c r="U180" i="11"/>
  <c r="U172" i="11"/>
  <c r="U164" i="11"/>
  <c r="U156" i="11"/>
  <c r="U148" i="11"/>
  <c r="U140" i="11"/>
  <c r="U132" i="11"/>
  <c r="U174" i="11"/>
  <c r="U181" i="11"/>
  <c r="U175" i="11"/>
  <c r="U167" i="11"/>
  <c r="U159" i="11"/>
  <c r="U173" i="11"/>
  <c r="U158" i="11"/>
  <c r="U152" i="11"/>
  <c r="U150" i="11"/>
  <c r="U144" i="11"/>
  <c r="U142" i="11"/>
  <c r="U136" i="11"/>
  <c r="U134" i="11"/>
  <c r="U122" i="11"/>
  <c r="U130" i="11"/>
  <c r="U123" i="11"/>
  <c r="U115" i="11"/>
  <c r="U107" i="11"/>
  <c r="U99" i="11"/>
  <c r="U168" i="11"/>
  <c r="U124" i="11"/>
  <c r="U116" i="11"/>
  <c r="U108" i="11"/>
  <c r="U100" i="11"/>
  <c r="U125" i="11"/>
  <c r="U117" i="11"/>
  <c r="U109" i="11"/>
  <c r="U101" i="11"/>
  <c r="U176" i="11"/>
  <c r="U166" i="11"/>
  <c r="U127" i="11"/>
  <c r="U119" i="11"/>
  <c r="U111" i="11"/>
  <c r="U103" i="11"/>
  <c r="U95" i="11"/>
  <c r="U165" i="11"/>
  <c r="U157" i="11"/>
  <c r="U143" i="11"/>
  <c r="U94" i="11"/>
  <c r="U93" i="11"/>
  <c r="U87" i="11"/>
  <c r="U149" i="11"/>
  <c r="U135" i="11"/>
  <c r="U121" i="11"/>
  <c r="U113" i="11"/>
  <c r="U105" i="11"/>
  <c r="U97" i="11"/>
  <c r="U88" i="11"/>
  <c r="U82" i="11"/>
  <c r="U78" i="11"/>
  <c r="U74" i="11"/>
  <c r="U70" i="11"/>
  <c r="U66" i="11"/>
  <c r="U62" i="11"/>
  <c r="U58" i="11"/>
  <c r="U160" i="11"/>
  <c r="U141" i="11"/>
  <c r="U126" i="11"/>
  <c r="U89" i="11"/>
  <c r="U55" i="11"/>
  <c r="U133" i="11"/>
  <c r="U90" i="11"/>
  <c r="U83" i="11"/>
  <c r="U79" i="11"/>
  <c r="U75" i="11"/>
  <c r="U71" i="11"/>
  <c r="U67" i="11"/>
  <c r="U63" i="11"/>
  <c r="U91" i="11"/>
  <c r="U120" i="11"/>
  <c r="U112" i="11"/>
  <c r="U110" i="11"/>
  <c r="U96" i="11"/>
  <c r="U86" i="11"/>
  <c r="U84" i="11"/>
  <c r="U68" i="11"/>
  <c r="U48" i="11"/>
  <c r="U40" i="11"/>
  <c r="U35" i="11"/>
  <c r="U128" i="11"/>
  <c r="U114" i="11"/>
  <c r="U118" i="11"/>
  <c r="U72" i="11"/>
  <c r="U54" i="11"/>
  <c r="U46" i="11"/>
  <c r="U33" i="11"/>
  <c r="U24" i="11"/>
  <c r="U20" i="11"/>
  <c r="U102" i="11"/>
  <c r="U81" i="11"/>
  <c r="U65" i="11"/>
  <c r="U49" i="11"/>
  <c r="U41" i="11"/>
  <c r="U36" i="11"/>
  <c r="U28" i="11"/>
  <c r="U92" i="11"/>
  <c r="U85" i="11"/>
  <c r="U76" i="11"/>
  <c r="U59" i="11"/>
  <c r="U52" i="11"/>
  <c r="U44" i="11"/>
  <c r="U31" i="11"/>
  <c r="U25" i="11"/>
  <c r="U21" i="11"/>
  <c r="U129" i="11"/>
  <c r="U69" i="11"/>
  <c r="U47" i="11"/>
  <c r="U39" i="11"/>
  <c r="U34" i="11"/>
  <c r="U60" i="11"/>
  <c r="U16" i="11"/>
  <c r="U12" i="11"/>
  <c r="U151" i="11"/>
  <c r="U23" i="11"/>
  <c r="U57" i="11"/>
  <c r="U29" i="11"/>
  <c r="U17" i="11"/>
  <c r="U13" i="11"/>
  <c r="U9" i="11"/>
  <c r="V9" i="11" s="1"/>
  <c r="U106" i="11"/>
  <c r="U80" i="11"/>
  <c r="U64" i="11"/>
  <c r="U37" i="11"/>
  <c r="U32" i="11"/>
  <c r="U30" i="11"/>
  <c r="U22" i="11"/>
  <c r="U77" i="11"/>
  <c r="U61" i="11"/>
  <c r="U42" i="11"/>
  <c r="U38" i="11"/>
  <c r="U19" i="11"/>
  <c r="U18" i="11"/>
  <c r="U73" i="11"/>
  <c r="U56" i="11"/>
  <c r="U26" i="11"/>
  <c r="U51" i="11"/>
  <c r="U27" i="11"/>
  <c r="U43" i="11"/>
  <c r="E10" i="11"/>
  <c r="U3" i="12"/>
  <c r="B5" i="12"/>
  <c r="C9" i="12" s="1"/>
  <c r="G9" i="12"/>
  <c r="G10" i="12"/>
  <c r="H10" i="12" s="1"/>
  <c r="D11" i="12"/>
  <c r="N10" i="12" l="1"/>
  <c r="J10" i="12"/>
  <c r="H29" i="1"/>
  <c r="L29" i="1"/>
  <c r="N24" i="7"/>
  <c r="E8" i="8"/>
  <c r="E13" i="8"/>
  <c r="C11" i="6"/>
  <c r="E10" i="6"/>
  <c r="E10" i="7" s="1"/>
  <c r="C41" i="2"/>
  <c r="E40" i="2"/>
  <c r="F40" i="2" s="1"/>
  <c r="C32" i="1"/>
  <c r="E31" i="1"/>
  <c r="F31" i="1" s="1"/>
  <c r="U181" i="7"/>
  <c r="U173" i="7"/>
  <c r="U165" i="7"/>
  <c r="U157" i="7"/>
  <c r="U149" i="7"/>
  <c r="U141" i="7"/>
  <c r="U133" i="7"/>
  <c r="U180" i="7"/>
  <c r="U172" i="7"/>
  <c r="U164" i="7"/>
  <c r="U156" i="7"/>
  <c r="U148" i="7"/>
  <c r="U179" i="7"/>
  <c r="U171" i="7"/>
  <c r="U163" i="7"/>
  <c r="U155" i="7"/>
  <c r="U147" i="7"/>
  <c r="U178" i="7"/>
  <c r="U170" i="7"/>
  <c r="U162" i="7"/>
  <c r="U154" i="7"/>
  <c r="U146" i="7"/>
  <c r="U138" i="7"/>
  <c r="U184" i="7"/>
  <c r="U176" i="7"/>
  <c r="U168" i="7"/>
  <c r="U160" i="7"/>
  <c r="U152" i="7"/>
  <c r="U144" i="7"/>
  <c r="U136" i="7"/>
  <c r="U183" i="7"/>
  <c r="U175" i="7"/>
  <c r="U167" i="7"/>
  <c r="U159" i="7"/>
  <c r="U151" i="7"/>
  <c r="U127" i="7"/>
  <c r="U119" i="7"/>
  <c r="U111" i="7"/>
  <c r="U103" i="7"/>
  <c r="U95" i="7"/>
  <c r="U87" i="7"/>
  <c r="U126" i="7"/>
  <c r="U118" i="7"/>
  <c r="U110" i="7"/>
  <c r="U102" i="7"/>
  <c r="U94" i="7"/>
  <c r="U86" i="7"/>
  <c r="U125" i="7"/>
  <c r="U117" i="7"/>
  <c r="U109" i="7"/>
  <c r="U101" i="7"/>
  <c r="U93" i="7"/>
  <c r="U85" i="7"/>
  <c r="U182" i="7"/>
  <c r="U177" i="7"/>
  <c r="U174" i="7"/>
  <c r="U169" i="7"/>
  <c r="U166" i="7"/>
  <c r="U161" i="7"/>
  <c r="U158" i="7"/>
  <c r="U153" i="7"/>
  <c r="U150" i="7"/>
  <c r="U132" i="7"/>
  <c r="U124" i="7"/>
  <c r="U116" i="7"/>
  <c r="U108" i="7"/>
  <c r="U100" i="7"/>
  <c r="U92" i="7"/>
  <c r="U84" i="7"/>
  <c r="U83" i="7"/>
  <c r="U82" i="7"/>
  <c r="U81" i="7"/>
  <c r="U80" i="7"/>
  <c r="U79" i="7"/>
  <c r="U78" i="7"/>
  <c r="U77" i="7"/>
  <c r="U76" i="7"/>
  <c r="U75" i="7"/>
  <c r="U74" i="7"/>
  <c r="U73" i="7"/>
  <c r="U72" i="7"/>
  <c r="U71" i="7"/>
  <c r="U70" i="7"/>
  <c r="U145" i="7"/>
  <c r="U143" i="7"/>
  <c r="U142" i="7"/>
  <c r="U140" i="7"/>
  <c r="U137" i="7"/>
  <c r="U135" i="7"/>
  <c r="U134" i="7"/>
  <c r="U131" i="7"/>
  <c r="U123" i="7"/>
  <c r="U115" i="7"/>
  <c r="U107" i="7"/>
  <c r="U99" i="7"/>
  <c r="U91" i="7"/>
  <c r="U128" i="7"/>
  <c r="U120" i="7"/>
  <c r="U112" i="7"/>
  <c r="U104" i="7"/>
  <c r="U96" i="7"/>
  <c r="U88" i="7"/>
  <c r="U50" i="7"/>
  <c r="U42" i="7"/>
  <c r="U23" i="7"/>
  <c r="U22" i="7"/>
  <c r="U21" i="7"/>
  <c r="U20" i="7"/>
  <c r="U19" i="7"/>
  <c r="U18" i="7"/>
  <c r="U17" i="7"/>
  <c r="U16" i="7"/>
  <c r="U15" i="7"/>
  <c r="U14" i="7"/>
  <c r="U13" i="7"/>
  <c r="U12" i="7"/>
  <c r="U11" i="7"/>
  <c r="U10" i="7"/>
  <c r="U9" i="7"/>
  <c r="U68" i="7"/>
  <c r="U51" i="7"/>
  <c r="U43" i="7"/>
  <c r="U37" i="7"/>
  <c r="U32" i="7"/>
  <c r="U31" i="7"/>
  <c r="U30" i="7"/>
  <c r="U29" i="7"/>
  <c r="U28" i="7"/>
  <c r="U27" i="7"/>
  <c r="U26" i="7"/>
  <c r="U25" i="7"/>
  <c r="U24" i="7"/>
  <c r="U130" i="7"/>
  <c r="U122" i="7"/>
  <c r="U114" i="7"/>
  <c r="U106" i="7"/>
  <c r="U98" i="7"/>
  <c r="U90" i="7"/>
  <c r="U52" i="7"/>
  <c r="U44" i="7"/>
  <c r="U33" i="7"/>
  <c r="U53" i="7"/>
  <c r="U45" i="7"/>
  <c r="U38" i="7"/>
  <c r="U34" i="7"/>
  <c r="U139" i="7"/>
  <c r="U54" i="7"/>
  <c r="U46" i="7"/>
  <c r="U129" i="7"/>
  <c r="U121" i="7"/>
  <c r="U113" i="7"/>
  <c r="U97" i="7"/>
  <c r="U67" i="7"/>
  <c r="U63" i="7"/>
  <c r="U59" i="7"/>
  <c r="U41" i="7"/>
  <c r="U40" i="7"/>
  <c r="U39" i="7"/>
  <c r="U69" i="7"/>
  <c r="U35" i="7"/>
  <c r="U66" i="7"/>
  <c r="U62" i="7"/>
  <c r="U58" i="7"/>
  <c r="U36" i="7"/>
  <c r="U49" i="7"/>
  <c r="U48" i="7"/>
  <c r="U47" i="7"/>
  <c r="U64" i="7"/>
  <c r="U60" i="7"/>
  <c r="U56" i="7"/>
  <c r="U55" i="7"/>
  <c r="U105" i="7"/>
  <c r="U61" i="7"/>
  <c r="U89" i="7"/>
  <c r="U57" i="7"/>
  <c r="U65" i="7"/>
  <c r="C10" i="12"/>
  <c r="E9" i="12"/>
  <c r="G11" i="11"/>
  <c r="H11" i="11" s="1"/>
  <c r="D12" i="11"/>
  <c r="L9" i="2"/>
  <c r="M9" i="2" s="1"/>
  <c r="O9" i="2" s="1"/>
  <c r="H9" i="2"/>
  <c r="G38" i="2"/>
  <c r="H37" i="2"/>
  <c r="D4" i="8"/>
  <c r="F20" i="5"/>
  <c r="F21" i="5" s="1"/>
  <c r="F22" i="5" s="1"/>
  <c r="F23" i="5" s="1"/>
  <c r="F24" i="5" s="1"/>
  <c r="H9" i="12"/>
  <c r="C13" i="11"/>
  <c r="U177" i="12"/>
  <c r="U169" i="12"/>
  <c r="U161" i="12"/>
  <c r="U179" i="12"/>
  <c r="U171" i="12"/>
  <c r="U163" i="12"/>
  <c r="U155" i="12"/>
  <c r="U181" i="12"/>
  <c r="U173" i="12"/>
  <c r="U165" i="12"/>
  <c r="U157" i="12"/>
  <c r="U182" i="12"/>
  <c r="U183" i="12"/>
  <c r="U175" i="12"/>
  <c r="U167" i="12"/>
  <c r="U159" i="12"/>
  <c r="U184" i="12"/>
  <c r="U151" i="12"/>
  <c r="U143" i="12"/>
  <c r="U152" i="12"/>
  <c r="U144" i="12"/>
  <c r="U153" i="12"/>
  <c r="U145" i="12"/>
  <c r="U146" i="12"/>
  <c r="U180" i="12"/>
  <c r="U148" i="12"/>
  <c r="U176" i="12"/>
  <c r="U174" i="12"/>
  <c r="U172" i="12"/>
  <c r="U170" i="12"/>
  <c r="U168" i="12"/>
  <c r="U166" i="12"/>
  <c r="U164" i="12"/>
  <c r="U162" i="12"/>
  <c r="U160" i="12"/>
  <c r="U158" i="12"/>
  <c r="U156" i="12"/>
  <c r="U154" i="12"/>
  <c r="U178" i="12"/>
  <c r="U131" i="12"/>
  <c r="U123" i="12"/>
  <c r="U147" i="12"/>
  <c r="U141" i="12"/>
  <c r="U139" i="12"/>
  <c r="U138" i="12"/>
  <c r="U132" i="12"/>
  <c r="U124" i="12"/>
  <c r="U133" i="12"/>
  <c r="U125" i="12"/>
  <c r="U134" i="12"/>
  <c r="U126" i="12"/>
  <c r="U118" i="12"/>
  <c r="U149" i="12"/>
  <c r="U142" i="12"/>
  <c r="U140" i="12"/>
  <c r="U136" i="12"/>
  <c r="U128" i="12"/>
  <c r="U127" i="12"/>
  <c r="U115" i="12"/>
  <c r="U107" i="12"/>
  <c r="U99" i="12"/>
  <c r="U116" i="12"/>
  <c r="U108" i="12"/>
  <c r="U109" i="12"/>
  <c r="U101" i="12"/>
  <c r="U137" i="12"/>
  <c r="U119" i="12"/>
  <c r="U110" i="12"/>
  <c r="U102" i="12"/>
  <c r="U150" i="12"/>
  <c r="U129" i="12"/>
  <c r="U120" i="12"/>
  <c r="U94" i="12"/>
  <c r="U86" i="12"/>
  <c r="U81" i="12"/>
  <c r="U77" i="12"/>
  <c r="U73" i="12"/>
  <c r="U69" i="12"/>
  <c r="U65" i="12"/>
  <c r="U61" i="12"/>
  <c r="U57" i="12"/>
  <c r="U54" i="12"/>
  <c r="U112" i="12"/>
  <c r="U106" i="12"/>
  <c r="U104" i="12"/>
  <c r="U87" i="12"/>
  <c r="U117" i="12"/>
  <c r="U97" i="12"/>
  <c r="U95" i="12"/>
  <c r="U88" i="12"/>
  <c r="U82" i="12"/>
  <c r="U78" i="12"/>
  <c r="U74" i="12"/>
  <c r="U70" i="12"/>
  <c r="U66" i="12"/>
  <c r="U62" i="12"/>
  <c r="U58" i="12"/>
  <c r="U135" i="12"/>
  <c r="U121" i="12"/>
  <c r="U89" i="12"/>
  <c r="U55" i="12"/>
  <c r="U114" i="12"/>
  <c r="U111" i="12"/>
  <c r="U105" i="12"/>
  <c r="U103" i="12"/>
  <c r="U100" i="12"/>
  <c r="U91" i="12"/>
  <c r="U53" i="12"/>
  <c r="U93" i="12"/>
  <c r="U49" i="12"/>
  <c r="U41" i="12"/>
  <c r="U36" i="12"/>
  <c r="U27" i="12"/>
  <c r="U23" i="12"/>
  <c r="U19" i="12"/>
  <c r="U15" i="12"/>
  <c r="U92" i="12"/>
  <c r="U80" i="12"/>
  <c r="U72" i="12"/>
  <c r="U64" i="12"/>
  <c r="U56" i="12"/>
  <c r="U52" i="12"/>
  <c r="U44" i="12"/>
  <c r="U31" i="12"/>
  <c r="U79" i="12"/>
  <c r="U71" i="12"/>
  <c r="U63" i="12"/>
  <c r="U47" i="12"/>
  <c r="U39" i="12"/>
  <c r="U34" i="12"/>
  <c r="U28" i="12"/>
  <c r="U24" i="12"/>
  <c r="U20" i="12"/>
  <c r="U16" i="12"/>
  <c r="U85" i="12"/>
  <c r="U50" i="12"/>
  <c r="U42" i="12"/>
  <c r="U37" i="12"/>
  <c r="U98" i="12"/>
  <c r="U96" i="12"/>
  <c r="U84" i="12"/>
  <c r="U76" i="12"/>
  <c r="U68" i="12"/>
  <c r="U60" i="12"/>
  <c r="U48" i="12"/>
  <c r="U40" i="12"/>
  <c r="U35" i="12"/>
  <c r="U67" i="12"/>
  <c r="U122" i="12"/>
  <c r="U75" i="12"/>
  <c r="U12" i="12"/>
  <c r="U113" i="12"/>
  <c r="U83" i="12"/>
  <c r="U9" i="12"/>
  <c r="V9" i="12" s="1"/>
  <c r="U130" i="12"/>
  <c r="U38" i="12"/>
  <c r="U33" i="12"/>
  <c r="U26" i="12"/>
  <c r="U25" i="12"/>
  <c r="U10" i="12"/>
  <c r="U45" i="12"/>
  <c r="U43" i="12"/>
  <c r="U22" i="12"/>
  <c r="U21" i="12"/>
  <c r="U14" i="12"/>
  <c r="U46" i="12"/>
  <c r="U18" i="12"/>
  <c r="U30" i="12"/>
  <c r="U51" i="12"/>
  <c r="U11" i="12"/>
  <c r="U29" i="12"/>
  <c r="U32" i="12"/>
  <c r="U13" i="12"/>
  <c r="U17" i="12"/>
  <c r="U90" i="12"/>
  <c r="U59" i="12"/>
  <c r="N10" i="11"/>
  <c r="J10" i="11"/>
  <c r="E18" i="8"/>
  <c r="G12" i="7"/>
  <c r="H12" i="7" s="1"/>
  <c r="D13" i="7"/>
  <c r="J10" i="6"/>
  <c r="N10" i="6"/>
  <c r="U182" i="5"/>
  <c r="U178" i="5"/>
  <c r="U174" i="5"/>
  <c r="U170" i="5"/>
  <c r="U166" i="5"/>
  <c r="U162" i="5"/>
  <c r="U158" i="5"/>
  <c r="U154" i="5"/>
  <c r="U150" i="5"/>
  <c r="U146" i="5"/>
  <c r="U142" i="5"/>
  <c r="U138" i="5"/>
  <c r="U134" i="5"/>
  <c r="U184" i="5"/>
  <c r="U180" i="5"/>
  <c r="U176" i="5"/>
  <c r="U172" i="5"/>
  <c r="U168" i="5"/>
  <c r="U164" i="5"/>
  <c r="U160" i="5"/>
  <c r="U156" i="5"/>
  <c r="U152" i="5"/>
  <c r="U148" i="5"/>
  <c r="U144" i="5"/>
  <c r="U140" i="5"/>
  <c r="U136" i="5"/>
  <c r="U132" i="5"/>
  <c r="U179" i="5"/>
  <c r="U173" i="5"/>
  <c r="U163" i="5"/>
  <c r="U157" i="5"/>
  <c r="U147" i="5"/>
  <c r="U141" i="5"/>
  <c r="U128" i="5"/>
  <c r="U124" i="5"/>
  <c r="U120" i="5"/>
  <c r="U116" i="5"/>
  <c r="U112" i="5"/>
  <c r="U108" i="5"/>
  <c r="U104" i="5"/>
  <c r="U100" i="5"/>
  <c r="U96" i="5"/>
  <c r="U92" i="5"/>
  <c r="U88" i="5"/>
  <c r="U84" i="5"/>
  <c r="U76" i="5"/>
  <c r="U68" i="5"/>
  <c r="U60" i="5"/>
  <c r="U35" i="5"/>
  <c r="U31" i="5"/>
  <c r="U22" i="5"/>
  <c r="U14" i="5"/>
  <c r="U83" i="5"/>
  <c r="U75" i="5"/>
  <c r="U67" i="5"/>
  <c r="U59" i="5"/>
  <c r="U36" i="5"/>
  <c r="U30" i="5"/>
  <c r="U21" i="5"/>
  <c r="U13" i="5"/>
  <c r="U183" i="5"/>
  <c r="U177" i="5"/>
  <c r="U167" i="5"/>
  <c r="U161" i="5"/>
  <c r="U151" i="5"/>
  <c r="U145" i="5"/>
  <c r="U135" i="5"/>
  <c r="U131" i="5"/>
  <c r="U127" i="5"/>
  <c r="U123" i="5"/>
  <c r="U119" i="5"/>
  <c r="U115" i="5"/>
  <c r="U111" i="5"/>
  <c r="U107" i="5"/>
  <c r="U103" i="5"/>
  <c r="U99" i="5"/>
  <c r="U95" i="5"/>
  <c r="U91" i="5"/>
  <c r="U87" i="5"/>
  <c r="U82" i="5"/>
  <c r="U74" i="5"/>
  <c r="U66" i="5"/>
  <c r="U58" i="5"/>
  <c r="U37" i="5"/>
  <c r="U29" i="5"/>
  <c r="U20" i="5"/>
  <c r="U12" i="5"/>
  <c r="U81" i="5"/>
  <c r="U73" i="5"/>
  <c r="U65" i="5"/>
  <c r="U57" i="5"/>
  <c r="U38" i="5"/>
  <c r="U28" i="5"/>
  <c r="U19" i="5"/>
  <c r="U11" i="5"/>
  <c r="U79" i="5"/>
  <c r="U71" i="5"/>
  <c r="U63" i="5"/>
  <c r="U26" i="5"/>
  <c r="U17" i="5"/>
  <c r="U9" i="5"/>
  <c r="U175" i="5"/>
  <c r="U143" i="5"/>
  <c r="U126" i="5"/>
  <c r="U125" i="5"/>
  <c r="U94" i="5"/>
  <c r="U93" i="5"/>
  <c r="U34" i="5"/>
  <c r="U25" i="5"/>
  <c r="U15" i="5"/>
  <c r="U171" i="5"/>
  <c r="U139" i="5"/>
  <c r="U106" i="5"/>
  <c r="U105" i="5"/>
  <c r="U54" i="5"/>
  <c r="U50" i="5"/>
  <c r="U46" i="5"/>
  <c r="U42" i="5"/>
  <c r="U169" i="5"/>
  <c r="U165" i="5"/>
  <c r="U137" i="5"/>
  <c r="U133" i="5"/>
  <c r="U118" i="5"/>
  <c r="U117" i="5"/>
  <c r="U86" i="5"/>
  <c r="U85" i="5"/>
  <c r="U130" i="5"/>
  <c r="U129" i="5"/>
  <c r="U98" i="5"/>
  <c r="U97" i="5"/>
  <c r="U78" i="5"/>
  <c r="U77" i="5"/>
  <c r="U70" i="5"/>
  <c r="U69" i="5"/>
  <c r="U62" i="5"/>
  <c r="U61" i="5"/>
  <c r="U55" i="5"/>
  <c r="U51" i="5"/>
  <c r="U47" i="5"/>
  <c r="U43" i="5"/>
  <c r="U39" i="5"/>
  <c r="U27" i="5"/>
  <c r="U159" i="5"/>
  <c r="U110" i="5"/>
  <c r="U109" i="5"/>
  <c r="U32" i="5"/>
  <c r="U18" i="5"/>
  <c r="U155" i="5"/>
  <c r="U122" i="5"/>
  <c r="U121" i="5"/>
  <c r="U90" i="5"/>
  <c r="U89" i="5"/>
  <c r="U80" i="5"/>
  <c r="U72" i="5"/>
  <c r="U64" i="5"/>
  <c r="U56" i="5"/>
  <c r="U52" i="5"/>
  <c r="U48" i="5"/>
  <c r="U44" i="5"/>
  <c r="U40" i="5"/>
  <c r="U23" i="5"/>
  <c r="U16" i="5"/>
  <c r="U181" i="5"/>
  <c r="U45" i="5"/>
  <c r="U10" i="5"/>
  <c r="U102" i="5"/>
  <c r="U33" i="5"/>
  <c r="U49" i="5"/>
  <c r="U153" i="5"/>
  <c r="U113" i="5"/>
  <c r="U41" i="5"/>
  <c r="U114" i="5"/>
  <c r="U101" i="5"/>
  <c r="U53" i="5"/>
  <c r="U24" i="5"/>
  <c r="U149" i="5"/>
  <c r="E30" i="1"/>
  <c r="F30" i="1" s="1"/>
  <c r="C10" i="10"/>
  <c r="E9" i="10"/>
  <c r="G9" i="10" s="1"/>
  <c r="N10" i="5"/>
  <c r="J10" i="5"/>
  <c r="N11" i="7"/>
  <c r="H9" i="6"/>
  <c r="D12" i="6"/>
  <c r="G11" i="6"/>
  <c r="H11" i="6" s="1"/>
  <c r="E10" i="2"/>
  <c r="D11" i="2"/>
  <c r="J9" i="1"/>
  <c r="I9" i="1"/>
  <c r="E11" i="1"/>
  <c r="D12" i="1"/>
  <c r="E30" i="2"/>
  <c r="F30" i="2" s="1"/>
  <c r="C31" i="2"/>
  <c r="U184" i="10"/>
  <c r="U183" i="10"/>
  <c r="U181" i="10"/>
  <c r="U173" i="10"/>
  <c r="U165" i="10"/>
  <c r="U157" i="10"/>
  <c r="U149" i="10"/>
  <c r="U141" i="10"/>
  <c r="U174" i="10"/>
  <c r="U166" i="10"/>
  <c r="U158" i="10"/>
  <c r="U150" i="10"/>
  <c r="U142" i="10"/>
  <c r="U134" i="10"/>
  <c r="U175" i="10"/>
  <c r="U167" i="10"/>
  <c r="U159" i="10"/>
  <c r="U151" i="10"/>
  <c r="U143" i="10"/>
  <c r="U135" i="10"/>
  <c r="U176" i="10"/>
  <c r="U168" i="10"/>
  <c r="U160" i="10"/>
  <c r="U152" i="10"/>
  <c r="U144" i="10"/>
  <c r="U136" i="10"/>
  <c r="U177" i="10"/>
  <c r="U169" i="10"/>
  <c r="U161" i="10"/>
  <c r="U153" i="10"/>
  <c r="U145" i="10"/>
  <c r="U137" i="10"/>
  <c r="U180" i="10"/>
  <c r="U154" i="10"/>
  <c r="U148" i="10"/>
  <c r="U125" i="10"/>
  <c r="U117" i="10"/>
  <c r="U109" i="10"/>
  <c r="U101" i="10"/>
  <c r="U93" i="10"/>
  <c r="U85" i="10"/>
  <c r="U51" i="10"/>
  <c r="U43" i="10"/>
  <c r="U38" i="10"/>
  <c r="U179" i="10"/>
  <c r="U147" i="10"/>
  <c r="U126" i="10"/>
  <c r="U118" i="10"/>
  <c r="U110" i="10"/>
  <c r="U102" i="10"/>
  <c r="U94" i="10"/>
  <c r="U86" i="10"/>
  <c r="U81" i="10"/>
  <c r="U77" i="10"/>
  <c r="U73" i="10"/>
  <c r="U69" i="10"/>
  <c r="U65" i="10"/>
  <c r="U61" i="10"/>
  <c r="U57" i="10"/>
  <c r="U54" i="10"/>
  <c r="U46" i="10"/>
  <c r="U33" i="10"/>
  <c r="U178" i="10"/>
  <c r="U172" i="10"/>
  <c r="U146" i="10"/>
  <c r="U140" i="10"/>
  <c r="U132" i="10"/>
  <c r="U127" i="10"/>
  <c r="U119" i="10"/>
  <c r="U111" i="10"/>
  <c r="U103" i="10"/>
  <c r="U95" i="10"/>
  <c r="U87" i="10"/>
  <c r="U49" i="10"/>
  <c r="U41" i="10"/>
  <c r="U36" i="10"/>
  <c r="U30" i="10"/>
  <c r="U171" i="10"/>
  <c r="U139" i="10"/>
  <c r="U128" i="10"/>
  <c r="U120" i="10"/>
  <c r="U112" i="10"/>
  <c r="U104" i="10"/>
  <c r="U96" i="10"/>
  <c r="U88" i="10"/>
  <c r="U82" i="10"/>
  <c r="U78" i="10"/>
  <c r="U74" i="10"/>
  <c r="U70" i="10"/>
  <c r="U66" i="10"/>
  <c r="U62" i="10"/>
  <c r="U58" i="10"/>
  <c r="U52" i="10"/>
  <c r="U44" i="10"/>
  <c r="U170" i="10"/>
  <c r="U164" i="10"/>
  <c r="U138" i="10"/>
  <c r="U129" i="10"/>
  <c r="U121" i="10"/>
  <c r="U113" i="10"/>
  <c r="U105" i="10"/>
  <c r="U97" i="10"/>
  <c r="U89" i="10"/>
  <c r="U55" i="10"/>
  <c r="U47" i="10"/>
  <c r="U39" i="10"/>
  <c r="U34" i="10"/>
  <c r="U31" i="10"/>
  <c r="U163" i="10"/>
  <c r="U182" i="10"/>
  <c r="U133" i="10"/>
  <c r="U130" i="10"/>
  <c r="U124" i="10"/>
  <c r="U98" i="10"/>
  <c r="U92" i="10"/>
  <c r="U123" i="10"/>
  <c r="U91" i="10"/>
  <c r="U29" i="10"/>
  <c r="U25" i="10"/>
  <c r="U21" i="10"/>
  <c r="U17" i="10"/>
  <c r="U13" i="10"/>
  <c r="U9" i="10"/>
  <c r="V9" i="10" s="1"/>
  <c r="U155" i="10"/>
  <c r="U122" i="10"/>
  <c r="U116" i="10"/>
  <c r="U90" i="10"/>
  <c r="U131" i="10"/>
  <c r="U115" i="10"/>
  <c r="U84" i="10"/>
  <c r="U83" i="10"/>
  <c r="U76" i="10"/>
  <c r="U75" i="10"/>
  <c r="U68" i="10"/>
  <c r="U67" i="10"/>
  <c r="U60" i="10"/>
  <c r="U59" i="10"/>
  <c r="U37" i="10"/>
  <c r="U26" i="10"/>
  <c r="U22" i="10"/>
  <c r="U18" i="10"/>
  <c r="U14" i="10"/>
  <c r="U10" i="10"/>
  <c r="U107" i="10"/>
  <c r="U50" i="10"/>
  <c r="U45" i="10"/>
  <c r="U40" i="10"/>
  <c r="U27" i="10"/>
  <c r="U23" i="10"/>
  <c r="U19" i="10"/>
  <c r="U15" i="10"/>
  <c r="U11" i="10"/>
  <c r="U162" i="10"/>
  <c r="U71" i="10"/>
  <c r="U56" i="10"/>
  <c r="U53" i="10"/>
  <c r="U42" i="10"/>
  <c r="U16" i="10"/>
  <c r="U99" i="10"/>
  <c r="U80" i="10"/>
  <c r="U63" i="10"/>
  <c r="U156" i="10"/>
  <c r="U12" i="10"/>
  <c r="U114" i="10"/>
  <c r="U100" i="10"/>
  <c r="U72" i="10"/>
  <c r="U64" i="10"/>
  <c r="U35" i="10"/>
  <c r="U106" i="10"/>
  <c r="U24" i="10"/>
  <c r="U108" i="10"/>
  <c r="U48" i="10"/>
  <c r="U28" i="10"/>
  <c r="U32" i="10"/>
  <c r="U79" i="10"/>
  <c r="U20" i="10"/>
  <c r="D12" i="5"/>
  <c r="G11" i="5"/>
  <c r="H11" i="5" s="1"/>
  <c r="J10" i="7"/>
  <c r="N10" i="7"/>
  <c r="G11" i="12"/>
  <c r="H11" i="12" s="1"/>
  <c r="D12" i="12"/>
  <c r="H9" i="11"/>
  <c r="H9" i="7"/>
  <c r="D25" i="7"/>
  <c r="G25" i="7" s="1"/>
  <c r="H25" i="7" s="1"/>
  <c r="C26" i="7"/>
  <c r="N9" i="5"/>
  <c r="O9" i="5" s="1"/>
  <c r="Q9" i="5" s="1"/>
  <c r="J9" i="5"/>
  <c r="D25" i="5"/>
  <c r="C26" i="5"/>
  <c r="L10" i="1"/>
  <c r="H10" i="1"/>
  <c r="L29" i="2"/>
  <c r="H29" i="2"/>
  <c r="E32" i="1" l="1"/>
  <c r="F32" i="1" s="1"/>
  <c r="C33" i="1"/>
  <c r="D13" i="5"/>
  <c r="G12" i="5"/>
  <c r="H12" i="5" s="1"/>
  <c r="J9" i="12"/>
  <c r="N9" i="12"/>
  <c r="D13" i="11"/>
  <c r="G12" i="11"/>
  <c r="J9" i="11"/>
  <c r="N9" i="11"/>
  <c r="E31" i="2"/>
  <c r="F31" i="2" s="1"/>
  <c r="C32" i="2"/>
  <c r="E11" i="2"/>
  <c r="F11" i="2" s="1"/>
  <c r="D12" i="2"/>
  <c r="G13" i="7"/>
  <c r="D14" i="7"/>
  <c r="N11" i="11"/>
  <c r="J11" i="11"/>
  <c r="C42" i="2"/>
  <c r="E41" i="2"/>
  <c r="F41" i="2" s="1"/>
  <c r="L30" i="2"/>
  <c r="H30" i="2"/>
  <c r="F10" i="2"/>
  <c r="N12" i="7"/>
  <c r="E4" i="8"/>
  <c r="F25" i="5"/>
  <c r="F26" i="5" s="1"/>
  <c r="F27" i="5" s="1"/>
  <c r="F28" i="5" s="1"/>
  <c r="F29" i="5" s="1"/>
  <c r="F30" i="5" s="1"/>
  <c r="F31" i="5" s="1"/>
  <c r="F32" i="5" s="1"/>
  <c r="G24" i="5"/>
  <c r="H24" i="5" s="1"/>
  <c r="C14" i="11"/>
  <c r="C27" i="5"/>
  <c r="D26" i="5"/>
  <c r="G26" i="5" s="1"/>
  <c r="H26" i="5" s="1"/>
  <c r="D13" i="12"/>
  <c r="G12" i="12"/>
  <c r="H12" i="12" s="1"/>
  <c r="E12" i="1"/>
  <c r="F12" i="1" s="1"/>
  <c r="D13" i="1"/>
  <c r="N11" i="6"/>
  <c r="J11" i="6"/>
  <c r="H9" i="10"/>
  <c r="E10" i="12"/>
  <c r="C11" i="12"/>
  <c r="E11" i="6"/>
  <c r="E11" i="7" s="1"/>
  <c r="J11" i="7" s="1"/>
  <c r="C12" i="6"/>
  <c r="K10" i="1"/>
  <c r="M10" i="1" s="1"/>
  <c r="O10" i="1" s="1"/>
  <c r="J10" i="1"/>
  <c r="J11" i="12"/>
  <c r="N11" i="12"/>
  <c r="F11" i="1"/>
  <c r="G12" i="6"/>
  <c r="D13" i="6"/>
  <c r="E10" i="10"/>
  <c r="G10" i="10" s="1"/>
  <c r="H10" i="10" s="1"/>
  <c r="C11" i="10"/>
  <c r="N9" i="7"/>
  <c r="O9" i="7" s="1"/>
  <c r="Q9" i="7" s="1"/>
  <c r="J9" i="7"/>
  <c r="K9" i="5"/>
  <c r="K10" i="5" s="1"/>
  <c r="L9" i="5"/>
  <c r="R9" i="5"/>
  <c r="S9" i="5"/>
  <c r="D26" i="7"/>
  <c r="G26" i="7" s="1"/>
  <c r="H26" i="7" s="1"/>
  <c r="C27" i="7"/>
  <c r="J9" i="6"/>
  <c r="N9" i="6"/>
  <c r="O9" i="6" s="1"/>
  <c r="Q9" i="6" s="1"/>
  <c r="G39" i="2"/>
  <c r="L38" i="2"/>
  <c r="H38" i="2"/>
  <c r="N11" i="5"/>
  <c r="J11" i="5"/>
  <c r="Q9" i="2"/>
  <c r="T9" i="2" s="1"/>
  <c r="N25" i="7"/>
  <c r="I10" i="1"/>
  <c r="H30" i="1"/>
  <c r="L30" i="1"/>
  <c r="E12" i="11"/>
  <c r="I9" i="2"/>
  <c r="J9" i="2"/>
  <c r="L31" i="1"/>
  <c r="H31" i="1"/>
  <c r="L9" i="7" l="1"/>
  <c r="K9" i="7"/>
  <c r="K10" i="7" s="1"/>
  <c r="K11" i="7" s="1"/>
  <c r="L11" i="1"/>
  <c r="H11" i="1"/>
  <c r="G13" i="12"/>
  <c r="D14" i="12"/>
  <c r="C33" i="2"/>
  <c r="E32" i="2"/>
  <c r="F32" i="2" s="1"/>
  <c r="D14" i="11"/>
  <c r="G13" i="11"/>
  <c r="H13" i="11" s="1"/>
  <c r="N26" i="5"/>
  <c r="J26" i="5"/>
  <c r="N26" i="7"/>
  <c r="K11" i="1"/>
  <c r="M11" i="1" s="1"/>
  <c r="O11" i="1" s="1"/>
  <c r="Q11" i="1" s="1"/>
  <c r="T11" i="1" s="1"/>
  <c r="H10" i="2"/>
  <c r="L10" i="2"/>
  <c r="G14" i="7"/>
  <c r="H14" i="7" s="1"/>
  <c r="D15" i="7"/>
  <c r="K9" i="11"/>
  <c r="K10" i="11" s="1"/>
  <c r="K11" i="11" s="1"/>
  <c r="L9" i="11"/>
  <c r="J12" i="5"/>
  <c r="N12" i="5"/>
  <c r="L9" i="12"/>
  <c r="K9" i="12"/>
  <c r="K10" i="12" s="1"/>
  <c r="K11" i="12" s="1"/>
  <c r="W9" i="10"/>
  <c r="V9" i="5"/>
  <c r="W9" i="11"/>
  <c r="W9" i="12"/>
  <c r="N10" i="10"/>
  <c r="J10" i="10"/>
  <c r="Q10" i="1"/>
  <c r="T10" i="1" s="1"/>
  <c r="E13" i="11"/>
  <c r="H13" i="7"/>
  <c r="G25" i="5"/>
  <c r="H25" i="5" s="1"/>
  <c r="G13" i="5"/>
  <c r="D14" i="5"/>
  <c r="J10" i="2"/>
  <c r="K10" i="2"/>
  <c r="M10" i="2" s="1"/>
  <c r="O10" i="2" s="1"/>
  <c r="E11" i="10"/>
  <c r="G11" i="10" s="1"/>
  <c r="C12" i="10"/>
  <c r="E14" i="11"/>
  <c r="C15" i="11"/>
  <c r="X9" i="12"/>
  <c r="X9" i="11"/>
  <c r="X9" i="10"/>
  <c r="B7" i="4"/>
  <c r="I10" i="2"/>
  <c r="S9" i="6"/>
  <c r="R9" i="6"/>
  <c r="X9" i="6" s="1"/>
  <c r="Z9" i="6"/>
  <c r="D14" i="6"/>
  <c r="G13" i="6"/>
  <c r="H13" i="6" s="1"/>
  <c r="E12" i="6"/>
  <c r="E12" i="7" s="1"/>
  <c r="J12" i="7" s="1"/>
  <c r="C13" i="6"/>
  <c r="E13" i="1"/>
  <c r="F13" i="1" s="1"/>
  <c r="D14" i="1"/>
  <c r="J24" i="5"/>
  <c r="N24" i="5"/>
  <c r="E12" i="2"/>
  <c r="D13" i="2"/>
  <c r="D27" i="7"/>
  <c r="G27" i="7" s="1"/>
  <c r="H27" i="7" s="1"/>
  <c r="C28" i="7"/>
  <c r="J9" i="10"/>
  <c r="N9" i="10"/>
  <c r="L9" i="6"/>
  <c r="K9" i="6"/>
  <c r="K10" i="6" s="1"/>
  <c r="K11" i="6" s="1"/>
  <c r="B39" i="4"/>
  <c r="B40" i="4" s="1"/>
  <c r="B5" i="4"/>
  <c r="B6" i="4" s="1"/>
  <c r="M10" i="5"/>
  <c r="O10" i="5" s="1"/>
  <c r="Q10" i="5" s="1"/>
  <c r="B51" i="4"/>
  <c r="B52" i="4" s="1"/>
  <c r="B53" i="4" s="1"/>
  <c r="L10" i="5"/>
  <c r="H12" i="6"/>
  <c r="L12" i="1"/>
  <c r="H12" i="1"/>
  <c r="H11" i="2"/>
  <c r="L11" i="2"/>
  <c r="C34" i="1"/>
  <c r="E33" i="1"/>
  <c r="F33" i="1" s="1"/>
  <c r="R9" i="7"/>
  <c r="S9" i="7"/>
  <c r="AB9" i="7"/>
  <c r="H31" i="2"/>
  <c r="L31" i="2"/>
  <c r="C28" i="5"/>
  <c r="D27" i="5"/>
  <c r="G27" i="5" s="1"/>
  <c r="H27" i="5" s="1"/>
  <c r="G40" i="2"/>
  <c r="L39" i="2"/>
  <c r="H39" i="2"/>
  <c r="K11" i="5"/>
  <c r="C12" i="12"/>
  <c r="E11" i="12"/>
  <c r="J12" i="12"/>
  <c r="N12" i="12"/>
  <c r="E42" i="2"/>
  <c r="F42" i="2" s="1"/>
  <c r="C43" i="2"/>
  <c r="H12" i="11"/>
  <c r="H32" i="1"/>
  <c r="L32" i="1"/>
  <c r="D15" i="12" l="1"/>
  <c r="G14" i="12"/>
  <c r="H14" i="12" s="1"/>
  <c r="I11" i="2"/>
  <c r="K12" i="11"/>
  <c r="K13" i="11" s="1"/>
  <c r="H13" i="12"/>
  <c r="C16" i="11"/>
  <c r="K12" i="5"/>
  <c r="N25" i="5"/>
  <c r="J25" i="5"/>
  <c r="E43" i="2"/>
  <c r="F43" i="2" s="1"/>
  <c r="C44" i="2"/>
  <c r="E13" i="2"/>
  <c r="F13" i="2" s="1"/>
  <c r="D14" i="2"/>
  <c r="N13" i="7"/>
  <c r="B14" i="8"/>
  <c r="B19" i="8"/>
  <c r="B9" i="8"/>
  <c r="B8" i="4"/>
  <c r="B9" i="4" s="1"/>
  <c r="B27" i="4"/>
  <c r="B28" i="4" s="1"/>
  <c r="G15" i="7"/>
  <c r="D16" i="7"/>
  <c r="J12" i="11"/>
  <c r="N12" i="11"/>
  <c r="L9" i="10"/>
  <c r="K9" i="10"/>
  <c r="K10" i="10" s="1"/>
  <c r="W9" i="6"/>
  <c r="V9" i="6"/>
  <c r="N27" i="7"/>
  <c r="C14" i="6"/>
  <c r="E13" i="6"/>
  <c r="E13" i="7" s="1"/>
  <c r="J13" i="7" s="1"/>
  <c r="AA9" i="7"/>
  <c r="V9" i="7"/>
  <c r="F12" i="2"/>
  <c r="J13" i="6"/>
  <c r="N13" i="6"/>
  <c r="Q10" i="2"/>
  <c r="T10" i="2" s="1"/>
  <c r="N14" i="7"/>
  <c r="M11" i="5"/>
  <c r="O11" i="5" s="1"/>
  <c r="Q11" i="5" s="1"/>
  <c r="L11" i="5"/>
  <c r="H13" i="5"/>
  <c r="H11" i="10"/>
  <c r="Y9" i="7"/>
  <c r="Z9" i="7" s="1"/>
  <c r="B19" i="4" s="1"/>
  <c r="B13" i="4"/>
  <c r="G41" i="2"/>
  <c r="L40" i="2"/>
  <c r="H40" i="2"/>
  <c r="D15" i="6"/>
  <c r="G14" i="6"/>
  <c r="H14" i="6" s="1"/>
  <c r="J11" i="2"/>
  <c r="K11" i="2"/>
  <c r="M11" i="2" s="1"/>
  <c r="O11" i="2" s="1"/>
  <c r="Q11" i="2" s="1"/>
  <c r="T11" i="2" s="1"/>
  <c r="K12" i="12"/>
  <c r="J13" i="11"/>
  <c r="N13" i="11"/>
  <c r="K12" i="7"/>
  <c r="R10" i="5"/>
  <c r="S10" i="5" s="1"/>
  <c r="V10" i="5" s="1"/>
  <c r="C13" i="10"/>
  <c r="E12" i="10"/>
  <c r="G12" i="10" s="1"/>
  <c r="H12" i="10" s="1"/>
  <c r="N27" i="5"/>
  <c r="J27" i="5"/>
  <c r="I11" i="1"/>
  <c r="I12" i="1" s="1"/>
  <c r="I13" i="1" s="1"/>
  <c r="Y9" i="12"/>
  <c r="L10" i="12"/>
  <c r="M9" i="12"/>
  <c r="O9" i="12" s="1"/>
  <c r="Q9" i="12" s="1"/>
  <c r="G14" i="11"/>
  <c r="D15" i="11"/>
  <c r="M10" i="7"/>
  <c r="O10" i="7" s="1"/>
  <c r="Q10" i="7" s="1"/>
  <c r="W9" i="7"/>
  <c r="X9" i="7" s="1"/>
  <c r="B11" i="4"/>
  <c r="B12" i="4" s="1"/>
  <c r="L10" i="7"/>
  <c r="B55" i="4"/>
  <c r="B56" i="4" s="1"/>
  <c r="B57" i="4" s="1"/>
  <c r="B42" i="4"/>
  <c r="B43" i="4" s="1"/>
  <c r="L13" i="1"/>
  <c r="H13" i="1"/>
  <c r="E33" i="2"/>
  <c r="F33" i="2" s="1"/>
  <c r="C34" i="2"/>
  <c r="E34" i="2" s="1"/>
  <c r="F34" i="2" s="1"/>
  <c r="D28" i="7"/>
  <c r="G28" i="7" s="1"/>
  <c r="H28" i="7" s="1"/>
  <c r="C29" i="7"/>
  <c r="M9" i="11"/>
  <c r="O9" i="11" s="1"/>
  <c r="Q9" i="11" s="1"/>
  <c r="L10" i="11"/>
  <c r="Y9" i="11"/>
  <c r="L33" i="1"/>
  <c r="H33" i="1"/>
  <c r="L10" i="6"/>
  <c r="Y9" i="6"/>
  <c r="M10" i="6"/>
  <c r="O10" i="6" s="1"/>
  <c r="Q10" i="6" s="1"/>
  <c r="C13" i="12"/>
  <c r="E12" i="12"/>
  <c r="C29" i="5"/>
  <c r="D28" i="5"/>
  <c r="G28" i="5" s="1"/>
  <c r="H28" i="5" s="1"/>
  <c r="E34" i="1"/>
  <c r="F34" i="1" s="1"/>
  <c r="C35" i="1"/>
  <c r="N12" i="6"/>
  <c r="J12" i="6"/>
  <c r="K12" i="6" s="1"/>
  <c r="K13" i="6" s="1"/>
  <c r="E14" i="1"/>
  <c r="D15" i="1"/>
  <c r="D15" i="5"/>
  <c r="G14" i="5"/>
  <c r="H14" i="5" s="1"/>
  <c r="J11" i="1"/>
  <c r="L32" i="2"/>
  <c r="H32" i="2"/>
  <c r="K12" i="1" l="1"/>
  <c r="M12" i="1" s="1"/>
  <c r="O12" i="1" s="1"/>
  <c r="J12" i="1"/>
  <c r="S10" i="6"/>
  <c r="R10" i="6"/>
  <c r="X10" i="6" s="1"/>
  <c r="Z10" i="6"/>
  <c r="D29" i="7"/>
  <c r="G29" i="7" s="1"/>
  <c r="H29" i="7" s="1"/>
  <c r="C30" i="7"/>
  <c r="M11" i="7"/>
  <c r="O11" i="7" s="1"/>
  <c r="Q11" i="7" s="1"/>
  <c r="W10" i="7"/>
  <c r="X10" i="7" s="1"/>
  <c r="L11" i="7"/>
  <c r="Y10" i="12"/>
  <c r="M10" i="12"/>
  <c r="O10" i="12" s="1"/>
  <c r="Q10" i="12" s="1"/>
  <c r="L11" i="12"/>
  <c r="M12" i="5"/>
  <c r="O12" i="5" s="1"/>
  <c r="Q12" i="5" s="1"/>
  <c r="L12" i="5"/>
  <c r="H15" i="7"/>
  <c r="E14" i="2"/>
  <c r="F14" i="2" s="1"/>
  <c r="D15" i="2"/>
  <c r="C17" i="11"/>
  <c r="R11" i="5"/>
  <c r="S11" i="5"/>
  <c r="V11" i="5" s="1"/>
  <c r="L34" i="1"/>
  <c r="H34" i="1"/>
  <c r="J14" i="6"/>
  <c r="K14" i="6" s="1"/>
  <c r="N14" i="6"/>
  <c r="K13" i="7"/>
  <c r="L10" i="10"/>
  <c r="Y9" i="10"/>
  <c r="M9" i="10"/>
  <c r="O9" i="10" s="1"/>
  <c r="Q9" i="10" s="1"/>
  <c r="H12" i="2"/>
  <c r="L12" i="2"/>
  <c r="M11" i="6"/>
  <c r="O11" i="6" s="1"/>
  <c r="Q11" i="6" s="1"/>
  <c r="L11" i="6"/>
  <c r="Y10" i="6"/>
  <c r="B20" i="8"/>
  <c r="B15" i="8"/>
  <c r="B10" i="8"/>
  <c r="B14" i="4"/>
  <c r="B15" i="4" s="1"/>
  <c r="B30" i="4"/>
  <c r="B31" i="4" s="1"/>
  <c r="E44" i="2"/>
  <c r="F44" i="2" s="1"/>
  <c r="C45" i="2"/>
  <c r="L33" i="2"/>
  <c r="H33" i="2"/>
  <c r="N11" i="10"/>
  <c r="J11" i="10"/>
  <c r="C30" i="5"/>
  <c r="D29" i="5"/>
  <c r="G29" i="5" s="1"/>
  <c r="H29" i="5" s="1"/>
  <c r="I12" i="2"/>
  <c r="N28" i="7"/>
  <c r="K12" i="2"/>
  <c r="M12" i="2" s="1"/>
  <c r="O12" i="2" s="1"/>
  <c r="Q12" i="2" s="1"/>
  <c r="T12" i="2" s="1"/>
  <c r="J13" i="12"/>
  <c r="N13" i="12"/>
  <c r="E15" i="1"/>
  <c r="F15" i="1" s="1"/>
  <c r="D16" i="1"/>
  <c r="G15" i="11"/>
  <c r="H15" i="11" s="1"/>
  <c r="D16" i="11"/>
  <c r="E16" i="11" s="1"/>
  <c r="F14" i="1"/>
  <c r="H14" i="11"/>
  <c r="C15" i="6"/>
  <c r="E14" i="6"/>
  <c r="E14" i="7" s="1"/>
  <c r="J14" i="7" s="1"/>
  <c r="N14" i="12"/>
  <c r="J14" i="12"/>
  <c r="J14" i="5"/>
  <c r="N14" i="5"/>
  <c r="H13" i="2"/>
  <c r="L13" i="2"/>
  <c r="G15" i="5"/>
  <c r="H15" i="5" s="1"/>
  <c r="D16" i="5"/>
  <c r="B45" i="4"/>
  <c r="B46" i="4" s="1"/>
  <c r="B59" i="4"/>
  <c r="B60" i="4" s="1"/>
  <c r="B61" i="4" s="1"/>
  <c r="B17" i="4"/>
  <c r="B18" i="4" s="1"/>
  <c r="R10" i="7"/>
  <c r="Y10" i="7" s="1"/>
  <c r="Z10" i="7" s="1"/>
  <c r="S10" i="7"/>
  <c r="AB10" i="7"/>
  <c r="D16" i="6"/>
  <c r="G15" i="6"/>
  <c r="H15" i="6" s="1"/>
  <c r="J12" i="10"/>
  <c r="N12" i="10"/>
  <c r="K13" i="12"/>
  <c r="K14" i="12" s="1"/>
  <c r="G15" i="12"/>
  <c r="D16" i="12"/>
  <c r="E35" i="1"/>
  <c r="F35" i="1" s="1"/>
  <c r="C36" i="1"/>
  <c r="H34" i="2"/>
  <c r="L34" i="2"/>
  <c r="K11" i="10"/>
  <c r="K12" i="10" s="1"/>
  <c r="N28" i="5"/>
  <c r="J28" i="5"/>
  <c r="B21" i="8"/>
  <c r="B11" i="8"/>
  <c r="B16" i="8"/>
  <c r="B20" i="4"/>
  <c r="B21" i="4" s="1"/>
  <c r="B33" i="4"/>
  <c r="B34" i="4" s="1"/>
  <c r="Y10" i="11"/>
  <c r="M10" i="11"/>
  <c r="O10" i="11" s="1"/>
  <c r="Q10" i="11" s="1"/>
  <c r="L11" i="11"/>
  <c r="E13" i="12"/>
  <c r="C14" i="12"/>
  <c r="Z9" i="11"/>
  <c r="R10" i="11"/>
  <c r="X10" i="11" s="1"/>
  <c r="S10" i="12"/>
  <c r="Z9" i="12"/>
  <c r="R10" i="12"/>
  <c r="X10" i="12" s="1"/>
  <c r="C14" i="10"/>
  <c r="E13" i="10"/>
  <c r="G13" i="10" s="1"/>
  <c r="G42" i="2"/>
  <c r="L41" i="2"/>
  <c r="H41" i="2"/>
  <c r="J13" i="5"/>
  <c r="K13" i="5" s="1"/>
  <c r="K14" i="5" s="1"/>
  <c r="N13" i="5"/>
  <c r="G16" i="7"/>
  <c r="H16" i="7" s="1"/>
  <c r="D17" i="7"/>
  <c r="E15" i="11"/>
  <c r="I13" i="2" l="1"/>
  <c r="R10" i="10"/>
  <c r="X10" i="10" s="1"/>
  <c r="S10" i="10"/>
  <c r="Z9" i="10"/>
  <c r="R11" i="7"/>
  <c r="AB11" i="7"/>
  <c r="S11" i="7"/>
  <c r="Q12" i="1"/>
  <c r="T12" i="1" s="1"/>
  <c r="M12" i="7"/>
  <c r="O12" i="7" s="1"/>
  <c r="Q12" i="7" s="1"/>
  <c r="W11" i="7"/>
  <c r="X11" i="7" s="1"/>
  <c r="L12" i="7"/>
  <c r="Y11" i="11"/>
  <c r="L12" i="11"/>
  <c r="M11" i="11"/>
  <c r="O11" i="11" s="1"/>
  <c r="Q11" i="11" s="1"/>
  <c r="E15" i="6"/>
  <c r="E15" i="7" s="1"/>
  <c r="J15" i="7" s="1"/>
  <c r="C16" i="6"/>
  <c r="E45" i="2"/>
  <c r="F45" i="2" s="1"/>
  <c r="C46" i="2"/>
  <c r="M12" i="6"/>
  <c r="O12" i="6" s="1"/>
  <c r="Q12" i="6" s="1"/>
  <c r="Y11" i="6"/>
  <c r="L12" i="6"/>
  <c r="L13" i="5"/>
  <c r="M13" i="5"/>
  <c r="O13" i="5" s="1"/>
  <c r="Q13" i="5" s="1"/>
  <c r="D30" i="7"/>
  <c r="G30" i="7" s="1"/>
  <c r="H30" i="7" s="1"/>
  <c r="C31" i="7"/>
  <c r="E16" i="1"/>
  <c r="F16" i="1" s="1"/>
  <c r="D17" i="1"/>
  <c r="R11" i="6"/>
  <c r="X11" i="6" s="1"/>
  <c r="S11" i="6"/>
  <c r="Z11" i="6"/>
  <c r="M10" i="10"/>
  <c r="O10" i="10" s="1"/>
  <c r="Q10" i="10" s="1"/>
  <c r="Y10" i="10"/>
  <c r="L11" i="10"/>
  <c r="R12" i="5"/>
  <c r="S12" i="5" s="1"/>
  <c r="V12" i="5" s="1"/>
  <c r="N29" i="7"/>
  <c r="J15" i="5"/>
  <c r="K15" i="5" s="1"/>
  <c r="N15" i="5"/>
  <c r="W10" i="12"/>
  <c r="V10" i="12"/>
  <c r="L15" i="1"/>
  <c r="H15" i="1"/>
  <c r="N15" i="7"/>
  <c r="AA10" i="7"/>
  <c r="V10" i="7"/>
  <c r="N14" i="11"/>
  <c r="J14" i="11"/>
  <c r="K14" i="11" s="1"/>
  <c r="G43" i="2"/>
  <c r="L42" i="2"/>
  <c r="H42" i="2"/>
  <c r="H13" i="10"/>
  <c r="L14" i="1"/>
  <c r="H14" i="1"/>
  <c r="I14" i="1" s="1"/>
  <c r="I15" i="1" s="1"/>
  <c r="J29" i="5"/>
  <c r="N29" i="5"/>
  <c r="K14" i="7"/>
  <c r="E17" i="11"/>
  <c r="C18" i="11"/>
  <c r="Y11" i="12"/>
  <c r="M11" i="12"/>
  <c r="O11" i="12" s="1"/>
  <c r="Q11" i="12" s="1"/>
  <c r="L12" i="12"/>
  <c r="V10" i="6"/>
  <c r="W10" i="6"/>
  <c r="H15" i="12"/>
  <c r="K13" i="1"/>
  <c r="M13" i="1" s="1"/>
  <c r="O13" i="1" s="1"/>
  <c r="Q13" i="1" s="1"/>
  <c r="T13" i="1" s="1"/>
  <c r="J13" i="1"/>
  <c r="N15" i="6"/>
  <c r="J15" i="6"/>
  <c r="K15" i="6" s="1"/>
  <c r="D17" i="11"/>
  <c r="G16" i="11"/>
  <c r="C31" i="5"/>
  <c r="D30" i="5"/>
  <c r="G30" i="5" s="1"/>
  <c r="H30" i="5" s="1"/>
  <c r="E15" i="2"/>
  <c r="D16" i="2"/>
  <c r="R11" i="12"/>
  <c r="X11" i="12" s="1"/>
  <c r="Z10" i="12"/>
  <c r="S11" i="12"/>
  <c r="D17" i="12"/>
  <c r="G16" i="12"/>
  <c r="H16" i="12" s="1"/>
  <c r="R11" i="11"/>
  <c r="X11" i="11" s="1"/>
  <c r="S11" i="11"/>
  <c r="Z10" i="11"/>
  <c r="S10" i="11"/>
  <c r="G17" i="7"/>
  <c r="D18" i="7"/>
  <c r="E14" i="10"/>
  <c r="G14" i="10" s="1"/>
  <c r="H14" i="10" s="1"/>
  <c r="C15" i="10"/>
  <c r="C37" i="1"/>
  <c r="E36" i="1"/>
  <c r="F36" i="1" s="1"/>
  <c r="N16" i="7"/>
  <c r="C15" i="12"/>
  <c r="E14" i="12"/>
  <c r="H35" i="1"/>
  <c r="L35" i="1"/>
  <c r="G16" i="6"/>
  <c r="D17" i="6"/>
  <c r="G16" i="5"/>
  <c r="H16" i="5" s="1"/>
  <c r="D17" i="5"/>
  <c r="N15" i="11"/>
  <c r="J15" i="11"/>
  <c r="J12" i="2"/>
  <c r="H14" i="2"/>
  <c r="L14" i="2"/>
  <c r="K14" i="1" l="1"/>
  <c r="M14" i="1" s="1"/>
  <c r="O14" i="1" s="1"/>
  <c r="Q14" i="1" s="1"/>
  <c r="T14" i="1" s="1"/>
  <c r="J14" i="1"/>
  <c r="L16" i="1"/>
  <c r="H16" i="1"/>
  <c r="H16" i="6"/>
  <c r="E37" i="1"/>
  <c r="F37" i="1" s="1"/>
  <c r="C38" i="1"/>
  <c r="E16" i="2"/>
  <c r="F16" i="2" s="1"/>
  <c r="D17" i="2"/>
  <c r="M12" i="12"/>
  <c r="O12" i="12" s="1"/>
  <c r="Q12" i="12" s="1"/>
  <c r="L13" i="12"/>
  <c r="Y12" i="12"/>
  <c r="I16" i="1"/>
  <c r="Y11" i="10"/>
  <c r="M11" i="10"/>
  <c r="O11" i="10" s="1"/>
  <c r="Q11" i="10" s="1"/>
  <c r="L12" i="10"/>
  <c r="E17" i="1"/>
  <c r="F17" i="1" s="1"/>
  <c r="D18" i="1"/>
  <c r="Z12" i="6"/>
  <c r="R12" i="6"/>
  <c r="X12" i="6" s="1"/>
  <c r="M13" i="7"/>
  <c r="O13" i="7" s="1"/>
  <c r="Q13" i="7" s="1"/>
  <c r="W12" i="7"/>
  <c r="X12" i="7" s="1"/>
  <c r="L13" i="7"/>
  <c r="J13" i="2"/>
  <c r="K13" i="2"/>
  <c r="M13" i="2" s="1"/>
  <c r="O13" i="2" s="1"/>
  <c r="V11" i="11"/>
  <c r="W11" i="11"/>
  <c r="Z10" i="10"/>
  <c r="R11" i="10"/>
  <c r="X11" i="10" s="1"/>
  <c r="J16" i="12"/>
  <c r="N16" i="12"/>
  <c r="N30" i="7"/>
  <c r="E16" i="6"/>
  <c r="E16" i="7" s="1"/>
  <c r="J16" i="7" s="1"/>
  <c r="C17" i="6"/>
  <c r="W10" i="10"/>
  <c r="V10" i="10"/>
  <c r="E15" i="10"/>
  <c r="G15" i="10" s="1"/>
  <c r="C16" i="10"/>
  <c r="N14" i="10"/>
  <c r="J14" i="10"/>
  <c r="C19" i="11"/>
  <c r="C16" i="12"/>
  <c r="E15" i="12"/>
  <c r="N15" i="12"/>
  <c r="J15" i="12"/>
  <c r="K15" i="12" s="1"/>
  <c r="K16" i="12" s="1"/>
  <c r="W11" i="6"/>
  <c r="V11" i="6"/>
  <c r="R13" i="5"/>
  <c r="S13" i="5" s="1"/>
  <c r="V13" i="5" s="1"/>
  <c r="I14" i="2"/>
  <c r="Z11" i="12"/>
  <c r="R12" i="12"/>
  <c r="X12" i="12" s="1"/>
  <c r="G18" i="7"/>
  <c r="H18" i="7" s="1"/>
  <c r="D19" i="7"/>
  <c r="G17" i="5"/>
  <c r="H17" i="5" s="1"/>
  <c r="D18" i="5"/>
  <c r="H17" i="7"/>
  <c r="W11" i="12"/>
  <c r="V11" i="12"/>
  <c r="H16" i="11"/>
  <c r="K15" i="7"/>
  <c r="M14" i="5"/>
  <c r="O14" i="5" s="1"/>
  <c r="Q14" i="5" s="1"/>
  <c r="L14" i="5"/>
  <c r="S12" i="11"/>
  <c r="Z11" i="11"/>
  <c r="R12" i="11"/>
  <c r="X12" i="11" s="1"/>
  <c r="AA11" i="7"/>
  <c r="V11" i="7"/>
  <c r="C47" i="2"/>
  <c r="E46" i="2"/>
  <c r="F46" i="2" s="1"/>
  <c r="D31" i="7"/>
  <c r="G31" i="7" s="1"/>
  <c r="H31" i="7" s="1"/>
  <c r="C32" i="7"/>
  <c r="C32" i="5"/>
  <c r="D31" i="5"/>
  <c r="G31" i="5" s="1"/>
  <c r="H31" i="5" s="1"/>
  <c r="N16" i="5"/>
  <c r="J16" i="5"/>
  <c r="K16" i="5" s="1"/>
  <c r="W10" i="11"/>
  <c r="V10" i="11"/>
  <c r="D18" i="11"/>
  <c r="G18" i="11" s="1"/>
  <c r="H18" i="11" s="1"/>
  <c r="G17" i="11"/>
  <c r="H17" i="11" s="1"/>
  <c r="G44" i="2"/>
  <c r="H43" i="2"/>
  <c r="L43" i="2"/>
  <c r="Y12" i="6"/>
  <c r="M13" i="6"/>
  <c r="O13" i="6" s="1"/>
  <c r="Q13" i="6" s="1"/>
  <c r="L13" i="6"/>
  <c r="L13" i="11"/>
  <c r="M12" i="11"/>
  <c r="O12" i="11" s="1"/>
  <c r="Q12" i="11" s="1"/>
  <c r="Y12" i="11"/>
  <c r="F15" i="2"/>
  <c r="R12" i="7"/>
  <c r="S12" i="7"/>
  <c r="AB12" i="7"/>
  <c r="J30" i="5"/>
  <c r="N30" i="5"/>
  <c r="J13" i="10"/>
  <c r="K13" i="10" s="1"/>
  <c r="K14" i="10" s="1"/>
  <c r="N13" i="10"/>
  <c r="G17" i="12"/>
  <c r="H17" i="12" s="1"/>
  <c r="D18" i="12"/>
  <c r="D18" i="6"/>
  <c r="G18" i="6" s="1"/>
  <c r="H18" i="6" s="1"/>
  <c r="G17" i="6"/>
  <c r="H17" i="6" s="1"/>
  <c r="L36" i="1"/>
  <c r="H36" i="1"/>
  <c r="K15" i="11"/>
  <c r="Y11" i="7"/>
  <c r="Z11" i="7" s="1"/>
  <c r="J17" i="6" l="1"/>
  <c r="N17" i="6"/>
  <c r="D32" i="7"/>
  <c r="G32" i="7" s="1"/>
  <c r="H32" i="7" s="1"/>
  <c r="C33" i="7"/>
  <c r="J18" i="6"/>
  <c r="N18" i="6"/>
  <c r="N31" i="7"/>
  <c r="C5" i="4"/>
  <c r="C6" i="4" s="1"/>
  <c r="C51" i="4"/>
  <c r="C52" i="4" s="1"/>
  <c r="C53" i="4" s="1"/>
  <c r="M15" i="5"/>
  <c r="O15" i="5" s="1"/>
  <c r="Q15" i="5" s="1"/>
  <c r="L15" i="5"/>
  <c r="C39" i="4"/>
  <c r="C40" i="4" s="1"/>
  <c r="J17" i="7"/>
  <c r="N17" i="7"/>
  <c r="C17" i="10"/>
  <c r="E16" i="10"/>
  <c r="G16" i="10" s="1"/>
  <c r="H16" i="10" s="1"/>
  <c r="Y13" i="12"/>
  <c r="L14" i="12"/>
  <c r="M13" i="12"/>
  <c r="O13" i="12" s="1"/>
  <c r="Q13" i="12" s="1"/>
  <c r="AA12" i="7"/>
  <c r="V12" i="7"/>
  <c r="Q13" i="2"/>
  <c r="T13" i="2" s="1"/>
  <c r="E18" i="1"/>
  <c r="F18" i="1" s="1"/>
  <c r="D19" i="1"/>
  <c r="Z12" i="12"/>
  <c r="R13" i="12"/>
  <c r="X13" i="12" s="1"/>
  <c r="S13" i="11"/>
  <c r="Z12" i="11"/>
  <c r="R13" i="11"/>
  <c r="X13" i="11" s="1"/>
  <c r="C18" i="6"/>
  <c r="E17" i="6"/>
  <c r="E17" i="7" s="1"/>
  <c r="R13" i="6"/>
  <c r="X13" i="6" s="1"/>
  <c r="Z13" i="6"/>
  <c r="H15" i="10"/>
  <c r="N17" i="12"/>
  <c r="J17" i="12"/>
  <c r="K17" i="12" s="1"/>
  <c r="E47" i="2"/>
  <c r="F47" i="2" s="1"/>
  <c r="C48" i="2"/>
  <c r="K16" i="7"/>
  <c r="K17" i="7" s="1"/>
  <c r="N17" i="5"/>
  <c r="J17" i="5"/>
  <c r="K17" i="5" s="1"/>
  <c r="C20" i="11"/>
  <c r="D19" i="11"/>
  <c r="G19" i="11" s="1"/>
  <c r="H19" i="11" s="1"/>
  <c r="J14" i="2"/>
  <c r="K14" i="2"/>
  <c r="M14" i="2" s="1"/>
  <c r="O14" i="2" s="1"/>
  <c r="Q14" i="2" s="1"/>
  <c r="T14" i="2" s="1"/>
  <c r="L17" i="1"/>
  <c r="H17" i="1"/>
  <c r="E17" i="2"/>
  <c r="F17" i="2" s="1"/>
  <c r="D18" i="2"/>
  <c r="K15" i="1"/>
  <c r="M15" i="1" s="1"/>
  <c r="O15" i="1" s="1"/>
  <c r="Q15" i="1" s="1"/>
  <c r="T15" i="1" s="1"/>
  <c r="J15" i="1"/>
  <c r="J17" i="11"/>
  <c r="N17" i="11"/>
  <c r="V12" i="11"/>
  <c r="W12" i="11"/>
  <c r="S12" i="6"/>
  <c r="S14" i="5"/>
  <c r="V14" i="5" s="1"/>
  <c r="R14" i="5"/>
  <c r="C7" i="4" s="1"/>
  <c r="Y12" i="7"/>
  <c r="Z12" i="7" s="1"/>
  <c r="G19" i="7"/>
  <c r="D20" i="7"/>
  <c r="E18" i="11"/>
  <c r="L14" i="7"/>
  <c r="W13" i="7"/>
  <c r="X13" i="7" s="1"/>
  <c r="M14" i="7"/>
  <c r="O14" i="7" s="1"/>
  <c r="Q14" i="7" s="1"/>
  <c r="L13" i="10"/>
  <c r="Y12" i="10"/>
  <c r="M12" i="10"/>
  <c r="O12" i="10" s="1"/>
  <c r="Q12" i="10" s="1"/>
  <c r="H16" i="2"/>
  <c r="L16" i="2"/>
  <c r="N18" i="11"/>
  <c r="J18" i="11"/>
  <c r="L14" i="6"/>
  <c r="Y13" i="6"/>
  <c r="M14" i="6"/>
  <c r="O14" i="6" s="1"/>
  <c r="Q14" i="6" s="1"/>
  <c r="G18" i="12"/>
  <c r="H18" i="12" s="1"/>
  <c r="D19" i="12"/>
  <c r="G19" i="12" s="1"/>
  <c r="H19" i="12" s="1"/>
  <c r="G18" i="5"/>
  <c r="H18" i="5" s="1"/>
  <c r="D19" i="5"/>
  <c r="J31" i="5"/>
  <c r="N31" i="5"/>
  <c r="J16" i="11"/>
  <c r="K16" i="11" s="1"/>
  <c r="K17" i="11" s="1"/>
  <c r="K18" i="11" s="1"/>
  <c r="N16" i="11"/>
  <c r="N18" i="7"/>
  <c r="Z11" i="10"/>
  <c r="R12" i="10"/>
  <c r="X12" i="10" s="1"/>
  <c r="C39" i="1"/>
  <c r="E38" i="1"/>
  <c r="F38" i="1" s="1"/>
  <c r="I17" i="1"/>
  <c r="M13" i="11"/>
  <c r="O13" i="11" s="1"/>
  <c r="Q13" i="11" s="1"/>
  <c r="L14" i="11"/>
  <c r="Y13" i="11"/>
  <c r="S12" i="12"/>
  <c r="N16" i="6"/>
  <c r="J16" i="6"/>
  <c r="K16" i="6" s="1"/>
  <c r="K17" i="6" s="1"/>
  <c r="E16" i="12"/>
  <c r="C17" i="12"/>
  <c r="H15" i="2"/>
  <c r="I15" i="2" s="1"/>
  <c r="I16" i="2" s="1"/>
  <c r="L15" i="2"/>
  <c r="G45" i="2"/>
  <c r="L44" i="2"/>
  <c r="H44" i="2"/>
  <c r="C33" i="5"/>
  <c r="D32" i="5"/>
  <c r="G32" i="5" s="1"/>
  <c r="H32" i="5" s="1"/>
  <c r="S11" i="10"/>
  <c r="AB13" i="7"/>
  <c r="R13" i="7"/>
  <c r="S13" i="7"/>
  <c r="H37" i="1"/>
  <c r="L37" i="1"/>
  <c r="V13" i="7" l="1"/>
  <c r="Z13" i="11"/>
  <c r="S14" i="11"/>
  <c r="R14" i="11"/>
  <c r="X14" i="11" s="1"/>
  <c r="J19" i="12"/>
  <c r="N19" i="12"/>
  <c r="G20" i="7"/>
  <c r="H20" i="7" s="1"/>
  <c r="D21" i="7"/>
  <c r="W13" i="11"/>
  <c r="V13" i="11"/>
  <c r="Y13" i="7"/>
  <c r="Z13" i="7" s="1"/>
  <c r="E48" i="2"/>
  <c r="F48" i="2" s="1"/>
  <c r="C49" i="2"/>
  <c r="S13" i="12"/>
  <c r="R14" i="12"/>
  <c r="X14" i="12" s="1"/>
  <c r="Z13" i="12"/>
  <c r="S14" i="12"/>
  <c r="L16" i="5"/>
  <c r="M16" i="5"/>
  <c r="O16" i="5" s="1"/>
  <c r="Q16" i="5" s="1"/>
  <c r="D33" i="7"/>
  <c r="G33" i="7" s="1"/>
  <c r="H33" i="7" s="1"/>
  <c r="C34" i="7"/>
  <c r="N18" i="12"/>
  <c r="J18" i="12"/>
  <c r="K18" i="12" s="1"/>
  <c r="K19" i="12" s="1"/>
  <c r="R14" i="6"/>
  <c r="X14" i="6" s="1"/>
  <c r="Z14" i="6"/>
  <c r="L14" i="10"/>
  <c r="Y13" i="10"/>
  <c r="M13" i="10"/>
  <c r="O13" i="10" s="1"/>
  <c r="Q13" i="10" s="1"/>
  <c r="M15" i="6"/>
  <c r="O15" i="6" s="1"/>
  <c r="Q15" i="6" s="1"/>
  <c r="L15" i="6"/>
  <c r="Y14" i="6"/>
  <c r="AB14" i="7"/>
  <c r="S14" i="7"/>
  <c r="R14" i="7"/>
  <c r="K16" i="1"/>
  <c r="M16" i="1" s="1"/>
  <c r="O16" i="1" s="1"/>
  <c r="Q16" i="1" s="1"/>
  <c r="T16" i="1" s="1"/>
  <c r="J16" i="1"/>
  <c r="J19" i="11"/>
  <c r="K19" i="11" s="1"/>
  <c r="N19" i="11"/>
  <c r="C19" i="6"/>
  <c r="E18" i="6"/>
  <c r="E18" i="7" s="1"/>
  <c r="J18" i="7" s="1"/>
  <c r="K18" i="7" s="1"/>
  <c r="E19" i="1"/>
  <c r="F19" i="1" s="1"/>
  <c r="D20" i="1"/>
  <c r="Y14" i="12"/>
  <c r="M14" i="12"/>
  <c r="O14" i="12" s="1"/>
  <c r="Q14" i="12" s="1"/>
  <c r="L15" i="12"/>
  <c r="R15" i="5"/>
  <c r="S15" i="5" s="1"/>
  <c r="V15" i="5" s="1"/>
  <c r="N32" i="7"/>
  <c r="H38" i="1"/>
  <c r="L38" i="1"/>
  <c r="S13" i="6"/>
  <c r="AA13" i="7" s="1"/>
  <c r="J15" i="2"/>
  <c r="K15" i="2"/>
  <c r="M15" i="2" s="1"/>
  <c r="O15" i="2" s="1"/>
  <c r="Q15" i="2" s="1"/>
  <c r="T15" i="2" s="1"/>
  <c r="W12" i="12"/>
  <c r="V12" i="12"/>
  <c r="E19" i="11"/>
  <c r="H18" i="1"/>
  <c r="L18" i="1"/>
  <c r="Z12" i="10"/>
  <c r="R13" i="10"/>
  <c r="X13" i="10" s="1"/>
  <c r="G46" i="2"/>
  <c r="H45" i="2"/>
  <c r="L45" i="2"/>
  <c r="C40" i="1"/>
  <c r="E39" i="1"/>
  <c r="F39" i="1" s="1"/>
  <c r="M15" i="7"/>
  <c r="O15" i="7" s="1"/>
  <c r="Q15" i="7" s="1"/>
  <c r="L15" i="7"/>
  <c r="W14" i="7"/>
  <c r="X14" i="7" s="1"/>
  <c r="C55" i="4"/>
  <c r="C56" i="4" s="1"/>
  <c r="C57" i="4" s="1"/>
  <c r="C42" i="4"/>
  <c r="C43" i="4" s="1"/>
  <c r="C11" i="4"/>
  <c r="C12" i="4" s="1"/>
  <c r="E18" i="2"/>
  <c r="F18" i="2" s="1"/>
  <c r="D19" i="2"/>
  <c r="C21" i="11"/>
  <c r="D20" i="11"/>
  <c r="G20" i="11" s="1"/>
  <c r="H20" i="11" s="1"/>
  <c r="J16" i="10"/>
  <c r="N16" i="10"/>
  <c r="I18" i="1"/>
  <c r="H19" i="7"/>
  <c r="K18" i="6"/>
  <c r="W11" i="10"/>
  <c r="V11" i="10"/>
  <c r="J32" i="5"/>
  <c r="N32" i="5"/>
  <c r="E17" i="12"/>
  <c r="C18" i="12"/>
  <c r="S12" i="10"/>
  <c r="D20" i="5"/>
  <c r="G19" i="5"/>
  <c r="H19" i="5" s="1"/>
  <c r="C19" i="8"/>
  <c r="C14" i="8"/>
  <c r="C9" i="8"/>
  <c r="C8" i="4"/>
  <c r="C9" i="4" s="1"/>
  <c r="C27" i="4"/>
  <c r="C28" i="4" s="1"/>
  <c r="C34" i="5"/>
  <c r="D33" i="5"/>
  <c r="G33" i="5" s="1"/>
  <c r="H33" i="5" s="1"/>
  <c r="Y14" i="11"/>
  <c r="M14" i="11"/>
  <c r="O14" i="11" s="1"/>
  <c r="Q14" i="11" s="1"/>
  <c r="L15" i="11"/>
  <c r="N18" i="5"/>
  <c r="J18" i="5"/>
  <c r="K18" i="5" s="1"/>
  <c r="W12" i="6"/>
  <c r="V12" i="6"/>
  <c r="H17" i="2"/>
  <c r="I17" i="2" s="1"/>
  <c r="L17" i="2"/>
  <c r="N15" i="10"/>
  <c r="J15" i="10"/>
  <c r="K15" i="10" s="1"/>
  <c r="K16" i="10" s="1"/>
  <c r="D17" i="10"/>
  <c r="G17" i="10" s="1"/>
  <c r="C18" i="10"/>
  <c r="E17" i="10"/>
  <c r="K19" i="5" l="1"/>
  <c r="C35" i="5"/>
  <c r="D34" i="5"/>
  <c r="G34" i="5" s="1"/>
  <c r="H34" i="5" s="1"/>
  <c r="W12" i="10"/>
  <c r="V12" i="10"/>
  <c r="J20" i="11"/>
  <c r="K20" i="11" s="1"/>
  <c r="N20" i="11"/>
  <c r="W15" i="7"/>
  <c r="X15" i="7" s="1"/>
  <c r="M16" i="7"/>
  <c r="O16" i="7" s="1"/>
  <c r="Q16" i="7" s="1"/>
  <c r="L16" i="7"/>
  <c r="G47" i="2"/>
  <c r="H46" i="2"/>
  <c r="L46" i="2"/>
  <c r="H19" i="1"/>
  <c r="L19" i="1"/>
  <c r="Y14" i="7"/>
  <c r="Z14" i="7" s="1"/>
  <c r="C19" i="4" s="1"/>
  <c r="C13" i="4"/>
  <c r="M14" i="10"/>
  <c r="O14" i="10" s="1"/>
  <c r="Q14" i="10" s="1"/>
  <c r="L15" i="10"/>
  <c r="Y14" i="10"/>
  <c r="R16" i="5"/>
  <c r="S16" i="5" s="1"/>
  <c r="V16" i="5" s="1"/>
  <c r="W14" i="11"/>
  <c r="V14" i="11"/>
  <c r="AB15" i="7"/>
  <c r="R15" i="7"/>
  <c r="Y15" i="7" s="1"/>
  <c r="Z15" i="7" s="1"/>
  <c r="D18" i="10"/>
  <c r="G18" i="10" s="1"/>
  <c r="H18" i="10" s="1"/>
  <c r="C19" i="10"/>
  <c r="E19" i="2"/>
  <c r="F19" i="2" s="1"/>
  <c r="D20" i="2"/>
  <c r="J16" i="2"/>
  <c r="K16" i="2"/>
  <c r="M16" i="2" s="1"/>
  <c r="O16" i="2" s="1"/>
  <c r="Q16" i="2" s="1"/>
  <c r="T16" i="2" s="1"/>
  <c r="S14" i="6"/>
  <c r="G21" i="7"/>
  <c r="H21" i="7" s="1"/>
  <c r="D22" i="7"/>
  <c r="M17" i="5"/>
  <c r="O17" i="5" s="1"/>
  <c r="Q17" i="5" s="1"/>
  <c r="L17" i="5"/>
  <c r="L39" i="1"/>
  <c r="H39" i="1"/>
  <c r="S13" i="10"/>
  <c r="W13" i="6"/>
  <c r="V13" i="6"/>
  <c r="Y15" i="12"/>
  <c r="M15" i="12"/>
  <c r="O15" i="12" s="1"/>
  <c r="Q15" i="12" s="1"/>
  <c r="L16" i="12"/>
  <c r="M16" i="6"/>
  <c r="O16" i="6" s="1"/>
  <c r="Q16" i="6" s="1"/>
  <c r="L16" i="6"/>
  <c r="Y15" i="6"/>
  <c r="N20" i="7"/>
  <c r="V14" i="7"/>
  <c r="H17" i="10"/>
  <c r="H18" i="2"/>
  <c r="I18" i="2" s="1"/>
  <c r="L18" i="2"/>
  <c r="Y15" i="11"/>
  <c r="M15" i="11"/>
  <c r="O15" i="11" s="1"/>
  <c r="Q15" i="11" s="1"/>
  <c r="L16" i="11"/>
  <c r="R15" i="11"/>
  <c r="X15" i="11" s="1"/>
  <c r="S15" i="11"/>
  <c r="Z14" i="11"/>
  <c r="E40" i="1"/>
  <c r="F40" i="1" s="1"/>
  <c r="C41" i="1"/>
  <c r="R15" i="12"/>
  <c r="X15" i="12" s="1"/>
  <c r="S15" i="12"/>
  <c r="Z14" i="12"/>
  <c r="K17" i="1"/>
  <c r="M17" i="1" s="1"/>
  <c r="O17" i="1" s="1"/>
  <c r="Q17" i="1" s="1"/>
  <c r="T17" i="1" s="1"/>
  <c r="J17" i="1"/>
  <c r="R15" i="6"/>
  <c r="X15" i="6" s="1"/>
  <c r="S15" i="6"/>
  <c r="Z15" i="6"/>
  <c r="V13" i="12"/>
  <c r="W13" i="12"/>
  <c r="D19" i="6"/>
  <c r="G19" i="6" s="1"/>
  <c r="H19" i="6" s="1"/>
  <c r="C20" i="6"/>
  <c r="V14" i="12"/>
  <c r="W14" i="12"/>
  <c r="N19" i="5"/>
  <c r="J19" i="5"/>
  <c r="R14" i="10"/>
  <c r="X14" i="10" s="1"/>
  <c r="Z13" i="10"/>
  <c r="D34" i="7"/>
  <c r="G34" i="7" s="1"/>
  <c r="H34" i="7" s="1"/>
  <c r="C35" i="7"/>
  <c r="C50" i="2"/>
  <c r="E49" i="2"/>
  <c r="F49" i="2" s="1"/>
  <c r="C19" i="12"/>
  <c r="E18" i="12"/>
  <c r="D21" i="11"/>
  <c r="G21" i="11" s="1"/>
  <c r="H21" i="11" s="1"/>
  <c r="C22" i="11"/>
  <c r="N19" i="7"/>
  <c r="I19" i="1"/>
  <c r="J33" i="5"/>
  <c r="N33" i="5"/>
  <c r="G20" i="5"/>
  <c r="H20" i="5" s="1"/>
  <c r="D21" i="5"/>
  <c r="E20" i="11"/>
  <c r="C59" i="4"/>
  <c r="C60" i="4" s="1"/>
  <c r="C61" i="4" s="1"/>
  <c r="C45" i="4"/>
  <c r="C46" i="4" s="1"/>
  <c r="C17" i="4"/>
  <c r="C18" i="4" s="1"/>
  <c r="E20" i="1"/>
  <c r="F20" i="1" s="1"/>
  <c r="D21" i="1"/>
  <c r="N33" i="7"/>
  <c r="H40" i="1" l="1"/>
  <c r="L40" i="1"/>
  <c r="W16" i="7"/>
  <c r="X16" i="7" s="1"/>
  <c r="L17" i="7"/>
  <c r="M17" i="7"/>
  <c r="O17" i="7" s="1"/>
  <c r="Q17" i="7" s="1"/>
  <c r="D35" i="7"/>
  <c r="G35" i="7" s="1"/>
  <c r="H35" i="7" s="1"/>
  <c r="C36" i="7"/>
  <c r="Y16" i="6"/>
  <c r="M17" i="6"/>
  <c r="O17" i="6" s="1"/>
  <c r="Q17" i="6" s="1"/>
  <c r="L17" i="6"/>
  <c r="J17" i="2"/>
  <c r="K17" i="2"/>
  <c r="M17" i="2" s="1"/>
  <c r="O17" i="2" s="1"/>
  <c r="Q17" i="2" s="1"/>
  <c r="T17" i="2" s="1"/>
  <c r="AB16" i="7"/>
  <c r="S16" i="7"/>
  <c r="R16" i="7"/>
  <c r="C36" i="5"/>
  <c r="D35" i="5"/>
  <c r="G35" i="5" s="1"/>
  <c r="H35" i="5" s="1"/>
  <c r="C42" i="1"/>
  <c r="E41" i="1"/>
  <c r="F41" i="1" s="1"/>
  <c r="Z16" i="6"/>
  <c r="S16" i="6"/>
  <c r="R16" i="6"/>
  <c r="X16" i="6" s="1"/>
  <c r="V14" i="6"/>
  <c r="W14" i="6"/>
  <c r="R15" i="10"/>
  <c r="X15" i="10" s="1"/>
  <c r="Z14" i="10"/>
  <c r="E20" i="6"/>
  <c r="E20" i="7" s="1"/>
  <c r="J20" i="7" s="1"/>
  <c r="C21" i="6"/>
  <c r="D20" i="6"/>
  <c r="G20" i="6" s="1"/>
  <c r="H20" i="6" s="1"/>
  <c r="W15" i="11"/>
  <c r="V15" i="11"/>
  <c r="N19" i="6"/>
  <c r="J19" i="6"/>
  <c r="K19" i="6" s="1"/>
  <c r="J17" i="10"/>
  <c r="K17" i="10" s="1"/>
  <c r="K18" i="10" s="1"/>
  <c r="N17" i="10"/>
  <c r="M16" i="12"/>
  <c r="O16" i="12" s="1"/>
  <c r="Q16" i="12" s="1"/>
  <c r="L17" i="12"/>
  <c r="Y16" i="12"/>
  <c r="M18" i="5"/>
  <c r="O18" i="5" s="1"/>
  <c r="Q18" i="5" s="1"/>
  <c r="L18" i="5"/>
  <c r="H19" i="2"/>
  <c r="I19" i="2" s="1"/>
  <c r="L19" i="2"/>
  <c r="G48" i="2"/>
  <c r="H47" i="2"/>
  <c r="L47" i="2"/>
  <c r="E50" i="2"/>
  <c r="F50" i="2" s="1"/>
  <c r="C51" i="2"/>
  <c r="J34" i="5"/>
  <c r="N34" i="5"/>
  <c r="E22" i="11"/>
  <c r="C23" i="11"/>
  <c r="D22" i="11"/>
  <c r="G22" i="11" s="1"/>
  <c r="H22" i="11" s="1"/>
  <c r="J20" i="5"/>
  <c r="K20" i="5" s="1"/>
  <c r="N20" i="5"/>
  <c r="E21" i="11"/>
  <c r="S14" i="10"/>
  <c r="E19" i="6"/>
  <c r="E19" i="7" s="1"/>
  <c r="J19" i="7" s="1"/>
  <c r="K19" i="7" s="1"/>
  <c r="K20" i="7" s="1"/>
  <c r="L17" i="11"/>
  <c r="Y16" i="11"/>
  <c r="M16" i="11"/>
  <c r="O16" i="11" s="1"/>
  <c r="Q16" i="11" s="1"/>
  <c r="C20" i="8"/>
  <c r="C15" i="8"/>
  <c r="C10" i="8"/>
  <c r="C14" i="4"/>
  <c r="C15" i="4" s="1"/>
  <c r="C30" i="4"/>
  <c r="C31" i="4" s="1"/>
  <c r="S16" i="12"/>
  <c r="Z15" i="12"/>
  <c r="R16" i="12"/>
  <c r="X16" i="12" s="1"/>
  <c r="R17" i="5"/>
  <c r="S17" i="5" s="1"/>
  <c r="V17" i="5" s="1"/>
  <c r="D19" i="10"/>
  <c r="G19" i="10" s="1"/>
  <c r="H19" i="10" s="1"/>
  <c r="C20" i="10"/>
  <c r="W15" i="6"/>
  <c r="V15" i="6"/>
  <c r="N34" i="7"/>
  <c r="N21" i="11"/>
  <c r="J21" i="11"/>
  <c r="K21" i="11" s="1"/>
  <c r="W15" i="12"/>
  <c r="V15" i="12"/>
  <c r="Z15" i="11"/>
  <c r="R16" i="11"/>
  <c r="X16" i="11" s="1"/>
  <c r="AA14" i="7"/>
  <c r="G22" i="7"/>
  <c r="H22" i="7" s="1"/>
  <c r="D23" i="7"/>
  <c r="G23" i="7" s="1"/>
  <c r="H23" i="7" s="1"/>
  <c r="N18" i="10"/>
  <c r="J18" i="10"/>
  <c r="I20" i="1"/>
  <c r="Y15" i="10"/>
  <c r="M15" i="10"/>
  <c r="O15" i="10" s="1"/>
  <c r="Q15" i="10" s="1"/>
  <c r="L16" i="10"/>
  <c r="V13" i="10"/>
  <c r="W13" i="10"/>
  <c r="S15" i="7"/>
  <c r="J18" i="1"/>
  <c r="K18" i="1"/>
  <c r="M18" i="1" s="1"/>
  <c r="O18" i="1" s="1"/>
  <c r="Q18" i="1" s="1"/>
  <c r="T18" i="1" s="1"/>
  <c r="E20" i="2"/>
  <c r="F20" i="2" s="1"/>
  <c r="D21" i="2"/>
  <c r="G21" i="5"/>
  <c r="H21" i="5" s="1"/>
  <c r="D22" i="5"/>
  <c r="E21" i="1"/>
  <c r="F21" i="1" s="1"/>
  <c r="D22" i="1"/>
  <c r="H20" i="1"/>
  <c r="L20" i="1"/>
  <c r="C20" i="12"/>
  <c r="E19" i="12"/>
  <c r="N21" i="7"/>
  <c r="E18" i="10"/>
  <c r="N23" i="7" l="1"/>
  <c r="E22" i="1"/>
  <c r="F22" i="1" s="1"/>
  <c r="D23" i="1"/>
  <c r="AA15" i="7"/>
  <c r="V15" i="7"/>
  <c r="C24" i="11"/>
  <c r="D23" i="11"/>
  <c r="G23" i="11" s="1"/>
  <c r="H23" i="11" s="1"/>
  <c r="E23" i="11"/>
  <c r="G49" i="2"/>
  <c r="H48" i="2"/>
  <c r="L48" i="2"/>
  <c r="AA16" i="7"/>
  <c r="V16" i="7"/>
  <c r="N35" i="7"/>
  <c r="N19" i="10"/>
  <c r="J19" i="10"/>
  <c r="L17" i="10"/>
  <c r="Y16" i="10"/>
  <c r="M16" i="10"/>
  <c r="O16" i="10" s="1"/>
  <c r="Q16" i="10" s="1"/>
  <c r="L41" i="1"/>
  <c r="H41" i="1"/>
  <c r="J18" i="2"/>
  <c r="K18" i="2"/>
  <c r="M18" i="2" s="1"/>
  <c r="O18" i="2" s="1"/>
  <c r="Q18" i="2" s="1"/>
  <c r="T18" i="2" s="1"/>
  <c r="C21" i="10"/>
  <c r="D20" i="10"/>
  <c r="G20" i="10" s="1"/>
  <c r="H20" i="10" s="1"/>
  <c r="M17" i="11"/>
  <c r="O17" i="11" s="1"/>
  <c r="Q17" i="11" s="1"/>
  <c r="L18" i="11"/>
  <c r="Y17" i="11"/>
  <c r="J21" i="5"/>
  <c r="K21" i="5" s="1"/>
  <c r="N21" i="5"/>
  <c r="Z15" i="10"/>
  <c r="R16" i="10"/>
  <c r="X16" i="10" s="1"/>
  <c r="E51" i="2"/>
  <c r="F51" i="2" s="1"/>
  <c r="C52" i="2"/>
  <c r="R18" i="5"/>
  <c r="S18" i="5" s="1"/>
  <c r="V18" i="5" s="1"/>
  <c r="S15" i="10"/>
  <c r="E42" i="1"/>
  <c r="F42" i="1" s="1"/>
  <c r="C43" i="1"/>
  <c r="L18" i="6"/>
  <c r="Y17" i="6"/>
  <c r="M18" i="6"/>
  <c r="O18" i="6" s="1"/>
  <c r="Q18" i="6" s="1"/>
  <c r="W16" i="12"/>
  <c r="V16" i="12"/>
  <c r="E19" i="10"/>
  <c r="D22" i="2"/>
  <c r="E21" i="2"/>
  <c r="F21" i="2" s="1"/>
  <c r="E20" i="12"/>
  <c r="D20" i="12"/>
  <c r="G20" i="12" s="1"/>
  <c r="H20" i="12" s="1"/>
  <c r="C21" i="12"/>
  <c r="H20" i="2"/>
  <c r="I20" i="2" s="1"/>
  <c r="L20" i="2"/>
  <c r="J35" i="5"/>
  <c r="N35" i="5"/>
  <c r="R17" i="6"/>
  <c r="X17" i="6" s="1"/>
  <c r="Z17" i="6"/>
  <c r="H21" i="1"/>
  <c r="I21" i="1" s="1"/>
  <c r="L21" i="1"/>
  <c r="K19" i="10"/>
  <c r="W16" i="6"/>
  <c r="V16" i="6"/>
  <c r="D23" i="5"/>
  <c r="G23" i="5" s="1"/>
  <c r="H23" i="5" s="1"/>
  <c r="G22" i="5"/>
  <c r="H22" i="5" s="1"/>
  <c r="W17" i="7"/>
  <c r="X17" i="7" s="1"/>
  <c r="M18" i="7"/>
  <c r="O18" i="7" s="1"/>
  <c r="Q18" i="7" s="1"/>
  <c r="L18" i="7"/>
  <c r="W14" i="10"/>
  <c r="V14" i="10"/>
  <c r="Y17" i="12"/>
  <c r="M17" i="12"/>
  <c r="O17" i="12" s="1"/>
  <c r="Q17" i="12" s="1"/>
  <c r="L18" i="12"/>
  <c r="N20" i="6"/>
  <c r="J20" i="6"/>
  <c r="K20" i="6" s="1"/>
  <c r="D36" i="5"/>
  <c r="G36" i="5" s="1"/>
  <c r="H36" i="5" s="1"/>
  <c r="C37" i="5"/>
  <c r="AB17" i="7"/>
  <c r="S17" i="7"/>
  <c r="R17" i="7"/>
  <c r="N22" i="7"/>
  <c r="C21" i="8"/>
  <c r="C16" i="8"/>
  <c r="C11" i="8"/>
  <c r="C33" i="4"/>
  <c r="C34" i="4" s="1"/>
  <c r="C20" i="4"/>
  <c r="C21" i="4" s="1"/>
  <c r="M19" i="5"/>
  <c r="O19" i="5" s="1"/>
  <c r="Q19" i="5" s="1"/>
  <c r="L19" i="5"/>
  <c r="S16" i="11"/>
  <c r="K19" i="1"/>
  <c r="M19" i="1" s="1"/>
  <c r="O19" i="1" s="1"/>
  <c r="Q19" i="1" s="1"/>
  <c r="T19" i="1" s="1"/>
  <c r="J19" i="1"/>
  <c r="S17" i="11"/>
  <c r="Z16" i="11"/>
  <c r="R17" i="11"/>
  <c r="X17" i="11" s="1"/>
  <c r="N22" i="11"/>
  <c r="J22" i="11"/>
  <c r="K22" i="11" s="1"/>
  <c r="Z16" i="12"/>
  <c r="R17" i="12"/>
  <c r="X17" i="12" s="1"/>
  <c r="C22" i="6"/>
  <c r="D21" i="6"/>
  <c r="G21" i="6" s="1"/>
  <c r="H21" i="6" s="1"/>
  <c r="Y16" i="7"/>
  <c r="Z16" i="7" s="1"/>
  <c r="D36" i="7"/>
  <c r="G36" i="7" s="1"/>
  <c r="H36" i="7" s="1"/>
  <c r="C37" i="7"/>
  <c r="I21" i="2" l="1"/>
  <c r="C38" i="5"/>
  <c r="D37" i="5"/>
  <c r="G37" i="5" s="1"/>
  <c r="H37" i="5" s="1"/>
  <c r="S17" i="10"/>
  <c r="Z16" i="10"/>
  <c r="R17" i="10"/>
  <c r="X17" i="10" s="1"/>
  <c r="J20" i="10"/>
  <c r="N20" i="10"/>
  <c r="K20" i="10"/>
  <c r="E22" i="2"/>
  <c r="F22" i="2" s="1"/>
  <c r="D23" i="2"/>
  <c r="H42" i="1"/>
  <c r="L42" i="1"/>
  <c r="S16" i="10"/>
  <c r="E20" i="10"/>
  <c r="L18" i="10"/>
  <c r="Y17" i="10"/>
  <c r="M17" i="10"/>
  <c r="O17" i="10" s="1"/>
  <c r="Q17" i="10" s="1"/>
  <c r="H22" i="1"/>
  <c r="I22" i="1" s="1"/>
  <c r="L22" i="1"/>
  <c r="D22" i="6"/>
  <c r="G22" i="6" s="1"/>
  <c r="H22" i="6" s="1"/>
  <c r="C23" i="6"/>
  <c r="M19" i="6"/>
  <c r="O19" i="6" s="1"/>
  <c r="Q19" i="6" s="1"/>
  <c r="L19" i="6"/>
  <c r="Y18" i="6"/>
  <c r="E23" i="1"/>
  <c r="F23" i="1" s="1"/>
  <c r="D24" i="1"/>
  <c r="W15" i="10"/>
  <c r="V15" i="10"/>
  <c r="D21" i="10"/>
  <c r="G21" i="10" s="1"/>
  <c r="H21" i="10" s="1"/>
  <c r="C22" i="10"/>
  <c r="E21" i="10"/>
  <c r="G50" i="2"/>
  <c r="H49" i="2"/>
  <c r="L49" i="2"/>
  <c r="Z17" i="11"/>
  <c r="S18" i="11"/>
  <c r="R18" i="11"/>
  <c r="X18" i="11" s="1"/>
  <c r="J36" i="5"/>
  <c r="N36" i="5"/>
  <c r="E43" i="1"/>
  <c r="F43" i="1" s="1"/>
  <c r="C44" i="1"/>
  <c r="AB18" i="7"/>
  <c r="R18" i="7"/>
  <c r="M20" i="5"/>
  <c r="O20" i="5" s="1"/>
  <c r="Q20" i="5" s="1"/>
  <c r="D51" i="4"/>
  <c r="D52" i="4" s="1"/>
  <c r="D53" i="4" s="1"/>
  <c r="L20" i="5"/>
  <c r="D39" i="4"/>
  <c r="D40" i="4" s="1"/>
  <c r="D5" i="4"/>
  <c r="D6" i="4" s="1"/>
  <c r="Y18" i="12"/>
  <c r="M18" i="12"/>
  <c r="O18" i="12" s="1"/>
  <c r="Q18" i="12" s="1"/>
  <c r="L19" i="12"/>
  <c r="H21" i="2"/>
  <c r="L21" i="2"/>
  <c r="W18" i="7"/>
  <c r="X18" i="7" s="1"/>
  <c r="M19" i="7"/>
  <c r="O19" i="7" s="1"/>
  <c r="Q19" i="7" s="1"/>
  <c r="L19" i="7"/>
  <c r="C38" i="7"/>
  <c r="D37" i="7"/>
  <c r="G37" i="7" s="1"/>
  <c r="H37" i="7" s="1"/>
  <c r="N36" i="7"/>
  <c r="R19" i="5"/>
  <c r="D7" i="4" s="1"/>
  <c r="S19" i="5"/>
  <c r="V19" i="5" s="1"/>
  <c r="Y17" i="7"/>
  <c r="Z17" i="7" s="1"/>
  <c r="R18" i="12"/>
  <c r="X18" i="12" s="1"/>
  <c r="Z17" i="12"/>
  <c r="J19" i="2"/>
  <c r="K19" i="2"/>
  <c r="M19" i="2" s="1"/>
  <c r="O19" i="2" s="1"/>
  <c r="Q19" i="2" s="1"/>
  <c r="T19" i="2" s="1"/>
  <c r="N23" i="11"/>
  <c r="J23" i="11"/>
  <c r="K23" i="11" s="1"/>
  <c r="W17" i="11"/>
  <c r="V17" i="11"/>
  <c r="J20" i="1"/>
  <c r="K20" i="1"/>
  <c r="M20" i="1" s="1"/>
  <c r="O20" i="1" s="1"/>
  <c r="Q20" i="1" s="1"/>
  <c r="T20" i="1" s="1"/>
  <c r="V16" i="11"/>
  <c r="W16" i="11"/>
  <c r="J22" i="5"/>
  <c r="K22" i="5" s="1"/>
  <c r="K23" i="5" s="1"/>
  <c r="K24" i="5" s="1"/>
  <c r="K25" i="5" s="1"/>
  <c r="K26" i="5" s="1"/>
  <c r="K27" i="5" s="1"/>
  <c r="K28" i="5" s="1"/>
  <c r="K29" i="5" s="1"/>
  <c r="K30" i="5" s="1"/>
  <c r="K31" i="5" s="1"/>
  <c r="K32" i="5" s="1"/>
  <c r="K33" i="5" s="1"/>
  <c r="K34" i="5" s="1"/>
  <c r="K35" i="5" s="1"/>
  <c r="K36" i="5" s="1"/>
  <c r="N22" i="5"/>
  <c r="D21" i="12"/>
  <c r="G21" i="12" s="1"/>
  <c r="H21" i="12" s="1"/>
  <c r="C22" i="12"/>
  <c r="S18" i="6"/>
  <c r="R18" i="6"/>
  <c r="X18" i="6" s="1"/>
  <c r="Z18" i="6"/>
  <c r="E52" i="2"/>
  <c r="F52" i="2" s="1"/>
  <c r="C53" i="2"/>
  <c r="C25" i="11"/>
  <c r="E24" i="11"/>
  <c r="D24" i="11"/>
  <c r="G24" i="11" s="1"/>
  <c r="H24" i="11" s="1"/>
  <c r="S17" i="12"/>
  <c r="J21" i="6"/>
  <c r="K21" i="6" s="1"/>
  <c r="N21" i="6"/>
  <c r="AA17" i="7"/>
  <c r="V17" i="7"/>
  <c r="E21" i="6"/>
  <c r="E21" i="7" s="1"/>
  <c r="J21" i="7" s="1"/>
  <c r="K21" i="7" s="1"/>
  <c r="J23" i="5"/>
  <c r="N23" i="5"/>
  <c r="S17" i="6"/>
  <c r="J20" i="12"/>
  <c r="K20" i="12" s="1"/>
  <c r="N20" i="12"/>
  <c r="L19" i="11"/>
  <c r="Y18" i="11"/>
  <c r="M18" i="11"/>
  <c r="O18" i="11" s="1"/>
  <c r="Q18" i="11" s="1"/>
  <c r="E21" i="12" l="1"/>
  <c r="G51" i="2"/>
  <c r="H50" i="2"/>
  <c r="L50" i="2"/>
  <c r="D14" i="8"/>
  <c r="D19" i="8"/>
  <c r="D9" i="8"/>
  <c r="D8" i="4"/>
  <c r="D9" i="4" s="1"/>
  <c r="D27" i="4"/>
  <c r="D28" i="4" s="1"/>
  <c r="L21" i="5"/>
  <c r="M21" i="5"/>
  <c r="O21" i="5" s="1"/>
  <c r="Q21" i="5" s="1"/>
  <c r="M20" i="6"/>
  <c r="O20" i="6" s="1"/>
  <c r="Q20" i="6" s="1"/>
  <c r="L20" i="6"/>
  <c r="Y19" i="6"/>
  <c r="C39" i="5"/>
  <c r="D38" i="5"/>
  <c r="G38" i="5" s="1"/>
  <c r="H38" i="5" s="1"/>
  <c r="E44" i="1"/>
  <c r="F44" i="1" s="1"/>
  <c r="C45" i="1"/>
  <c r="E23" i="2"/>
  <c r="F23" i="2" s="1"/>
  <c r="D24" i="2"/>
  <c r="AB19" i="7"/>
  <c r="S19" i="7"/>
  <c r="R19" i="7"/>
  <c r="H22" i="2"/>
  <c r="I22" i="2" s="1"/>
  <c r="L22" i="2"/>
  <c r="R19" i="6"/>
  <c r="X19" i="6" s="1"/>
  <c r="Z19" i="6"/>
  <c r="S19" i="6"/>
  <c r="S20" i="5"/>
  <c r="V20" i="5" s="1"/>
  <c r="R20" i="5"/>
  <c r="J21" i="10"/>
  <c r="K21" i="10" s="1"/>
  <c r="N21" i="10"/>
  <c r="E22" i="6"/>
  <c r="E22" i="7" s="1"/>
  <c r="J22" i="7" s="1"/>
  <c r="K22" i="7" s="1"/>
  <c r="K23" i="7" s="1"/>
  <c r="N21" i="12"/>
  <c r="J21" i="12"/>
  <c r="R18" i="10"/>
  <c r="X18" i="10" s="1"/>
  <c r="S18" i="10"/>
  <c r="Z17" i="10"/>
  <c r="E53" i="2"/>
  <c r="F53" i="2" s="1"/>
  <c r="C54" i="2"/>
  <c r="K20" i="2"/>
  <c r="M20" i="2" s="1"/>
  <c r="O20" i="2" s="1"/>
  <c r="Q20" i="2" s="1"/>
  <c r="T20" i="2" s="1"/>
  <c r="J20" i="2"/>
  <c r="L20" i="12"/>
  <c r="M19" i="12"/>
  <c r="O19" i="12" s="1"/>
  <c r="Q19" i="12" s="1"/>
  <c r="Y19" i="12"/>
  <c r="Y18" i="7"/>
  <c r="Z18" i="7" s="1"/>
  <c r="W18" i="11"/>
  <c r="V18" i="11"/>
  <c r="E23" i="6"/>
  <c r="E23" i="7" s="1"/>
  <c r="J23" i="7" s="1"/>
  <c r="D23" i="6"/>
  <c r="G23" i="6" s="1"/>
  <c r="H23" i="6" s="1"/>
  <c r="C24" i="6"/>
  <c r="W16" i="10"/>
  <c r="V16" i="10"/>
  <c r="H23" i="1"/>
  <c r="I23" i="1" s="1"/>
  <c r="L23" i="1"/>
  <c r="Y19" i="11"/>
  <c r="L20" i="11"/>
  <c r="M19" i="11"/>
  <c r="O19" i="11" s="1"/>
  <c r="Q19" i="11" s="1"/>
  <c r="J37" i="5"/>
  <c r="K37" i="5" s="1"/>
  <c r="N37" i="5"/>
  <c r="D22" i="10"/>
  <c r="G22" i="10" s="1"/>
  <c r="H22" i="10" s="1"/>
  <c r="C23" i="10"/>
  <c r="W17" i="12"/>
  <c r="V17" i="12"/>
  <c r="S18" i="12"/>
  <c r="N37" i="7"/>
  <c r="Z18" i="12"/>
  <c r="R19" i="12"/>
  <c r="X19" i="12" s="1"/>
  <c r="S18" i="7"/>
  <c r="J22" i="6"/>
  <c r="K22" i="6" s="1"/>
  <c r="N22" i="6"/>
  <c r="M20" i="7"/>
  <c r="O20" i="7" s="1"/>
  <c r="Q20" i="7" s="1"/>
  <c r="L20" i="7"/>
  <c r="W19" i="7"/>
  <c r="X19" i="7" s="1"/>
  <c r="D55" i="4"/>
  <c r="D56" i="4" s="1"/>
  <c r="D57" i="4" s="1"/>
  <c r="D42" i="4"/>
  <c r="D43" i="4" s="1"/>
  <c r="D11" i="4"/>
  <c r="D12" i="4" s="1"/>
  <c r="V17" i="10"/>
  <c r="W17" i="10"/>
  <c r="D25" i="11"/>
  <c r="G25" i="11" s="1"/>
  <c r="H25" i="11" s="1"/>
  <c r="C26" i="11"/>
  <c r="L43" i="1"/>
  <c r="H43" i="1"/>
  <c r="M18" i="10"/>
  <c r="O18" i="10" s="1"/>
  <c r="Q18" i="10" s="1"/>
  <c r="L19" i="10"/>
  <c r="Y18" i="10"/>
  <c r="K21" i="12"/>
  <c r="W17" i="6"/>
  <c r="V17" i="6"/>
  <c r="V18" i="6"/>
  <c r="W18" i="6"/>
  <c r="R19" i="11"/>
  <c r="X19" i="11" s="1"/>
  <c r="Z18" i="11"/>
  <c r="J24" i="11"/>
  <c r="K24" i="11" s="1"/>
  <c r="N24" i="11"/>
  <c r="C23" i="12"/>
  <c r="D22" i="12"/>
  <c r="G22" i="12" s="1"/>
  <c r="H22" i="12" s="1"/>
  <c r="E22" i="12"/>
  <c r="J21" i="1"/>
  <c r="K21" i="1"/>
  <c r="M21" i="1" s="1"/>
  <c r="O21" i="1" s="1"/>
  <c r="Q21" i="1" s="1"/>
  <c r="T21" i="1" s="1"/>
  <c r="D38" i="7"/>
  <c r="G38" i="7" s="1"/>
  <c r="H38" i="7" s="1"/>
  <c r="C39" i="7"/>
  <c r="E24" i="1"/>
  <c r="F24" i="1" s="1"/>
  <c r="D25" i="1"/>
  <c r="S21" i="5" l="1"/>
  <c r="V21" i="5" s="1"/>
  <c r="R21" i="5"/>
  <c r="H44" i="1"/>
  <c r="L44" i="1"/>
  <c r="M22" i="5"/>
  <c r="O22" i="5" s="1"/>
  <c r="Q22" i="5" s="1"/>
  <c r="L22" i="5"/>
  <c r="G52" i="2"/>
  <c r="H51" i="2"/>
  <c r="L51" i="2"/>
  <c r="E25" i="1"/>
  <c r="F25" i="1" s="1"/>
  <c r="D26" i="1"/>
  <c r="C24" i="12"/>
  <c r="D23" i="12"/>
  <c r="G23" i="12" s="1"/>
  <c r="H23" i="12" s="1"/>
  <c r="D26" i="11"/>
  <c r="G26" i="11" s="1"/>
  <c r="H26" i="11" s="1"/>
  <c r="C27" i="11"/>
  <c r="D59" i="4"/>
  <c r="D60" i="4" s="1"/>
  <c r="D61" i="4" s="1"/>
  <c r="D45" i="4"/>
  <c r="D46" i="4" s="1"/>
  <c r="D17" i="4"/>
  <c r="D18" i="4" s="1"/>
  <c r="S19" i="12"/>
  <c r="E22" i="10"/>
  <c r="N38" i="5"/>
  <c r="J38" i="5"/>
  <c r="K38" i="5" s="1"/>
  <c r="E45" i="1"/>
  <c r="F45" i="1" s="1"/>
  <c r="C46" i="1"/>
  <c r="Z19" i="12"/>
  <c r="R20" i="12"/>
  <c r="X20" i="12" s="1"/>
  <c r="W18" i="10"/>
  <c r="V18" i="10"/>
  <c r="Y19" i="7"/>
  <c r="Z19" i="7" s="1"/>
  <c r="D19" i="4" s="1"/>
  <c r="D13" i="4"/>
  <c r="D39" i="5"/>
  <c r="G39" i="5" s="1"/>
  <c r="H39" i="5" s="1"/>
  <c r="C40" i="5"/>
  <c r="D23" i="10"/>
  <c r="G23" i="10" s="1"/>
  <c r="H23" i="10" s="1"/>
  <c r="C24" i="10"/>
  <c r="M21" i="7"/>
  <c r="O21" i="7" s="1"/>
  <c r="Q21" i="7" s="1"/>
  <c r="L21" i="7"/>
  <c r="W20" i="7"/>
  <c r="X20" i="7" s="1"/>
  <c r="AB20" i="7"/>
  <c r="R20" i="7"/>
  <c r="D24" i="6"/>
  <c r="G24" i="6" s="1"/>
  <c r="H24" i="6" s="1"/>
  <c r="C25" i="6"/>
  <c r="M20" i="12"/>
  <c r="O20" i="12" s="1"/>
  <c r="Q20" i="12" s="1"/>
  <c r="L21" i="12"/>
  <c r="Y20" i="12"/>
  <c r="W19" i="6"/>
  <c r="V19" i="6"/>
  <c r="AA19" i="7"/>
  <c r="V19" i="7"/>
  <c r="N38" i="7"/>
  <c r="S19" i="11"/>
  <c r="V18" i="12"/>
  <c r="W18" i="12"/>
  <c r="Z19" i="11"/>
  <c r="R20" i="11"/>
  <c r="X20" i="11" s="1"/>
  <c r="N23" i="6"/>
  <c r="J23" i="6"/>
  <c r="K23" i="6" s="1"/>
  <c r="K21" i="2"/>
  <c r="M21" i="2" s="1"/>
  <c r="O21" i="2" s="1"/>
  <c r="Q21" i="2" s="1"/>
  <c r="T21" i="2" s="1"/>
  <c r="J21" i="2"/>
  <c r="N22" i="12"/>
  <c r="J22" i="12"/>
  <c r="K22" i="12" s="1"/>
  <c r="H24" i="1"/>
  <c r="I24" i="1" s="1"/>
  <c r="L24" i="1"/>
  <c r="Y19" i="10"/>
  <c r="M19" i="10"/>
  <c r="O19" i="10" s="1"/>
  <c r="Q19" i="10" s="1"/>
  <c r="L20" i="10"/>
  <c r="L21" i="11"/>
  <c r="M20" i="11"/>
  <c r="O20" i="11" s="1"/>
  <c r="Q20" i="11" s="1"/>
  <c r="Y20" i="11"/>
  <c r="E24" i="2"/>
  <c r="F24" i="2" s="1"/>
  <c r="D25" i="2"/>
  <c r="Y20" i="6"/>
  <c r="M21" i="6"/>
  <c r="O21" i="6" s="1"/>
  <c r="Q21" i="6" s="1"/>
  <c r="L21" i="6"/>
  <c r="C55" i="2"/>
  <c r="E54" i="2"/>
  <c r="F54" i="2" s="1"/>
  <c r="N22" i="10"/>
  <c r="J22" i="10"/>
  <c r="K22" i="10" s="1"/>
  <c r="J25" i="11"/>
  <c r="K25" i="11" s="1"/>
  <c r="N25" i="11"/>
  <c r="D39" i="7"/>
  <c r="G39" i="7" s="1"/>
  <c r="H39" i="7" s="1"/>
  <c r="C40" i="7"/>
  <c r="E25" i="11"/>
  <c r="J22" i="1"/>
  <c r="K22" i="1"/>
  <c r="M22" i="1" s="1"/>
  <c r="O22" i="1" s="1"/>
  <c r="Q22" i="1" s="1"/>
  <c r="T22" i="1" s="1"/>
  <c r="R19" i="10"/>
  <c r="X19" i="10" s="1"/>
  <c r="S19" i="10"/>
  <c r="Z18" i="10"/>
  <c r="AA18" i="7"/>
  <c r="V18" i="7"/>
  <c r="H23" i="2"/>
  <c r="I23" i="2" s="1"/>
  <c r="L23" i="2"/>
  <c r="Z20" i="6"/>
  <c r="R20" i="6"/>
  <c r="X20" i="6" s="1"/>
  <c r="S20" i="6"/>
  <c r="I25" i="1" l="1"/>
  <c r="I24" i="2"/>
  <c r="E25" i="2"/>
  <c r="F25" i="2" s="1"/>
  <c r="D26" i="2"/>
  <c r="N26" i="11"/>
  <c r="J26" i="11"/>
  <c r="K26" i="11" s="1"/>
  <c r="H24" i="2"/>
  <c r="L24" i="2"/>
  <c r="D11" i="8"/>
  <c r="D21" i="8"/>
  <c r="D16" i="8"/>
  <c r="D33" i="4"/>
  <c r="D34" i="4" s="1"/>
  <c r="D20" i="4"/>
  <c r="D21" i="4" s="1"/>
  <c r="E24" i="6"/>
  <c r="E24" i="7" s="1"/>
  <c r="J24" i="7" s="1"/>
  <c r="K24" i="7" s="1"/>
  <c r="E26" i="11"/>
  <c r="G53" i="2"/>
  <c r="H52" i="2"/>
  <c r="L52" i="2"/>
  <c r="W19" i="10"/>
  <c r="V19" i="10"/>
  <c r="AB21" i="7"/>
  <c r="S21" i="7"/>
  <c r="R21" i="7"/>
  <c r="C28" i="11"/>
  <c r="D27" i="11"/>
  <c r="G27" i="11" s="1"/>
  <c r="H27" i="11" s="1"/>
  <c r="J23" i="1"/>
  <c r="K23" i="1"/>
  <c r="M23" i="1" s="1"/>
  <c r="O23" i="1" s="1"/>
  <c r="Q23" i="1" s="1"/>
  <c r="T23" i="1" s="1"/>
  <c r="Y20" i="7"/>
  <c r="Z20" i="7" s="1"/>
  <c r="J23" i="12"/>
  <c r="K23" i="12" s="1"/>
  <c r="N23" i="12"/>
  <c r="N23" i="10"/>
  <c r="J23" i="10"/>
  <c r="K23" i="10" s="1"/>
  <c r="W19" i="12"/>
  <c r="V19" i="12"/>
  <c r="E23" i="12"/>
  <c r="R22" i="5"/>
  <c r="S22" i="5" s="1"/>
  <c r="V22" i="5" s="1"/>
  <c r="C26" i="6"/>
  <c r="D25" i="6"/>
  <c r="G25" i="6" s="1"/>
  <c r="H25" i="6" s="1"/>
  <c r="D20" i="8"/>
  <c r="D15" i="8"/>
  <c r="D10" i="8"/>
  <c r="D30" i="4"/>
  <c r="D31" i="4" s="1"/>
  <c r="D14" i="4"/>
  <c r="D15" i="4" s="1"/>
  <c r="R21" i="11"/>
  <c r="X21" i="11" s="1"/>
  <c r="Z20" i="11"/>
  <c r="S20" i="7"/>
  <c r="E55" i="2"/>
  <c r="F55" i="2" s="1"/>
  <c r="C56" i="2"/>
  <c r="M21" i="11"/>
  <c r="O21" i="11" s="1"/>
  <c r="Q21" i="11" s="1"/>
  <c r="L22" i="11"/>
  <c r="Y21" i="11"/>
  <c r="K22" i="2"/>
  <c r="M22" i="2" s="1"/>
  <c r="O22" i="2" s="1"/>
  <c r="Q22" i="2" s="1"/>
  <c r="T22" i="2" s="1"/>
  <c r="J22" i="2"/>
  <c r="E23" i="10"/>
  <c r="E24" i="12"/>
  <c r="D24" i="12"/>
  <c r="G24" i="12" s="1"/>
  <c r="H24" i="12" s="1"/>
  <c r="C25" i="12"/>
  <c r="W20" i="6"/>
  <c r="V20" i="6"/>
  <c r="N24" i="6"/>
  <c r="J24" i="6"/>
  <c r="K24" i="6" s="1"/>
  <c r="M23" i="5"/>
  <c r="O23" i="5" s="1"/>
  <c r="Q23" i="5" s="1"/>
  <c r="L23" i="5"/>
  <c r="L54" i="2"/>
  <c r="H54" i="2"/>
  <c r="D40" i="7"/>
  <c r="G40" i="7" s="1"/>
  <c r="H40" i="7" s="1"/>
  <c r="C41" i="7"/>
  <c r="L22" i="6"/>
  <c r="Y21" i="6"/>
  <c r="M22" i="6"/>
  <c r="O22" i="6" s="1"/>
  <c r="Q22" i="6" s="1"/>
  <c r="L21" i="10"/>
  <c r="Y20" i="10"/>
  <c r="M20" i="10"/>
  <c r="O20" i="10" s="1"/>
  <c r="Q20" i="10" s="1"/>
  <c r="W19" i="11"/>
  <c r="V19" i="11"/>
  <c r="Y21" i="12"/>
  <c r="M21" i="12"/>
  <c r="O21" i="12" s="1"/>
  <c r="Q21" i="12" s="1"/>
  <c r="L22" i="12"/>
  <c r="D40" i="5"/>
  <c r="G40" i="5" s="1"/>
  <c r="H40" i="5" s="1"/>
  <c r="C41" i="5"/>
  <c r="S20" i="12"/>
  <c r="E26" i="1"/>
  <c r="F26" i="1" s="1"/>
  <c r="D27" i="1"/>
  <c r="H45" i="1"/>
  <c r="L45" i="1"/>
  <c r="S20" i="11"/>
  <c r="C25" i="10"/>
  <c r="D24" i="10"/>
  <c r="G24" i="10" s="1"/>
  <c r="H24" i="10" s="1"/>
  <c r="N39" i="7"/>
  <c r="R21" i="6"/>
  <c r="X21" i="6" s="1"/>
  <c r="Z21" i="6"/>
  <c r="S20" i="10"/>
  <c r="Z19" i="10"/>
  <c r="R20" i="10"/>
  <c r="X20" i="10" s="1"/>
  <c r="Z20" i="12"/>
  <c r="R21" i="12"/>
  <c r="X21" i="12" s="1"/>
  <c r="L22" i="7"/>
  <c r="W21" i="7"/>
  <c r="X21" i="7" s="1"/>
  <c r="M22" i="7"/>
  <c r="O22" i="7" s="1"/>
  <c r="Q22" i="7" s="1"/>
  <c r="N39" i="5"/>
  <c r="J39" i="5"/>
  <c r="K39" i="5" s="1"/>
  <c r="C47" i="1"/>
  <c r="E46" i="1"/>
  <c r="F46" i="1" s="1"/>
  <c r="H25" i="1"/>
  <c r="L25" i="1"/>
  <c r="K25" i="6" l="1"/>
  <c r="AB22" i="7"/>
  <c r="R22" i="7"/>
  <c r="L55" i="2"/>
  <c r="H55" i="2"/>
  <c r="J24" i="1"/>
  <c r="K24" i="1"/>
  <c r="M24" i="1" s="1"/>
  <c r="O24" i="1" s="1"/>
  <c r="Q24" i="1" s="1"/>
  <c r="T24" i="1" s="1"/>
  <c r="H25" i="2"/>
  <c r="I25" i="2" s="1"/>
  <c r="L25" i="2"/>
  <c r="M24" i="5"/>
  <c r="O24" i="5" s="1"/>
  <c r="Q24" i="5" s="1"/>
  <c r="L24" i="5"/>
  <c r="Y22" i="12"/>
  <c r="L23" i="12"/>
  <c r="M22" i="12"/>
  <c r="O22" i="12" s="1"/>
  <c r="Q22" i="12" s="1"/>
  <c r="D25" i="10"/>
  <c r="G25" i="10" s="1"/>
  <c r="H25" i="10" s="1"/>
  <c r="C26" i="10"/>
  <c r="E25" i="10"/>
  <c r="R23" i="5"/>
  <c r="S23" i="5" s="1"/>
  <c r="V23" i="5" s="1"/>
  <c r="N27" i="11"/>
  <c r="J27" i="11"/>
  <c r="K27" i="11" s="1"/>
  <c r="R22" i="12"/>
  <c r="X22" i="12" s="1"/>
  <c r="Z21" i="12"/>
  <c r="S22" i="12"/>
  <c r="K23" i="2"/>
  <c r="M23" i="2" s="1"/>
  <c r="O23" i="2" s="1"/>
  <c r="Q23" i="2" s="1"/>
  <c r="T23" i="2" s="1"/>
  <c r="J23" i="2"/>
  <c r="M23" i="6"/>
  <c r="O23" i="6" s="1"/>
  <c r="Q23" i="6" s="1"/>
  <c r="L23" i="6"/>
  <c r="Y22" i="6"/>
  <c r="E25" i="6"/>
  <c r="E25" i="7" s="1"/>
  <c r="J25" i="7" s="1"/>
  <c r="C29" i="11"/>
  <c r="D28" i="11"/>
  <c r="G28" i="11" s="1"/>
  <c r="H28" i="11" s="1"/>
  <c r="H53" i="2"/>
  <c r="L53" i="2"/>
  <c r="L46" i="1"/>
  <c r="H46" i="1"/>
  <c r="E27" i="1"/>
  <c r="F27" i="1" s="1"/>
  <c r="D28" i="1"/>
  <c r="E28" i="1" s="1"/>
  <c r="F28" i="1" s="1"/>
  <c r="C42" i="7"/>
  <c r="D41" i="7"/>
  <c r="G41" i="7" s="1"/>
  <c r="H41" i="7" s="1"/>
  <c r="S21" i="11"/>
  <c r="D26" i="6"/>
  <c r="G26" i="6" s="1"/>
  <c r="H26" i="6" s="1"/>
  <c r="C27" i="6"/>
  <c r="Y21" i="7"/>
  <c r="Z21" i="7" s="1"/>
  <c r="L22" i="10"/>
  <c r="Y21" i="10"/>
  <c r="M21" i="10"/>
  <c r="O21" i="10" s="1"/>
  <c r="Q21" i="10" s="1"/>
  <c r="W20" i="11"/>
  <c r="V20" i="11"/>
  <c r="J25" i="6"/>
  <c r="N25" i="6"/>
  <c r="I26" i="1"/>
  <c r="N40" i="7"/>
  <c r="Y22" i="11"/>
  <c r="M22" i="11"/>
  <c r="O22" i="11" s="1"/>
  <c r="Q22" i="11" s="1"/>
  <c r="L23" i="11"/>
  <c r="V21" i="7"/>
  <c r="K25" i="7"/>
  <c r="W20" i="10"/>
  <c r="V20" i="10"/>
  <c r="R22" i="6"/>
  <c r="X22" i="6" s="1"/>
  <c r="Z22" i="6"/>
  <c r="AA20" i="7"/>
  <c r="V20" i="7"/>
  <c r="W22" i="7"/>
  <c r="X22" i="7" s="1"/>
  <c r="L23" i="7"/>
  <c r="M23" i="7"/>
  <c r="O23" i="7" s="1"/>
  <c r="Q23" i="7" s="1"/>
  <c r="E27" i="11"/>
  <c r="S21" i="12"/>
  <c r="H26" i="1"/>
  <c r="L26" i="1"/>
  <c r="J24" i="10"/>
  <c r="K24" i="10" s="1"/>
  <c r="N24" i="10"/>
  <c r="D25" i="12"/>
  <c r="G25" i="12" s="1"/>
  <c r="H25" i="12" s="1"/>
  <c r="C26" i="12"/>
  <c r="S22" i="11"/>
  <c r="R22" i="11"/>
  <c r="X22" i="11" s="1"/>
  <c r="Z21" i="11"/>
  <c r="N40" i="5"/>
  <c r="J40" i="5"/>
  <c r="K40" i="5" s="1"/>
  <c r="S21" i="6"/>
  <c r="AA21" i="7" s="1"/>
  <c r="E47" i="1"/>
  <c r="F47" i="1" s="1"/>
  <c r="C48" i="1"/>
  <c r="W20" i="12"/>
  <c r="V20" i="12"/>
  <c r="Z20" i="10"/>
  <c r="R21" i="10"/>
  <c r="X21" i="10" s="1"/>
  <c r="E24" i="10"/>
  <c r="D41" i="5"/>
  <c r="G41" i="5" s="1"/>
  <c r="H41" i="5" s="1"/>
  <c r="C42" i="5"/>
  <c r="J24" i="12"/>
  <c r="K24" i="12" s="1"/>
  <c r="N24" i="12"/>
  <c r="E56" i="2"/>
  <c r="F56" i="2" s="1"/>
  <c r="C57" i="2"/>
  <c r="E26" i="2"/>
  <c r="F26" i="2" s="1"/>
  <c r="D27" i="2"/>
  <c r="K25" i="10" l="1"/>
  <c r="K28" i="11"/>
  <c r="K25" i="12"/>
  <c r="L24" i="7"/>
  <c r="W23" i="7"/>
  <c r="X23" i="7" s="1"/>
  <c r="M24" i="7"/>
  <c r="O24" i="7" s="1"/>
  <c r="Q24" i="7" s="1"/>
  <c r="C43" i="7"/>
  <c r="D42" i="7"/>
  <c r="G42" i="7" s="1"/>
  <c r="H42" i="7" s="1"/>
  <c r="V22" i="12"/>
  <c r="W22" i="12"/>
  <c r="H26" i="2"/>
  <c r="I26" i="2" s="1"/>
  <c r="L26" i="2"/>
  <c r="K26" i="7"/>
  <c r="I27" i="1"/>
  <c r="I28" i="1" s="1"/>
  <c r="I29" i="1" s="1"/>
  <c r="I30" i="1" s="1"/>
  <c r="I31" i="1" s="1"/>
  <c r="I32" i="1" s="1"/>
  <c r="I33" i="1" s="1"/>
  <c r="I34" i="1" s="1"/>
  <c r="I35" i="1" s="1"/>
  <c r="I36" i="1" s="1"/>
  <c r="I37" i="1" s="1"/>
  <c r="I38" i="1" s="1"/>
  <c r="I39" i="1" s="1"/>
  <c r="I40" i="1" s="1"/>
  <c r="I41" i="1" s="1"/>
  <c r="I42" i="1" s="1"/>
  <c r="I43" i="1" s="1"/>
  <c r="I44" i="1" s="1"/>
  <c r="I45" i="1" s="1"/>
  <c r="I46" i="1" s="1"/>
  <c r="I47" i="1" s="1"/>
  <c r="M22" i="10"/>
  <c r="O22" i="10" s="1"/>
  <c r="Q22" i="10" s="1"/>
  <c r="L23" i="10"/>
  <c r="Y22" i="10"/>
  <c r="H28" i="1"/>
  <c r="L28" i="1"/>
  <c r="C30" i="11"/>
  <c r="D29" i="11"/>
  <c r="G29" i="11" s="1"/>
  <c r="H29" i="11" s="1"/>
  <c r="J25" i="10"/>
  <c r="N25" i="10"/>
  <c r="W22" i="11"/>
  <c r="V22" i="11"/>
  <c r="L25" i="5"/>
  <c r="E39" i="4"/>
  <c r="E40" i="4" s="1"/>
  <c r="E51" i="4"/>
  <c r="E52" i="4" s="1"/>
  <c r="E53" i="4" s="1"/>
  <c r="M25" i="5"/>
  <c r="O25" i="5" s="1"/>
  <c r="Q25" i="5" s="1"/>
  <c r="E5" i="4"/>
  <c r="E6" i="4" s="1"/>
  <c r="C27" i="12"/>
  <c r="D26" i="12"/>
  <c r="G26" i="12" s="1"/>
  <c r="H26" i="12" s="1"/>
  <c r="E26" i="12"/>
  <c r="S22" i="6"/>
  <c r="H56" i="2"/>
  <c r="L56" i="2"/>
  <c r="S21" i="10"/>
  <c r="E26" i="6"/>
  <c r="E26" i="7" s="1"/>
  <c r="J26" i="7" s="1"/>
  <c r="L24" i="12"/>
  <c r="M23" i="12"/>
  <c r="O23" i="12" s="1"/>
  <c r="Q23" i="12" s="1"/>
  <c r="Y23" i="12"/>
  <c r="W21" i="12"/>
  <c r="V21" i="12"/>
  <c r="R23" i="11"/>
  <c r="X23" i="11" s="1"/>
  <c r="Z22" i="11"/>
  <c r="J26" i="6"/>
  <c r="K26" i="6" s="1"/>
  <c r="N26" i="6"/>
  <c r="R23" i="6"/>
  <c r="X23" i="6" s="1"/>
  <c r="Z23" i="6"/>
  <c r="S23" i="6"/>
  <c r="Y22" i="7"/>
  <c r="Z22" i="7" s="1"/>
  <c r="D42" i="5"/>
  <c r="G42" i="5" s="1"/>
  <c r="H42" i="5" s="1"/>
  <c r="C43" i="5"/>
  <c r="E48" i="1"/>
  <c r="F48" i="1" s="1"/>
  <c r="C49" i="1"/>
  <c r="W21" i="11"/>
  <c r="V21" i="11"/>
  <c r="K24" i="2"/>
  <c r="M24" i="2" s="1"/>
  <c r="O24" i="2" s="1"/>
  <c r="Q24" i="2" s="1"/>
  <c r="T24" i="2" s="1"/>
  <c r="J24" i="2"/>
  <c r="R24" i="5"/>
  <c r="E7" i="4" s="1"/>
  <c r="S22" i="7"/>
  <c r="N41" i="5"/>
  <c r="J41" i="5"/>
  <c r="H47" i="1"/>
  <c r="L47" i="1"/>
  <c r="N25" i="12"/>
  <c r="J25" i="12"/>
  <c r="AB23" i="7"/>
  <c r="R23" i="7"/>
  <c r="S23" i="7" s="1"/>
  <c r="R22" i="10"/>
  <c r="X22" i="10" s="1"/>
  <c r="Z21" i="10"/>
  <c r="S22" i="10"/>
  <c r="N41" i="7"/>
  <c r="J28" i="11"/>
  <c r="N28" i="11"/>
  <c r="E27" i="2"/>
  <c r="F27" i="2" s="1"/>
  <c r="D28" i="2"/>
  <c r="E28" i="2" s="1"/>
  <c r="F28" i="2" s="1"/>
  <c r="W21" i="6"/>
  <c r="V21" i="6"/>
  <c r="E25" i="12"/>
  <c r="E28" i="11"/>
  <c r="E26" i="10"/>
  <c r="D26" i="10"/>
  <c r="G26" i="10" s="1"/>
  <c r="H26" i="10" s="1"/>
  <c r="C27" i="10"/>
  <c r="E57" i="2"/>
  <c r="F57" i="2" s="1"/>
  <c r="C58" i="2"/>
  <c r="H27" i="1"/>
  <c r="L27" i="1"/>
  <c r="Z22" i="12"/>
  <c r="R23" i="12"/>
  <c r="X23" i="12" s="1"/>
  <c r="J25" i="1"/>
  <c r="K25" i="1"/>
  <c r="M25" i="1" s="1"/>
  <c r="O25" i="1" s="1"/>
  <c r="Q25" i="1" s="1"/>
  <c r="T25" i="1" s="1"/>
  <c r="Y23" i="11"/>
  <c r="L24" i="11"/>
  <c r="M23" i="11"/>
  <c r="O23" i="11" s="1"/>
  <c r="Q23" i="11" s="1"/>
  <c r="D27" i="6"/>
  <c r="G27" i="6" s="1"/>
  <c r="H27" i="6" s="1"/>
  <c r="C28" i="6"/>
  <c r="M24" i="6"/>
  <c r="O24" i="6" s="1"/>
  <c r="Q24" i="6" s="1"/>
  <c r="L24" i="6"/>
  <c r="Y23" i="6"/>
  <c r="AA23" i="7" l="1"/>
  <c r="V23" i="7"/>
  <c r="N29" i="11"/>
  <c r="J29" i="11"/>
  <c r="L25" i="11"/>
  <c r="M24" i="11"/>
  <c r="O24" i="11" s="1"/>
  <c r="Q24" i="11" s="1"/>
  <c r="Y24" i="11"/>
  <c r="W22" i="10"/>
  <c r="V22" i="10"/>
  <c r="W23" i="6"/>
  <c r="V23" i="6"/>
  <c r="E29" i="11"/>
  <c r="E58" i="2"/>
  <c r="F58" i="2" s="1"/>
  <c r="C59" i="2"/>
  <c r="V22" i="6"/>
  <c r="W22" i="6"/>
  <c r="M26" i="5"/>
  <c r="O26" i="5" s="1"/>
  <c r="Q26" i="5" s="1"/>
  <c r="L26" i="5"/>
  <c r="C31" i="11"/>
  <c r="D30" i="11"/>
  <c r="G30" i="11" s="1"/>
  <c r="H30" i="11" s="1"/>
  <c r="E30" i="11"/>
  <c r="L25" i="7"/>
  <c r="W24" i="7"/>
  <c r="X24" i="7" s="1"/>
  <c r="M25" i="7"/>
  <c r="O25" i="7" s="1"/>
  <c r="Q25" i="7" s="1"/>
  <c r="E55" i="4"/>
  <c r="E56" i="4" s="1"/>
  <c r="E57" i="4" s="1"/>
  <c r="E42" i="4"/>
  <c r="E43" i="4" s="1"/>
  <c r="E11" i="4"/>
  <c r="E12" i="4" s="1"/>
  <c r="K25" i="2"/>
  <c r="M25" i="2" s="1"/>
  <c r="O25" i="2" s="1"/>
  <c r="Q25" i="2" s="1"/>
  <c r="T25" i="2" s="1"/>
  <c r="J25" i="2"/>
  <c r="Z24" i="6"/>
  <c r="R24" i="6"/>
  <c r="X24" i="6" s="1"/>
  <c r="H27" i="2"/>
  <c r="I27" i="2" s="1"/>
  <c r="I28" i="2" s="1"/>
  <c r="I29" i="2" s="1"/>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I52" i="2" s="1"/>
  <c r="I53" i="2" s="1"/>
  <c r="I54" i="2" s="1"/>
  <c r="I55" i="2" s="1"/>
  <c r="I56" i="2" s="1"/>
  <c r="I57" i="2" s="1"/>
  <c r="L27" i="2"/>
  <c r="C50" i="1"/>
  <c r="E49" i="1"/>
  <c r="F49" i="1" s="1"/>
  <c r="K29" i="11"/>
  <c r="C29" i="6"/>
  <c r="D28" i="6"/>
  <c r="G28" i="6" s="1"/>
  <c r="H28" i="6" s="1"/>
  <c r="N26" i="10"/>
  <c r="J26" i="10"/>
  <c r="AA22" i="7"/>
  <c r="V22" i="7"/>
  <c r="L48" i="1"/>
  <c r="H48" i="1"/>
  <c r="M24" i="12"/>
  <c r="O24" i="12" s="1"/>
  <c r="Q24" i="12" s="1"/>
  <c r="L25" i="12"/>
  <c r="Y24" i="12"/>
  <c r="C28" i="12"/>
  <c r="D27" i="12"/>
  <c r="G27" i="12" s="1"/>
  <c r="H27" i="12" s="1"/>
  <c r="K26" i="10"/>
  <c r="Z23" i="11"/>
  <c r="R24" i="11"/>
  <c r="X24" i="11" s="1"/>
  <c r="AB24" i="7"/>
  <c r="S24" i="7"/>
  <c r="R24" i="7"/>
  <c r="H57" i="2"/>
  <c r="L57" i="2"/>
  <c r="J26" i="1"/>
  <c r="K26" i="1"/>
  <c r="M26" i="1" s="1"/>
  <c r="O26" i="1" s="1"/>
  <c r="Q26" i="1" s="1"/>
  <c r="T26" i="1" s="1"/>
  <c r="Y23" i="7"/>
  <c r="Z23" i="7" s="1"/>
  <c r="Z23" i="12"/>
  <c r="R24" i="12"/>
  <c r="X24" i="12" s="1"/>
  <c r="Y23" i="10"/>
  <c r="M23" i="10"/>
  <c r="O23" i="10" s="1"/>
  <c r="Q23" i="10" s="1"/>
  <c r="L24" i="10"/>
  <c r="N42" i="7"/>
  <c r="I48" i="1"/>
  <c r="Y24" i="6"/>
  <c r="M25" i="6"/>
  <c r="O25" i="6" s="1"/>
  <c r="Q25" i="6" s="1"/>
  <c r="L25" i="6"/>
  <c r="H28" i="2"/>
  <c r="L28" i="2"/>
  <c r="D27" i="10"/>
  <c r="G27" i="10" s="1"/>
  <c r="H27" i="10" s="1"/>
  <c r="C28" i="10"/>
  <c r="N26" i="12"/>
  <c r="J26" i="12"/>
  <c r="K26" i="12" s="1"/>
  <c r="N27" i="6"/>
  <c r="J27" i="6"/>
  <c r="K27" i="6" s="1"/>
  <c r="D43" i="5"/>
  <c r="G43" i="5" s="1"/>
  <c r="H43" i="5" s="1"/>
  <c r="C44" i="5"/>
  <c r="E27" i="6"/>
  <c r="E27" i="7" s="1"/>
  <c r="J27" i="7" s="1"/>
  <c r="K27" i="7" s="1"/>
  <c r="S23" i="12"/>
  <c r="S24" i="5"/>
  <c r="V24" i="5" s="1"/>
  <c r="N42" i="5"/>
  <c r="J42" i="5"/>
  <c r="S23" i="11"/>
  <c r="V21" i="10"/>
  <c r="W21" i="10"/>
  <c r="R25" i="5"/>
  <c r="S25" i="5" s="1"/>
  <c r="V25" i="5" s="1"/>
  <c r="Z22" i="10"/>
  <c r="S23" i="10"/>
  <c r="R23" i="10"/>
  <c r="X23" i="10" s="1"/>
  <c r="C44" i="7"/>
  <c r="D43" i="7"/>
  <c r="G43" i="7" s="1"/>
  <c r="H43" i="7" s="1"/>
  <c r="K30" i="11" l="1"/>
  <c r="J27" i="12"/>
  <c r="K27" i="12" s="1"/>
  <c r="N27" i="12"/>
  <c r="L49" i="1"/>
  <c r="H49" i="1"/>
  <c r="J30" i="11"/>
  <c r="N30" i="11"/>
  <c r="W23" i="12"/>
  <c r="V23" i="12"/>
  <c r="C29" i="10"/>
  <c r="D28" i="10"/>
  <c r="G28" i="10" s="1"/>
  <c r="H28" i="10" s="1"/>
  <c r="Y24" i="7"/>
  <c r="Z24" i="7" s="1"/>
  <c r="E19" i="4" s="1"/>
  <c r="E13" i="4"/>
  <c r="E27" i="12"/>
  <c r="E50" i="1"/>
  <c r="F50" i="1" s="1"/>
  <c r="C51" i="1"/>
  <c r="D31" i="11"/>
  <c r="G31" i="11" s="1"/>
  <c r="H31" i="11" s="1"/>
  <c r="C32" i="11"/>
  <c r="E31" i="11"/>
  <c r="K26" i="2"/>
  <c r="M26" i="2" s="1"/>
  <c r="O26" i="2" s="1"/>
  <c r="Q26" i="2" s="1"/>
  <c r="T26" i="2" s="1"/>
  <c r="J26" i="2"/>
  <c r="E19" i="8"/>
  <c r="E14" i="8"/>
  <c r="E9" i="8"/>
  <c r="E27" i="4"/>
  <c r="E28" i="4" s="1"/>
  <c r="E8" i="4"/>
  <c r="E9" i="4" s="1"/>
  <c r="I49" i="1"/>
  <c r="V24" i="7"/>
  <c r="D44" i="5"/>
  <c r="G44" i="5" s="1"/>
  <c r="H44" i="5" s="1"/>
  <c r="C45" i="5"/>
  <c r="N43" i="7"/>
  <c r="N43" i="5"/>
  <c r="J43" i="5"/>
  <c r="Y25" i="12"/>
  <c r="M25" i="12"/>
  <c r="O25" i="12" s="1"/>
  <c r="Q25" i="12" s="1"/>
  <c r="L26" i="12"/>
  <c r="N28" i="6"/>
  <c r="J28" i="6"/>
  <c r="K28" i="6" s="1"/>
  <c r="AB25" i="7"/>
  <c r="R25" i="7"/>
  <c r="Y25" i="7" s="1"/>
  <c r="Z25" i="7" s="1"/>
  <c r="L26" i="6"/>
  <c r="Y25" i="6"/>
  <c r="M26" i="6"/>
  <c r="O26" i="6" s="1"/>
  <c r="Q26" i="6" s="1"/>
  <c r="M25" i="11"/>
  <c r="O25" i="11" s="1"/>
  <c r="Q25" i="11" s="1"/>
  <c r="L26" i="11"/>
  <c r="Y25" i="11"/>
  <c r="D28" i="12"/>
  <c r="G28" i="12" s="1"/>
  <c r="H28" i="12" s="1"/>
  <c r="C29" i="12"/>
  <c r="D44" i="7"/>
  <c r="G44" i="7" s="1"/>
  <c r="H44" i="7" s="1"/>
  <c r="C45" i="7"/>
  <c r="V23" i="11"/>
  <c r="W23" i="11"/>
  <c r="L25" i="10"/>
  <c r="Y24" i="10"/>
  <c r="M24" i="10"/>
  <c r="O24" i="10" s="1"/>
  <c r="Q24" i="10" s="1"/>
  <c r="J27" i="1"/>
  <c r="K27" i="1"/>
  <c r="M27" i="1" s="1"/>
  <c r="O27" i="1" s="1"/>
  <c r="Q27" i="1" s="1"/>
  <c r="T27" i="1" s="1"/>
  <c r="Z24" i="12"/>
  <c r="R25" i="12"/>
  <c r="X25" i="12" s="1"/>
  <c r="E28" i="6"/>
  <c r="E28" i="7" s="1"/>
  <c r="J28" i="7" s="1"/>
  <c r="K28" i="7" s="1"/>
  <c r="K29" i="7" s="1"/>
  <c r="S24" i="6"/>
  <c r="E59" i="4"/>
  <c r="E60" i="4" s="1"/>
  <c r="E61" i="4" s="1"/>
  <c r="E45" i="4"/>
  <c r="E46" i="4" s="1"/>
  <c r="E17" i="4"/>
  <c r="E18" i="4" s="1"/>
  <c r="W23" i="10"/>
  <c r="V23" i="10"/>
  <c r="K27" i="10"/>
  <c r="L58" i="2"/>
  <c r="H58" i="2"/>
  <c r="I58" i="2" s="1"/>
  <c r="S25" i="6"/>
  <c r="R25" i="6"/>
  <c r="X25" i="6" s="1"/>
  <c r="Z25" i="6"/>
  <c r="N27" i="10"/>
  <c r="J27" i="10"/>
  <c r="S24" i="12"/>
  <c r="M27" i="5"/>
  <c r="O27" i="5" s="1"/>
  <c r="Q27" i="5" s="1"/>
  <c r="L27" i="5"/>
  <c r="E27" i="10"/>
  <c r="S26" i="5"/>
  <c r="V26" i="5" s="1"/>
  <c r="R26" i="5"/>
  <c r="Z23" i="10"/>
  <c r="R24" i="10"/>
  <c r="X24" i="10" s="1"/>
  <c r="S24" i="11"/>
  <c r="C30" i="6"/>
  <c r="E29" i="6"/>
  <c r="E29" i="7" s="1"/>
  <c r="J29" i="7" s="1"/>
  <c r="D29" i="6"/>
  <c r="G29" i="6" s="1"/>
  <c r="H29" i="6" s="1"/>
  <c r="L26" i="7"/>
  <c r="W25" i="7"/>
  <c r="X25" i="7" s="1"/>
  <c r="M26" i="7"/>
  <c r="O26" i="7" s="1"/>
  <c r="Q26" i="7" s="1"/>
  <c r="E59" i="2"/>
  <c r="F59" i="2" s="1"/>
  <c r="C60" i="2"/>
  <c r="S25" i="11"/>
  <c r="Z24" i="11"/>
  <c r="R25" i="11"/>
  <c r="X25" i="11" s="1"/>
  <c r="J28" i="10" l="1"/>
  <c r="N28" i="10"/>
  <c r="W25" i="11"/>
  <c r="V25" i="11"/>
  <c r="E28" i="12"/>
  <c r="S25" i="7"/>
  <c r="D32" i="11"/>
  <c r="G32" i="11" s="1"/>
  <c r="H32" i="11" s="1"/>
  <c r="C33" i="11"/>
  <c r="E28" i="10"/>
  <c r="R27" i="5"/>
  <c r="S27" i="5" s="1"/>
  <c r="V27" i="5" s="1"/>
  <c r="L26" i="10"/>
  <c r="Y25" i="10"/>
  <c r="M25" i="10"/>
  <c r="O25" i="10" s="1"/>
  <c r="Q25" i="10" s="1"/>
  <c r="C30" i="10"/>
  <c r="D29" i="10"/>
  <c r="G29" i="10" s="1"/>
  <c r="H29" i="10" s="1"/>
  <c r="E29" i="10"/>
  <c r="S26" i="11"/>
  <c r="Z25" i="11"/>
  <c r="R26" i="11"/>
  <c r="X26" i="11" s="1"/>
  <c r="H50" i="1"/>
  <c r="L50" i="1"/>
  <c r="D45" i="7"/>
  <c r="G45" i="7" s="1"/>
  <c r="H45" i="7" s="1"/>
  <c r="C46" i="7"/>
  <c r="N44" i="5"/>
  <c r="J44" i="5"/>
  <c r="S25" i="10"/>
  <c r="Z24" i="10"/>
  <c r="R25" i="10"/>
  <c r="X25" i="10" s="1"/>
  <c r="M28" i="5"/>
  <c r="O28" i="5" s="1"/>
  <c r="Q28" i="5" s="1"/>
  <c r="L28" i="5"/>
  <c r="W24" i="6"/>
  <c r="V24" i="6"/>
  <c r="J31" i="11"/>
  <c r="K31" i="11" s="1"/>
  <c r="N31" i="11"/>
  <c r="L59" i="2"/>
  <c r="H59" i="2"/>
  <c r="I59" i="2" s="1"/>
  <c r="W24" i="12"/>
  <c r="V24" i="12"/>
  <c r="D45" i="5"/>
  <c r="G45" i="5" s="1"/>
  <c r="H45" i="5" s="1"/>
  <c r="C46" i="5"/>
  <c r="S24" i="10"/>
  <c r="S25" i="12"/>
  <c r="S26" i="6"/>
  <c r="R26" i="6"/>
  <c r="X26" i="6" s="1"/>
  <c r="Z26" i="6"/>
  <c r="Y26" i="12"/>
  <c r="M26" i="12"/>
  <c r="O26" i="12" s="1"/>
  <c r="Q26" i="12" s="1"/>
  <c r="L27" i="12"/>
  <c r="L27" i="7"/>
  <c r="W26" i="7"/>
  <c r="X26" i="7" s="1"/>
  <c r="M27" i="7"/>
  <c r="O27" i="7" s="1"/>
  <c r="Q27" i="7" s="1"/>
  <c r="N44" i="7"/>
  <c r="R26" i="12"/>
  <c r="X26" i="12" s="1"/>
  <c r="S26" i="12"/>
  <c r="Z25" i="12"/>
  <c r="AA24" i="7"/>
  <c r="K27" i="2"/>
  <c r="M27" i="2" s="1"/>
  <c r="O27" i="2" s="1"/>
  <c r="Q27" i="2" s="1"/>
  <c r="T27" i="2" s="1"/>
  <c r="J27" i="2"/>
  <c r="W25" i="6"/>
  <c r="V25" i="6"/>
  <c r="J28" i="12"/>
  <c r="K28" i="12" s="1"/>
  <c r="N28" i="12"/>
  <c r="I50" i="1"/>
  <c r="D30" i="6"/>
  <c r="G30" i="6" s="1"/>
  <c r="H30" i="6" s="1"/>
  <c r="C31" i="6"/>
  <c r="E60" i="2"/>
  <c r="F60" i="2" s="1"/>
  <c r="C61" i="2"/>
  <c r="W24" i="11"/>
  <c r="V24" i="11"/>
  <c r="K28" i="10"/>
  <c r="Y26" i="11"/>
  <c r="M26" i="11"/>
  <c r="O26" i="11" s="1"/>
  <c r="Q26" i="11" s="1"/>
  <c r="L27" i="11"/>
  <c r="E51" i="1"/>
  <c r="F51" i="1" s="1"/>
  <c r="C52" i="1"/>
  <c r="AB26" i="7"/>
  <c r="R26" i="7"/>
  <c r="Y26" i="7" s="1"/>
  <c r="Z26" i="7" s="1"/>
  <c r="J29" i="6"/>
  <c r="K29" i="6" s="1"/>
  <c r="N29" i="6"/>
  <c r="J28" i="1"/>
  <c r="K28" i="1"/>
  <c r="M28" i="1" s="1"/>
  <c r="O28" i="1" s="1"/>
  <c r="Q28" i="1" s="1"/>
  <c r="T28" i="1" s="1"/>
  <c r="D29" i="12"/>
  <c r="G29" i="12" s="1"/>
  <c r="H29" i="12" s="1"/>
  <c r="C30" i="12"/>
  <c r="M27" i="6"/>
  <c r="O27" i="6" s="1"/>
  <c r="Q27" i="6" s="1"/>
  <c r="L27" i="6"/>
  <c r="Y26" i="6"/>
  <c r="E20" i="8"/>
  <c r="E15" i="8"/>
  <c r="E10" i="8"/>
  <c r="E30" i="4"/>
  <c r="E31" i="4" s="1"/>
  <c r="E14" i="4"/>
  <c r="E15" i="4" s="1"/>
  <c r="R27" i="6" l="1"/>
  <c r="X27" i="6" s="1"/>
  <c r="Z27" i="6"/>
  <c r="S27" i="6"/>
  <c r="S26" i="7"/>
  <c r="V26" i="12"/>
  <c r="W26" i="12"/>
  <c r="N45" i="7"/>
  <c r="R27" i="11"/>
  <c r="X27" i="11" s="1"/>
  <c r="S27" i="11"/>
  <c r="Z26" i="11"/>
  <c r="W25" i="12"/>
  <c r="V25" i="12"/>
  <c r="L28" i="6"/>
  <c r="M28" i="6"/>
  <c r="O28" i="6" s="1"/>
  <c r="Q28" i="6" s="1"/>
  <c r="Y27" i="6"/>
  <c r="L28" i="7"/>
  <c r="W27" i="7"/>
  <c r="X27" i="7" s="1"/>
  <c r="M28" i="7"/>
  <c r="O28" i="7" s="1"/>
  <c r="Q28" i="7" s="1"/>
  <c r="I51" i="1"/>
  <c r="D46" i="5"/>
  <c r="G46" i="5" s="1"/>
  <c r="H46" i="5" s="1"/>
  <c r="C47" i="5"/>
  <c r="N45" i="5"/>
  <c r="J45" i="5"/>
  <c r="D46" i="7"/>
  <c r="G46" i="7" s="1"/>
  <c r="H46" i="7" s="1"/>
  <c r="C47" i="7"/>
  <c r="J29" i="10"/>
  <c r="K29" i="10" s="1"/>
  <c r="N29" i="10"/>
  <c r="E61" i="2"/>
  <c r="F61" i="2" s="1"/>
  <c r="C62" i="2"/>
  <c r="J32" i="11"/>
  <c r="K32" i="11" s="1"/>
  <c r="N32" i="11"/>
  <c r="V25" i="10"/>
  <c r="W25" i="10"/>
  <c r="E30" i="6"/>
  <c r="E30" i="7" s="1"/>
  <c r="J30" i="7" s="1"/>
  <c r="K30" i="7" s="1"/>
  <c r="K31" i="7" s="1"/>
  <c r="W24" i="10"/>
  <c r="V24" i="10"/>
  <c r="W26" i="11"/>
  <c r="V26" i="11"/>
  <c r="L28" i="12"/>
  <c r="Y27" i="12"/>
  <c r="M27" i="12"/>
  <c r="O27" i="12" s="1"/>
  <c r="Q27" i="12" s="1"/>
  <c r="C31" i="12"/>
  <c r="D30" i="12"/>
  <c r="G30" i="12" s="1"/>
  <c r="H30" i="12" s="1"/>
  <c r="E30" i="12"/>
  <c r="N29" i="12"/>
  <c r="J29" i="12"/>
  <c r="K29" i="12" s="1"/>
  <c r="M29" i="5"/>
  <c r="O29" i="5" s="1"/>
  <c r="Q29" i="5" s="1"/>
  <c r="L29" i="5"/>
  <c r="D33" i="11"/>
  <c r="G33" i="11" s="1"/>
  <c r="H33" i="11" s="1"/>
  <c r="C34" i="11"/>
  <c r="E29" i="12"/>
  <c r="C53" i="1"/>
  <c r="E52" i="1"/>
  <c r="F52" i="1" s="1"/>
  <c r="R28" i="5"/>
  <c r="S28" i="5"/>
  <c r="V28" i="5" s="1"/>
  <c r="D30" i="10"/>
  <c r="G30" i="10" s="1"/>
  <c r="H30" i="10" s="1"/>
  <c r="C31" i="10"/>
  <c r="L51" i="1"/>
  <c r="H51" i="1"/>
  <c r="L60" i="2"/>
  <c r="H60" i="2"/>
  <c r="R26" i="10"/>
  <c r="X26" i="10" s="1"/>
  <c r="Z25" i="10"/>
  <c r="S26" i="10"/>
  <c r="E32" i="11"/>
  <c r="N30" i="6"/>
  <c r="J30" i="6"/>
  <c r="K30" i="6" s="1"/>
  <c r="E21" i="8"/>
  <c r="E16" i="8"/>
  <c r="E11" i="8"/>
  <c r="E20" i="4"/>
  <c r="E21" i="4" s="1"/>
  <c r="E33" i="4"/>
  <c r="E34" i="4" s="1"/>
  <c r="Z26" i="12"/>
  <c r="R27" i="12"/>
  <c r="X27" i="12" s="1"/>
  <c r="K29" i="1"/>
  <c r="M29" i="1" s="1"/>
  <c r="O29" i="1" s="1"/>
  <c r="Q29" i="1" s="1"/>
  <c r="T29" i="1" s="1"/>
  <c r="J29" i="1"/>
  <c r="L28" i="11"/>
  <c r="Y27" i="11"/>
  <c r="M27" i="11"/>
  <c r="O27" i="11" s="1"/>
  <c r="Q27" i="11" s="1"/>
  <c r="C32" i="6"/>
  <c r="D31" i="6"/>
  <c r="G31" i="6" s="1"/>
  <c r="H31" i="6" s="1"/>
  <c r="E31" i="6"/>
  <c r="E31" i="7" s="1"/>
  <c r="J31" i="7" s="1"/>
  <c r="K28" i="2"/>
  <c r="M28" i="2" s="1"/>
  <c r="O28" i="2" s="1"/>
  <c r="Q28" i="2" s="1"/>
  <c r="T28" i="2" s="1"/>
  <c r="J28" i="2"/>
  <c r="AB27" i="7"/>
  <c r="R27" i="7"/>
  <c r="Y27" i="7" s="1"/>
  <c r="Z27" i="7" s="1"/>
  <c r="V26" i="6"/>
  <c r="W26" i="6"/>
  <c r="V25" i="7"/>
  <c r="AA25" i="7"/>
  <c r="M26" i="10"/>
  <c r="O26" i="10" s="1"/>
  <c r="Q26" i="10" s="1"/>
  <c r="Y26" i="10"/>
  <c r="L27" i="10"/>
  <c r="Z27" i="11" l="1"/>
  <c r="R28" i="11"/>
  <c r="X28" i="11" s="1"/>
  <c r="W26" i="10"/>
  <c r="V26" i="10"/>
  <c r="C32" i="12"/>
  <c r="D31" i="12"/>
  <c r="G31" i="12" s="1"/>
  <c r="H31" i="12" s="1"/>
  <c r="E30" i="10"/>
  <c r="AB28" i="7"/>
  <c r="S28" i="7"/>
  <c r="R28" i="7"/>
  <c r="L29" i="11"/>
  <c r="Y28" i="11"/>
  <c r="M28" i="11"/>
  <c r="O28" i="11" s="1"/>
  <c r="Q28" i="11" s="1"/>
  <c r="L30" i="5"/>
  <c r="M30" i="5"/>
  <c r="O30" i="5" s="1"/>
  <c r="Q30" i="5" s="1"/>
  <c r="M28" i="12"/>
  <c r="O28" i="12" s="1"/>
  <c r="Q28" i="12" s="1"/>
  <c r="L29" i="12"/>
  <c r="Y28" i="12"/>
  <c r="H52" i="1"/>
  <c r="L52" i="1"/>
  <c r="V26" i="7"/>
  <c r="AA26" i="7"/>
  <c r="S27" i="7"/>
  <c r="S28" i="12"/>
  <c r="Z27" i="12"/>
  <c r="R28" i="12"/>
  <c r="X28" i="12" s="1"/>
  <c r="D47" i="7"/>
  <c r="G47" i="7" s="1"/>
  <c r="H47" i="7" s="1"/>
  <c r="C48" i="7"/>
  <c r="K30" i="1"/>
  <c r="M30" i="1" s="1"/>
  <c r="O30" i="1" s="1"/>
  <c r="Q30" i="1" s="1"/>
  <c r="T30" i="1" s="1"/>
  <c r="J30" i="1"/>
  <c r="L29" i="7"/>
  <c r="M29" i="7"/>
  <c r="O29" i="7" s="1"/>
  <c r="Q29" i="7" s="1"/>
  <c r="W28" i="7"/>
  <c r="X28" i="7" s="1"/>
  <c r="R28" i="6"/>
  <c r="X28" i="6" s="1"/>
  <c r="Z28" i="6"/>
  <c r="S28" i="6"/>
  <c r="D34" i="11"/>
  <c r="G34" i="11" s="1"/>
  <c r="H34" i="11" s="1"/>
  <c r="C35" i="11"/>
  <c r="I52" i="1"/>
  <c r="Y27" i="10"/>
  <c r="M27" i="10"/>
  <c r="O27" i="10" s="1"/>
  <c r="Q27" i="10" s="1"/>
  <c r="L28" i="10"/>
  <c r="J33" i="11"/>
  <c r="K33" i="11" s="1"/>
  <c r="N33" i="11"/>
  <c r="W27" i="6"/>
  <c r="V27" i="6"/>
  <c r="Z26" i="10"/>
  <c r="R27" i="10"/>
  <c r="X27" i="10" s="1"/>
  <c r="E53" i="1"/>
  <c r="F53" i="1" s="1"/>
  <c r="C54" i="1"/>
  <c r="E62" i="2"/>
  <c r="F62" i="2" s="1"/>
  <c r="C63" i="2"/>
  <c r="D47" i="5"/>
  <c r="G47" i="5" s="1"/>
  <c r="H47" i="5" s="1"/>
  <c r="C48" i="5"/>
  <c r="L29" i="6"/>
  <c r="Y28" i="6"/>
  <c r="M29" i="6"/>
  <c r="O29" i="6" s="1"/>
  <c r="Q29" i="6" s="1"/>
  <c r="J30" i="10"/>
  <c r="K30" i="10" s="1"/>
  <c r="N30" i="10"/>
  <c r="W27" i="11"/>
  <c r="V27" i="11"/>
  <c r="J29" i="2"/>
  <c r="K29" i="2"/>
  <c r="M29" i="2" s="1"/>
  <c r="O29" i="2" s="1"/>
  <c r="Q29" i="2" s="1"/>
  <c r="T29" i="2" s="1"/>
  <c r="R29" i="5"/>
  <c r="S29" i="5" s="1"/>
  <c r="V29" i="5" s="1"/>
  <c r="N46" i="7"/>
  <c r="J31" i="6"/>
  <c r="K31" i="6" s="1"/>
  <c r="N31" i="6"/>
  <c r="D32" i="6"/>
  <c r="G32" i="6" s="1"/>
  <c r="H32" i="6" s="1"/>
  <c r="C33" i="6"/>
  <c r="S27" i="12"/>
  <c r="D31" i="10"/>
  <c r="G31" i="10" s="1"/>
  <c r="H31" i="10" s="1"/>
  <c r="C32" i="10"/>
  <c r="E33" i="11"/>
  <c r="N30" i="12"/>
  <c r="J30" i="12"/>
  <c r="K30" i="12" s="1"/>
  <c r="H61" i="2"/>
  <c r="L61" i="2"/>
  <c r="N46" i="5"/>
  <c r="J46" i="5"/>
  <c r="J30" i="2" l="1"/>
  <c r="K30" i="2"/>
  <c r="M30" i="2" s="1"/>
  <c r="O30" i="2" s="1"/>
  <c r="Q30" i="2" s="1"/>
  <c r="T30" i="2" s="1"/>
  <c r="I53" i="1"/>
  <c r="C33" i="10"/>
  <c r="D32" i="10"/>
  <c r="G32" i="10" s="1"/>
  <c r="H32" i="10" s="1"/>
  <c r="N47" i="5"/>
  <c r="J47" i="5"/>
  <c r="C36" i="11"/>
  <c r="D35" i="11"/>
  <c r="G35" i="11" s="1"/>
  <c r="H35" i="11" s="1"/>
  <c r="L30" i="7"/>
  <c r="M30" i="7"/>
  <c r="O30" i="7" s="1"/>
  <c r="Q30" i="7" s="1"/>
  <c r="W29" i="7"/>
  <c r="X29" i="7" s="1"/>
  <c r="V27" i="7"/>
  <c r="AA27" i="7"/>
  <c r="R30" i="5"/>
  <c r="S30" i="5" s="1"/>
  <c r="V30" i="5" s="1"/>
  <c r="AB29" i="7"/>
  <c r="S29" i="7"/>
  <c r="R29" i="7"/>
  <c r="S28" i="11"/>
  <c r="J31" i="1"/>
  <c r="K31" i="1"/>
  <c r="M31" i="1" s="1"/>
  <c r="O31" i="1" s="1"/>
  <c r="Q31" i="1" s="1"/>
  <c r="T31" i="1" s="1"/>
  <c r="E31" i="10"/>
  <c r="L62" i="2"/>
  <c r="H62" i="2"/>
  <c r="E34" i="11"/>
  <c r="R29" i="11"/>
  <c r="X29" i="11" s="1"/>
  <c r="Z28" i="11"/>
  <c r="E31" i="12"/>
  <c r="M30" i="6"/>
  <c r="O30" i="6" s="1"/>
  <c r="Q30" i="6" s="1"/>
  <c r="L30" i="6"/>
  <c r="Y29" i="6"/>
  <c r="V28" i="7"/>
  <c r="AA28" i="7"/>
  <c r="Z28" i="12"/>
  <c r="R29" i="12"/>
  <c r="X29" i="12" s="1"/>
  <c r="N31" i="10"/>
  <c r="J31" i="10"/>
  <c r="K31" i="10" s="1"/>
  <c r="E63" i="2"/>
  <c r="F63" i="2" s="1"/>
  <c r="C64" i="2"/>
  <c r="M31" i="5"/>
  <c r="O31" i="5" s="1"/>
  <c r="Q31" i="5" s="1"/>
  <c r="L31" i="5"/>
  <c r="C55" i="1"/>
  <c r="E54" i="1"/>
  <c r="F54" i="1" s="1"/>
  <c r="V28" i="6"/>
  <c r="W28" i="6"/>
  <c r="D48" i="7"/>
  <c r="G48" i="7" s="1"/>
  <c r="H48" i="7" s="1"/>
  <c r="C49" i="7"/>
  <c r="E32" i="12"/>
  <c r="D32" i="12"/>
  <c r="G32" i="12" s="1"/>
  <c r="H32" i="12" s="1"/>
  <c r="C33" i="12"/>
  <c r="J32" i="6"/>
  <c r="K32" i="6" s="1"/>
  <c r="N32" i="6"/>
  <c r="R29" i="6"/>
  <c r="X29" i="6" s="1"/>
  <c r="Z29" i="6"/>
  <c r="H53" i="1"/>
  <c r="L53" i="1"/>
  <c r="L29" i="10"/>
  <c r="Y28" i="10"/>
  <c r="M28" i="10"/>
  <c r="O28" i="10" s="1"/>
  <c r="Q28" i="10" s="1"/>
  <c r="N47" i="7"/>
  <c r="L30" i="11"/>
  <c r="Y29" i="11"/>
  <c r="M29" i="11"/>
  <c r="O29" i="11" s="1"/>
  <c r="Q29" i="11" s="1"/>
  <c r="Y29" i="12"/>
  <c r="M29" i="12"/>
  <c r="O29" i="12" s="1"/>
  <c r="Q29" i="12" s="1"/>
  <c r="L30" i="12"/>
  <c r="D48" i="5"/>
  <c r="G48" i="5" s="1"/>
  <c r="H48" i="5" s="1"/>
  <c r="C49" i="5"/>
  <c r="W28" i="12"/>
  <c r="V28" i="12"/>
  <c r="N34" i="11"/>
  <c r="J34" i="11"/>
  <c r="K34" i="11" s="1"/>
  <c r="J31" i="12"/>
  <c r="K31" i="12" s="1"/>
  <c r="N31" i="12"/>
  <c r="V27" i="12"/>
  <c r="W27" i="12"/>
  <c r="E32" i="6"/>
  <c r="E32" i="7" s="1"/>
  <c r="J32" i="7" s="1"/>
  <c r="K32" i="7" s="1"/>
  <c r="K33" i="7" s="1"/>
  <c r="E33" i="6"/>
  <c r="E33" i="7" s="1"/>
  <c r="J33" i="7" s="1"/>
  <c r="D33" i="6"/>
  <c r="G33" i="6" s="1"/>
  <c r="H33" i="6" s="1"/>
  <c r="C34" i="6"/>
  <c r="S27" i="10"/>
  <c r="Z27" i="10"/>
  <c r="R28" i="10"/>
  <c r="X28" i="10" s="1"/>
  <c r="Y28" i="7"/>
  <c r="Z28" i="7" s="1"/>
  <c r="C65" i="2" l="1"/>
  <c r="E64" i="2"/>
  <c r="F64" i="2" s="1"/>
  <c r="L31" i="7"/>
  <c r="W30" i="7"/>
  <c r="X30" i="7" s="1"/>
  <c r="M31" i="7"/>
  <c r="O31" i="7" s="1"/>
  <c r="Q31" i="7" s="1"/>
  <c r="D49" i="5"/>
  <c r="G49" i="5" s="1"/>
  <c r="H49" i="5" s="1"/>
  <c r="C50" i="5"/>
  <c r="H63" i="2"/>
  <c r="L63" i="2"/>
  <c r="Y30" i="6"/>
  <c r="M31" i="6"/>
  <c r="O31" i="6" s="1"/>
  <c r="Q31" i="6" s="1"/>
  <c r="L31" i="6"/>
  <c r="E35" i="11"/>
  <c r="S28" i="10"/>
  <c r="Z30" i="6"/>
  <c r="R30" i="6"/>
  <c r="X30" i="6" s="1"/>
  <c r="L31" i="11"/>
  <c r="Y30" i="11"/>
  <c r="M30" i="11"/>
  <c r="O30" i="11" s="1"/>
  <c r="Q30" i="11" s="1"/>
  <c r="C50" i="7"/>
  <c r="D49" i="7"/>
  <c r="G49" i="7" s="1"/>
  <c r="H49" i="7" s="1"/>
  <c r="V29" i="7"/>
  <c r="N48" i="7"/>
  <c r="I54" i="1"/>
  <c r="L31" i="12"/>
  <c r="Y30" i="12"/>
  <c r="M30" i="12"/>
  <c r="O30" i="12" s="1"/>
  <c r="Q30" i="12" s="1"/>
  <c r="K31" i="2"/>
  <c r="M31" i="2" s="1"/>
  <c r="O31" i="2" s="1"/>
  <c r="Q31" i="2" s="1"/>
  <c r="T31" i="2" s="1"/>
  <c r="J31" i="2"/>
  <c r="R30" i="12"/>
  <c r="X30" i="12" s="1"/>
  <c r="Z29" i="12"/>
  <c r="S30" i="12"/>
  <c r="L54" i="1"/>
  <c r="H54" i="1"/>
  <c r="C35" i="6"/>
  <c r="D34" i="6"/>
  <c r="G34" i="6" s="1"/>
  <c r="H34" i="6" s="1"/>
  <c r="L30" i="10"/>
  <c r="Y29" i="10"/>
  <c r="M29" i="10"/>
  <c r="O29" i="10" s="1"/>
  <c r="Q29" i="10" s="1"/>
  <c r="C34" i="12"/>
  <c r="D33" i="12"/>
  <c r="G33" i="12" s="1"/>
  <c r="H33" i="12" s="1"/>
  <c r="E33" i="12"/>
  <c r="C56" i="1"/>
  <c r="E55" i="1"/>
  <c r="F55" i="1" s="1"/>
  <c r="S29" i="11"/>
  <c r="K32" i="1"/>
  <c r="M32" i="1" s="1"/>
  <c r="O32" i="1" s="1"/>
  <c r="Q32" i="1" s="1"/>
  <c r="T32" i="1" s="1"/>
  <c r="J32" i="1"/>
  <c r="C34" i="10"/>
  <c r="E33" i="10"/>
  <c r="D33" i="10"/>
  <c r="G33" i="10" s="1"/>
  <c r="H33" i="10" s="1"/>
  <c r="N35" i="11"/>
  <c r="J35" i="11"/>
  <c r="K35" i="11" s="1"/>
  <c r="N48" i="5"/>
  <c r="J48" i="5"/>
  <c r="S29" i="6"/>
  <c r="AA29" i="7" s="1"/>
  <c r="Z28" i="10"/>
  <c r="R29" i="10"/>
  <c r="X29" i="10" s="1"/>
  <c r="C37" i="11"/>
  <c r="D36" i="11"/>
  <c r="G36" i="11" s="1"/>
  <c r="H36" i="11" s="1"/>
  <c r="W27" i="10"/>
  <c r="V27" i="10"/>
  <c r="N33" i="6"/>
  <c r="J33" i="6"/>
  <c r="K33" i="6" s="1"/>
  <c r="R30" i="11"/>
  <c r="X30" i="11" s="1"/>
  <c r="Z29" i="11"/>
  <c r="N32" i="12"/>
  <c r="J32" i="12"/>
  <c r="K32" i="12" s="1"/>
  <c r="M32" i="5"/>
  <c r="O32" i="5" s="1"/>
  <c r="Q32" i="5" s="1"/>
  <c r="L32" i="5"/>
  <c r="S29" i="12"/>
  <c r="V28" i="11"/>
  <c r="W28" i="11"/>
  <c r="N32" i="10"/>
  <c r="J32" i="10"/>
  <c r="K32" i="10" s="1"/>
  <c r="R31" i="5"/>
  <c r="S31" i="5" s="1"/>
  <c r="V31" i="5" s="1"/>
  <c r="Y29" i="7"/>
  <c r="Z29" i="7" s="1"/>
  <c r="AB30" i="7"/>
  <c r="R30" i="7"/>
  <c r="Y30" i="7" s="1"/>
  <c r="Z30" i="7" s="1"/>
  <c r="E32" i="10"/>
  <c r="K33" i="10" l="1"/>
  <c r="K33" i="1"/>
  <c r="M33" i="1" s="1"/>
  <c r="O33" i="1" s="1"/>
  <c r="Q33" i="1" s="1"/>
  <c r="T33" i="1" s="1"/>
  <c r="J33" i="1"/>
  <c r="V30" i="12"/>
  <c r="W30" i="12"/>
  <c r="C38" i="11"/>
  <c r="E37" i="11"/>
  <c r="D37" i="11"/>
  <c r="G37" i="11" s="1"/>
  <c r="H37" i="11" s="1"/>
  <c r="C66" i="2"/>
  <c r="E65" i="2"/>
  <c r="F65" i="2" s="1"/>
  <c r="Z30" i="11"/>
  <c r="R31" i="11"/>
  <c r="X31" i="11" s="1"/>
  <c r="W29" i="11"/>
  <c r="V29" i="11"/>
  <c r="J34" i="6"/>
  <c r="K34" i="6" s="1"/>
  <c r="N34" i="6"/>
  <c r="K32" i="2"/>
  <c r="M32" i="2" s="1"/>
  <c r="O32" i="2" s="1"/>
  <c r="Q32" i="2" s="1"/>
  <c r="T32" i="2" s="1"/>
  <c r="J32" i="2"/>
  <c r="R32" i="5"/>
  <c r="S32" i="5" s="1"/>
  <c r="V32" i="5" s="1"/>
  <c r="D34" i="12"/>
  <c r="G34" i="12" s="1"/>
  <c r="H34" i="12" s="1"/>
  <c r="C35" i="12"/>
  <c r="E34" i="12"/>
  <c r="M32" i="6"/>
  <c r="O32" i="6" s="1"/>
  <c r="Q32" i="6" s="1"/>
  <c r="L32" i="6"/>
  <c r="Y31" i="6"/>
  <c r="R30" i="10"/>
  <c r="X30" i="10" s="1"/>
  <c r="Z29" i="10"/>
  <c r="L32" i="7"/>
  <c r="M32" i="7"/>
  <c r="O32" i="7" s="1"/>
  <c r="Q32" i="7" s="1"/>
  <c r="W31" i="7"/>
  <c r="X31" i="7" s="1"/>
  <c r="H55" i="1"/>
  <c r="I55" i="1" s="1"/>
  <c r="L55" i="1"/>
  <c r="S30" i="7"/>
  <c r="S30" i="11"/>
  <c r="J33" i="10"/>
  <c r="N33" i="10"/>
  <c r="E56" i="1"/>
  <c r="F56" i="1" s="1"/>
  <c r="C57" i="1"/>
  <c r="E34" i="6"/>
  <c r="E34" i="7" s="1"/>
  <c r="J34" i="7" s="1"/>
  <c r="K34" i="7" s="1"/>
  <c r="S30" i="6"/>
  <c r="D50" i="5"/>
  <c r="G50" i="5" s="1"/>
  <c r="H50" i="5" s="1"/>
  <c r="C51" i="5"/>
  <c r="V29" i="6"/>
  <c r="W29" i="6"/>
  <c r="L32" i="12"/>
  <c r="Y31" i="12"/>
  <c r="M31" i="12"/>
  <c r="O31" i="12" s="1"/>
  <c r="Q31" i="12" s="1"/>
  <c r="R31" i="6"/>
  <c r="X31" i="6" s="1"/>
  <c r="Z31" i="6"/>
  <c r="Y31" i="11"/>
  <c r="M31" i="11"/>
  <c r="O31" i="11" s="1"/>
  <c r="Q31" i="11" s="1"/>
  <c r="L32" i="11"/>
  <c r="E36" i="11"/>
  <c r="W29" i="12"/>
  <c r="V29" i="12"/>
  <c r="D35" i="6"/>
  <c r="G35" i="6" s="1"/>
  <c r="H35" i="6" s="1"/>
  <c r="C36" i="6"/>
  <c r="Z30" i="12"/>
  <c r="R31" i="12"/>
  <c r="X31" i="12" s="1"/>
  <c r="N49" i="7"/>
  <c r="W28" i="10"/>
  <c r="V28" i="10"/>
  <c r="N49" i="5"/>
  <c r="J49" i="5"/>
  <c r="N36" i="11"/>
  <c r="J36" i="11"/>
  <c r="K36" i="11" s="1"/>
  <c r="H64" i="2"/>
  <c r="L64" i="2"/>
  <c r="M30" i="10"/>
  <c r="O30" i="10" s="1"/>
  <c r="Q30" i="10" s="1"/>
  <c r="Y30" i="10"/>
  <c r="L31" i="10"/>
  <c r="M33" i="5"/>
  <c r="O33" i="5" s="1"/>
  <c r="Q33" i="5" s="1"/>
  <c r="L33" i="5"/>
  <c r="S29" i="10"/>
  <c r="D34" i="10"/>
  <c r="G34" i="10" s="1"/>
  <c r="H34" i="10" s="1"/>
  <c r="C35" i="10"/>
  <c r="J33" i="12"/>
  <c r="K33" i="12" s="1"/>
  <c r="N33" i="12"/>
  <c r="C51" i="7"/>
  <c r="D50" i="7"/>
  <c r="G50" i="7" s="1"/>
  <c r="H50" i="7" s="1"/>
  <c r="AB31" i="7"/>
  <c r="R31" i="7"/>
  <c r="Y31" i="7" s="1"/>
  <c r="Z31" i="7" s="1"/>
  <c r="V30" i="11" l="1"/>
  <c r="W30" i="11"/>
  <c r="V30" i="7"/>
  <c r="AA30" i="7"/>
  <c r="H65" i="2"/>
  <c r="L65" i="2"/>
  <c r="D51" i="5"/>
  <c r="G51" i="5" s="1"/>
  <c r="H51" i="5" s="1"/>
  <c r="C52" i="5"/>
  <c r="S31" i="11"/>
  <c r="S31" i="6"/>
  <c r="S32" i="12"/>
  <c r="Z31" i="12"/>
  <c r="R32" i="12"/>
  <c r="X32" i="12" s="1"/>
  <c r="C67" i="2"/>
  <c r="E66" i="2"/>
  <c r="F66" i="2" s="1"/>
  <c r="K34" i="10"/>
  <c r="N35" i="6"/>
  <c r="J35" i="6"/>
  <c r="K35" i="6" s="1"/>
  <c r="C58" i="1"/>
  <c r="E57" i="1"/>
  <c r="F57" i="1" s="1"/>
  <c r="Z32" i="6"/>
  <c r="R32" i="6"/>
  <c r="X32" i="6" s="1"/>
  <c r="C52" i="7"/>
  <c r="D51" i="7"/>
  <c r="G51" i="7" s="1"/>
  <c r="H51" i="7" s="1"/>
  <c r="R33" i="5"/>
  <c r="S33" i="5" s="1"/>
  <c r="V33" i="5" s="1"/>
  <c r="S31" i="12"/>
  <c r="Y32" i="11"/>
  <c r="M32" i="11"/>
  <c r="O32" i="11" s="1"/>
  <c r="Q32" i="11" s="1"/>
  <c r="L33" i="11"/>
  <c r="Y32" i="12"/>
  <c r="M32" i="12"/>
  <c r="O32" i="12" s="1"/>
  <c r="Q32" i="12" s="1"/>
  <c r="L33" i="12"/>
  <c r="L56" i="1"/>
  <c r="H56" i="1"/>
  <c r="I56" i="1" s="1"/>
  <c r="AB32" i="7"/>
  <c r="R32" i="7"/>
  <c r="Y32" i="7" s="1"/>
  <c r="Z32" i="7" s="1"/>
  <c r="N37" i="11"/>
  <c r="J37" i="11"/>
  <c r="K37" i="11" s="1"/>
  <c r="S31" i="10"/>
  <c r="Z30" i="10"/>
  <c r="R31" i="10"/>
  <c r="X31" i="10" s="1"/>
  <c r="N34" i="10"/>
  <c r="J34" i="10"/>
  <c r="E35" i="6"/>
  <c r="E35" i="7" s="1"/>
  <c r="J35" i="7" s="1"/>
  <c r="K35" i="7" s="1"/>
  <c r="K36" i="7" s="1"/>
  <c r="S31" i="7"/>
  <c r="J34" i="1"/>
  <c r="K34" i="1"/>
  <c r="M34" i="1" s="1"/>
  <c r="O34" i="1" s="1"/>
  <c r="Q34" i="1" s="1"/>
  <c r="T34" i="1" s="1"/>
  <c r="M33" i="6"/>
  <c r="O33" i="6" s="1"/>
  <c r="Q33" i="6" s="1"/>
  <c r="L33" i="6"/>
  <c r="Y32" i="6"/>
  <c r="M34" i="5"/>
  <c r="O34" i="5" s="1"/>
  <c r="Q34" i="5" s="1"/>
  <c r="L34" i="5"/>
  <c r="Y31" i="10"/>
  <c r="M31" i="10"/>
  <c r="O31" i="10" s="1"/>
  <c r="Q31" i="10" s="1"/>
  <c r="L32" i="10"/>
  <c r="S32" i="11"/>
  <c r="Z31" i="11"/>
  <c r="R32" i="11"/>
  <c r="X32" i="11" s="1"/>
  <c r="M33" i="7"/>
  <c r="O33" i="7" s="1"/>
  <c r="Q33" i="7" s="1"/>
  <c r="L33" i="7"/>
  <c r="W32" i="7"/>
  <c r="X32" i="7" s="1"/>
  <c r="D35" i="12"/>
  <c r="G35" i="12" s="1"/>
  <c r="H35" i="12" s="1"/>
  <c r="C36" i="12"/>
  <c r="C36" i="10"/>
  <c r="D35" i="10"/>
  <c r="G35" i="10" s="1"/>
  <c r="H35" i="10" s="1"/>
  <c r="N50" i="5"/>
  <c r="J50" i="5"/>
  <c r="E34" i="10"/>
  <c r="W30" i="6"/>
  <c r="V30" i="6"/>
  <c r="K33" i="2"/>
  <c r="M33" i="2" s="1"/>
  <c r="O33" i="2" s="1"/>
  <c r="Q33" i="2" s="1"/>
  <c r="T33" i="2" s="1"/>
  <c r="J33" i="2"/>
  <c r="V29" i="10"/>
  <c r="W29" i="10"/>
  <c r="N50" i="7"/>
  <c r="C37" i="6"/>
  <c r="D36" i="6"/>
  <c r="G36" i="6" s="1"/>
  <c r="H36" i="6" s="1"/>
  <c r="E36" i="6"/>
  <c r="E36" i="7" s="1"/>
  <c r="J36" i="7" s="1"/>
  <c r="S30" i="10"/>
  <c r="J34" i="12"/>
  <c r="K34" i="12" s="1"/>
  <c r="N34" i="12"/>
  <c r="C39" i="11"/>
  <c r="D38" i="11"/>
  <c r="G38" i="11" s="1"/>
  <c r="H38" i="11" s="1"/>
  <c r="R33" i="12" l="1"/>
  <c r="X33" i="12" s="1"/>
  <c r="Z32" i="12"/>
  <c r="D52" i="7"/>
  <c r="G52" i="7" s="1"/>
  <c r="H52" i="7" s="1"/>
  <c r="C53" i="7"/>
  <c r="D52" i="5"/>
  <c r="G52" i="5" s="1"/>
  <c r="H52" i="5" s="1"/>
  <c r="C53" i="5"/>
  <c r="C37" i="12"/>
  <c r="D36" i="12"/>
  <c r="G36" i="12" s="1"/>
  <c r="H36" i="12" s="1"/>
  <c r="W32" i="12"/>
  <c r="V32" i="12"/>
  <c r="W31" i="10"/>
  <c r="V31" i="10"/>
  <c r="R32" i="10"/>
  <c r="X32" i="10" s="1"/>
  <c r="S32" i="10"/>
  <c r="Z31" i="10"/>
  <c r="W31" i="11"/>
  <c r="V31" i="11"/>
  <c r="M35" i="5"/>
  <c r="O35" i="5" s="1"/>
  <c r="Q35" i="5" s="1"/>
  <c r="L35" i="5"/>
  <c r="N51" i="5"/>
  <c r="J51" i="5"/>
  <c r="Z33" i="6"/>
  <c r="R33" i="6"/>
  <c r="X33" i="6" s="1"/>
  <c r="S33" i="6"/>
  <c r="E58" i="1"/>
  <c r="F58" i="1" s="1"/>
  <c r="C59" i="1"/>
  <c r="J38" i="11"/>
  <c r="K38" i="11" s="1"/>
  <c r="N38" i="11"/>
  <c r="N35" i="12"/>
  <c r="J35" i="12"/>
  <c r="K35" i="12" s="1"/>
  <c r="L34" i="12"/>
  <c r="Y33" i="12"/>
  <c r="M33" i="12"/>
  <c r="O33" i="12" s="1"/>
  <c r="Q33" i="12" s="1"/>
  <c r="W31" i="6"/>
  <c r="V31" i="6"/>
  <c r="K35" i="1"/>
  <c r="M35" i="1" s="1"/>
  <c r="O35" i="1" s="1"/>
  <c r="Q35" i="1" s="1"/>
  <c r="T35" i="1" s="1"/>
  <c r="J35" i="1"/>
  <c r="D39" i="11"/>
  <c r="G39" i="11" s="1"/>
  <c r="H39" i="11" s="1"/>
  <c r="E39" i="11"/>
  <c r="C40" i="11"/>
  <c r="V31" i="7"/>
  <c r="AA31" i="7"/>
  <c r="W33" i="7"/>
  <c r="X33" i="7" s="1"/>
  <c r="M34" i="7"/>
  <c r="O34" i="7" s="1"/>
  <c r="Q34" i="7" s="1"/>
  <c r="L34" i="7"/>
  <c r="M33" i="11"/>
  <c r="O33" i="11" s="1"/>
  <c r="Q33" i="11" s="1"/>
  <c r="L34" i="11"/>
  <c r="Y33" i="11"/>
  <c r="J35" i="10"/>
  <c r="K35" i="10" s="1"/>
  <c r="N35" i="10"/>
  <c r="AB33" i="7"/>
  <c r="R33" i="7"/>
  <c r="R34" i="5"/>
  <c r="S34" i="5" s="1"/>
  <c r="V34" i="5" s="1"/>
  <c r="S32" i="7"/>
  <c r="Z32" i="11"/>
  <c r="S33" i="11"/>
  <c r="R33" i="11"/>
  <c r="X33" i="11" s="1"/>
  <c r="E67" i="2"/>
  <c r="F67" i="2" s="1"/>
  <c r="C68" i="2"/>
  <c r="J36" i="6"/>
  <c r="K36" i="6" s="1"/>
  <c r="N36" i="6"/>
  <c r="W32" i="11"/>
  <c r="V32" i="11"/>
  <c r="E37" i="6"/>
  <c r="E37" i="7" s="1"/>
  <c r="J37" i="7" s="1"/>
  <c r="K37" i="7" s="1"/>
  <c r="D37" i="6"/>
  <c r="G37" i="6" s="1"/>
  <c r="H37" i="6" s="1"/>
  <c r="C38" i="6"/>
  <c r="L33" i="10"/>
  <c r="Y32" i="10"/>
  <c r="M32" i="10"/>
  <c r="O32" i="10" s="1"/>
  <c r="Q32" i="10" s="1"/>
  <c r="E38" i="11"/>
  <c r="E35" i="12"/>
  <c r="N51" i="7"/>
  <c r="L66" i="2"/>
  <c r="H66" i="2"/>
  <c r="W30" i="10"/>
  <c r="V30" i="10"/>
  <c r="K34" i="2"/>
  <c r="M34" i="2" s="1"/>
  <c r="O34" i="2" s="1"/>
  <c r="Q34" i="2" s="1"/>
  <c r="T34" i="2" s="1"/>
  <c r="J34" i="2"/>
  <c r="E35" i="10"/>
  <c r="S32" i="6"/>
  <c r="D36" i="10"/>
  <c r="G36" i="10" s="1"/>
  <c r="H36" i="10" s="1"/>
  <c r="C37" i="10"/>
  <c r="E36" i="10"/>
  <c r="Y33" i="6"/>
  <c r="M34" i="6"/>
  <c r="O34" i="6" s="1"/>
  <c r="Q34" i="6" s="1"/>
  <c r="L34" i="6"/>
  <c r="V31" i="12"/>
  <c r="W31" i="12"/>
  <c r="L57" i="1"/>
  <c r="H57" i="1"/>
  <c r="I57" i="1" s="1"/>
  <c r="K39" i="11" l="1"/>
  <c r="K36" i="10"/>
  <c r="R34" i="6"/>
  <c r="X34" i="6" s="1"/>
  <c r="Z34" i="6"/>
  <c r="M34" i="11"/>
  <c r="O34" i="11" s="1"/>
  <c r="Q34" i="11" s="1"/>
  <c r="Y34" i="11"/>
  <c r="L35" i="11"/>
  <c r="W32" i="10"/>
  <c r="V32" i="10"/>
  <c r="D37" i="10"/>
  <c r="G37" i="10" s="1"/>
  <c r="H37" i="10" s="1"/>
  <c r="C38" i="10"/>
  <c r="Y33" i="7"/>
  <c r="Z33" i="7" s="1"/>
  <c r="W34" i="7"/>
  <c r="X34" i="7" s="1"/>
  <c r="M35" i="7"/>
  <c r="O35" i="7" s="1"/>
  <c r="Q35" i="7" s="1"/>
  <c r="L35" i="7"/>
  <c r="K36" i="1"/>
  <c r="M36" i="1" s="1"/>
  <c r="O36" i="1" s="1"/>
  <c r="Q36" i="1" s="1"/>
  <c r="T36" i="1" s="1"/>
  <c r="J36" i="1"/>
  <c r="D53" i="5"/>
  <c r="G53" i="5" s="1"/>
  <c r="H53" i="5" s="1"/>
  <c r="C54" i="5"/>
  <c r="C41" i="11"/>
  <c r="D40" i="11"/>
  <c r="G40" i="11" s="1"/>
  <c r="H40" i="11" s="1"/>
  <c r="M34" i="12"/>
  <c r="O34" i="12" s="1"/>
  <c r="Q34" i="12" s="1"/>
  <c r="Y34" i="12"/>
  <c r="L35" i="12"/>
  <c r="N39" i="11"/>
  <c r="J39" i="11"/>
  <c r="J36" i="10"/>
  <c r="N36" i="10"/>
  <c r="N52" i="5"/>
  <c r="J52" i="5"/>
  <c r="V32" i="7"/>
  <c r="AA32" i="7"/>
  <c r="W33" i="6"/>
  <c r="V33" i="6"/>
  <c r="Z32" i="10"/>
  <c r="R33" i="10"/>
  <c r="X33" i="10" s="1"/>
  <c r="E36" i="12"/>
  <c r="Z33" i="11"/>
  <c r="R34" i="11"/>
  <c r="X34" i="11" s="1"/>
  <c r="C69" i="2"/>
  <c r="E68" i="2"/>
  <c r="F68" i="2" s="1"/>
  <c r="AB34" i="7"/>
  <c r="R34" i="7"/>
  <c r="W32" i="6"/>
  <c r="V32" i="6"/>
  <c r="N37" i="6"/>
  <c r="J37" i="6"/>
  <c r="K37" i="6" s="1"/>
  <c r="L36" i="5"/>
  <c r="M36" i="5"/>
  <c r="O36" i="5" s="1"/>
  <c r="Q36" i="5" s="1"/>
  <c r="J36" i="12"/>
  <c r="K36" i="12" s="1"/>
  <c r="N36" i="12"/>
  <c r="S33" i="12"/>
  <c r="L67" i="2"/>
  <c r="H67" i="2"/>
  <c r="W33" i="11"/>
  <c r="V33" i="11"/>
  <c r="E59" i="1"/>
  <c r="F59" i="1" s="1"/>
  <c r="C60" i="1"/>
  <c r="R35" i="5"/>
  <c r="S35" i="5" s="1"/>
  <c r="V35" i="5" s="1"/>
  <c r="D53" i="7"/>
  <c r="G53" i="7" s="1"/>
  <c r="H53" i="7" s="1"/>
  <c r="C54" i="7"/>
  <c r="E37" i="12"/>
  <c r="D37" i="12"/>
  <c r="G37" i="12" s="1"/>
  <c r="H37" i="12" s="1"/>
  <c r="C38" i="12"/>
  <c r="L34" i="10"/>
  <c r="Y33" i="10"/>
  <c r="M33" i="10"/>
  <c r="O33" i="10" s="1"/>
  <c r="Q33" i="10" s="1"/>
  <c r="C39" i="6"/>
  <c r="D38" i="6"/>
  <c r="G38" i="6" s="1"/>
  <c r="H38" i="6" s="1"/>
  <c r="S33" i="7"/>
  <c r="M35" i="6"/>
  <c r="O35" i="6" s="1"/>
  <c r="Q35" i="6" s="1"/>
  <c r="L35" i="6"/>
  <c r="Y34" i="6"/>
  <c r="J35" i="2"/>
  <c r="K35" i="2"/>
  <c r="M35" i="2" s="1"/>
  <c r="O35" i="2" s="1"/>
  <c r="Q35" i="2" s="1"/>
  <c r="T35" i="2" s="1"/>
  <c r="Z33" i="12"/>
  <c r="S34" i="12"/>
  <c r="R34" i="12"/>
  <c r="X34" i="12" s="1"/>
  <c r="H58" i="1"/>
  <c r="I58" i="1" s="1"/>
  <c r="L58" i="1"/>
  <c r="N52" i="7"/>
  <c r="Z34" i="12" l="1"/>
  <c r="S35" i="12"/>
  <c r="R35" i="12"/>
  <c r="X35" i="12" s="1"/>
  <c r="W35" i="7"/>
  <c r="X35" i="7" s="1"/>
  <c r="M36" i="7"/>
  <c r="O36" i="7" s="1"/>
  <c r="Q36" i="7" s="1"/>
  <c r="L36" i="7"/>
  <c r="N37" i="10"/>
  <c r="J37" i="10"/>
  <c r="J36" i="2"/>
  <c r="K36" i="2"/>
  <c r="M36" i="2" s="1"/>
  <c r="O36" i="2" s="1"/>
  <c r="Q36" i="2" s="1"/>
  <c r="T36" i="2" s="1"/>
  <c r="R35" i="7"/>
  <c r="Y35" i="7" s="1"/>
  <c r="Z35" i="7" s="1"/>
  <c r="AB35" i="7"/>
  <c r="L36" i="11"/>
  <c r="Y35" i="11"/>
  <c r="M35" i="11"/>
  <c r="O35" i="11" s="1"/>
  <c r="Q35" i="11" s="1"/>
  <c r="N53" i="5"/>
  <c r="J53" i="5"/>
  <c r="D39" i="6"/>
  <c r="G39" i="6" s="1"/>
  <c r="H39" i="6" s="1"/>
  <c r="C40" i="6"/>
  <c r="S34" i="11"/>
  <c r="Z33" i="10"/>
  <c r="R34" i="10"/>
  <c r="X34" i="10" s="1"/>
  <c r="W33" i="12"/>
  <c r="V33" i="12"/>
  <c r="Y34" i="7"/>
  <c r="Z34" i="7" s="1"/>
  <c r="Y35" i="6"/>
  <c r="M36" i="6"/>
  <c r="O36" i="6" s="1"/>
  <c r="Q36" i="6" s="1"/>
  <c r="L36" i="6"/>
  <c r="S34" i="7"/>
  <c r="R36" i="5"/>
  <c r="S36" i="5" s="1"/>
  <c r="V36" i="5" s="1"/>
  <c r="D54" i="7"/>
  <c r="G54" i="7" s="1"/>
  <c r="H54" i="7" s="1"/>
  <c r="C55" i="7"/>
  <c r="J37" i="1"/>
  <c r="K37" i="1"/>
  <c r="M37" i="1" s="1"/>
  <c r="O37" i="1" s="1"/>
  <c r="Q37" i="1" s="1"/>
  <c r="T37" i="1" s="1"/>
  <c r="S34" i="6"/>
  <c r="K37" i="10"/>
  <c r="Y34" i="10"/>
  <c r="M34" i="10"/>
  <c r="O34" i="10" s="1"/>
  <c r="Q34" i="10" s="1"/>
  <c r="L35" i="10"/>
  <c r="J40" i="11"/>
  <c r="K40" i="11" s="1"/>
  <c r="N40" i="11"/>
  <c r="Z35" i="6"/>
  <c r="R35" i="6"/>
  <c r="X35" i="6" s="1"/>
  <c r="C39" i="12"/>
  <c r="D38" i="12"/>
  <c r="G38" i="12" s="1"/>
  <c r="H38" i="12" s="1"/>
  <c r="S33" i="10"/>
  <c r="E40" i="11"/>
  <c r="V33" i="7"/>
  <c r="AA33" i="7"/>
  <c r="N37" i="12"/>
  <c r="J37" i="12"/>
  <c r="K37" i="12" s="1"/>
  <c r="M37" i="5"/>
  <c r="O37" i="5" s="1"/>
  <c r="Q37" i="5" s="1"/>
  <c r="L37" i="5"/>
  <c r="H68" i="2"/>
  <c r="L68" i="2"/>
  <c r="C42" i="11"/>
  <c r="D41" i="11"/>
  <c r="G41" i="11" s="1"/>
  <c r="H41" i="11" s="1"/>
  <c r="Z34" i="11"/>
  <c r="R35" i="11"/>
  <c r="X35" i="11" s="1"/>
  <c r="S35" i="11"/>
  <c r="J38" i="6"/>
  <c r="K38" i="6" s="1"/>
  <c r="N38" i="6"/>
  <c r="N53" i="7"/>
  <c r="Y35" i="12"/>
  <c r="M35" i="12"/>
  <c r="O35" i="12" s="1"/>
  <c r="Q35" i="12" s="1"/>
  <c r="L36" i="12"/>
  <c r="E37" i="10"/>
  <c r="C61" i="1"/>
  <c r="E60" i="1"/>
  <c r="F60" i="1" s="1"/>
  <c r="L59" i="1"/>
  <c r="H59" i="1"/>
  <c r="I59" i="1" s="1"/>
  <c r="W34" i="12"/>
  <c r="V34" i="12"/>
  <c r="E38" i="6"/>
  <c r="E38" i="7" s="1"/>
  <c r="J38" i="7" s="1"/>
  <c r="K38" i="7" s="1"/>
  <c r="C70" i="2"/>
  <c r="E69" i="2"/>
  <c r="F69" i="2" s="1"/>
  <c r="D54" i="5"/>
  <c r="G54" i="5" s="1"/>
  <c r="H54" i="5" s="1"/>
  <c r="C55" i="5"/>
  <c r="C39" i="10"/>
  <c r="D38" i="10"/>
  <c r="G38" i="10" s="1"/>
  <c r="H38" i="10" s="1"/>
  <c r="K41" i="11" l="1"/>
  <c r="V33" i="10"/>
  <c r="W33" i="10"/>
  <c r="D55" i="7"/>
  <c r="G55" i="7" s="1"/>
  <c r="H55" i="7" s="1"/>
  <c r="C56" i="7"/>
  <c r="M38" i="5"/>
  <c r="O38" i="5" s="1"/>
  <c r="Q38" i="5" s="1"/>
  <c r="L38" i="5"/>
  <c r="L36" i="10"/>
  <c r="Y35" i="10"/>
  <c r="M35" i="10"/>
  <c r="O35" i="10" s="1"/>
  <c r="Q35" i="10" s="1"/>
  <c r="N39" i="6"/>
  <c r="J39" i="6"/>
  <c r="K39" i="6" s="1"/>
  <c r="S37" i="5"/>
  <c r="V37" i="5" s="1"/>
  <c r="R37" i="5"/>
  <c r="E38" i="12"/>
  <c r="R35" i="10"/>
  <c r="X35" i="10" s="1"/>
  <c r="Z34" i="10"/>
  <c r="E39" i="6"/>
  <c r="E39" i="7" s="1"/>
  <c r="J39" i="7" s="1"/>
  <c r="K39" i="7" s="1"/>
  <c r="K40" i="7" s="1"/>
  <c r="S35" i="7"/>
  <c r="C62" i="1"/>
  <c r="E61" i="1"/>
  <c r="F61" i="1" s="1"/>
  <c r="C41" i="6"/>
  <c r="D40" i="6"/>
  <c r="G40" i="6" s="1"/>
  <c r="H40" i="6" s="1"/>
  <c r="E40" i="6"/>
  <c r="E40" i="7" s="1"/>
  <c r="J40" i="7" s="1"/>
  <c r="Z35" i="12"/>
  <c r="R36" i="12"/>
  <c r="X36" i="12" s="1"/>
  <c r="J41" i="11"/>
  <c r="N41" i="11"/>
  <c r="K37" i="2"/>
  <c r="M37" i="2" s="1"/>
  <c r="O37" i="2" s="1"/>
  <c r="Q37" i="2" s="1"/>
  <c r="T37" i="2" s="1"/>
  <c r="J37" i="2"/>
  <c r="L69" i="2"/>
  <c r="H69" i="2"/>
  <c r="E38" i="10"/>
  <c r="D39" i="10"/>
  <c r="G39" i="10" s="1"/>
  <c r="H39" i="10" s="1"/>
  <c r="C40" i="10"/>
  <c r="C43" i="11"/>
  <c r="D42" i="11"/>
  <c r="G42" i="11" s="1"/>
  <c r="H42" i="11" s="1"/>
  <c r="W34" i="6"/>
  <c r="V34" i="6"/>
  <c r="V34" i="7"/>
  <c r="AA34" i="7"/>
  <c r="S34" i="10"/>
  <c r="Z35" i="11"/>
  <c r="R36" i="11"/>
  <c r="X36" i="11" s="1"/>
  <c r="E70" i="2"/>
  <c r="F70" i="2" s="1"/>
  <c r="C71" i="2"/>
  <c r="N38" i="12"/>
  <c r="J38" i="12"/>
  <c r="K38" i="12" s="1"/>
  <c r="J38" i="10"/>
  <c r="K38" i="10" s="1"/>
  <c r="N38" i="10"/>
  <c r="C40" i="12"/>
  <c r="D39" i="12"/>
  <c r="G39" i="12" s="1"/>
  <c r="H39" i="12" s="1"/>
  <c r="S35" i="6"/>
  <c r="M37" i="6"/>
  <c r="O37" i="6" s="1"/>
  <c r="Q37" i="6" s="1"/>
  <c r="L37" i="6"/>
  <c r="Y36" i="6"/>
  <c r="AB36" i="7"/>
  <c r="R36" i="7"/>
  <c r="Y36" i="7" s="1"/>
  <c r="Z36" i="7" s="1"/>
  <c r="W35" i="11"/>
  <c r="V35" i="11"/>
  <c r="N54" i="7"/>
  <c r="L37" i="12"/>
  <c r="Y36" i="12"/>
  <c r="M36" i="12"/>
  <c r="O36" i="12" s="1"/>
  <c r="Q36" i="12" s="1"/>
  <c r="W35" i="12"/>
  <c r="V35" i="12"/>
  <c r="D55" i="5"/>
  <c r="G55" i="5" s="1"/>
  <c r="H55" i="5" s="1"/>
  <c r="C56" i="5"/>
  <c r="E41" i="11"/>
  <c r="N54" i="5"/>
  <c r="J54" i="5"/>
  <c r="L60" i="1"/>
  <c r="H60" i="1"/>
  <c r="K38" i="1"/>
  <c r="M38" i="1" s="1"/>
  <c r="O38" i="1" s="1"/>
  <c r="Q38" i="1" s="1"/>
  <c r="T38" i="1" s="1"/>
  <c r="J38" i="1"/>
  <c r="R36" i="6"/>
  <c r="X36" i="6" s="1"/>
  <c r="Z36" i="6"/>
  <c r="W34" i="11"/>
  <c r="V34" i="11"/>
  <c r="L37" i="11"/>
  <c r="Y36" i="11"/>
  <c r="M36" i="11"/>
  <c r="O36" i="11" s="1"/>
  <c r="Q36" i="11" s="1"/>
  <c r="L37" i="7"/>
  <c r="W36" i="7"/>
  <c r="X36" i="7" s="1"/>
  <c r="M37" i="7"/>
  <c r="O37" i="7" s="1"/>
  <c r="Q37" i="7" s="1"/>
  <c r="W35" i="6" l="1"/>
  <c r="V35" i="6"/>
  <c r="D56" i="7"/>
  <c r="G56" i="7" s="1"/>
  <c r="H56" i="7" s="1"/>
  <c r="C57" i="7"/>
  <c r="J39" i="12"/>
  <c r="K39" i="12" s="1"/>
  <c r="N39" i="12"/>
  <c r="L38" i="11"/>
  <c r="Y37" i="11"/>
  <c r="M37" i="11"/>
  <c r="O37" i="11" s="1"/>
  <c r="Q37" i="11" s="1"/>
  <c r="J42" i="11"/>
  <c r="K42" i="11" s="1"/>
  <c r="N42" i="11"/>
  <c r="S36" i="7"/>
  <c r="E42" i="11"/>
  <c r="K38" i="2"/>
  <c r="M38" i="2" s="1"/>
  <c r="O38" i="2" s="1"/>
  <c r="Q38" i="2" s="1"/>
  <c r="T38" i="2" s="1"/>
  <c r="J38" i="2"/>
  <c r="Z35" i="10"/>
  <c r="R36" i="10"/>
  <c r="X36" i="10" s="1"/>
  <c r="E71" i="2"/>
  <c r="F71" i="2" s="1"/>
  <c r="C72" i="2"/>
  <c r="H70" i="2"/>
  <c r="L70" i="2"/>
  <c r="S36" i="12"/>
  <c r="N55" i="5"/>
  <c r="J55" i="5"/>
  <c r="V35" i="7"/>
  <c r="AA35" i="7"/>
  <c r="D40" i="12"/>
  <c r="G40" i="12" s="1"/>
  <c r="H40" i="12" s="1"/>
  <c r="C41" i="12"/>
  <c r="AB37" i="7"/>
  <c r="R37" i="7"/>
  <c r="S37" i="7" s="1"/>
  <c r="M37" i="12"/>
  <c r="O37" i="12" s="1"/>
  <c r="Q37" i="12" s="1"/>
  <c r="L38" i="12"/>
  <c r="Y37" i="12"/>
  <c r="W34" i="10"/>
  <c r="V34" i="10"/>
  <c r="C41" i="10"/>
  <c r="D40" i="10"/>
  <c r="G40" i="10" s="1"/>
  <c r="H40" i="10" s="1"/>
  <c r="J40" i="6"/>
  <c r="K40" i="6" s="1"/>
  <c r="N40" i="6"/>
  <c r="S35" i="10"/>
  <c r="M36" i="10"/>
  <c r="O36" i="10" s="1"/>
  <c r="Q36" i="10" s="1"/>
  <c r="L37" i="10"/>
  <c r="Y36" i="10"/>
  <c r="J39" i="1"/>
  <c r="K39" i="1"/>
  <c r="M39" i="1" s="1"/>
  <c r="O39" i="1" s="1"/>
  <c r="Q39" i="1" s="1"/>
  <c r="T39" i="1" s="1"/>
  <c r="C63" i="1"/>
  <c r="E62" i="1"/>
  <c r="F62" i="1" s="1"/>
  <c r="N55" i="7"/>
  <c r="Z36" i="12"/>
  <c r="R37" i="12"/>
  <c r="X37" i="12" s="1"/>
  <c r="S37" i="12"/>
  <c r="S36" i="11"/>
  <c r="C44" i="11"/>
  <c r="D43" i="11"/>
  <c r="G43" i="11" s="1"/>
  <c r="H43" i="11" s="1"/>
  <c r="Y37" i="6"/>
  <c r="M38" i="6"/>
  <c r="O38" i="6" s="1"/>
  <c r="Q38" i="6" s="1"/>
  <c r="L38" i="6"/>
  <c r="N39" i="10"/>
  <c r="J39" i="10"/>
  <c r="K39" i="10" s="1"/>
  <c r="D41" i="6"/>
  <c r="G41" i="6" s="1"/>
  <c r="H41" i="6" s="1"/>
  <c r="C42" i="6"/>
  <c r="M39" i="5"/>
  <c r="O39" i="5" s="1"/>
  <c r="Q39" i="5" s="1"/>
  <c r="L39" i="5"/>
  <c r="R37" i="11"/>
  <c r="X37" i="11" s="1"/>
  <c r="Z36" i="11"/>
  <c r="S37" i="11"/>
  <c r="E39" i="12"/>
  <c r="M38" i="7"/>
  <c r="O38" i="7" s="1"/>
  <c r="Q38" i="7" s="1"/>
  <c r="L38" i="7"/>
  <c r="W37" i="7"/>
  <c r="X37" i="7" s="1"/>
  <c r="S36" i="6"/>
  <c r="D56" i="5"/>
  <c r="G56" i="5" s="1"/>
  <c r="H56" i="5" s="1"/>
  <c r="C57" i="5"/>
  <c r="R37" i="6"/>
  <c r="X37" i="6" s="1"/>
  <c r="Z37" i="6"/>
  <c r="E39" i="10"/>
  <c r="L61" i="1"/>
  <c r="H61" i="1"/>
  <c r="R38" i="5"/>
  <c r="S38" i="5"/>
  <c r="V38" i="5" s="1"/>
  <c r="V37" i="7" l="1"/>
  <c r="K43" i="11"/>
  <c r="N56" i="7"/>
  <c r="V36" i="11"/>
  <c r="W36" i="11"/>
  <c r="K40" i="1"/>
  <c r="M40" i="1" s="1"/>
  <c r="O40" i="1" s="1"/>
  <c r="Q40" i="1" s="1"/>
  <c r="T40" i="1" s="1"/>
  <c r="J40" i="1"/>
  <c r="E40" i="10"/>
  <c r="W37" i="11"/>
  <c r="V37" i="11"/>
  <c r="D41" i="10"/>
  <c r="G41" i="10" s="1"/>
  <c r="H41" i="10" s="1"/>
  <c r="C42" i="10"/>
  <c r="V36" i="12"/>
  <c r="W36" i="12"/>
  <c r="J39" i="2"/>
  <c r="K39" i="2"/>
  <c r="M39" i="2" s="1"/>
  <c r="O39" i="2" s="1"/>
  <c r="Q39" i="2" s="1"/>
  <c r="T39" i="2" s="1"/>
  <c r="L39" i="11"/>
  <c r="Y38" i="11"/>
  <c r="M38" i="11"/>
  <c r="O38" i="11" s="1"/>
  <c r="Q38" i="11" s="1"/>
  <c r="C64" i="1"/>
  <c r="E63" i="1"/>
  <c r="F63" i="1" s="1"/>
  <c r="C58" i="5"/>
  <c r="D57" i="5"/>
  <c r="G57" i="5" s="1"/>
  <c r="H57" i="5" s="1"/>
  <c r="Y37" i="7"/>
  <c r="Z37" i="7" s="1"/>
  <c r="S36" i="10"/>
  <c r="M40" i="5"/>
  <c r="O40" i="5" s="1"/>
  <c r="L40" i="5"/>
  <c r="R39" i="5"/>
  <c r="S39" i="5" s="1"/>
  <c r="V39" i="5" s="1"/>
  <c r="Y37" i="10"/>
  <c r="M37" i="10"/>
  <c r="O37" i="10" s="1"/>
  <c r="Q37" i="10" s="1"/>
  <c r="L38" i="10"/>
  <c r="C42" i="12"/>
  <c r="E41" i="12"/>
  <c r="D41" i="12"/>
  <c r="G41" i="12" s="1"/>
  <c r="H41" i="12" s="1"/>
  <c r="N41" i="6"/>
  <c r="J41" i="6"/>
  <c r="K41" i="6" s="1"/>
  <c r="L71" i="2"/>
  <c r="H71" i="2"/>
  <c r="J40" i="10"/>
  <c r="K40" i="10" s="1"/>
  <c r="N40" i="10"/>
  <c r="N56" i="5"/>
  <c r="J56" i="5"/>
  <c r="W36" i="6"/>
  <c r="V36" i="6"/>
  <c r="D42" i="6"/>
  <c r="G42" i="6" s="1"/>
  <c r="H42" i="6" s="1"/>
  <c r="C43" i="6"/>
  <c r="Z36" i="10"/>
  <c r="R37" i="10"/>
  <c r="X37" i="10" s="1"/>
  <c r="N40" i="12"/>
  <c r="J40" i="12"/>
  <c r="K40" i="12" s="1"/>
  <c r="D44" i="11"/>
  <c r="G44" i="11" s="1"/>
  <c r="H44" i="11" s="1"/>
  <c r="C45" i="11"/>
  <c r="E44" i="11"/>
  <c r="L39" i="12"/>
  <c r="Y38" i="12"/>
  <c r="M38" i="12"/>
  <c r="O38" i="12" s="1"/>
  <c r="Q38" i="12" s="1"/>
  <c r="S37" i="6"/>
  <c r="AA37" i="7" s="1"/>
  <c r="R38" i="12"/>
  <c r="X38" i="12" s="1"/>
  <c r="Z37" i="12"/>
  <c r="S38" i="12"/>
  <c r="W37" i="12"/>
  <c r="V37" i="12"/>
  <c r="S38" i="11"/>
  <c r="R38" i="11"/>
  <c r="X38" i="11" s="1"/>
  <c r="Z37" i="11"/>
  <c r="M39" i="6"/>
  <c r="O39" i="6" s="1"/>
  <c r="Q39" i="6" s="1"/>
  <c r="L39" i="6"/>
  <c r="Y38" i="6"/>
  <c r="R38" i="6"/>
  <c r="X38" i="6" s="1"/>
  <c r="Z38" i="6"/>
  <c r="W38" i="7"/>
  <c r="X38" i="7" s="1"/>
  <c r="M39" i="7"/>
  <c r="O39" i="7" s="1"/>
  <c r="Q39" i="7" s="1"/>
  <c r="L39" i="7"/>
  <c r="J43" i="11"/>
  <c r="N43" i="11"/>
  <c r="AB38" i="7"/>
  <c r="R38" i="7"/>
  <c r="Y38" i="7" s="1"/>
  <c r="Z38" i="7" s="1"/>
  <c r="E41" i="6"/>
  <c r="E41" i="7" s="1"/>
  <c r="J41" i="7" s="1"/>
  <c r="E43" i="11"/>
  <c r="L62" i="1"/>
  <c r="H62" i="1"/>
  <c r="W35" i="10"/>
  <c r="V35" i="10"/>
  <c r="E40" i="12"/>
  <c r="C73" i="2"/>
  <c r="E72" i="2"/>
  <c r="F72" i="2" s="1"/>
  <c r="AA36" i="7"/>
  <c r="V36" i="7"/>
  <c r="C58" i="7"/>
  <c r="D57" i="7"/>
  <c r="G57" i="7" s="1"/>
  <c r="H57" i="7" s="1"/>
  <c r="K42" i="6" l="1"/>
  <c r="M39" i="12"/>
  <c r="O39" i="12" s="1"/>
  <c r="Q39" i="12" s="1"/>
  <c r="L40" i="12"/>
  <c r="Y39" i="12"/>
  <c r="W36" i="10"/>
  <c r="V36" i="10"/>
  <c r="N42" i="6"/>
  <c r="J42" i="6"/>
  <c r="Z37" i="10"/>
  <c r="R38" i="10"/>
  <c r="X38" i="10" s="1"/>
  <c r="N57" i="5"/>
  <c r="J57" i="5"/>
  <c r="J40" i="2"/>
  <c r="K40" i="2"/>
  <c r="M40" i="2" s="1"/>
  <c r="O40" i="2" s="1"/>
  <c r="Q40" i="2" s="1"/>
  <c r="T40" i="2" s="1"/>
  <c r="C74" i="2"/>
  <c r="E73" i="2"/>
  <c r="F73" i="2" s="1"/>
  <c r="N44" i="11"/>
  <c r="J44" i="11"/>
  <c r="K44" i="11" s="1"/>
  <c r="C59" i="5"/>
  <c r="D58" i="5"/>
  <c r="G58" i="5" s="1"/>
  <c r="H58" i="5" s="1"/>
  <c r="J41" i="1"/>
  <c r="K41" i="1"/>
  <c r="M41" i="1" s="1"/>
  <c r="D42" i="12"/>
  <c r="G42" i="12" s="1"/>
  <c r="H42" i="12" s="1"/>
  <c r="C43" i="12"/>
  <c r="S38" i="6"/>
  <c r="C44" i="6"/>
  <c r="E43" i="6"/>
  <c r="E43" i="7" s="1"/>
  <c r="J43" i="7" s="1"/>
  <c r="D43" i="6"/>
  <c r="G43" i="6" s="1"/>
  <c r="H43" i="6" s="1"/>
  <c r="D58" i="7"/>
  <c r="G58" i="7" s="1"/>
  <c r="H58" i="7" s="1"/>
  <c r="C59" i="7"/>
  <c r="E42" i="6"/>
  <c r="E42" i="7" s="1"/>
  <c r="J42" i="7" s="1"/>
  <c r="W39" i="7"/>
  <c r="X39" i="7" s="1"/>
  <c r="M40" i="7"/>
  <c r="O40" i="7" s="1"/>
  <c r="L40" i="7"/>
  <c r="S39" i="6"/>
  <c r="R39" i="6"/>
  <c r="X39" i="6" s="1"/>
  <c r="Z39" i="6"/>
  <c r="L63" i="1"/>
  <c r="H63" i="1"/>
  <c r="P40" i="5"/>
  <c r="K41" i="5" s="1"/>
  <c r="Q40" i="5"/>
  <c r="L40" i="11"/>
  <c r="M39" i="11"/>
  <c r="O39" i="11" s="1"/>
  <c r="Q39" i="11" s="1"/>
  <c r="Y39" i="11"/>
  <c r="V38" i="12"/>
  <c r="W38" i="12"/>
  <c r="R39" i="7"/>
  <c r="Y39" i="7" s="1"/>
  <c r="Z39" i="7" s="1"/>
  <c r="AB39" i="7"/>
  <c r="W37" i="6"/>
  <c r="V37" i="6"/>
  <c r="C65" i="1"/>
  <c r="E64" i="1"/>
  <c r="F64" i="1" s="1"/>
  <c r="E41" i="10"/>
  <c r="V38" i="11"/>
  <c r="W38" i="11"/>
  <c r="N41" i="10"/>
  <c r="J41" i="10"/>
  <c r="K41" i="10" s="1"/>
  <c r="S38" i="7"/>
  <c r="L39" i="10"/>
  <c r="Y38" i="10"/>
  <c r="M38" i="10"/>
  <c r="O38" i="10" s="1"/>
  <c r="Q38" i="10" s="1"/>
  <c r="N57" i="7"/>
  <c r="D45" i="11"/>
  <c r="G45" i="11" s="1"/>
  <c r="H45" i="11" s="1"/>
  <c r="C46" i="11"/>
  <c r="Y39" i="6"/>
  <c r="M40" i="6"/>
  <c r="O40" i="6" s="1"/>
  <c r="L40" i="6"/>
  <c r="H72" i="2"/>
  <c r="L72" i="2"/>
  <c r="Z38" i="12"/>
  <c r="S39" i="12"/>
  <c r="R39" i="12"/>
  <c r="X39" i="12" s="1"/>
  <c r="S37" i="10"/>
  <c r="J41" i="12"/>
  <c r="K41" i="12" s="1"/>
  <c r="N41" i="12"/>
  <c r="M41" i="5"/>
  <c r="O41" i="5" s="1"/>
  <c r="L41" i="5"/>
  <c r="Z38" i="11"/>
  <c r="S39" i="11"/>
  <c r="R39" i="11"/>
  <c r="X39" i="11" s="1"/>
  <c r="D42" i="10"/>
  <c r="G42" i="10" s="1"/>
  <c r="H42" i="10" s="1"/>
  <c r="C43" i="10"/>
  <c r="C44" i="12" l="1"/>
  <c r="D43" i="12"/>
  <c r="G43" i="12" s="1"/>
  <c r="H43" i="12" s="1"/>
  <c r="L41" i="12"/>
  <c r="Y40" i="12"/>
  <c r="M40" i="12"/>
  <c r="O40" i="12" s="1"/>
  <c r="L41" i="11"/>
  <c r="Y40" i="11"/>
  <c r="M40" i="11"/>
  <c r="O40" i="11" s="1"/>
  <c r="C60" i="5"/>
  <c r="D59" i="5"/>
  <c r="G59" i="5" s="1"/>
  <c r="H59" i="5" s="1"/>
  <c r="M42" i="5"/>
  <c r="O42" i="5" s="1"/>
  <c r="E45" i="11"/>
  <c r="V38" i="6"/>
  <c r="W38" i="6"/>
  <c r="C44" i="10"/>
  <c r="D43" i="10"/>
  <c r="G43" i="10" s="1"/>
  <c r="H43" i="10" s="1"/>
  <c r="S39" i="7"/>
  <c r="N42" i="12"/>
  <c r="J42" i="12"/>
  <c r="K42" i="12" s="1"/>
  <c r="S38" i="10"/>
  <c r="Z39" i="12"/>
  <c r="R40" i="12"/>
  <c r="X40" i="12" s="1"/>
  <c r="W39" i="12"/>
  <c r="V39" i="12"/>
  <c r="D46" i="11"/>
  <c r="G46" i="11" s="1"/>
  <c r="H46" i="11" s="1"/>
  <c r="C47" i="11"/>
  <c r="E46" i="11"/>
  <c r="W39" i="6"/>
  <c r="V39" i="6"/>
  <c r="K41" i="2"/>
  <c r="M41" i="2" s="1"/>
  <c r="J41" i="2"/>
  <c r="N45" i="11"/>
  <c r="J45" i="11"/>
  <c r="K45" i="11" s="1"/>
  <c r="W40" i="7"/>
  <c r="X40" i="7" s="1"/>
  <c r="M41" i="7"/>
  <c r="O41" i="7" s="1"/>
  <c r="P40" i="7"/>
  <c r="K41" i="7" s="1"/>
  <c r="M41" i="6"/>
  <c r="O41" i="6" s="1"/>
  <c r="L41" i="6"/>
  <c r="Y40" i="6"/>
  <c r="Z38" i="10"/>
  <c r="R39" i="10"/>
  <c r="X39" i="10" s="1"/>
  <c r="S39" i="10"/>
  <c r="C60" i="7"/>
  <c r="D59" i="7"/>
  <c r="G59" i="7" s="1"/>
  <c r="H59" i="7" s="1"/>
  <c r="E42" i="12"/>
  <c r="H73" i="2"/>
  <c r="L73" i="2"/>
  <c r="Z39" i="11"/>
  <c r="R40" i="11"/>
  <c r="X40" i="11" s="1"/>
  <c r="S40" i="11"/>
  <c r="D44" i="6"/>
  <c r="G44" i="6" s="1"/>
  <c r="H44" i="6" s="1"/>
  <c r="C45" i="6"/>
  <c r="E42" i="10"/>
  <c r="P40" i="6"/>
  <c r="Q40" i="6" s="1"/>
  <c r="L64" i="1"/>
  <c r="H64" i="1"/>
  <c r="N58" i="7"/>
  <c r="O41" i="1"/>
  <c r="Q41" i="1" s="1"/>
  <c r="T41" i="1" s="1"/>
  <c r="N41" i="1"/>
  <c r="C75" i="2"/>
  <c r="E74" i="2"/>
  <c r="F74" i="2" s="1"/>
  <c r="W39" i="11"/>
  <c r="V39" i="11"/>
  <c r="V38" i="7"/>
  <c r="AA38" i="7"/>
  <c r="N58" i="5"/>
  <c r="J58" i="5"/>
  <c r="R40" i="5"/>
  <c r="S40" i="5" s="1"/>
  <c r="V40" i="5" s="1"/>
  <c r="P41" i="5"/>
  <c r="L42" i="5" s="1"/>
  <c r="Q41" i="5"/>
  <c r="N42" i="10"/>
  <c r="J42" i="10"/>
  <c r="K42" i="10" s="1"/>
  <c r="W37" i="10"/>
  <c r="V37" i="10"/>
  <c r="Y39" i="10"/>
  <c r="M39" i="10"/>
  <c r="O39" i="10" s="1"/>
  <c r="Q39" i="10" s="1"/>
  <c r="L40" i="10"/>
  <c r="C66" i="1"/>
  <c r="E65" i="1"/>
  <c r="F65" i="1" s="1"/>
  <c r="J43" i="6"/>
  <c r="K43" i="6" s="1"/>
  <c r="N43" i="6"/>
  <c r="K42" i="1"/>
  <c r="M42" i="1" s="1"/>
  <c r="J42" i="1"/>
  <c r="R40" i="6" l="1"/>
  <c r="X40" i="6" s="1"/>
  <c r="Z40" i="6"/>
  <c r="M43" i="5"/>
  <c r="O43" i="5" s="1"/>
  <c r="L43" i="5"/>
  <c r="K43" i="12"/>
  <c r="C46" i="6"/>
  <c r="D45" i="6"/>
  <c r="G45" i="6" s="1"/>
  <c r="H45" i="6" s="1"/>
  <c r="L42" i="6"/>
  <c r="M42" i="6"/>
  <c r="O42" i="6" s="1"/>
  <c r="Y41" i="6"/>
  <c r="V39" i="7"/>
  <c r="AA39" i="7"/>
  <c r="P42" i="5"/>
  <c r="Q42" i="5"/>
  <c r="L42" i="12"/>
  <c r="M41" i="12"/>
  <c r="O41" i="12" s="1"/>
  <c r="Y41" i="12"/>
  <c r="N44" i="6"/>
  <c r="J44" i="6"/>
  <c r="K44" i="6" s="1"/>
  <c r="J59" i="5"/>
  <c r="N59" i="5"/>
  <c r="E44" i="6"/>
  <c r="E44" i="7" s="1"/>
  <c r="J44" i="7" s="1"/>
  <c r="C67" i="1"/>
  <c r="E66" i="1"/>
  <c r="F66" i="1" s="1"/>
  <c r="P40" i="11"/>
  <c r="Q40" i="11" s="1"/>
  <c r="C45" i="12"/>
  <c r="D44" i="12"/>
  <c r="G44" i="12" s="1"/>
  <c r="H44" i="12" s="1"/>
  <c r="P41" i="6"/>
  <c r="Q41" i="6" s="1"/>
  <c r="J43" i="12"/>
  <c r="N43" i="12"/>
  <c r="K42" i="7"/>
  <c r="D60" i="5"/>
  <c r="G60" i="5" s="1"/>
  <c r="H60" i="5" s="1"/>
  <c r="C61" i="5"/>
  <c r="W39" i="10"/>
  <c r="V39" i="10"/>
  <c r="K42" i="5"/>
  <c r="K43" i="5" s="1"/>
  <c r="K42" i="2"/>
  <c r="M42" i="2" s="1"/>
  <c r="J42" i="2"/>
  <c r="L65" i="1"/>
  <c r="H65" i="1"/>
  <c r="N59" i="7"/>
  <c r="E43" i="12"/>
  <c r="S41" i="5"/>
  <c r="V41" i="5" s="1"/>
  <c r="R41" i="5"/>
  <c r="C61" i="7"/>
  <c r="D60" i="7"/>
  <c r="G60" i="7" s="1"/>
  <c r="H60" i="7" s="1"/>
  <c r="Q40" i="7"/>
  <c r="D44" i="10"/>
  <c r="G44" i="10" s="1"/>
  <c r="H44" i="10" s="1"/>
  <c r="C45" i="10"/>
  <c r="S40" i="10"/>
  <c r="R40" i="10"/>
  <c r="X40" i="10" s="1"/>
  <c r="Z39" i="10"/>
  <c r="L74" i="2"/>
  <c r="H74" i="2"/>
  <c r="P41" i="7"/>
  <c r="Q41" i="7" s="1"/>
  <c r="W38" i="10"/>
  <c r="V38" i="10"/>
  <c r="M41" i="11"/>
  <c r="O41" i="11" s="1"/>
  <c r="Y41" i="11"/>
  <c r="L42" i="11"/>
  <c r="N42" i="1"/>
  <c r="O42" i="1" s="1"/>
  <c r="Q42" i="1" s="1"/>
  <c r="T42" i="1" s="1"/>
  <c r="J43" i="10"/>
  <c r="K43" i="10" s="1"/>
  <c r="N43" i="10"/>
  <c r="N41" i="2"/>
  <c r="O41" i="2"/>
  <c r="Q41" i="2" s="1"/>
  <c r="T41" i="2" s="1"/>
  <c r="E43" i="10"/>
  <c r="W40" i="11"/>
  <c r="V40" i="11"/>
  <c r="S40" i="12"/>
  <c r="L41" i="10"/>
  <c r="Y40" i="10"/>
  <c r="M40" i="10"/>
  <c r="O40" i="10" s="1"/>
  <c r="L41" i="7"/>
  <c r="J43" i="1"/>
  <c r="K43" i="1"/>
  <c r="M43" i="1" s="1"/>
  <c r="E75" i="2"/>
  <c r="F75" i="2" s="1"/>
  <c r="C76" i="2"/>
  <c r="D47" i="11"/>
  <c r="G47" i="11" s="1"/>
  <c r="H47" i="11" s="1"/>
  <c r="C48" i="11"/>
  <c r="P40" i="12"/>
  <c r="Q40" i="12" s="1"/>
  <c r="N46" i="11"/>
  <c r="J46" i="11"/>
  <c r="K46" i="11" s="1"/>
  <c r="Z40" i="12" l="1"/>
  <c r="R41" i="12"/>
  <c r="X41" i="12" s="1"/>
  <c r="K45" i="6"/>
  <c r="AB41" i="7"/>
  <c r="R41" i="7"/>
  <c r="Y41" i="7" s="1"/>
  <c r="Z41" i="7" s="1"/>
  <c r="Z41" i="6"/>
  <c r="R41" i="6"/>
  <c r="X41" i="6" s="1"/>
  <c r="Z40" i="11"/>
  <c r="R41" i="11"/>
  <c r="X41" i="11" s="1"/>
  <c r="L75" i="2"/>
  <c r="H75" i="2"/>
  <c r="R40" i="7"/>
  <c r="Y40" i="7" s="1"/>
  <c r="Z40" i="7" s="1"/>
  <c r="S40" i="7"/>
  <c r="AB40" i="7"/>
  <c r="J60" i="5"/>
  <c r="N60" i="5"/>
  <c r="D45" i="12"/>
  <c r="G45" i="12" s="1"/>
  <c r="H45" i="12" s="1"/>
  <c r="C46" i="12"/>
  <c r="N43" i="1"/>
  <c r="O43" i="1" s="1"/>
  <c r="Q43" i="1" s="1"/>
  <c r="T43" i="1" s="1"/>
  <c r="C62" i="7"/>
  <c r="D61" i="7"/>
  <c r="G61" i="7" s="1"/>
  <c r="H61" i="7" s="1"/>
  <c r="P42" i="6"/>
  <c r="Q42" i="6" s="1"/>
  <c r="P41" i="11"/>
  <c r="Q41" i="11" s="1"/>
  <c r="N42" i="2"/>
  <c r="O42" i="2" s="1"/>
  <c r="Q42" i="2" s="1"/>
  <c r="T42" i="2" s="1"/>
  <c r="L66" i="1"/>
  <c r="H66" i="1"/>
  <c r="P41" i="12"/>
  <c r="Q41" i="12" s="1"/>
  <c r="L43" i="6"/>
  <c r="Y42" i="6"/>
  <c r="M43" i="6"/>
  <c r="O43" i="6" s="1"/>
  <c r="Y42" i="11"/>
  <c r="M42" i="11"/>
  <c r="O42" i="11" s="1"/>
  <c r="L43" i="11"/>
  <c r="C49" i="11"/>
  <c r="E48" i="11"/>
  <c r="D48" i="11"/>
  <c r="G48" i="11" s="1"/>
  <c r="H48" i="11" s="1"/>
  <c r="W40" i="10"/>
  <c r="V40" i="10"/>
  <c r="C68" i="1"/>
  <c r="E67" i="1"/>
  <c r="F67" i="1" s="1"/>
  <c r="M42" i="12"/>
  <c r="O42" i="12" s="1"/>
  <c r="L43" i="12"/>
  <c r="Y42" i="12"/>
  <c r="J45" i="6"/>
  <c r="N45" i="6"/>
  <c r="N60" i="7"/>
  <c r="J44" i="1"/>
  <c r="K44" i="1"/>
  <c r="M44" i="1" s="1"/>
  <c r="N47" i="11"/>
  <c r="J47" i="11"/>
  <c r="K47" i="11" s="1"/>
  <c r="C46" i="10"/>
  <c r="D45" i="10"/>
  <c r="G45" i="10" s="1"/>
  <c r="H45" i="10" s="1"/>
  <c r="R42" i="5"/>
  <c r="S42" i="5" s="1"/>
  <c r="V42" i="5" s="1"/>
  <c r="E45" i="6"/>
  <c r="E45" i="7" s="1"/>
  <c r="J45" i="7" s="1"/>
  <c r="L42" i="7"/>
  <c r="M42" i="7"/>
  <c r="O42" i="7" s="1"/>
  <c r="W41" i="7"/>
  <c r="X41" i="7" s="1"/>
  <c r="K44" i="5"/>
  <c r="E47" i="11"/>
  <c r="N44" i="10"/>
  <c r="J44" i="10"/>
  <c r="K44" i="10" s="1"/>
  <c r="J44" i="12"/>
  <c r="K44" i="12" s="1"/>
  <c r="N44" i="12"/>
  <c r="C47" i="6"/>
  <c r="D46" i="6"/>
  <c r="G46" i="6" s="1"/>
  <c r="H46" i="6" s="1"/>
  <c r="S40" i="6"/>
  <c r="M44" i="5"/>
  <c r="O44" i="5" s="1"/>
  <c r="L44" i="5"/>
  <c r="K43" i="2"/>
  <c r="M43" i="2" s="1"/>
  <c r="J43" i="2"/>
  <c r="P43" i="5"/>
  <c r="Q43" i="5"/>
  <c r="P40" i="10"/>
  <c r="Q40" i="10" s="1"/>
  <c r="M41" i="10"/>
  <c r="O41" i="10" s="1"/>
  <c r="Y41" i="10"/>
  <c r="L42" i="10"/>
  <c r="C77" i="2"/>
  <c r="E76" i="2"/>
  <c r="F76" i="2" s="1"/>
  <c r="W40" i="12"/>
  <c r="V40" i="12"/>
  <c r="E44" i="10"/>
  <c r="C62" i="5"/>
  <c r="D61" i="5"/>
  <c r="G61" i="5" s="1"/>
  <c r="H61" i="5" s="1"/>
  <c r="E44" i="12"/>
  <c r="R42" i="11" l="1"/>
  <c r="X42" i="11" s="1"/>
  <c r="Z41" i="11"/>
  <c r="S42" i="11"/>
  <c r="Z42" i="6"/>
  <c r="R42" i="6"/>
  <c r="X42" i="6" s="1"/>
  <c r="K45" i="10"/>
  <c r="Z41" i="12"/>
  <c r="R42" i="12"/>
  <c r="X42" i="12" s="1"/>
  <c r="S42" i="12"/>
  <c r="Z40" i="10"/>
  <c r="R41" i="10"/>
  <c r="X41" i="10" s="1"/>
  <c r="E47" i="6"/>
  <c r="E47" i="7" s="1"/>
  <c r="J47" i="7" s="1"/>
  <c r="D47" i="6"/>
  <c r="G47" i="6" s="1"/>
  <c r="H47" i="6" s="1"/>
  <c r="C48" i="6"/>
  <c r="N45" i="12"/>
  <c r="J45" i="12"/>
  <c r="K45" i="12" s="1"/>
  <c r="E45" i="12"/>
  <c r="J61" i="5"/>
  <c r="N61" i="5"/>
  <c r="Q42" i="12"/>
  <c r="P42" i="12"/>
  <c r="S41" i="11"/>
  <c r="L67" i="1"/>
  <c r="H67" i="1"/>
  <c r="D62" i="7"/>
  <c r="G62" i="7" s="1"/>
  <c r="H62" i="7" s="1"/>
  <c r="C63" i="7"/>
  <c r="K46" i="6"/>
  <c r="M43" i="7"/>
  <c r="O43" i="7" s="1"/>
  <c r="W42" i="7"/>
  <c r="X42" i="7" s="1"/>
  <c r="N61" i="7"/>
  <c r="P44" i="5"/>
  <c r="Q44" i="5"/>
  <c r="C69" i="1"/>
  <c r="E68" i="1"/>
  <c r="F68" i="1" s="1"/>
  <c r="K44" i="2"/>
  <c r="M44" i="2" s="1"/>
  <c r="J44" i="2"/>
  <c r="L43" i="10"/>
  <c r="Y42" i="10"/>
  <c r="M42" i="10"/>
  <c r="O42" i="10" s="1"/>
  <c r="L44" i="12"/>
  <c r="Y43" i="12"/>
  <c r="M43" i="12"/>
  <c r="O43" i="12" s="1"/>
  <c r="S41" i="7"/>
  <c r="O44" i="1"/>
  <c r="Q44" i="1" s="1"/>
  <c r="T44" i="1" s="1"/>
  <c r="N44" i="1"/>
  <c r="D62" i="5"/>
  <c r="G62" i="5" s="1"/>
  <c r="H62" i="5" s="1"/>
  <c r="C63" i="5"/>
  <c r="K45" i="1"/>
  <c r="M45" i="1" s="1"/>
  <c r="J45" i="1"/>
  <c r="W40" i="6"/>
  <c r="V40" i="6"/>
  <c r="J45" i="10"/>
  <c r="N45" i="10"/>
  <c r="P43" i="6"/>
  <c r="Q43" i="6" s="1"/>
  <c r="AA40" i="7"/>
  <c r="V40" i="7"/>
  <c r="Q42" i="7"/>
  <c r="P42" i="7"/>
  <c r="K43" i="7" s="1"/>
  <c r="N43" i="2"/>
  <c r="O43" i="2" s="1"/>
  <c r="Q43" i="2" s="1"/>
  <c r="T43" i="2" s="1"/>
  <c r="M45" i="5"/>
  <c r="O45" i="5" s="1"/>
  <c r="L45" i="5"/>
  <c r="M43" i="11"/>
  <c r="O43" i="11" s="1"/>
  <c r="L44" i="11"/>
  <c r="Y43" i="11"/>
  <c r="P41" i="10"/>
  <c r="Q41" i="10" s="1"/>
  <c r="J46" i="6"/>
  <c r="N46" i="6"/>
  <c r="S41" i="12"/>
  <c r="E77" i="2"/>
  <c r="F77" i="2" s="1"/>
  <c r="C78" i="2"/>
  <c r="E49" i="11"/>
  <c r="C50" i="11"/>
  <c r="D49" i="11"/>
  <c r="G49" i="11" s="1"/>
  <c r="H49" i="11" s="1"/>
  <c r="P42" i="11"/>
  <c r="Q42" i="11"/>
  <c r="R43" i="5"/>
  <c r="S43" i="5" s="1"/>
  <c r="V43" i="5" s="1"/>
  <c r="K45" i="5"/>
  <c r="E45" i="10"/>
  <c r="H76" i="2"/>
  <c r="L76" i="2"/>
  <c r="E46" i="6"/>
  <c r="E46" i="7" s="1"/>
  <c r="J46" i="7" s="1"/>
  <c r="C47" i="10"/>
  <c r="D46" i="10"/>
  <c r="G46" i="10" s="1"/>
  <c r="H46" i="10" s="1"/>
  <c r="J48" i="11"/>
  <c r="K48" i="11" s="1"/>
  <c r="N48" i="11"/>
  <c r="M44" i="6"/>
  <c r="O44" i="6" s="1"/>
  <c r="L44" i="6"/>
  <c r="Y43" i="6"/>
  <c r="C47" i="12"/>
  <c r="D46" i="12"/>
  <c r="G46" i="12" s="1"/>
  <c r="H46" i="12" s="1"/>
  <c r="E46" i="12"/>
  <c r="S41" i="6"/>
  <c r="R43" i="6" l="1"/>
  <c r="X43" i="6" s="1"/>
  <c r="Z43" i="6"/>
  <c r="K46" i="12"/>
  <c r="Z41" i="10"/>
  <c r="R42" i="10"/>
  <c r="X42" i="10" s="1"/>
  <c r="P43" i="7"/>
  <c r="Q43" i="7" s="1"/>
  <c r="L77" i="2"/>
  <c r="H77" i="2"/>
  <c r="M44" i="12"/>
  <c r="O44" i="12" s="1"/>
  <c r="Y44" i="12"/>
  <c r="L45" i="12"/>
  <c r="J46" i="12"/>
  <c r="N46" i="12"/>
  <c r="N62" i="7"/>
  <c r="L68" i="1"/>
  <c r="H68" i="1"/>
  <c r="R44" i="5"/>
  <c r="S44" i="5" s="1"/>
  <c r="V44" i="5" s="1"/>
  <c r="S42" i="6"/>
  <c r="R43" i="11"/>
  <c r="X43" i="11" s="1"/>
  <c r="Z42" i="11"/>
  <c r="J62" i="5"/>
  <c r="N62" i="5"/>
  <c r="P43" i="12"/>
  <c r="Q43" i="12" s="1"/>
  <c r="R43" i="12"/>
  <c r="X43" i="12" s="1"/>
  <c r="S43" i="12"/>
  <c r="Z42" i="12"/>
  <c r="W41" i="6"/>
  <c r="V41" i="6"/>
  <c r="J46" i="1"/>
  <c r="K46" i="1"/>
  <c r="M46" i="1" s="1"/>
  <c r="C70" i="1"/>
  <c r="E69" i="1"/>
  <c r="F69" i="1" s="1"/>
  <c r="J46" i="10"/>
  <c r="N46" i="10"/>
  <c r="N45" i="1"/>
  <c r="O45" i="1"/>
  <c r="Q45" i="1" s="1"/>
  <c r="T45" i="1" s="1"/>
  <c r="S41" i="10"/>
  <c r="M46" i="5"/>
  <c r="O46" i="5" s="1"/>
  <c r="L46" i="5"/>
  <c r="C64" i="5"/>
  <c r="D63" i="5"/>
  <c r="G63" i="5" s="1"/>
  <c r="H63" i="5" s="1"/>
  <c r="D47" i="12"/>
  <c r="G47" i="12" s="1"/>
  <c r="H47" i="12" s="1"/>
  <c r="E47" i="12"/>
  <c r="C48" i="12"/>
  <c r="P45" i="5"/>
  <c r="K46" i="5" s="1"/>
  <c r="Q45" i="5"/>
  <c r="L44" i="10"/>
  <c r="Y43" i="10"/>
  <c r="M43" i="10"/>
  <c r="O43" i="10" s="1"/>
  <c r="W42" i="12"/>
  <c r="V42" i="12"/>
  <c r="W42" i="11"/>
  <c r="V42" i="11"/>
  <c r="AB42" i="7"/>
  <c r="S42" i="7"/>
  <c r="R42" i="7"/>
  <c r="Y42" i="7" s="1"/>
  <c r="Z42" i="7" s="1"/>
  <c r="K46" i="10"/>
  <c r="E78" i="2"/>
  <c r="F78" i="2" s="1"/>
  <c r="C79" i="2"/>
  <c r="P43" i="11"/>
  <c r="Q43" i="11" s="1"/>
  <c r="C64" i="7"/>
  <c r="D63" i="7"/>
  <c r="G63" i="7" s="1"/>
  <c r="H63" i="7" s="1"/>
  <c r="E46" i="10"/>
  <c r="P42" i="10"/>
  <c r="Q42" i="10" s="1"/>
  <c r="J45" i="2"/>
  <c r="K45" i="2"/>
  <c r="M45" i="2" s="1"/>
  <c r="V41" i="11"/>
  <c r="W41" i="11"/>
  <c r="C49" i="6"/>
  <c r="D48" i="6"/>
  <c r="G48" i="6" s="1"/>
  <c r="H48" i="6" s="1"/>
  <c r="Y44" i="11"/>
  <c r="M44" i="11"/>
  <c r="O44" i="11" s="1"/>
  <c r="L45" i="11"/>
  <c r="W41" i="12"/>
  <c r="V41" i="12"/>
  <c r="D47" i="10"/>
  <c r="G47" i="10" s="1"/>
  <c r="H47" i="10" s="1"/>
  <c r="C48" i="10"/>
  <c r="M45" i="6"/>
  <c r="O45" i="6" s="1"/>
  <c r="Y44" i="6"/>
  <c r="L45" i="6"/>
  <c r="J49" i="11"/>
  <c r="K49" i="11" s="1"/>
  <c r="N49" i="11"/>
  <c r="P44" i="6"/>
  <c r="Q44" i="6" s="1"/>
  <c r="C51" i="11"/>
  <c r="D50" i="11"/>
  <c r="G50" i="11" s="1"/>
  <c r="H50" i="11" s="1"/>
  <c r="K44" i="7"/>
  <c r="AA41" i="7"/>
  <c r="V41" i="7"/>
  <c r="N44" i="2"/>
  <c r="O44" i="2" s="1"/>
  <c r="Q44" i="2" s="1"/>
  <c r="T44" i="2" s="1"/>
  <c r="L43" i="7"/>
  <c r="N47" i="6"/>
  <c r="J47" i="6"/>
  <c r="K47" i="6" s="1"/>
  <c r="Z43" i="12" l="1"/>
  <c r="S44" i="12"/>
  <c r="R44" i="12"/>
  <c r="X44" i="12" s="1"/>
  <c r="R44" i="6"/>
  <c r="X44" i="6" s="1"/>
  <c r="S44" i="6"/>
  <c r="Z44" i="6"/>
  <c r="Z42" i="10"/>
  <c r="R43" i="10"/>
  <c r="X43" i="10" s="1"/>
  <c r="AB43" i="7"/>
  <c r="R43" i="7"/>
  <c r="Y43" i="7" s="1"/>
  <c r="Z43" i="7" s="1"/>
  <c r="Z43" i="11"/>
  <c r="R44" i="11"/>
  <c r="X44" i="11" s="1"/>
  <c r="K50" i="11"/>
  <c r="C65" i="7"/>
  <c r="D64" i="7"/>
  <c r="G64" i="7" s="1"/>
  <c r="H64" i="7" s="1"/>
  <c r="M47" i="5"/>
  <c r="O47" i="5" s="1"/>
  <c r="R45" i="5"/>
  <c r="S45" i="5" s="1"/>
  <c r="V45" i="5" s="1"/>
  <c r="M46" i="6"/>
  <c r="O46" i="6" s="1"/>
  <c r="L46" i="6"/>
  <c r="Y45" i="6"/>
  <c r="J50" i="11"/>
  <c r="N50" i="11"/>
  <c r="K47" i="12"/>
  <c r="P46" i="5"/>
  <c r="L47" i="5" s="1"/>
  <c r="Q46" i="5"/>
  <c r="L46" i="11"/>
  <c r="Y45" i="11"/>
  <c r="M45" i="11"/>
  <c r="O45" i="11" s="1"/>
  <c r="K47" i="1"/>
  <c r="M47" i="1" s="1"/>
  <c r="J47" i="1"/>
  <c r="K46" i="2"/>
  <c r="M46" i="2" s="1"/>
  <c r="J46" i="2"/>
  <c r="C49" i="12"/>
  <c r="D48" i="12"/>
  <c r="G48" i="12" s="1"/>
  <c r="H48" i="12" s="1"/>
  <c r="C52" i="11"/>
  <c r="D51" i="11"/>
  <c r="G51" i="11" s="1"/>
  <c r="H51" i="11" s="1"/>
  <c r="C49" i="10"/>
  <c r="D48" i="10"/>
  <c r="G48" i="10" s="1"/>
  <c r="H48" i="10" s="1"/>
  <c r="E48" i="6"/>
  <c r="E48" i="7" s="1"/>
  <c r="J48" i="7" s="1"/>
  <c r="H78" i="2"/>
  <c r="L78" i="2"/>
  <c r="N47" i="12"/>
  <c r="J47" i="12"/>
  <c r="M44" i="10"/>
  <c r="O44" i="10" s="1"/>
  <c r="L45" i="10"/>
  <c r="Y44" i="10"/>
  <c r="Y45" i="12"/>
  <c r="M45" i="12"/>
  <c r="O45" i="12" s="1"/>
  <c r="L46" i="12"/>
  <c r="N46" i="1"/>
  <c r="O46" i="1" s="1"/>
  <c r="Q46" i="1" s="1"/>
  <c r="T46" i="1" s="1"/>
  <c r="P45" i="6"/>
  <c r="Q45" i="6" s="1"/>
  <c r="J48" i="6"/>
  <c r="K48" i="6" s="1"/>
  <c r="N48" i="6"/>
  <c r="P43" i="10"/>
  <c r="Q43" i="10" s="1"/>
  <c r="N63" i="5"/>
  <c r="J63" i="5"/>
  <c r="V43" i="12"/>
  <c r="W43" i="12"/>
  <c r="S43" i="11"/>
  <c r="AA42" i="7"/>
  <c r="V42" i="7"/>
  <c r="C71" i="1"/>
  <c r="E70" i="1"/>
  <c r="F70" i="1" s="1"/>
  <c r="S42" i="10"/>
  <c r="O45" i="2"/>
  <c r="Q45" i="2" s="1"/>
  <c r="T45" i="2" s="1"/>
  <c r="N45" i="2"/>
  <c r="W41" i="10"/>
  <c r="V41" i="10"/>
  <c r="P44" i="12"/>
  <c r="Q44" i="12"/>
  <c r="P44" i="11"/>
  <c r="Q44" i="11"/>
  <c r="E50" i="11"/>
  <c r="C80" i="2"/>
  <c r="E79" i="2"/>
  <c r="F79" i="2" s="1"/>
  <c r="M44" i="7"/>
  <c r="O44" i="7" s="1"/>
  <c r="L44" i="7"/>
  <c r="W43" i="7"/>
  <c r="X43" i="7" s="1"/>
  <c r="N47" i="10"/>
  <c r="J47" i="10"/>
  <c r="K47" i="10" s="1"/>
  <c r="E47" i="10"/>
  <c r="D49" i="6"/>
  <c r="G49" i="6" s="1"/>
  <c r="H49" i="6" s="1"/>
  <c r="E49" i="6"/>
  <c r="E49" i="7" s="1"/>
  <c r="J49" i="7" s="1"/>
  <c r="C50" i="6"/>
  <c r="N63" i="7"/>
  <c r="C65" i="5"/>
  <c r="D64" i="5"/>
  <c r="G64" i="5" s="1"/>
  <c r="H64" i="5" s="1"/>
  <c r="L69" i="1"/>
  <c r="H69" i="1"/>
  <c r="W42" i="6"/>
  <c r="V42" i="6"/>
  <c r="S43" i="6"/>
  <c r="M48" i="5" l="1"/>
  <c r="O48" i="5" s="1"/>
  <c r="F5" i="4"/>
  <c r="F6" i="4" s="1"/>
  <c r="F39" i="4"/>
  <c r="F40" i="4" s="1"/>
  <c r="F51" i="4"/>
  <c r="F52" i="4" s="1"/>
  <c r="F53" i="4" s="1"/>
  <c r="Z43" i="10"/>
  <c r="R44" i="10"/>
  <c r="X44" i="10" s="1"/>
  <c r="R45" i="6"/>
  <c r="X45" i="6" s="1"/>
  <c r="Z45" i="6"/>
  <c r="S45" i="6"/>
  <c r="J48" i="10"/>
  <c r="K48" i="10" s="1"/>
  <c r="N48" i="10"/>
  <c r="S46" i="5"/>
  <c r="V46" i="5" s="1"/>
  <c r="R46" i="5"/>
  <c r="Z44" i="11"/>
  <c r="R45" i="11"/>
  <c r="X45" i="11" s="1"/>
  <c r="W42" i="10"/>
  <c r="V42" i="10"/>
  <c r="E48" i="10"/>
  <c r="S44" i="11"/>
  <c r="C66" i="5"/>
  <c r="D65" i="5"/>
  <c r="G65" i="5" s="1"/>
  <c r="H65" i="5" s="1"/>
  <c r="L70" i="1"/>
  <c r="H70" i="1"/>
  <c r="D49" i="10"/>
  <c r="G49" i="10" s="1"/>
  <c r="H49" i="10" s="1"/>
  <c r="C50" i="10"/>
  <c r="E49" i="10"/>
  <c r="K48" i="12"/>
  <c r="W44" i="6"/>
  <c r="V44" i="6"/>
  <c r="R45" i="12"/>
  <c r="X45" i="12" s="1"/>
  <c r="Z44" i="12"/>
  <c r="C72" i="1"/>
  <c r="E71" i="1"/>
  <c r="F71" i="1" s="1"/>
  <c r="J51" i="11"/>
  <c r="K51" i="11" s="1"/>
  <c r="N51" i="11"/>
  <c r="K48" i="1"/>
  <c r="M48" i="1" s="1"/>
  <c r="J48" i="1"/>
  <c r="P47" i="5"/>
  <c r="L48" i="5" s="1"/>
  <c r="Q47" i="5"/>
  <c r="W43" i="6"/>
  <c r="V43" i="6"/>
  <c r="W44" i="7"/>
  <c r="X44" i="7" s="1"/>
  <c r="M45" i="7"/>
  <c r="O45" i="7" s="1"/>
  <c r="E51" i="11"/>
  <c r="N47" i="1"/>
  <c r="O47" i="1" s="1"/>
  <c r="Q47" i="1" s="1"/>
  <c r="T47" i="1" s="1"/>
  <c r="N64" i="7"/>
  <c r="S43" i="7"/>
  <c r="K47" i="5"/>
  <c r="L46" i="10"/>
  <c r="Y45" i="10"/>
  <c r="M45" i="10"/>
  <c r="O45" i="10" s="1"/>
  <c r="L47" i="12"/>
  <c r="Y46" i="12"/>
  <c r="M46" i="12"/>
  <c r="O46" i="12" s="1"/>
  <c r="D52" i="11"/>
  <c r="G52" i="11" s="1"/>
  <c r="H52" i="11" s="1"/>
  <c r="C53" i="11"/>
  <c r="P45" i="11"/>
  <c r="Q45" i="11" s="1"/>
  <c r="C66" i="7"/>
  <c r="D65" i="7"/>
  <c r="G65" i="7" s="1"/>
  <c r="H65" i="7" s="1"/>
  <c r="C50" i="12"/>
  <c r="E49" i="12"/>
  <c r="D49" i="12"/>
  <c r="G49" i="12" s="1"/>
  <c r="H49" i="12" s="1"/>
  <c r="N64" i="5"/>
  <c r="J64" i="5"/>
  <c r="J47" i="2"/>
  <c r="K47" i="2"/>
  <c r="M47" i="2" s="1"/>
  <c r="P44" i="10"/>
  <c r="Q44" i="10" s="1"/>
  <c r="O46" i="2"/>
  <c r="Q46" i="2" s="1"/>
  <c r="T46" i="2" s="1"/>
  <c r="N46" i="2"/>
  <c r="E50" i="6"/>
  <c r="E50" i="7" s="1"/>
  <c r="J50" i="7" s="1"/>
  <c r="D50" i="6"/>
  <c r="G50" i="6" s="1"/>
  <c r="H50" i="6" s="1"/>
  <c r="C51" i="6"/>
  <c r="P44" i="7"/>
  <c r="K45" i="7" s="1"/>
  <c r="H79" i="2"/>
  <c r="L79" i="2"/>
  <c r="V43" i="11"/>
  <c r="W43" i="11"/>
  <c r="P45" i="12"/>
  <c r="Q45" i="12"/>
  <c r="N48" i="12"/>
  <c r="J48" i="12"/>
  <c r="M47" i="6"/>
  <c r="O47" i="6" s="1"/>
  <c r="Y46" i="6"/>
  <c r="L47" i="6"/>
  <c r="V44" i="12"/>
  <c r="W44" i="12"/>
  <c r="N49" i="6"/>
  <c r="J49" i="6"/>
  <c r="K49" i="6" s="1"/>
  <c r="C81" i="2"/>
  <c r="E80" i="2"/>
  <c r="F80" i="2" s="1"/>
  <c r="E48" i="12"/>
  <c r="L47" i="11"/>
  <c r="M46" i="11"/>
  <c r="O46" i="11" s="1"/>
  <c r="Y46" i="11"/>
  <c r="P46" i="6"/>
  <c r="Q46" i="6"/>
  <c r="S43" i="10"/>
  <c r="R45" i="10" l="1"/>
  <c r="X45" i="10" s="1"/>
  <c r="Z44" i="10"/>
  <c r="S45" i="10"/>
  <c r="K52" i="11"/>
  <c r="K49" i="10"/>
  <c r="M49" i="5"/>
  <c r="O49" i="5" s="1"/>
  <c r="L49" i="5"/>
  <c r="Z45" i="11"/>
  <c r="R46" i="11"/>
  <c r="X46" i="11" s="1"/>
  <c r="V43" i="10"/>
  <c r="W43" i="10"/>
  <c r="S44" i="10"/>
  <c r="D66" i="7"/>
  <c r="G66" i="7" s="1"/>
  <c r="H66" i="7" s="1"/>
  <c r="C67" i="7"/>
  <c r="N49" i="10"/>
  <c r="J49" i="10"/>
  <c r="V45" i="6"/>
  <c r="W45" i="6"/>
  <c r="C52" i="6"/>
  <c r="D51" i="6"/>
  <c r="G51" i="6" s="1"/>
  <c r="H51" i="6" s="1"/>
  <c r="P45" i="10"/>
  <c r="Q45" i="10" s="1"/>
  <c r="H80" i="2"/>
  <c r="L80" i="2"/>
  <c r="C82" i="2"/>
  <c r="E81" i="2"/>
  <c r="F81" i="2" s="1"/>
  <c r="L71" i="1"/>
  <c r="H71" i="1"/>
  <c r="R46" i="6"/>
  <c r="X46" i="6" s="1"/>
  <c r="Z46" i="6"/>
  <c r="N65" i="7"/>
  <c r="C73" i="1"/>
  <c r="E72" i="1"/>
  <c r="F72" i="1" s="1"/>
  <c r="Q44" i="7"/>
  <c r="M47" i="12"/>
  <c r="O47" i="12" s="1"/>
  <c r="L48" i="12"/>
  <c r="Y47" i="12"/>
  <c r="R47" i="5"/>
  <c r="F7" i="4" s="1"/>
  <c r="R46" i="12"/>
  <c r="X46" i="12" s="1"/>
  <c r="Z45" i="12"/>
  <c r="K48" i="2"/>
  <c r="M48" i="2" s="1"/>
  <c r="J48" i="2"/>
  <c r="P46" i="11"/>
  <c r="Q46" i="11" s="1"/>
  <c r="N50" i="6"/>
  <c r="J50" i="6"/>
  <c r="K50" i="6" s="1"/>
  <c r="J49" i="1"/>
  <c r="K49" i="1"/>
  <c r="M49" i="1" s="1"/>
  <c r="S45" i="12"/>
  <c r="N52" i="11"/>
  <c r="J52" i="11"/>
  <c r="C51" i="12"/>
  <c r="D50" i="12"/>
  <c r="G50" i="12" s="1"/>
  <c r="H50" i="12" s="1"/>
  <c r="N48" i="1"/>
  <c r="O48" i="1"/>
  <c r="Q48" i="1" s="1"/>
  <c r="T48" i="1" s="1"/>
  <c r="N65" i="5"/>
  <c r="J65" i="5"/>
  <c r="S45" i="11"/>
  <c r="V43" i="7"/>
  <c r="AA43" i="7"/>
  <c r="W44" i="11"/>
  <c r="V44" i="11"/>
  <c r="P47" i="6"/>
  <c r="Q47" i="6" s="1"/>
  <c r="P46" i="12"/>
  <c r="Q46" i="12" s="1"/>
  <c r="K46" i="7"/>
  <c r="D50" i="10"/>
  <c r="G50" i="10" s="1"/>
  <c r="H50" i="10" s="1"/>
  <c r="C51" i="10"/>
  <c r="O47" i="2"/>
  <c r="Q47" i="2" s="1"/>
  <c r="T47" i="2" s="1"/>
  <c r="N47" i="2"/>
  <c r="L48" i="11"/>
  <c r="M47" i="11"/>
  <c r="O47" i="11" s="1"/>
  <c r="Y47" i="11"/>
  <c r="E52" i="11"/>
  <c r="M46" i="10"/>
  <c r="O46" i="10" s="1"/>
  <c r="L47" i="10"/>
  <c r="Y46" i="10"/>
  <c r="L45" i="7"/>
  <c r="Y47" i="6"/>
  <c r="L48" i="6"/>
  <c r="M48" i="6"/>
  <c r="O48" i="6" s="1"/>
  <c r="J49" i="12"/>
  <c r="K49" i="12" s="1"/>
  <c r="N49" i="12"/>
  <c r="C54" i="11"/>
  <c r="E53" i="11"/>
  <c r="D53" i="11"/>
  <c r="G53" i="11" s="1"/>
  <c r="H53" i="11" s="1"/>
  <c r="K48" i="5"/>
  <c r="P45" i="7"/>
  <c r="Q45" i="7" s="1"/>
  <c r="C67" i="5"/>
  <c r="D66" i="5"/>
  <c r="G66" i="5" s="1"/>
  <c r="H66" i="5" s="1"/>
  <c r="P48" i="5"/>
  <c r="Q48" i="5"/>
  <c r="Z46" i="12" l="1"/>
  <c r="R47" i="12"/>
  <c r="X47" i="12" s="1"/>
  <c r="AB45" i="7"/>
  <c r="R45" i="7"/>
  <c r="Y45" i="7" s="1"/>
  <c r="Z45" i="7" s="1"/>
  <c r="S47" i="6"/>
  <c r="Z47" i="6"/>
  <c r="R47" i="6"/>
  <c r="X47" i="6" s="1"/>
  <c r="Z46" i="11"/>
  <c r="R47" i="11"/>
  <c r="X47" i="11" s="1"/>
  <c r="Z45" i="10"/>
  <c r="R46" i="10"/>
  <c r="X46" i="10" s="1"/>
  <c r="N66" i="7"/>
  <c r="N66" i="5"/>
  <c r="J66" i="5"/>
  <c r="S46" i="12"/>
  <c r="D52" i="6"/>
  <c r="G52" i="6" s="1"/>
  <c r="H52" i="6" s="1"/>
  <c r="C53" i="6"/>
  <c r="C68" i="5"/>
  <c r="D67" i="5"/>
  <c r="G67" i="5" s="1"/>
  <c r="H67" i="5" s="1"/>
  <c r="L72" i="1"/>
  <c r="H72" i="1"/>
  <c r="W45" i="10"/>
  <c r="V45" i="10"/>
  <c r="AB44" i="7"/>
  <c r="R44" i="7"/>
  <c r="Y44" i="7" s="1"/>
  <c r="Z44" i="7" s="1"/>
  <c r="C55" i="11"/>
  <c r="D54" i="11"/>
  <c r="G54" i="11" s="1"/>
  <c r="H54" i="11" s="1"/>
  <c r="E54" i="11"/>
  <c r="E51" i="6"/>
  <c r="E51" i="7" s="1"/>
  <c r="J51" i="7" s="1"/>
  <c r="N50" i="10"/>
  <c r="J50" i="10"/>
  <c r="K50" i="10"/>
  <c r="E50" i="10"/>
  <c r="E82" i="2"/>
  <c r="F82" i="2" s="1"/>
  <c r="C83" i="2"/>
  <c r="M49" i="6"/>
  <c r="O49" i="6" s="1"/>
  <c r="L49" i="6"/>
  <c r="Y48" i="6"/>
  <c r="R48" i="5"/>
  <c r="S48" i="5" s="1"/>
  <c r="V48" i="5" s="1"/>
  <c r="N49" i="1"/>
  <c r="O49" i="1" s="1"/>
  <c r="Q49" i="1" s="1"/>
  <c r="T49" i="1" s="1"/>
  <c r="M50" i="5"/>
  <c r="O50" i="5" s="1"/>
  <c r="L50" i="5"/>
  <c r="C52" i="10"/>
  <c r="D51" i="10"/>
  <c r="G51" i="10" s="1"/>
  <c r="H51" i="10" s="1"/>
  <c r="K50" i="1"/>
  <c r="M50" i="1" s="1"/>
  <c r="J50" i="1"/>
  <c r="P49" i="5"/>
  <c r="Q49" i="5"/>
  <c r="P46" i="10"/>
  <c r="Q46" i="10" s="1"/>
  <c r="C74" i="1"/>
  <c r="E73" i="1"/>
  <c r="F73" i="1" s="1"/>
  <c r="S47" i="5"/>
  <c r="V47" i="5" s="1"/>
  <c r="P47" i="11"/>
  <c r="Q47" i="11" s="1"/>
  <c r="W45" i="11"/>
  <c r="V45" i="11"/>
  <c r="K49" i="5"/>
  <c r="K50" i="5" s="1"/>
  <c r="L49" i="11"/>
  <c r="Y48" i="11"/>
  <c r="M48" i="11"/>
  <c r="O48" i="11" s="1"/>
  <c r="K49" i="2"/>
  <c r="M49" i="2" s="1"/>
  <c r="J49" i="2"/>
  <c r="Y48" i="12"/>
  <c r="L49" i="12"/>
  <c r="M48" i="12"/>
  <c r="O48" i="12" s="1"/>
  <c r="S46" i="11"/>
  <c r="J51" i="6"/>
  <c r="K51" i="6" s="1"/>
  <c r="N51" i="6"/>
  <c r="Y47" i="10"/>
  <c r="M47" i="10"/>
  <c r="O47" i="10" s="1"/>
  <c r="L48" i="10"/>
  <c r="W44" i="10"/>
  <c r="V44" i="10"/>
  <c r="J50" i="12"/>
  <c r="K50" i="12" s="1"/>
  <c r="N50" i="12"/>
  <c r="H81" i="2"/>
  <c r="L81" i="2"/>
  <c r="D51" i="12"/>
  <c r="G51" i="12" s="1"/>
  <c r="H51" i="12" s="1"/>
  <c r="C52" i="12"/>
  <c r="E51" i="12"/>
  <c r="Q48" i="6"/>
  <c r="P48" i="6"/>
  <c r="E50" i="12"/>
  <c r="N53" i="11"/>
  <c r="J53" i="11"/>
  <c r="K53" i="11" s="1"/>
  <c r="W45" i="7"/>
  <c r="X45" i="7" s="1"/>
  <c r="M46" i="7"/>
  <c r="O46" i="7" s="1"/>
  <c r="L46" i="7"/>
  <c r="W45" i="12"/>
  <c r="V45" i="12"/>
  <c r="N48" i="2"/>
  <c r="O48" i="2"/>
  <c r="Q48" i="2" s="1"/>
  <c r="T48" i="2" s="1"/>
  <c r="P47" i="12"/>
  <c r="Q47" i="12" s="1"/>
  <c r="S46" i="6"/>
  <c r="C68" i="7"/>
  <c r="D67" i="7"/>
  <c r="G67" i="7" s="1"/>
  <c r="H67" i="7" s="1"/>
  <c r="Z47" i="11" l="1"/>
  <c r="R48" i="11"/>
  <c r="X48" i="11" s="1"/>
  <c r="S48" i="11"/>
  <c r="Z47" i="12"/>
  <c r="R48" i="12"/>
  <c r="X48" i="12" s="1"/>
  <c r="Z46" i="10"/>
  <c r="S47" i="10"/>
  <c r="R47" i="10"/>
  <c r="X47" i="10" s="1"/>
  <c r="D52" i="10"/>
  <c r="G52" i="10" s="1"/>
  <c r="H52" i="10" s="1"/>
  <c r="C53" i="10"/>
  <c r="N52" i="6"/>
  <c r="J52" i="6"/>
  <c r="K52" i="6" s="1"/>
  <c r="C69" i="7"/>
  <c r="D68" i="7"/>
  <c r="G68" i="7" s="1"/>
  <c r="H68" i="7" s="1"/>
  <c r="M49" i="12"/>
  <c r="O49" i="12" s="1"/>
  <c r="Y49" i="12"/>
  <c r="L50" i="12"/>
  <c r="S46" i="10"/>
  <c r="L49" i="10"/>
  <c r="Y48" i="10"/>
  <c r="M48" i="10"/>
  <c r="O48" i="10" s="1"/>
  <c r="P50" i="5"/>
  <c r="Q50" i="5"/>
  <c r="L82" i="2"/>
  <c r="H82" i="2"/>
  <c r="D55" i="11"/>
  <c r="G55" i="11" s="1"/>
  <c r="H55" i="11" s="1"/>
  <c r="C56" i="11"/>
  <c r="R48" i="6"/>
  <c r="X48" i="6" s="1"/>
  <c r="Z48" i="6"/>
  <c r="M51" i="5"/>
  <c r="O51" i="5" s="1"/>
  <c r="L51" i="5"/>
  <c r="V46" i="6"/>
  <c r="W46" i="6"/>
  <c r="R49" i="5"/>
  <c r="S49" i="5" s="1"/>
  <c r="V49" i="5" s="1"/>
  <c r="S45" i="7"/>
  <c r="S47" i="11"/>
  <c r="P46" i="7"/>
  <c r="K47" i="7" s="1"/>
  <c r="Q46" i="7"/>
  <c r="J54" i="11"/>
  <c r="K54" i="11" s="1"/>
  <c r="N54" i="11"/>
  <c r="N51" i="12"/>
  <c r="J51" i="12"/>
  <c r="K51" i="12" s="1"/>
  <c r="K51" i="1"/>
  <c r="M51" i="1" s="1"/>
  <c r="J51" i="1"/>
  <c r="N50" i="1"/>
  <c r="O50" i="1"/>
  <c r="Q50" i="1" s="1"/>
  <c r="T50" i="1" s="1"/>
  <c r="S44" i="7"/>
  <c r="J67" i="5"/>
  <c r="N67" i="5"/>
  <c r="S47" i="12"/>
  <c r="N67" i="7"/>
  <c r="K51" i="5"/>
  <c r="L50" i="6"/>
  <c r="Y49" i="6"/>
  <c r="M50" i="6"/>
  <c r="O50" i="6" s="1"/>
  <c r="W47" i="6"/>
  <c r="V47" i="6"/>
  <c r="P49" i="6"/>
  <c r="Q49" i="6" s="1"/>
  <c r="E52" i="6"/>
  <c r="E52" i="7" s="1"/>
  <c r="J52" i="7" s="1"/>
  <c r="P47" i="10"/>
  <c r="Q47" i="10"/>
  <c r="N49" i="2"/>
  <c r="O49" i="2" s="1"/>
  <c r="Q49" i="2" s="1"/>
  <c r="T49" i="2" s="1"/>
  <c r="F27" i="4"/>
  <c r="F28" i="4" s="1"/>
  <c r="F8" i="4"/>
  <c r="F9" i="4" s="1"/>
  <c r="L73" i="1"/>
  <c r="H73" i="1"/>
  <c r="J51" i="10"/>
  <c r="K51" i="10" s="1"/>
  <c r="N51" i="10"/>
  <c r="D68" i="5"/>
  <c r="G68" i="5" s="1"/>
  <c r="H68" i="5" s="1"/>
  <c r="C69" i="5"/>
  <c r="P48" i="12"/>
  <c r="Q48" i="12" s="1"/>
  <c r="W46" i="7"/>
  <c r="X46" i="7" s="1"/>
  <c r="M47" i="7"/>
  <c r="O47" i="7" s="1"/>
  <c r="L47" i="7"/>
  <c r="D52" i="12"/>
  <c r="G52" i="12" s="1"/>
  <c r="H52" i="12" s="1"/>
  <c r="C53" i="12"/>
  <c r="E83" i="2"/>
  <c r="F83" i="2" s="1"/>
  <c r="C84" i="2"/>
  <c r="W46" i="12"/>
  <c r="V46" i="12"/>
  <c r="K50" i="2"/>
  <c r="M50" i="2" s="1"/>
  <c r="J50" i="2"/>
  <c r="Q48" i="11"/>
  <c r="P48" i="11"/>
  <c r="W46" i="11"/>
  <c r="V46" i="11"/>
  <c r="M49" i="11"/>
  <c r="O49" i="11" s="1"/>
  <c r="L50" i="11"/>
  <c r="Y49" i="11"/>
  <c r="C75" i="1"/>
  <c r="E74" i="1"/>
  <c r="F74" i="1" s="1"/>
  <c r="E51" i="10"/>
  <c r="C54" i="6"/>
  <c r="D53" i="6"/>
  <c r="G53" i="6" s="1"/>
  <c r="H53" i="6" s="1"/>
  <c r="R49" i="12" l="1"/>
  <c r="X49" i="12" s="1"/>
  <c r="S49" i="12"/>
  <c r="Z48" i="12"/>
  <c r="S49" i="6"/>
  <c r="Z49" i="6"/>
  <c r="R49" i="6"/>
  <c r="X49" i="6" s="1"/>
  <c r="K51" i="2"/>
  <c r="M51" i="2" s="1"/>
  <c r="J51" i="2"/>
  <c r="L51" i="6"/>
  <c r="Y50" i="6"/>
  <c r="M51" i="6"/>
  <c r="O51" i="6" s="1"/>
  <c r="V46" i="10"/>
  <c r="W46" i="10"/>
  <c r="Y50" i="11"/>
  <c r="M50" i="11"/>
  <c r="O50" i="11" s="1"/>
  <c r="L51" i="11"/>
  <c r="Q47" i="7"/>
  <c r="P47" i="7"/>
  <c r="L48" i="7" s="1"/>
  <c r="K52" i="5"/>
  <c r="K48" i="7"/>
  <c r="P51" i="5"/>
  <c r="Q51" i="5" s="1"/>
  <c r="E52" i="10"/>
  <c r="W48" i="11"/>
  <c r="V48" i="11"/>
  <c r="N52" i="12"/>
  <c r="J52" i="12"/>
  <c r="K52" i="12" s="1"/>
  <c r="W47" i="7"/>
  <c r="X47" i="7" s="1"/>
  <c r="M48" i="7"/>
  <c r="O48" i="7" s="1"/>
  <c r="F42" i="4"/>
  <c r="F43" i="4" s="1"/>
  <c r="F11" i="4"/>
  <c r="F12" i="4" s="1"/>
  <c r="F55" i="4"/>
  <c r="F56" i="4" s="1"/>
  <c r="F57" i="4" s="1"/>
  <c r="C54" i="10"/>
  <c r="D53" i="10"/>
  <c r="G53" i="10" s="1"/>
  <c r="H53" i="10" s="1"/>
  <c r="P49" i="12"/>
  <c r="Q49" i="12" s="1"/>
  <c r="R48" i="10"/>
  <c r="X48" i="10" s="1"/>
  <c r="Z47" i="10"/>
  <c r="C57" i="11"/>
  <c r="D56" i="11"/>
  <c r="G56" i="11" s="1"/>
  <c r="H56" i="11" s="1"/>
  <c r="O50" i="2"/>
  <c r="Q50" i="2" s="1"/>
  <c r="T50" i="2" s="1"/>
  <c r="N50" i="2"/>
  <c r="M52" i="5"/>
  <c r="O52" i="5" s="1"/>
  <c r="L52" i="5"/>
  <c r="N52" i="10"/>
  <c r="J52" i="10"/>
  <c r="K52" i="10" s="1"/>
  <c r="J53" i="6"/>
  <c r="K53" i="6" s="1"/>
  <c r="N53" i="6"/>
  <c r="P49" i="11"/>
  <c r="Q49" i="11" s="1"/>
  <c r="E53" i="6"/>
  <c r="E53" i="7" s="1"/>
  <c r="J53" i="7" s="1"/>
  <c r="C85" i="2"/>
  <c r="E84" i="2"/>
  <c r="F84" i="2" s="1"/>
  <c r="J52" i="1"/>
  <c r="K52" i="1"/>
  <c r="M52" i="1" s="1"/>
  <c r="W47" i="11"/>
  <c r="V47" i="11"/>
  <c r="R50" i="5"/>
  <c r="S50" i="5" s="1"/>
  <c r="V50" i="5" s="1"/>
  <c r="C55" i="6"/>
  <c r="D54" i="6"/>
  <c r="G54" i="6" s="1"/>
  <c r="H54" i="6" s="1"/>
  <c r="H83" i="2"/>
  <c r="L83" i="2"/>
  <c r="W47" i="12"/>
  <c r="V47" i="12"/>
  <c r="N51" i="1"/>
  <c r="O51" i="1" s="1"/>
  <c r="Q51" i="1" s="1"/>
  <c r="T51" i="1" s="1"/>
  <c r="V45" i="7"/>
  <c r="AA45" i="7"/>
  <c r="N68" i="7"/>
  <c r="W47" i="10"/>
  <c r="V47" i="10"/>
  <c r="D53" i="12"/>
  <c r="G53" i="12" s="1"/>
  <c r="H53" i="12" s="1"/>
  <c r="C54" i="12"/>
  <c r="C70" i="5"/>
  <c r="D69" i="5"/>
  <c r="G69" i="5" s="1"/>
  <c r="H69" i="5" s="1"/>
  <c r="S48" i="6"/>
  <c r="Q48" i="10"/>
  <c r="P48" i="10"/>
  <c r="C70" i="7"/>
  <c r="D69" i="7"/>
  <c r="G69" i="7" s="1"/>
  <c r="H69" i="7" s="1"/>
  <c r="C76" i="1"/>
  <c r="E75" i="1"/>
  <c r="F75" i="1" s="1"/>
  <c r="V44" i="7"/>
  <c r="AA44" i="7"/>
  <c r="M49" i="10"/>
  <c r="O49" i="10" s="1"/>
  <c r="L50" i="10"/>
  <c r="Y49" i="10"/>
  <c r="N55" i="11"/>
  <c r="J55" i="11"/>
  <c r="K55" i="11" s="1"/>
  <c r="S48" i="12"/>
  <c r="AB46" i="7"/>
  <c r="R46" i="7"/>
  <c r="Y46" i="7" s="1"/>
  <c r="Z46" i="7" s="1"/>
  <c r="Y50" i="12"/>
  <c r="M50" i="12"/>
  <c r="O50" i="12" s="1"/>
  <c r="L51" i="12"/>
  <c r="L74" i="1"/>
  <c r="H74" i="1"/>
  <c r="Z48" i="11"/>
  <c r="S49" i="11"/>
  <c r="R49" i="11"/>
  <c r="X49" i="11" s="1"/>
  <c r="E52" i="12"/>
  <c r="J68" i="5"/>
  <c r="N68" i="5"/>
  <c r="Q50" i="6"/>
  <c r="P50" i="6"/>
  <c r="E55" i="11"/>
  <c r="R50" i="11" l="1"/>
  <c r="X50" i="11" s="1"/>
  <c r="Z49" i="11"/>
  <c r="R51" i="5"/>
  <c r="S51" i="5" s="1"/>
  <c r="V51" i="5" s="1"/>
  <c r="K53" i="10"/>
  <c r="S50" i="12"/>
  <c r="Z49" i="12"/>
  <c r="R50" i="12"/>
  <c r="X50" i="12" s="1"/>
  <c r="W48" i="7"/>
  <c r="X48" i="7" s="1"/>
  <c r="M49" i="7"/>
  <c r="O49" i="7" s="1"/>
  <c r="L49" i="7"/>
  <c r="F59" i="4"/>
  <c r="F60" i="4" s="1"/>
  <c r="F61" i="4" s="1"/>
  <c r="F45" i="4"/>
  <c r="F46" i="4" s="1"/>
  <c r="F17" i="4"/>
  <c r="F18" i="4" s="1"/>
  <c r="J69" i="5"/>
  <c r="N69" i="5"/>
  <c r="C58" i="11"/>
  <c r="D57" i="11"/>
  <c r="G57" i="11" s="1"/>
  <c r="H57" i="11" s="1"/>
  <c r="E53" i="10"/>
  <c r="K53" i="5"/>
  <c r="P51" i="6"/>
  <c r="Q51" i="6" s="1"/>
  <c r="W49" i="6"/>
  <c r="V49" i="6"/>
  <c r="V48" i="12"/>
  <c r="W48" i="12"/>
  <c r="L75" i="1"/>
  <c r="H75" i="1"/>
  <c r="D70" i="5"/>
  <c r="G70" i="5" s="1"/>
  <c r="H70" i="5" s="1"/>
  <c r="C71" i="5"/>
  <c r="E54" i="6"/>
  <c r="E54" i="7" s="1"/>
  <c r="J54" i="7" s="1"/>
  <c r="K53" i="1"/>
  <c r="M53" i="1" s="1"/>
  <c r="J53" i="1"/>
  <c r="E56" i="11"/>
  <c r="C55" i="10"/>
  <c r="E54" i="10"/>
  <c r="D54" i="10"/>
  <c r="G54" i="10" s="1"/>
  <c r="H54" i="10" s="1"/>
  <c r="V49" i="11"/>
  <c r="W49" i="11"/>
  <c r="J53" i="10"/>
  <c r="N53" i="10"/>
  <c r="J54" i="6"/>
  <c r="K54" i="6" s="1"/>
  <c r="N54" i="6"/>
  <c r="E55" i="6"/>
  <c r="E55" i="7" s="1"/>
  <c r="J55" i="7" s="1"/>
  <c r="D55" i="6"/>
  <c r="G55" i="6" s="1"/>
  <c r="H55" i="6" s="1"/>
  <c r="C56" i="6"/>
  <c r="K52" i="2"/>
  <c r="M52" i="2" s="1"/>
  <c r="J52" i="2"/>
  <c r="P50" i="11"/>
  <c r="Q50" i="11"/>
  <c r="N51" i="2"/>
  <c r="O51" i="2"/>
  <c r="Q51" i="2" s="1"/>
  <c r="T51" i="2" s="1"/>
  <c r="N56" i="11"/>
  <c r="J56" i="11"/>
  <c r="K56" i="11" s="1"/>
  <c r="K49" i="7"/>
  <c r="O52" i="1"/>
  <c r="Q52" i="1" s="1"/>
  <c r="T52" i="1" s="1"/>
  <c r="N52" i="1"/>
  <c r="Z50" i="6"/>
  <c r="R50" i="6"/>
  <c r="X50" i="6" s="1"/>
  <c r="C77" i="1"/>
  <c r="E76" i="1"/>
  <c r="F76" i="1" s="1"/>
  <c r="C55" i="12"/>
  <c r="E54" i="12"/>
  <c r="D54" i="12"/>
  <c r="G54" i="12" s="1"/>
  <c r="H54" i="12" s="1"/>
  <c r="L84" i="2"/>
  <c r="H84" i="2"/>
  <c r="M52" i="6"/>
  <c r="O52" i="6" s="1"/>
  <c r="L52" i="6"/>
  <c r="Y51" i="6"/>
  <c r="N69" i="7"/>
  <c r="M53" i="5"/>
  <c r="O53" i="5" s="1"/>
  <c r="L53" i="5"/>
  <c r="M51" i="11"/>
  <c r="O51" i="11" s="1"/>
  <c r="L52" i="11"/>
  <c r="Y51" i="11"/>
  <c r="V49" i="12"/>
  <c r="W49" i="12"/>
  <c r="P50" i="12"/>
  <c r="Q50" i="12" s="1"/>
  <c r="C71" i="7"/>
  <c r="D70" i="7"/>
  <c r="G70" i="7" s="1"/>
  <c r="H70" i="7" s="1"/>
  <c r="E53" i="12"/>
  <c r="P52" i="5"/>
  <c r="Q52" i="5"/>
  <c r="S48" i="10"/>
  <c r="L51" i="10"/>
  <c r="Y50" i="10"/>
  <c r="M50" i="10"/>
  <c r="O50" i="10" s="1"/>
  <c r="W48" i="6"/>
  <c r="V48" i="6"/>
  <c r="AB47" i="7"/>
  <c r="R47" i="7"/>
  <c r="S47" i="7"/>
  <c r="Y51" i="12"/>
  <c r="M51" i="12"/>
  <c r="O51" i="12" s="1"/>
  <c r="L52" i="12"/>
  <c r="N53" i="12"/>
  <c r="J53" i="12"/>
  <c r="K53" i="12" s="1"/>
  <c r="C86" i="2"/>
  <c r="E85" i="2"/>
  <c r="F85" i="2" s="1"/>
  <c r="S46" i="7"/>
  <c r="Q49" i="10"/>
  <c r="P49" i="10"/>
  <c r="Z48" i="10"/>
  <c r="R49" i="10"/>
  <c r="X49" i="10" s="1"/>
  <c r="P48" i="7"/>
  <c r="Q48" i="7" s="1"/>
  <c r="Z50" i="12" l="1"/>
  <c r="R51" i="12"/>
  <c r="X51" i="12" s="1"/>
  <c r="K55" i="6"/>
  <c r="K57" i="11"/>
  <c r="R48" i="7"/>
  <c r="Y48" i="7" s="1"/>
  <c r="Z48" i="7" s="1"/>
  <c r="AB48" i="7"/>
  <c r="R51" i="6"/>
  <c r="X51" i="6" s="1"/>
  <c r="Z51" i="6"/>
  <c r="Q52" i="6"/>
  <c r="P52" i="6"/>
  <c r="K54" i="5"/>
  <c r="V50" i="12"/>
  <c r="W50" i="12"/>
  <c r="S49" i="10"/>
  <c r="P51" i="11"/>
  <c r="Q51" i="11" s="1"/>
  <c r="S50" i="6"/>
  <c r="K54" i="10"/>
  <c r="L53" i="12"/>
  <c r="M52" i="12"/>
  <c r="O52" i="12" s="1"/>
  <c r="Y52" i="12"/>
  <c r="P50" i="10"/>
  <c r="Q50" i="10" s="1"/>
  <c r="C72" i="7"/>
  <c r="D71" i="7"/>
  <c r="G71" i="7" s="1"/>
  <c r="H71" i="7" s="1"/>
  <c r="M54" i="5"/>
  <c r="O54" i="5" s="1"/>
  <c r="L54" i="5"/>
  <c r="S51" i="11"/>
  <c r="R51" i="11"/>
  <c r="X51" i="11" s="1"/>
  <c r="Z50" i="11"/>
  <c r="J57" i="11"/>
  <c r="N57" i="11"/>
  <c r="L50" i="7"/>
  <c r="W49" i="7"/>
  <c r="X49" i="7" s="1"/>
  <c r="M50" i="7"/>
  <c r="O50" i="7" s="1"/>
  <c r="P51" i="12"/>
  <c r="Q51" i="12" s="1"/>
  <c r="P53" i="5"/>
  <c r="Q53" i="5"/>
  <c r="J54" i="12"/>
  <c r="K54" i="12" s="1"/>
  <c r="N54" i="12"/>
  <c r="J54" i="1"/>
  <c r="K54" i="1"/>
  <c r="M54" i="1" s="1"/>
  <c r="E57" i="11"/>
  <c r="P49" i="7"/>
  <c r="Q49" i="7" s="1"/>
  <c r="Y52" i="11"/>
  <c r="M52" i="11"/>
  <c r="O52" i="11" s="1"/>
  <c r="L53" i="11"/>
  <c r="D55" i="10"/>
  <c r="G55" i="10" s="1"/>
  <c r="H55" i="10" s="1"/>
  <c r="C56" i="10"/>
  <c r="C56" i="12"/>
  <c r="D55" i="12"/>
  <c r="G55" i="12" s="1"/>
  <c r="H55" i="12" s="1"/>
  <c r="N52" i="2"/>
  <c r="O52" i="2" s="1"/>
  <c r="Q52" i="2" s="1"/>
  <c r="T52" i="2" s="1"/>
  <c r="Y47" i="7"/>
  <c r="Z47" i="7" s="1"/>
  <c r="F19" i="4" s="1"/>
  <c r="F13" i="4"/>
  <c r="S52" i="5"/>
  <c r="V52" i="5" s="1"/>
  <c r="R52" i="5"/>
  <c r="L76" i="1"/>
  <c r="H76" i="1"/>
  <c r="C57" i="6"/>
  <c r="D56" i="6"/>
  <c r="G56" i="6" s="1"/>
  <c r="H56" i="6" s="1"/>
  <c r="E56" i="6"/>
  <c r="E56" i="7" s="1"/>
  <c r="J56" i="7" s="1"/>
  <c r="C72" i="5"/>
  <c r="D71" i="5"/>
  <c r="G71" i="5" s="1"/>
  <c r="H71" i="5" s="1"/>
  <c r="S50" i="11"/>
  <c r="N70" i="7"/>
  <c r="Z49" i="10"/>
  <c r="R50" i="10"/>
  <c r="X50" i="10" s="1"/>
  <c r="L52" i="10"/>
  <c r="Y51" i="10"/>
  <c r="M51" i="10"/>
  <c r="O51" i="10" s="1"/>
  <c r="J53" i="2"/>
  <c r="K53" i="2"/>
  <c r="M53" i="2" s="1"/>
  <c r="N53" i="1"/>
  <c r="O53" i="1"/>
  <c r="Q53" i="1" s="1"/>
  <c r="T53" i="1" s="1"/>
  <c r="D58" i="11"/>
  <c r="G58" i="11" s="1"/>
  <c r="H58" i="11" s="1"/>
  <c r="E58" i="11"/>
  <c r="C59" i="11"/>
  <c r="V46" i="7"/>
  <c r="AA46" i="7"/>
  <c r="V47" i="7"/>
  <c r="AA47" i="7"/>
  <c r="V48" i="10"/>
  <c r="W48" i="10"/>
  <c r="K50" i="7"/>
  <c r="L85" i="2"/>
  <c r="H85" i="2"/>
  <c r="C87" i="2"/>
  <c r="E86" i="2"/>
  <c r="F86" i="2" s="1"/>
  <c r="M53" i="6"/>
  <c r="O53" i="6" s="1"/>
  <c r="Y52" i="6"/>
  <c r="L53" i="6"/>
  <c r="C78" i="1"/>
  <c r="E77" i="1"/>
  <c r="F77" i="1" s="1"/>
  <c r="N55" i="6"/>
  <c r="J55" i="6"/>
  <c r="J54" i="10"/>
  <c r="N54" i="10"/>
  <c r="J70" i="5"/>
  <c r="N70" i="5"/>
  <c r="Z50" i="10" l="1"/>
  <c r="S51" i="10"/>
  <c r="R51" i="10"/>
  <c r="X51" i="10" s="1"/>
  <c r="Z51" i="11"/>
  <c r="S52" i="11"/>
  <c r="R52" i="11"/>
  <c r="X52" i="11" s="1"/>
  <c r="R52" i="12"/>
  <c r="X52" i="12" s="1"/>
  <c r="Z51" i="12"/>
  <c r="AB49" i="7"/>
  <c r="R49" i="7"/>
  <c r="Y49" i="7" s="1"/>
  <c r="Z49" i="7" s="1"/>
  <c r="N71" i="5"/>
  <c r="J71" i="5"/>
  <c r="C79" i="1"/>
  <c r="E78" i="1"/>
  <c r="F78" i="1" s="1"/>
  <c r="N55" i="10"/>
  <c r="J55" i="10"/>
  <c r="P50" i="7"/>
  <c r="L51" i="7" s="1"/>
  <c r="E55" i="10"/>
  <c r="K55" i="1"/>
  <c r="M55" i="1" s="1"/>
  <c r="J55" i="1"/>
  <c r="P54" i="5"/>
  <c r="Q54" i="5" s="1"/>
  <c r="K55" i="10"/>
  <c r="V51" i="11"/>
  <c r="W51" i="11"/>
  <c r="M55" i="5"/>
  <c r="O55" i="5" s="1"/>
  <c r="L55" i="5"/>
  <c r="J56" i="6"/>
  <c r="N56" i="6"/>
  <c r="N71" i="7"/>
  <c r="D57" i="6"/>
  <c r="G57" i="6" s="1"/>
  <c r="H57" i="6" s="1"/>
  <c r="C58" i="6"/>
  <c r="E57" i="6"/>
  <c r="E57" i="7" s="1"/>
  <c r="J57" i="7" s="1"/>
  <c r="C73" i="7"/>
  <c r="D72" i="7"/>
  <c r="G72" i="7" s="1"/>
  <c r="H72" i="7" s="1"/>
  <c r="C57" i="10"/>
  <c r="D56" i="10"/>
  <c r="G56" i="10" s="1"/>
  <c r="H56" i="10" s="1"/>
  <c r="K51" i="7"/>
  <c r="N54" i="1"/>
  <c r="O54" i="1" s="1"/>
  <c r="Q54" i="1" s="1"/>
  <c r="T54" i="1" s="1"/>
  <c r="K55" i="5"/>
  <c r="S50" i="10"/>
  <c r="M51" i="7"/>
  <c r="O51" i="7" s="1"/>
  <c r="W50" i="7"/>
  <c r="X50" i="7" s="1"/>
  <c r="K56" i="6"/>
  <c r="P53" i="6"/>
  <c r="Q53" i="6" s="1"/>
  <c r="P52" i="11"/>
  <c r="Q52" i="11" s="1"/>
  <c r="F30" i="4"/>
  <c r="F31" i="4" s="1"/>
  <c r="F14" i="4"/>
  <c r="F15" i="4" s="1"/>
  <c r="N53" i="2"/>
  <c r="O53" i="2" s="1"/>
  <c r="Q53" i="2" s="1"/>
  <c r="T53" i="2" s="1"/>
  <c r="J55" i="12"/>
  <c r="K55" i="12" s="1"/>
  <c r="N55" i="12"/>
  <c r="S53" i="5"/>
  <c r="V53" i="5" s="1"/>
  <c r="R53" i="5"/>
  <c r="L77" i="1"/>
  <c r="H77" i="1"/>
  <c r="P52" i="12"/>
  <c r="Q52" i="12" s="1"/>
  <c r="C73" i="5"/>
  <c r="D72" i="5"/>
  <c r="G72" i="5" s="1"/>
  <c r="H72" i="5" s="1"/>
  <c r="J58" i="11"/>
  <c r="K58" i="11" s="1"/>
  <c r="N58" i="11"/>
  <c r="Y53" i="11"/>
  <c r="M53" i="11"/>
  <c r="O53" i="11" s="1"/>
  <c r="L54" i="11"/>
  <c r="R52" i="6"/>
  <c r="X52" i="6" s="1"/>
  <c r="Z52" i="6"/>
  <c r="S52" i="6"/>
  <c r="C88" i="2"/>
  <c r="E87" i="2"/>
  <c r="F87" i="2" s="1"/>
  <c r="J54" i="2"/>
  <c r="K54" i="2"/>
  <c r="M54" i="2" s="1"/>
  <c r="C57" i="12"/>
  <c r="E56" i="12"/>
  <c r="D56" i="12"/>
  <c r="G56" i="12" s="1"/>
  <c r="H56" i="12" s="1"/>
  <c r="W49" i="10"/>
  <c r="V49" i="10"/>
  <c r="S51" i="6"/>
  <c r="S51" i="12"/>
  <c r="D59" i="11"/>
  <c r="G59" i="11" s="1"/>
  <c r="H59" i="11" s="1"/>
  <c r="C60" i="11"/>
  <c r="M52" i="10"/>
  <c r="O52" i="10" s="1"/>
  <c r="L53" i="10"/>
  <c r="Y52" i="10"/>
  <c r="L54" i="12"/>
  <c r="M53" i="12"/>
  <c r="O53" i="12" s="1"/>
  <c r="Y53" i="12"/>
  <c r="M54" i="6"/>
  <c r="O54" i="6" s="1"/>
  <c r="L54" i="6"/>
  <c r="Y53" i="6"/>
  <c r="W50" i="6"/>
  <c r="V50" i="6"/>
  <c r="F33" i="4"/>
  <c r="F34" i="4" s="1"/>
  <c r="F20" i="4"/>
  <c r="F21" i="4" s="1"/>
  <c r="L86" i="2"/>
  <c r="H86" i="2"/>
  <c r="P51" i="10"/>
  <c r="Q51" i="10" s="1"/>
  <c r="W50" i="11"/>
  <c r="V50" i="11"/>
  <c r="E55" i="12"/>
  <c r="S48" i="7"/>
  <c r="Z52" i="12" l="1"/>
  <c r="R53" i="12"/>
  <c r="X53" i="12" s="1"/>
  <c r="Z51" i="10"/>
  <c r="S52" i="10"/>
  <c r="R52" i="10"/>
  <c r="X52" i="10" s="1"/>
  <c r="S53" i="11"/>
  <c r="Z52" i="11"/>
  <c r="R53" i="11"/>
  <c r="X53" i="11" s="1"/>
  <c r="R53" i="6"/>
  <c r="X53" i="6" s="1"/>
  <c r="Z53" i="6"/>
  <c r="S53" i="6"/>
  <c r="R54" i="5"/>
  <c r="S54" i="5" s="1"/>
  <c r="V54" i="5" s="1"/>
  <c r="K56" i="12"/>
  <c r="M52" i="7"/>
  <c r="O52" i="7" s="1"/>
  <c r="W51" i="7"/>
  <c r="X51" i="7" s="1"/>
  <c r="C89" i="2"/>
  <c r="E88" i="2"/>
  <c r="F88" i="2" s="1"/>
  <c r="K56" i="5"/>
  <c r="K56" i="1"/>
  <c r="M56" i="1" s="1"/>
  <c r="J56" i="1"/>
  <c r="L54" i="10"/>
  <c r="Y53" i="10"/>
  <c r="M53" i="10"/>
  <c r="O53" i="10" s="1"/>
  <c r="W52" i="6"/>
  <c r="V52" i="6"/>
  <c r="N55" i="1"/>
  <c r="O55" i="1"/>
  <c r="Q55" i="1" s="1"/>
  <c r="T55" i="1" s="1"/>
  <c r="P52" i="10"/>
  <c r="Q52" i="10" s="1"/>
  <c r="J56" i="12"/>
  <c r="N56" i="12"/>
  <c r="C74" i="5"/>
  <c r="D73" i="5"/>
  <c r="G73" i="5" s="1"/>
  <c r="H73" i="5" s="1"/>
  <c r="D58" i="6"/>
  <c r="G58" i="6" s="1"/>
  <c r="H58" i="6" s="1"/>
  <c r="C59" i="6"/>
  <c r="M55" i="6"/>
  <c r="O55" i="6" s="1"/>
  <c r="Y54" i="6"/>
  <c r="L55" i="6"/>
  <c r="N59" i="11"/>
  <c r="J59" i="11"/>
  <c r="K59" i="11" s="1"/>
  <c r="C58" i="12"/>
  <c r="D57" i="12"/>
  <c r="G57" i="12" s="1"/>
  <c r="H57" i="12" s="1"/>
  <c r="L55" i="11"/>
  <c r="M54" i="11"/>
  <c r="O54" i="11" s="1"/>
  <c r="Y54" i="11"/>
  <c r="J56" i="10"/>
  <c r="N56" i="10"/>
  <c r="Q50" i="7"/>
  <c r="S49" i="7"/>
  <c r="C80" i="1"/>
  <c r="E79" i="1"/>
  <c r="F79" i="1" s="1"/>
  <c r="P55" i="5"/>
  <c r="Q55" i="5"/>
  <c r="D60" i="11"/>
  <c r="G60" i="11" s="1"/>
  <c r="H60" i="11" s="1"/>
  <c r="C61" i="11"/>
  <c r="E60" i="11"/>
  <c r="K52" i="7"/>
  <c r="E59" i="11"/>
  <c r="O54" i="2"/>
  <c r="Q54" i="2" s="1"/>
  <c r="T54" i="2" s="1"/>
  <c r="N54" i="2"/>
  <c r="P53" i="11"/>
  <c r="Q53" i="11" s="1"/>
  <c r="E56" i="10"/>
  <c r="K56" i="10"/>
  <c r="C74" i="7"/>
  <c r="D73" i="7"/>
  <c r="G73" i="7" s="1"/>
  <c r="H73" i="7" s="1"/>
  <c r="N72" i="5"/>
  <c r="J72" i="5"/>
  <c r="AA48" i="7"/>
  <c r="V48" i="7"/>
  <c r="P53" i="12"/>
  <c r="Q53" i="12" s="1"/>
  <c r="W51" i="12"/>
  <c r="V51" i="12"/>
  <c r="K55" i="2"/>
  <c r="M55" i="2" s="1"/>
  <c r="J55" i="2"/>
  <c r="P51" i="7"/>
  <c r="L52" i="7" s="1"/>
  <c r="D57" i="10"/>
  <c r="G57" i="10" s="1"/>
  <c r="H57" i="10" s="1"/>
  <c r="C58" i="10"/>
  <c r="E57" i="10"/>
  <c r="W51" i="10"/>
  <c r="V51" i="10"/>
  <c r="M56" i="5"/>
  <c r="O56" i="5" s="1"/>
  <c r="L56" i="5"/>
  <c r="S52" i="12"/>
  <c r="J57" i="6"/>
  <c r="K57" i="6" s="1"/>
  <c r="N57" i="6"/>
  <c r="W52" i="11"/>
  <c r="V52" i="11"/>
  <c r="P54" i="6"/>
  <c r="Q54" i="6"/>
  <c r="L55" i="12"/>
  <c r="Y54" i="12"/>
  <c r="M54" i="12"/>
  <c r="O54" i="12" s="1"/>
  <c r="W51" i="6"/>
  <c r="V51" i="6"/>
  <c r="L87" i="2"/>
  <c r="H87" i="2"/>
  <c r="W50" i="10"/>
  <c r="V50" i="10"/>
  <c r="N72" i="7"/>
  <c r="L78" i="1"/>
  <c r="H78" i="1"/>
  <c r="Z53" i="12" l="1"/>
  <c r="R54" i="12"/>
  <c r="X54" i="12" s="1"/>
  <c r="K60" i="11"/>
  <c r="R54" i="11"/>
  <c r="X54" i="11" s="1"/>
  <c r="Z53" i="11"/>
  <c r="R53" i="10"/>
  <c r="X53" i="10" s="1"/>
  <c r="Z52" i="10"/>
  <c r="W52" i="7"/>
  <c r="X52" i="7" s="1"/>
  <c r="M53" i="7"/>
  <c r="O53" i="7" s="1"/>
  <c r="J57" i="1"/>
  <c r="K57" i="1"/>
  <c r="M57" i="1" s="1"/>
  <c r="N58" i="6"/>
  <c r="J58" i="6"/>
  <c r="K58" i="6" s="1"/>
  <c r="J57" i="10"/>
  <c r="N57" i="10"/>
  <c r="K57" i="10"/>
  <c r="AB50" i="7"/>
  <c r="S50" i="7"/>
  <c r="R50" i="7"/>
  <c r="Y50" i="7" s="1"/>
  <c r="Z50" i="7" s="1"/>
  <c r="E58" i="12"/>
  <c r="D58" i="12"/>
  <c r="G58" i="12" s="1"/>
  <c r="H58" i="12" s="1"/>
  <c r="C59" i="12"/>
  <c r="E58" i="6"/>
  <c r="E58" i="7" s="1"/>
  <c r="J58" i="7" s="1"/>
  <c r="D58" i="10"/>
  <c r="G58" i="10" s="1"/>
  <c r="H58" i="10" s="1"/>
  <c r="C59" i="10"/>
  <c r="AA49" i="7"/>
  <c r="V49" i="7"/>
  <c r="J60" i="11"/>
  <c r="N60" i="11"/>
  <c r="C75" i="5"/>
  <c r="D74" i="5"/>
  <c r="G74" i="5" s="1"/>
  <c r="H74" i="5" s="1"/>
  <c r="C90" i="2"/>
  <c r="E89" i="2"/>
  <c r="F89" i="2" s="1"/>
  <c r="V53" i="6"/>
  <c r="W53" i="6"/>
  <c r="C81" i="1"/>
  <c r="E80" i="1"/>
  <c r="F80" i="1" s="1"/>
  <c r="N56" i="1"/>
  <c r="O56" i="1"/>
  <c r="Q56" i="1" s="1"/>
  <c r="T56" i="1" s="1"/>
  <c r="L88" i="2"/>
  <c r="H88" i="2"/>
  <c r="M55" i="12"/>
  <c r="O55" i="12" s="1"/>
  <c r="Y55" i="12"/>
  <c r="L56" i="12"/>
  <c r="P56" i="5"/>
  <c r="K57" i="5" s="1"/>
  <c r="R55" i="5"/>
  <c r="S55" i="5" s="1"/>
  <c r="V55" i="5" s="1"/>
  <c r="Y55" i="6"/>
  <c r="M56" i="6"/>
  <c r="O56" i="6" s="1"/>
  <c r="L56" i="6"/>
  <c r="P53" i="10"/>
  <c r="Q53" i="10" s="1"/>
  <c r="N73" i="7"/>
  <c r="E59" i="6"/>
  <c r="E59" i="7" s="1"/>
  <c r="J59" i="7" s="1"/>
  <c r="C60" i="6"/>
  <c r="D59" i="6"/>
  <c r="G59" i="6" s="1"/>
  <c r="H59" i="6" s="1"/>
  <c r="C75" i="7"/>
  <c r="D74" i="7"/>
  <c r="G74" i="7" s="1"/>
  <c r="H74" i="7" s="1"/>
  <c r="E57" i="12"/>
  <c r="W53" i="11"/>
  <c r="V53" i="11"/>
  <c r="W52" i="12"/>
  <c r="V52" i="12"/>
  <c r="C62" i="11"/>
  <c r="D61" i="11"/>
  <c r="G61" i="11" s="1"/>
  <c r="H61" i="11" s="1"/>
  <c r="E61" i="11"/>
  <c r="N73" i="5"/>
  <c r="J73" i="5"/>
  <c r="M57" i="5"/>
  <c r="O57" i="5" s="1"/>
  <c r="L57" i="5"/>
  <c r="Q51" i="7"/>
  <c r="R54" i="6"/>
  <c r="X54" i="6" s="1"/>
  <c r="Z54" i="6"/>
  <c r="K56" i="2"/>
  <c r="M56" i="2" s="1"/>
  <c r="J56" i="2"/>
  <c r="N55" i="2"/>
  <c r="O55" i="2"/>
  <c r="Q55" i="2" s="1"/>
  <c r="T55" i="2" s="1"/>
  <c r="P54" i="11"/>
  <c r="Q54" i="11" s="1"/>
  <c r="S53" i="12"/>
  <c r="J57" i="12"/>
  <c r="N57" i="12"/>
  <c r="K57" i="12"/>
  <c r="P54" i="12"/>
  <c r="Q54" i="12" s="1"/>
  <c r="W52" i="10"/>
  <c r="V52" i="10"/>
  <c r="L79" i="1"/>
  <c r="H79" i="1"/>
  <c r="M55" i="11"/>
  <c r="O55" i="11" s="1"/>
  <c r="Y55" i="11"/>
  <c r="L56" i="11"/>
  <c r="P55" i="6"/>
  <c r="Q55" i="6" s="1"/>
  <c r="M54" i="10"/>
  <c r="O54" i="10" s="1"/>
  <c r="L55" i="10"/>
  <c r="Y54" i="10"/>
  <c r="Q52" i="7"/>
  <c r="P52" i="7"/>
  <c r="K53" i="7" s="1"/>
  <c r="Z53" i="10" l="1"/>
  <c r="R54" i="10"/>
  <c r="X54" i="10" s="1"/>
  <c r="Z54" i="11"/>
  <c r="S55" i="11"/>
  <c r="R55" i="11"/>
  <c r="X55" i="11" s="1"/>
  <c r="S55" i="6"/>
  <c r="Z55" i="6"/>
  <c r="R55" i="6"/>
  <c r="X55" i="6" s="1"/>
  <c r="Z54" i="12"/>
  <c r="R55" i="12"/>
  <c r="X55" i="12" s="1"/>
  <c r="S55" i="12"/>
  <c r="C91" i="2"/>
  <c r="E90" i="2"/>
  <c r="F90" i="2" s="1"/>
  <c r="N74" i="5"/>
  <c r="J74" i="5"/>
  <c r="J57" i="2"/>
  <c r="K57" i="2"/>
  <c r="M57" i="2" s="1"/>
  <c r="Q56" i="5"/>
  <c r="C76" i="5"/>
  <c r="D75" i="5"/>
  <c r="G75" i="5" s="1"/>
  <c r="H75" i="5" s="1"/>
  <c r="L53" i="7"/>
  <c r="S54" i="11"/>
  <c r="Y56" i="11"/>
  <c r="M56" i="11"/>
  <c r="O56" i="11" s="1"/>
  <c r="L57" i="11"/>
  <c r="AB52" i="7"/>
  <c r="S52" i="7"/>
  <c r="R52" i="7"/>
  <c r="Y52" i="7" s="1"/>
  <c r="Z52" i="7" s="1"/>
  <c r="N74" i="7"/>
  <c r="L57" i="12"/>
  <c r="Y56" i="12"/>
  <c r="M56" i="12"/>
  <c r="O56" i="12" s="1"/>
  <c r="C82" i="1"/>
  <c r="E81" i="1"/>
  <c r="F81" i="1" s="1"/>
  <c r="D59" i="12"/>
  <c r="G59" i="12" s="1"/>
  <c r="H59" i="12" s="1"/>
  <c r="C60" i="12"/>
  <c r="M58" i="5"/>
  <c r="O58" i="5" s="1"/>
  <c r="L58" i="5"/>
  <c r="AA50" i="7"/>
  <c r="V50" i="7"/>
  <c r="Q57" i="5"/>
  <c r="P57" i="5"/>
  <c r="K58" i="5" s="1"/>
  <c r="E58" i="10"/>
  <c r="P53" i="7"/>
  <c r="Q53" i="7" s="1"/>
  <c r="W53" i="12"/>
  <c r="V53" i="12"/>
  <c r="J61" i="11"/>
  <c r="N61" i="11"/>
  <c r="C76" i="7"/>
  <c r="D75" i="7"/>
  <c r="G75" i="7" s="1"/>
  <c r="H75" i="7" s="1"/>
  <c r="M57" i="6"/>
  <c r="O57" i="6" s="1"/>
  <c r="L57" i="6"/>
  <c r="Y56" i="6"/>
  <c r="N58" i="12"/>
  <c r="J58" i="12"/>
  <c r="K58" i="12" s="1"/>
  <c r="S54" i="12"/>
  <c r="N58" i="10"/>
  <c r="J58" i="10"/>
  <c r="K58" i="10" s="1"/>
  <c r="P55" i="11"/>
  <c r="Q55" i="11" s="1"/>
  <c r="L80" i="1"/>
  <c r="H80" i="1"/>
  <c r="K61" i="11"/>
  <c r="Y55" i="10"/>
  <c r="M55" i="10"/>
  <c r="O55" i="10" s="1"/>
  <c r="L56" i="10"/>
  <c r="P54" i="10"/>
  <c r="Q54" i="10" s="1"/>
  <c r="S54" i="6"/>
  <c r="D62" i="11"/>
  <c r="G62" i="11" s="1"/>
  <c r="H62" i="11" s="1"/>
  <c r="C63" i="11"/>
  <c r="N59" i="6"/>
  <c r="J59" i="6"/>
  <c r="K59" i="6" s="1"/>
  <c r="P56" i="6"/>
  <c r="Q56" i="6" s="1"/>
  <c r="P55" i="12"/>
  <c r="Q55" i="12" s="1"/>
  <c r="S53" i="10"/>
  <c r="N57" i="1"/>
  <c r="O57" i="1" s="1"/>
  <c r="Q57" i="1" s="1"/>
  <c r="T57" i="1" s="1"/>
  <c r="K58" i="1"/>
  <c r="M58" i="1" s="1"/>
  <c r="J58" i="1"/>
  <c r="N56" i="2"/>
  <c r="O56" i="2" s="1"/>
  <c r="Q56" i="2" s="1"/>
  <c r="T56" i="2" s="1"/>
  <c r="AB51" i="7"/>
  <c r="S51" i="7"/>
  <c r="R51" i="7"/>
  <c r="Y51" i="7" s="1"/>
  <c r="Z51" i="7" s="1"/>
  <c r="C61" i="6"/>
  <c r="E60" i="6"/>
  <c r="E60" i="7" s="1"/>
  <c r="J60" i="7" s="1"/>
  <c r="D60" i="6"/>
  <c r="G60" i="6" s="1"/>
  <c r="H60" i="6" s="1"/>
  <c r="L89" i="2"/>
  <c r="H89" i="2"/>
  <c r="D59" i="10"/>
  <c r="G59" i="10" s="1"/>
  <c r="H59" i="10" s="1"/>
  <c r="C60" i="10"/>
  <c r="R56" i="6" l="1"/>
  <c r="Z56" i="6"/>
  <c r="S56" i="11"/>
  <c r="R56" i="11"/>
  <c r="Z55" i="11"/>
  <c r="AB53" i="7"/>
  <c r="R53" i="7"/>
  <c r="Y53" i="7" s="1"/>
  <c r="Z53" i="7" s="1"/>
  <c r="Z54" i="10"/>
  <c r="R55" i="10"/>
  <c r="X55" i="10" s="1"/>
  <c r="K59" i="5"/>
  <c r="K60" i="6"/>
  <c r="K59" i="10"/>
  <c r="R56" i="12"/>
  <c r="S56" i="12"/>
  <c r="Z55" i="12"/>
  <c r="N59" i="10"/>
  <c r="J59" i="10"/>
  <c r="J62" i="11"/>
  <c r="K62" i="11" s="1"/>
  <c r="N62" i="11"/>
  <c r="P56" i="12"/>
  <c r="Q56" i="12" s="1"/>
  <c r="L58" i="11"/>
  <c r="Y57" i="11"/>
  <c r="M57" i="11"/>
  <c r="O57" i="11" s="1"/>
  <c r="R56" i="5"/>
  <c r="S56" i="5" s="1"/>
  <c r="V56" i="5" s="1"/>
  <c r="W55" i="12"/>
  <c r="V55" i="12"/>
  <c r="V54" i="6"/>
  <c r="W54" i="6"/>
  <c r="M59" i="5"/>
  <c r="O59" i="5" s="1"/>
  <c r="L59" i="5"/>
  <c r="P56" i="11"/>
  <c r="Q56" i="11" s="1"/>
  <c r="O57" i="2"/>
  <c r="Q57" i="2" s="1"/>
  <c r="T57" i="2" s="1"/>
  <c r="N57" i="2"/>
  <c r="K54" i="7"/>
  <c r="D63" i="11"/>
  <c r="G63" i="11" s="1"/>
  <c r="H63" i="11" s="1"/>
  <c r="C64" i="11"/>
  <c r="C83" i="1"/>
  <c r="E82" i="1"/>
  <c r="F82" i="1" s="1"/>
  <c r="W55" i="11"/>
  <c r="V55" i="11"/>
  <c r="P58" i="5"/>
  <c r="Q58" i="5" s="1"/>
  <c r="J58" i="2"/>
  <c r="K58" i="2"/>
  <c r="M58" i="2" s="1"/>
  <c r="J60" i="6"/>
  <c r="N60" i="6"/>
  <c r="J59" i="1"/>
  <c r="K59" i="1"/>
  <c r="M59" i="1" s="1"/>
  <c r="P57" i="6"/>
  <c r="Q57" i="6"/>
  <c r="C61" i="12"/>
  <c r="D60" i="12"/>
  <c r="G60" i="12" s="1"/>
  <c r="H60" i="12" s="1"/>
  <c r="W54" i="11"/>
  <c r="V54" i="11"/>
  <c r="S54" i="10"/>
  <c r="W53" i="7"/>
  <c r="X53" i="7" s="1"/>
  <c r="M54" i="7"/>
  <c r="O54" i="7" s="1"/>
  <c r="L54" i="7"/>
  <c r="W53" i="10"/>
  <c r="V53" i="10"/>
  <c r="C92" i="2"/>
  <c r="E91" i="2"/>
  <c r="F91" i="2" s="1"/>
  <c r="E59" i="10"/>
  <c r="M58" i="6"/>
  <c r="O58" i="6" s="1"/>
  <c r="L58" i="6"/>
  <c r="Y57" i="6"/>
  <c r="L58" i="12"/>
  <c r="M57" i="12"/>
  <c r="O57" i="12" s="1"/>
  <c r="Y57" i="12"/>
  <c r="N58" i="1"/>
  <c r="O58" i="1" s="1"/>
  <c r="Q58" i="1" s="1"/>
  <c r="T58" i="1" s="1"/>
  <c r="N75" i="7"/>
  <c r="D61" i="6"/>
  <c r="G61" i="6" s="1"/>
  <c r="H61" i="6" s="1"/>
  <c r="C62" i="6"/>
  <c r="P55" i="10"/>
  <c r="Q55" i="10"/>
  <c r="C77" i="7"/>
  <c r="D76" i="7"/>
  <c r="G76" i="7" s="1"/>
  <c r="H76" i="7" s="1"/>
  <c r="E59" i="12"/>
  <c r="W55" i="6"/>
  <c r="V55" i="6"/>
  <c r="V51" i="7"/>
  <c r="AA51" i="7"/>
  <c r="D76" i="5"/>
  <c r="G76" i="5" s="1"/>
  <c r="H76" i="5" s="1"/>
  <c r="C77" i="5"/>
  <c r="L57" i="10"/>
  <c r="Y56" i="10"/>
  <c r="M56" i="10"/>
  <c r="O56" i="10" s="1"/>
  <c r="N59" i="12"/>
  <c r="J59" i="12"/>
  <c r="K59" i="12" s="1"/>
  <c r="C61" i="10"/>
  <c r="E60" i="10"/>
  <c r="D60" i="10"/>
  <c r="G60" i="10" s="1"/>
  <c r="H60" i="10" s="1"/>
  <c r="E62" i="11"/>
  <c r="W54" i="12"/>
  <c r="V54" i="12"/>
  <c r="R57" i="5"/>
  <c r="S57" i="5" s="1"/>
  <c r="V57" i="5" s="1"/>
  <c r="L81" i="1"/>
  <c r="H81" i="1"/>
  <c r="V52" i="7"/>
  <c r="AA52" i="7"/>
  <c r="J75" i="5"/>
  <c r="N75" i="5"/>
  <c r="L90" i="2"/>
  <c r="H90" i="2"/>
  <c r="S57" i="11" l="1"/>
  <c r="Z56" i="11"/>
  <c r="R57" i="11"/>
  <c r="X57" i="11" s="1"/>
  <c r="S57" i="12"/>
  <c r="Z56" i="12"/>
  <c r="R57" i="12"/>
  <c r="X57" i="12" s="1"/>
  <c r="K63" i="11"/>
  <c r="K60" i="12"/>
  <c r="R58" i="5"/>
  <c r="S58" i="5" s="1"/>
  <c r="V58" i="5" s="1"/>
  <c r="J76" i="5"/>
  <c r="N76" i="5"/>
  <c r="L82" i="1"/>
  <c r="H82" i="1"/>
  <c r="E61" i="6"/>
  <c r="E61" i="7" s="1"/>
  <c r="J61" i="7" s="1"/>
  <c r="P57" i="12"/>
  <c r="Q57" i="12" s="1"/>
  <c r="E60" i="12"/>
  <c r="C84" i="1"/>
  <c r="E83" i="1"/>
  <c r="F83" i="1" s="1"/>
  <c r="X56" i="11"/>
  <c r="S56" i="10"/>
  <c r="R56" i="10"/>
  <c r="X56" i="10" s="1"/>
  <c r="Z55" i="10"/>
  <c r="J60" i="12"/>
  <c r="N60" i="12"/>
  <c r="E64" i="11"/>
  <c r="C65" i="11"/>
  <c r="D64" i="11"/>
  <c r="G64" i="11" s="1"/>
  <c r="H64" i="11" s="1"/>
  <c r="J61" i="6"/>
  <c r="K61" i="6" s="1"/>
  <c r="N61" i="6"/>
  <c r="N63" i="11"/>
  <c r="J63" i="11"/>
  <c r="L59" i="6"/>
  <c r="Y58" i="6"/>
  <c r="M59" i="6"/>
  <c r="O59" i="6" s="1"/>
  <c r="P54" i="7"/>
  <c r="L55" i="7" s="1"/>
  <c r="Q54" i="7"/>
  <c r="R57" i="6"/>
  <c r="X57" i="6" s="1"/>
  <c r="Z57" i="6"/>
  <c r="E63" i="11"/>
  <c r="M58" i="11"/>
  <c r="O58" i="11" s="1"/>
  <c r="Y58" i="11"/>
  <c r="L59" i="11"/>
  <c r="L91" i="2"/>
  <c r="H91" i="2"/>
  <c r="D61" i="10"/>
  <c r="G61" i="10" s="1"/>
  <c r="H61" i="10" s="1"/>
  <c r="C62" i="10"/>
  <c r="E61" i="10"/>
  <c r="C93" i="2"/>
  <c r="E92" i="2"/>
  <c r="F92" i="2" s="1"/>
  <c r="D62" i="6"/>
  <c r="G62" i="6" s="1"/>
  <c r="H62" i="6" s="1"/>
  <c r="C63" i="6"/>
  <c r="M60" i="5"/>
  <c r="O60" i="5" s="1"/>
  <c r="K59" i="2"/>
  <c r="M59" i="2" s="1"/>
  <c r="J59" i="2"/>
  <c r="P59" i="5"/>
  <c r="L60" i="5" s="1"/>
  <c r="Q59" i="5"/>
  <c r="M57" i="10"/>
  <c r="O57" i="10" s="1"/>
  <c r="L58" i="10"/>
  <c r="Y57" i="10"/>
  <c r="N76" i="7"/>
  <c r="Q58" i="6"/>
  <c r="P58" i="6"/>
  <c r="K55" i="7"/>
  <c r="V56" i="12"/>
  <c r="W56" i="12"/>
  <c r="X56" i="6"/>
  <c r="K60" i="1"/>
  <c r="M60" i="1" s="1"/>
  <c r="J60" i="1"/>
  <c r="M58" i="12"/>
  <c r="O58" i="12" s="1"/>
  <c r="L59" i="12"/>
  <c r="Y58" i="12"/>
  <c r="N58" i="2"/>
  <c r="O58" i="2" s="1"/>
  <c r="Q58" i="2" s="1"/>
  <c r="T58" i="2" s="1"/>
  <c r="P57" i="11"/>
  <c r="Q57" i="11" s="1"/>
  <c r="W56" i="11"/>
  <c r="V56" i="11"/>
  <c r="P56" i="10"/>
  <c r="Q56" i="10" s="1"/>
  <c r="W54" i="7"/>
  <c r="X54" i="7" s="1"/>
  <c r="M55" i="7"/>
  <c r="O55" i="7" s="1"/>
  <c r="C62" i="12"/>
  <c r="E61" i="12"/>
  <c r="D61" i="12"/>
  <c r="G61" i="12" s="1"/>
  <c r="H61" i="12" s="1"/>
  <c r="S55" i="10"/>
  <c r="J60" i="10"/>
  <c r="K60" i="10" s="1"/>
  <c r="N60" i="10"/>
  <c r="C78" i="5"/>
  <c r="D77" i="5"/>
  <c r="G77" i="5" s="1"/>
  <c r="H77" i="5" s="1"/>
  <c r="C78" i="7"/>
  <c r="D77" i="7"/>
  <c r="G77" i="7" s="1"/>
  <c r="H77" i="7" s="1"/>
  <c r="V54" i="10"/>
  <c r="W54" i="10"/>
  <c r="O59" i="1"/>
  <c r="Q59" i="1" s="1"/>
  <c r="T59" i="1" s="1"/>
  <c r="N59" i="1"/>
  <c r="I60" i="1" s="1"/>
  <c r="X56" i="12"/>
  <c r="S53" i="7"/>
  <c r="S56" i="6"/>
  <c r="Z57" i="11" l="1"/>
  <c r="R58" i="11"/>
  <c r="X58" i="11" s="1"/>
  <c r="S58" i="12"/>
  <c r="Z57" i="12"/>
  <c r="R58" i="12"/>
  <c r="X58" i="12" s="1"/>
  <c r="K62" i="6"/>
  <c r="M61" i="5"/>
  <c r="O61" i="5" s="1"/>
  <c r="Z56" i="10"/>
  <c r="R57" i="10"/>
  <c r="X57" i="10" s="1"/>
  <c r="K61" i="10"/>
  <c r="W55" i="7"/>
  <c r="X55" i="7" s="1"/>
  <c r="M56" i="7"/>
  <c r="O56" i="7" s="1"/>
  <c r="Q57" i="10"/>
  <c r="P57" i="10"/>
  <c r="R54" i="7"/>
  <c r="Y54" i="7" s="1"/>
  <c r="Z54" i="7" s="1"/>
  <c r="S54" i="7"/>
  <c r="AB54" i="7"/>
  <c r="Y59" i="12"/>
  <c r="M59" i="12"/>
  <c r="O59" i="12" s="1"/>
  <c r="R59" i="5"/>
  <c r="S59" i="5" s="1"/>
  <c r="V59" i="5" s="1"/>
  <c r="E62" i="6"/>
  <c r="E62" i="7" s="1"/>
  <c r="J62" i="7" s="1"/>
  <c r="M59" i="11"/>
  <c r="O59" i="11" s="1"/>
  <c r="Y59" i="11"/>
  <c r="N64" i="11"/>
  <c r="J64" i="11"/>
  <c r="K64" i="11" s="1"/>
  <c r="J61" i="12"/>
  <c r="N61" i="12"/>
  <c r="Q58" i="12"/>
  <c r="P58" i="12"/>
  <c r="L92" i="2"/>
  <c r="H92" i="2"/>
  <c r="Q59" i="6"/>
  <c r="P59" i="6"/>
  <c r="C66" i="11"/>
  <c r="D65" i="11"/>
  <c r="G65" i="11" s="1"/>
  <c r="H65" i="11" s="1"/>
  <c r="K60" i="5"/>
  <c r="K61" i="5" s="1"/>
  <c r="W56" i="10"/>
  <c r="V56" i="10"/>
  <c r="N77" i="7"/>
  <c r="K60" i="2"/>
  <c r="M60" i="2" s="1"/>
  <c r="J60" i="2"/>
  <c r="L83" i="1"/>
  <c r="H83" i="1"/>
  <c r="W56" i="6"/>
  <c r="V56" i="6"/>
  <c r="V57" i="12"/>
  <c r="W57" i="12"/>
  <c r="V53" i="7"/>
  <c r="AA53" i="7"/>
  <c r="J77" i="5"/>
  <c r="N77" i="5"/>
  <c r="N60" i="1"/>
  <c r="J61" i="1" s="1"/>
  <c r="Q60" i="5"/>
  <c r="P60" i="5"/>
  <c r="L61" i="5" s="1"/>
  <c r="D62" i="10"/>
  <c r="G62" i="10" s="1"/>
  <c r="H62" i="10" s="1"/>
  <c r="C63" i="10"/>
  <c r="W55" i="10"/>
  <c r="V55" i="10"/>
  <c r="R58" i="6"/>
  <c r="X58" i="6" s="1"/>
  <c r="Z58" i="6"/>
  <c r="P58" i="11"/>
  <c r="Q58" i="11" s="1"/>
  <c r="E62" i="12"/>
  <c r="D62" i="12"/>
  <c r="G62" i="12" s="1"/>
  <c r="H62" i="12" s="1"/>
  <c r="C63" i="12"/>
  <c r="N59" i="2"/>
  <c r="I60" i="2" s="1"/>
  <c r="Y59" i="6"/>
  <c r="M60" i="6"/>
  <c r="O60" i="6" s="1"/>
  <c r="L60" i="6"/>
  <c r="D78" i="5"/>
  <c r="G78" i="5" s="1"/>
  <c r="H78" i="5" s="1"/>
  <c r="C79" i="5"/>
  <c r="P55" i="7"/>
  <c r="K56" i="7" s="1"/>
  <c r="J61" i="10"/>
  <c r="N61" i="10"/>
  <c r="N62" i="6"/>
  <c r="J62" i="6"/>
  <c r="K61" i="12"/>
  <c r="C94" i="2"/>
  <c r="E93" i="2"/>
  <c r="F93" i="2" s="1"/>
  <c r="D78" i="7"/>
  <c r="G78" i="7" s="1"/>
  <c r="H78" i="7" s="1"/>
  <c r="C79" i="7"/>
  <c r="K61" i="1"/>
  <c r="M61" i="1" s="1"/>
  <c r="C85" i="1"/>
  <c r="E84" i="1"/>
  <c r="F84" i="1" s="1"/>
  <c r="M58" i="10"/>
  <c r="O58" i="10" s="1"/>
  <c r="L59" i="10"/>
  <c r="Y58" i="10"/>
  <c r="C64" i="6"/>
  <c r="D63" i="6"/>
  <c r="G63" i="6" s="1"/>
  <c r="H63" i="6" s="1"/>
  <c r="S57" i="6"/>
  <c r="V57" i="11"/>
  <c r="W57" i="11"/>
  <c r="S59" i="11" l="1"/>
  <c r="Z58" i="11"/>
  <c r="R59" i="11"/>
  <c r="X59" i="11" s="1"/>
  <c r="M62" i="5"/>
  <c r="O62" i="5" s="1"/>
  <c r="K62" i="1"/>
  <c r="M62" i="1" s="1"/>
  <c r="K65" i="11"/>
  <c r="Y59" i="10"/>
  <c r="M59" i="10"/>
  <c r="O59" i="10" s="1"/>
  <c r="L93" i="2"/>
  <c r="H93" i="2"/>
  <c r="K63" i="6"/>
  <c r="I61" i="1"/>
  <c r="C95" i="2"/>
  <c r="E94" i="2"/>
  <c r="F94" i="2" s="1"/>
  <c r="C80" i="5"/>
  <c r="D79" i="5"/>
  <c r="G79" i="5" s="1"/>
  <c r="H79" i="5" s="1"/>
  <c r="N62" i="12"/>
  <c r="J62" i="12"/>
  <c r="P61" i="5"/>
  <c r="L62" i="5" s="1"/>
  <c r="D63" i="12"/>
  <c r="G63" i="12" s="1"/>
  <c r="H63" i="12" s="1"/>
  <c r="C64" i="12"/>
  <c r="O60" i="1"/>
  <c r="Q60" i="1" s="1"/>
  <c r="T60" i="1" s="1"/>
  <c r="K62" i="12"/>
  <c r="P59" i="11"/>
  <c r="L60" i="11" s="1"/>
  <c r="Q59" i="11"/>
  <c r="M61" i="6"/>
  <c r="O61" i="6" s="1"/>
  <c r="Y60" i="6"/>
  <c r="N60" i="2"/>
  <c r="O60" i="2" s="1"/>
  <c r="Q60" i="2" s="1"/>
  <c r="T60" i="2" s="1"/>
  <c r="Q55" i="7"/>
  <c r="P59" i="12"/>
  <c r="L60" i="12" s="1"/>
  <c r="Q59" i="12"/>
  <c r="L84" i="1"/>
  <c r="H84" i="1"/>
  <c r="D63" i="10"/>
  <c r="G63" i="10" s="1"/>
  <c r="H63" i="10" s="1"/>
  <c r="C64" i="10"/>
  <c r="Z58" i="12"/>
  <c r="R59" i="12"/>
  <c r="X59" i="12" s="1"/>
  <c r="C86" i="1"/>
  <c r="E85" i="1"/>
  <c r="F85" i="1" s="1"/>
  <c r="N62" i="10"/>
  <c r="J62" i="10"/>
  <c r="K61" i="2"/>
  <c r="M61" i="2" s="1"/>
  <c r="J61" i="2"/>
  <c r="E65" i="11"/>
  <c r="V54" i="7"/>
  <c r="AA54" i="7"/>
  <c r="W58" i="12"/>
  <c r="V58" i="12"/>
  <c r="C65" i="6"/>
  <c r="D64" i="6"/>
  <c r="G64" i="6" s="1"/>
  <c r="H64" i="6" s="1"/>
  <c r="P60" i="6"/>
  <c r="L61" i="6" s="1"/>
  <c r="E62" i="10"/>
  <c r="D66" i="11"/>
  <c r="G66" i="11" s="1"/>
  <c r="H66" i="11" s="1"/>
  <c r="C67" i="11"/>
  <c r="E66" i="11"/>
  <c r="E63" i="6"/>
  <c r="E63" i="7" s="1"/>
  <c r="J63" i="7" s="1"/>
  <c r="N61" i="1"/>
  <c r="O61" i="1" s="1"/>
  <c r="Q61" i="1" s="1"/>
  <c r="T61" i="1" s="1"/>
  <c r="S58" i="6"/>
  <c r="S57" i="10"/>
  <c r="N78" i="7"/>
  <c r="L56" i="7"/>
  <c r="P58" i="10"/>
  <c r="Q58" i="10"/>
  <c r="P56" i="7"/>
  <c r="Q56" i="7" s="1"/>
  <c r="V57" i="6"/>
  <c r="W57" i="6"/>
  <c r="J78" i="5"/>
  <c r="N78" i="5"/>
  <c r="J65" i="11"/>
  <c r="N65" i="11"/>
  <c r="K62" i="10"/>
  <c r="N63" i="6"/>
  <c r="J63" i="6"/>
  <c r="D79" i="7"/>
  <c r="G79" i="7" s="1"/>
  <c r="H79" i="7" s="1"/>
  <c r="C80" i="7"/>
  <c r="O59" i="2"/>
  <c r="Q59" i="2" s="1"/>
  <c r="T59" i="2" s="1"/>
  <c r="R60" i="5"/>
  <c r="S60" i="5" s="1"/>
  <c r="V60" i="5" s="1"/>
  <c r="Z59" i="6"/>
  <c r="S59" i="6"/>
  <c r="R59" i="6"/>
  <c r="X59" i="6" s="1"/>
  <c r="Z57" i="10"/>
  <c r="R58" i="10"/>
  <c r="X58" i="10" s="1"/>
  <c r="S58" i="11"/>
  <c r="R56" i="7" l="1"/>
  <c r="Y56" i="7" s="1"/>
  <c r="Z56" i="7" s="1"/>
  <c r="AB56" i="7"/>
  <c r="S56" i="7"/>
  <c r="M62" i="6"/>
  <c r="O62" i="6" s="1"/>
  <c r="L62" i="6"/>
  <c r="Y61" i="6"/>
  <c r="M63" i="5"/>
  <c r="O63" i="5" s="1"/>
  <c r="R60" i="12"/>
  <c r="X60" i="12" s="1"/>
  <c r="Z59" i="12"/>
  <c r="S60" i="12"/>
  <c r="I62" i="1"/>
  <c r="I63" i="1" s="1"/>
  <c r="K62" i="2"/>
  <c r="M62" i="2" s="1"/>
  <c r="J62" i="2"/>
  <c r="S59" i="12"/>
  <c r="R55" i="7"/>
  <c r="Y55" i="7" s="1"/>
  <c r="Z55" i="7" s="1"/>
  <c r="AB55" i="7"/>
  <c r="S55" i="7"/>
  <c r="Y60" i="11"/>
  <c r="M60" i="11"/>
  <c r="O60" i="11" s="1"/>
  <c r="K62" i="5"/>
  <c r="K64" i="6"/>
  <c r="N62" i="1"/>
  <c r="O62" i="1" s="1"/>
  <c r="Q62" i="1" s="1"/>
  <c r="T62" i="1" s="1"/>
  <c r="V58" i="11"/>
  <c r="W58" i="11"/>
  <c r="E64" i="6"/>
  <c r="E64" i="7" s="1"/>
  <c r="J64" i="7" s="1"/>
  <c r="N61" i="2"/>
  <c r="O61" i="2"/>
  <c r="Q61" i="2" s="1"/>
  <c r="T61" i="2" s="1"/>
  <c r="C65" i="10"/>
  <c r="D64" i="10"/>
  <c r="G64" i="10" s="1"/>
  <c r="H64" i="10" s="1"/>
  <c r="E64" i="10"/>
  <c r="I61" i="2"/>
  <c r="I62" i="2" s="1"/>
  <c r="K57" i="7"/>
  <c r="W59" i="6"/>
  <c r="V59" i="6"/>
  <c r="W58" i="6"/>
  <c r="V58" i="6"/>
  <c r="P61" i="6"/>
  <c r="Q61" i="6"/>
  <c r="C96" i="2"/>
  <c r="E95" i="2"/>
  <c r="F95" i="2" s="1"/>
  <c r="Q60" i="6"/>
  <c r="Y60" i="12"/>
  <c r="M60" i="12"/>
  <c r="O60" i="12" s="1"/>
  <c r="J62" i="1"/>
  <c r="Z58" i="10"/>
  <c r="R59" i="10"/>
  <c r="X59" i="10" s="1"/>
  <c r="W56" i="7"/>
  <c r="X56" i="7" s="1"/>
  <c r="M57" i="7"/>
  <c r="O57" i="7" s="1"/>
  <c r="L57" i="7"/>
  <c r="D65" i="6"/>
  <c r="G65" i="6" s="1"/>
  <c r="H65" i="6" s="1"/>
  <c r="C66" i="6"/>
  <c r="E65" i="6"/>
  <c r="E65" i="7" s="1"/>
  <c r="J65" i="7" s="1"/>
  <c r="E67" i="11"/>
  <c r="D67" i="11"/>
  <c r="G67" i="11" s="1"/>
  <c r="H67" i="11" s="1"/>
  <c r="C68" i="11"/>
  <c r="N79" i="5"/>
  <c r="J79" i="5"/>
  <c r="N79" i="7"/>
  <c r="L85" i="1"/>
  <c r="H85" i="1"/>
  <c r="N63" i="12"/>
  <c r="J63" i="12"/>
  <c r="K63" i="12" s="1"/>
  <c r="C81" i="5"/>
  <c r="D80" i="5"/>
  <c r="G80" i="5" s="1"/>
  <c r="H80" i="5" s="1"/>
  <c r="P59" i="10"/>
  <c r="L60" i="10" s="1"/>
  <c r="W59" i="11"/>
  <c r="V59" i="11"/>
  <c r="R60" i="11"/>
  <c r="X60" i="11" s="1"/>
  <c r="Z59" i="11"/>
  <c r="S60" i="11"/>
  <c r="Q61" i="5"/>
  <c r="J64" i="6"/>
  <c r="N64" i="6"/>
  <c r="N63" i="10"/>
  <c r="J63" i="10"/>
  <c r="K63" i="10" s="1"/>
  <c r="D80" i="7"/>
  <c r="G80" i="7" s="1"/>
  <c r="H80" i="7" s="1"/>
  <c r="C81" i="7"/>
  <c r="E63" i="10"/>
  <c r="C65" i="12"/>
  <c r="D64" i="12"/>
  <c r="G64" i="12" s="1"/>
  <c r="H64" i="12" s="1"/>
  <c r="E64" i="12"/>
  <c r="P62" i="5"/>
  <c r="Q62" i="5" s="1"/>
  <c r="S58" i="10"/>
  <c r="J66" i="11"/>
  <c r="K66" i="11" s="1"/>
  <c r="N66" i="11"/>
  <c r="V57" i="10"/>
  <c r="W57" i="10"/>
  <c r="C87" i="1"/>
  <c r="E86" i="1"/>
  <c r="F86" i="1" s="1"/>
  <c r="E63" i="12"/>
  <c r="L94" i="2"/>
  <c r="H94" i="2"/>
  <c r="R62" i="5" l="1"/>
  <c r="S62" i="5"/>
  <c r="V62" i="5" s="1"/>
  <c r="W60" i="11"/>
  <c r="V60" i="11"/>
  <c r="C82" i="5"/>
  <c r="D81" i="5"/>
  <c r="G81" i="5" s="1"/>
  <c r="H81" i="5" s="1"/>
  <c r="P57" i="7"/>
  <c r="Q57" i="7" s="1"/>
  <c r="D65" i="10"/>
  <c r="G65" i="10" s="1"/>
  <c r="H65" i="10" s="1"/>
  <c r="C66" i="10"/>
  <c r="E65" i="10"/>
  <c r="W59" i="12"/>
  <c r="V59" i="12"/>
  <c r="P63" i="5"/>
  <c r="Q63" i="5" s="1"/>
  <c r="D81" i="7"/>
  <c r="G81" i="7" s="1"/>
  <c r="H81" i="7" s="1"/>
  <c r="C82" i="7"/>
  <c r="D68" i="11"/>
  <c r="G68" i="11" s="1"/>
  <c r="H68" i="11" s="1"/>
  <c r="C69" i="11"/>
  <c r="R60" i="6"/>
  <c r="X60" i="6" s="1"/>
  <c r="Z60" i="6"/>
  <c r="K63" i="5"/>
  <c r="K64" i="5" s="1"/>
  <c r="K63" i="2"/>
  <c r="M63" i="2" s="1"/>
  <c r="L63" i="5"/>
  <c r="W58" i="10"/>
  <c r="V58" i="10"/>
  <c r="N80" i="7"/>
  <c r="N67" i="11"/>
  <c r="J67" i="11"/>
  <c r="K67" i="11" s="1"/>
  <c r="S59" i="10"/>
  <c r="N62" i="2"/>
  <c r="J63" i="2" s="1"/>
  <c r="P60" i="11"/>
  <c r="L61" i="11" s="1"/>
  <c r="L63" i="6"/>
  <c r="M63" i="6"/>
  <c r="O63" i="6" s="1"/>
  <c r="Y62" i="6"/>
  <c r="C88" i="1"/>
  <c r="E87" i="1"/>
  <c r="F87" i="1" s="1"/>
  <c r="L95" i="2"/>
  <c r="H95" i="2"/>
  <c r="H86" i="1"/>
  <c r="L86" i="1"/>
  <c r="C97" i="2"/>
  <c r="E96" i="2"/>
  <c r="F96" i="2" s="1"/>
  <c r="Q62" i="6"/>
  <c r="P62" i="6"/>
  <c r="Y60" i="10"/>
  <c r="M60" i="10"/>
  <c r="O60" i="10" s="1"/>
  <c r="D66" i="6"/>
  <c r="G66" i="6" s="1"/>
  <c r="H66" i="6" s="1"/>
  <c r="C67" i="6"/>
  <c r="K63" i="1"/>
  <c r="M63" i="1" s="1"/>
  <c r="J63" i="1"/>
  <c r="R61" i="6"/>
  <c r="S61" i="6" s="1"/>
  <c r="Z61" i="6"/>
  <c r="V55" i="7"/>
  <c r="AA55" i="7"/>
  <c r="V60" i="12"/>
  <c r="W60" i="12"/>
  <c r="AA56" i="7"/>
  <c r="V56" i="7"/>
  <c r="J64" i="12"/>
  <c r="K64" i="12" s="1"/>
  <c r="N64" i="12"/>
  <c r="Q59" i="10"/>
  <c r="J65" i="6"/>
  <c r="K65" i="6" s="1"/>
  <c r="N65" i="6"/>
  <c r="P60" i="12"/>
  <c r="L61" i="12" s="1"/>
  <c r="C66" i="12"/>
  <c r="D65" i="12"/>
  <c r="G65" i="12" s="1"/>
  <c r="H65" i="12" s="1"/>
  <c r="E65" i="12"/>
  <c r="R61" i="5"/>
  <c r="S61" i="5" s="1"/>
  <c r="V61" i="5" s="1"/>
  <c r="N80" i="5"/>
  <c r="J80" i="5"/>
  <c r="W57" i="7"/>
  <c r="X57" i="7" s="1"/>
  <c r="L58" i="7"/>
  <c r="M58" i="7"/>
  <c r="O58" i="7" s="1"/>
  <c r="J64" i="10"/>
  <c r="K64" i="10" s="1"/>
  <c r="N64" i="10"/>
  <c r="R63" i="5" l="1"/>
  <c r="S63" i="5" s="1"/>
  <c r="V63" i="5" s="1"/>
  <c r="R57" i="7"/>
  <c r="Y57" i="7" s="1"/>
  <c r="Z57" i="7" s="1"/>
  <c r="AB57" i="7"/>
  <c r="S57" i="7"/>
  <c r="K64" i="2"/>
  <c r="M64" i="2" s="1"/>
  <c r="J64" i="2"/>
  <c r="K68" i="11"/>
  <c r="V61" i="6"/>
  <c r="W61" i="6"/>
  <c r="L87" i="1"/>
  <c r="H87" i="1"/>
  <c r="O63" i="1"/>
  <c r="Q63" i="1" s="1"/>
  <c r="T63" i="1" s="1"/>
  <c r="N63" i="1"/>
  <c r="I64" i="1" s="1"/>
  <c r="C70" i="11"/>
  <c r="D69" i="11"/>
  <c r="G69" i="11" s="1"/>
  <c r="H69" i="11" s="1"/>
  <c r="O62" i="2"/>
  <c r="Q62" i="2" s="1"/>
  <c r="T62" i="2" s="1"/>
  <c r="N66" i="6"/>
  <c r="J66" i="6"/>
  <c r="K66" i="6" s="1"/>
  <c r="O63" i="2"/>
  <c r="Q63" i="2" s="1"/>
  <c r="T63" i="2" s="1"/>
  <c r="N63" i="2"/>
  <c r="E66" i="6"/>
  <c r="E66" i="7" s="1"/>
  <c r="J66" i="7" s="1"/>
  <c r="D82" i="7"/>
  <c r="G82" i="7" s="1"/>
  <c r="H82" i="7" s="1"/>
  <c r="C83" i="7"/>
  <c r="J65" i="12"/>
  <c r="K65" i="12" s="1"/>
  <c r="N65" i="12"/>
  <c r="W58" i="7"/>
  <c r="X58" i="7" s="1"/>
  <c r="M59" i="7"/>
  <c r="O59" i="7" s="1"/>
  <c r="R62" i="6"/>
  <c r="X62" i="6" s="1"/>
  <c r="Z62" i="6"/>
  <c r="S62" i="6"/>
  <c r="C83" i="5"/>
  <c r="D82" i="5"/>
  <c r="G82" i="5" s="1"/>
  <c r="H82" i="5" s="1"/>
  <c r="D67" i="6"/>
  <c r="G67" i="6" s="1"/>
  <c r="H67" i="6" s="1"/>
  <c r="C68" i="6"/>
  <c r="M64" i="5"/>
  <c r="O64" i="5" s="1"/>
  <c r="L64" i="5"/>
  <c r="Z59" i="10"/>
  <c r="R60" i="10"/>
  <c r="X60" i="10" s="1"/>
  <c r="C98" i="2"/>
  <c r="E97" i="2"/>
  <c r="F97" i="2" s="1"/>
  <c r="W59" i="10"/>
  <c r="V59" i="10"/>
  <c r="E68" i="11"/>
  <c r="I63" i="2"/>
  <c r="I64" i="2" s="1"/>
  <c r="D66" i="10"/>
  <c r="G66" i="10" s="1"/>
  <c r="H66" i="10" s="1"/>
  <c r="C67" i="10"/>
  <c r="Q58" i="7"/>
  <c r="P58" i="7"/>
  <c r="L59" i="7" s="1"/>
  <c r="P63" i="6"/>
  <c r="Q63" i="6" s="1"/>
  <c r="N81" i="7"/>
  <c r="K58" i="7"/>
  <c r="K59" i="7" s="1"/>
  <c r="L96" i="2"/>
  <c r="H96" i="2"/>
  <c r="N68" i="11"/>
  <c r="J68" i="11"/>
  <c r="C89" i="1"/>
  <c r="E88" i="1"/>
  <c r="F88" i="1" s="1"/>
  <c r="P60" i="10"/>
  <c r="L61" i="10" s="1"/>
  <c r="J65" i="10"/>
  <c r="K65" i="10" s="1"/>
  <c r="N65" i="10"/>
  <c r="D66" i="12"/>
  <c r="G66" i="12" s="1"/>
  <c r="H66" i="12" s="1"/>
  <c r="C67" i="12"/>
  <c r="X61" i="6"/>
  <c r="Y63" i="6"/>
  <c r="L64" i="6"/>
  <c r="M64" i="6"/>
  <c r="O64" i="6" s="1"/>
  <c r="Y61" i="12"/>
  <c r="M61" i="12"/>
  <c r="O61" i="12" s="1"/>
  <c r="Y61" i="11"/>
  <c r="M61" i="11"/>
  <c r="O61" i="11" s="1"/>
  <c r="Q60" i="12"/>
  <c r="J64" i="1"/>
  <c r="K64" i="1"/>
  <c r="M64" i="1" s="1"/>
  <c r="Q60" i="11"/>
  <c r="S60" i="6"/>
  <c r="N81" i="5"/>
  <c r="J81" i="5"/>
  <c r="W59" i="7" l="1"/>
  <c r="X59" i="7" s="1"/>
  <c r="M60" i="7"/>
  <c r="O60" i="7" s="1"/>
  <c r="K66" i="12"/>
  <c r="K66" i="10"/>
  <c r="Z63" i="6"/>
  <c r="S63" i="6"/>
  <c r="R63" i="6"/>
  <c r="X63" i="6" s="1"/>
  <c r="P64" i="6"/>
  <c r="Q64" i="6" s="1"/>
  <c r="R58" i="7"/>
  <c r="Y58" i="7" s="1"/>
  <c r="Z58" i="7" s="1"/>
  <c r="AB58" i="7"/>
  <c r="S58" i="7"/>
  <c r="M65" i="6"/>
  <c r="O65" i="6" s="1"/>
  <c r="L65" i="6"/>
  <c r="Y64" i="6"/>
  <c r="C99" i="2"/>
  <c r="E98" i="2"/>
  <c r="F98" i="2" s="1"/>
  <c r="P61" i="11"/>
  <c r="L62" i="11" s="1"/>
  <c r="D67" i="12"/>
  <c r="G67" i="12" s="1"/>
  <c r="H67" i="12" s="1"/>
  <c r="C68" i="12"/>
  <c r="D83" i="7"/>
  <c r="G83" i="7" s="1"/>
  <c r="H83" i="7" s="1"/>
  <c r="C84" i="7"/>
  <c r="W60" i="6"/>
  <c r="V60" i="6"/>
  <c r="M65" i="5"/>
  <c r="O65" i="5" s="1"/>
  <c r="L65" i="5"/>
  <c r="K65" i="1"/>
  <c r="M65" i="1" s="1"/>
  <c r="J65" i="1"/>
  <c r="L97" i="2"/>
  <c r="H97" i="2"/>
  <c r="P59" i="7"/>
  <c r="K60" i="7" s="1"/>
  <c r="K69" i="11"/>
  <c r="M61" i="10"/>
  <c r="O61" i="10" s="1"/>
  <c r="Y61" i="10"/>
  <c r="N82" i="5"/>
  <c r="J82" i="5"/>
  <c r="Q60" i="10"/>
  <c r="AA57" i="7"/>
  <c r="V57" i="7"/>
  <c r="L88" i="1"/>
  <c r="H88" i="1"/>
  <c r="S60" i="10"/>
  <c r="W62" i="6"/>
  <c r="V62" i="6"/>
  <c r="N66" i="12"/>
  <c r="J66" i="12"/>
  <c r="N82" i="7"/>
  <c r="E69" i="11"/>
  <c r="E66" i="12"/>
  <c r="P64" i="5"/>
  <c r="K65" i="5" s="1"/>
  <c r="Q64" i="5"/>
  <c r="D70" i="11"/>
  <c r="G70" i="11" s="1"/>
  <c r="H70" i="11" s="1"/>
  <c r="C71" i="11"/>
  <c r="E70" i="11"/>
  <c r="N67" i="6"/>
  <c r="J67" i="6"/>
  <c r="K67" i="6" s="1"/>
  <c r="S61" i="12"/>
  <c r="Z60" i="12"/>
  <c r="R61" i="12"/>
  <c r="X61" i="12" s="1"/>
  <c r="D67" i="10"/>
  <c r="G67" i="10" s="1"/>
  <c r="H67" i="10" s="1"/>
  <c r="C68" i="10"/>
  <c r="E67" i="6"/>
  <c r="E67" i="7" s="1"/>
  <c r="J67" i="7" s="1"/>
  <c r="K65" i="2"/>
  <c r="M65" i="2" s="1"/>
  <c r="J65" i="2"/>
  <c r="N66" i="10"/>
  <c r="J66" i="10"/>
  <c r="N64" i="2"/>
  <c r="I65" i="2" s="1"/>
  <c r="E66" i="10"/>
  <c r="C84" i="5"/>
  <c r="D83" i="5"/>
  <c r="G83" i="5" s="1"/>
  <c r="H83" i="5" s="1"/>
  <c r="J69" i="11"/>
  <c r="N69" i="11"/>
  <c r="P61" i="12"/>
  <c r="L62" i="12" s="1"/>
  <c r="C90" i="1"/>
  <c r="E89" i="1"/>
  <c r="F89" i="1" s="1"/>
  <c r="S61" i="11"/>
  <c r="Z60" i="11"/>
  <c r="R61" i="11"/>
  <c r="X61" i="11" s="1"/>
  <c r="N64" i="1"/>
  <c r="O64" i="1" s="1"/>
  <c r="Q64" i="1" s="1"/>
  <c r="T64" i="1" s="1"/>
  <c r="C69" i="6"/>
  <c r="D68" i="6"/>
  <c r="G68" i="6" s="1"/>
  <c r="H68" i="6" s="1"/>
  <c r="I65" i="1"/>
  <c r="R64" i="6" l="1"/>
  <c r="Z64" i="6"/>
  <c r="K61" i="7"/>
  <c r="I66" i="2"/>
  <c r="J83" i="5"/>
  <c r="N83" i="5"/>
  <c r="K66" i="1"/>
  <c r="M66" i="1" s="1"/>
  <c r="M66" i="6"/>
  <c r="O66" i="6" s="1"/>
  <c r="Y65" i="6"/>
  <c r="W63" i="6"/>
  <c r="V63" i="6"/>
  <c r="D84" i="5"/>
  <c r="G84" i="5" s="1"/>
  <c r="H84" i="5" s="1"/>
  <c r="C85" i="5"/>
  <c r="N65" i="1"/>
  <c r="J66" i="1" s="1"/>
  <c r="P65" i="6"/>
  <c r="L66" i="6" s="1"/>
  <c r="Q65" i="6"/>
  <c r="E68" i="6"/>
  <c r="E68" i="7" s="1"/>
  <c r="J68" i="7" s="1"/>
  <c r="P61" i="10"/>
  <c r="L62" i="10" s="1"/>
  <c r="E67" i="12"/>
  <c r="AA58" i="7"/>
  <c r="V58" i="7"/>
  <c r="D69" i="6"/>
  <c r="G69" i="6" s="1"/>
  <c r="H69" i="6" s="1"/>
  <c r="C70" i="6"/>
  <c r="E69" i="6"/>
  <c r="E69" i="7" s="1"/>
  <c r="J69" i="7" s="1"/>
  <c r="C69" i="10"/>
  <c r="E68" i="10"/>
  <c r="D68" i="10"/>
  <c r="G68" i="10" s="1"/>
  <c r="H68" i="10" s="1"/>
  <c r="M62" i="11"/>
  <c r="O62" i="11" s="1"/>
  <c r="Y62" i="11"/>
  <c r="N67" i="10"/>
  <c r="J67" i="10"/>
  <c r="K67" i="10" s="1"/>
  <c r="J70" i="11"/>
  <c r="K70" i="11" s="1"/>
  <c r="N70" i="11"/>
  <c r="L98" i="2"/>
  <c r="H98" i="2"/>
  <c r="L60" i="7"/>
  <c r="K66" i="2"/>
  <c r="M66" i="2" s="1"/>
  <c r="W60" i="10"/>
  <c r="V60" i="10"/>
  <c r="C69" i="12"/>
  <c r="D68" i="12"/>
  <c r="G68" i="12" s="1"/>
  <c r="H68" i="12" s="1"/>
  <c r="E68" i="12"/>
  <c r="J68" i="6"/>
  <c r="K68" i="6" s="1"/>
  <c r="N68" i="6"/>
  <c r="N65" i="2"/>
  <c r="J66" i="2" s="1"/>
  <c r="O65" i="2"/>
  <c r="Q65" i="2" s="1"/>
  <c r="T65" i="2" s="1"/>
  <c r="N67" i="12"/>
  <c r="J67" i="12"/>
  <c r="K67" i="12" s="1"/>
  <c r="E90" i="1"/>
  <c r="F90" i="1" s="1"/>
  <c r="C91" i="1"/>
  <c r="O64" i="2"/>
  <c r="Q64" i="2" s="1"/>
  <c r="T64" i="2" s="1"/>
  <c r="D71" i="11"/>
  <c r="G71" i="11" s="1"/>
  <c r="H71" i="11" s="1"/>
  <c r="C72" i="11"/>
  <c r="Q59" i="7"/>
  <c r="R64" i="5"/>
  <c r="S64" i="5" s="1"/>
  <c r="V64" i="5" s="1"/>
  <c r="D84" i="7"/>
  <c r="G84" i="7" s="1"/>
  <c r="H84" i="7" s="1"/>
  <c r="C85" i="7"/>
  <c r="C100" i="2"/>
  <c r="E99" i="2"/>
  <c r="F99" i="2" s="1"/>
  <c r="P60" i="7"/>
  <c r="Q60" i="7" s="1"/>
  <c r="I66" i="1"/>
  <c r="V61" i="11"/>
  <c r="W61" i="11"/>
  <c r="W61" i="12"/>
  <c r="V61" i="12"/>
  <c r="H89" i="1"/>
  <c r="L89" i="1"/>
  <c r="M66" i="5"/>
  <c r="O66" i="5" s="1"/>
  <c r="M62" i="12"/>
  <c r="O62" i="12" s="1"/>
  <c r="Y62" i="12"/>
  <c r="P65" i="5"/>
  <c r="L66" i="5" s="1"/>
  <c r="Q61" i="12"/>
  <c r="Q61" i="11"/>
  <c r="E67" i="10"/>
  <c r="Z60" i="10"/>
  <c r="R61" i="10"/>
  <c r="X61" i="10" s="1"/>
  <c r="N83" i="7"/>
  <c r="M67" i="5" l="1"/>
  <c r="O67" i="5" s="1"/>
  <c r="J67" i="1"/>
  <c r="K67" i="1"/>
  <c r="M67" i="1" s="1"/>
  <c r="K68" i="12"/>
  <c r="L67" i="6"/>
  <c r="M67" i="6"/>
  <c r="O67" i="6" s="1"/>
  <c r="Y66" i="6"/>
  <c r="K67" i="2"/>
  <c r="M67" i="2" s="1"/>
  <c r="R60" i="7"/>
  <c r="Y60" i="7" s="1"/>
  <c r="Z60" i="7" s="1"/>
  <c r="AB60" i="7"/>
  <c r="S60" i="7"/>
  <c r="K69" i="6"/>
  <c r="N71" i="11"/>
  <c r="J71" i="11"/>
  <c r="K71" i="11" s="1"/>
  <c r="Q65" i="5"/>
  <c r="R65" i="6"/>
  <c r="S65" i="6" s="1"/>
  <c r="Z65" i="6"/>
  <c r="J69" i="6"/>
  <c r="N69" i="6"/>
  <c r="L99" i="2"/>
  <c r="H99" i="2"/>
  <c r="M62" i="10"/>
  <c r="O62" i="10" s="1"/>
  <c r="Y62" i="10"/>
  <c r="K66" i="5"/>
  <c r="Q61" i="10"/>
  <c r="I67" i="2"/>
  <c r="E70" i="6"/>
  <c r="E70" i="7" s="1"/>
  <c r="J70" i="7" s="1"/>
  <c r="D70" i="6"/>
  <c r="G70" i="6" s="1"/>
  <c r="H70" i="6" s="1"/>
  <c r="C71" i="6"/>
  <c r="C70" i="12"/>
  <c r="E69" i="12"/>
  <c r="D69" i="12"/>
  <c r="G69" i="12" s="1"/>
  <c r="H69" i="12" s="1"/>
  <c r="C101" i="2"/>
  <c r="E100" i="2"/>
  <c r="F100" i="2" s="1"/>
  <c r="N84" i="7"/>
  <c r="N66" i="2"/>
  <c r="J67" i="2" s="1"/>
  <c r="S61" i="10"/>
  <c r="P66" i="5"/>
  <c r="L67" i="5" s="1"/>
  <c r="C92" i="1"/>
  <c r="E91" i="1"/>
  <c r="F91" i="1" s="1"/>
  <c r="P62" i="11"/>
  <c r="L63" i="11" s="1"/>
  <c r="Q62" i="11"/>
  <c r="O65" i="1"/>
  <c r="Q65" i="1" s="1"/>
  <c r="T65" i="1" s="1"/>
  <c r="X64" i="6"/>
  <c r="J84" i="5"/>
  <c r="N84" i="5"/>
  <c r="E71" i="11"/>
  <c r="D69" i="10"/>
  <c r="G69" i="10" s="1"/>
  <c r="H69" i="10" s="1"/>
  <c r="C70" i="10"/>
  <c r="C86" i="7"/>
  <c r="D85" i="7"/>
  <c r="G85" i="7" s="1"/>
  <c r="H85" i="7" s="1"/>
  <c r="P62" i="12"/>
  <c r="L63" i="12" s="1"/>
  <c r="W60" i="7"/>
  <c r="X60" i="7" s="1"/>
  <c r="M61" i="7"/>
  <c r="O61" i="7" s="1"/>
  <c r="L61" i="7"/>
  <c r="P66" i="6"/>
  <c r="Q66" i="6" s="1"/>
  <c r="S62" i="11"/>
  <c r="Z61" i="11"/>
  <c r="R62" i="11"/>
  <c r="X62" i="11" s="1"/>
  <c r="R59" i="7"/>
  <c r="Y59" i="7" s="1"/>
  <c r="Z59" i="7" s="1"/>
  <c r="S59" i="7"/>
  <c r="AB59" i="7"/>
  <c r="Z61" i="12"/>
  <c r="R62" i="12"/>
  <c r="X62" i="12" s="1"/>
  <c r="E72" i="11"/>
  <c r="C73" i="11"/>
  <c r="D72" i="11"/>
  <c r="G72" i="11" s="1"/>
  <c r="H72" i="11" s="1"/>
  <c r="L90" i="1"/>
  <c r="H90" i="1"/>
  <c r="J68" i="12"/>
  <c r="N68" i="12"/>
  <c r="J68" i="10"/>
  <c r="K68" i="10" s="1"/>
  <c r="N68" i="10"/>
  <c r="D85" i="5"/>
  <c r="G85" i="5" s="1"/>
  <c r="H85" i="5" s="1"/>
  <c r="C86" i="5"/>
  <c r="N66" i="1"/>
  <c r="I67" i="1" s="1"/>
  <c r="S64" i="6"/>
  <c r="V65" i="6" l="1"/>
  <c r="R66" i="6"/>
  <c r="S66" i="6"/>
  <c r="K68" i="2"/>
  <c r="M68" i="2" s="1"/>
  <c r="M68" i="5"/>
  <c r="O68" i="5" s="1"/>
  <c r="I68" i="1"/>
  <c r="Y63" i="12"/>
  <c r="M63" i="12"/>
  <c r="O63" i="12" s="1"/>
  <c r="Z61" i="10"/>
  <c r="R62" i="10"/>
  <c r="X62" i="10" s="1"/>
  <c r="Q66" i="5"/>
  <c r="J69" i="12"/>
  <c r="K69" i="12" s="1"/>
  <c r="N69" i="12"/>
  <c r="K67" i="5"/>
  <c r="K68" i="5" s="1"/>
  <c r="O67" i="1"/>
  <c r="Q67" i="1" s="1"/>
  <c r="T67" i="1" s="1"/>
  <c r="N67" i="1"/>
  <c r="L100" i="2"/>
  <c r="H100" i="2"/>
  <c r="S62" i="12"/>
  <c r="V61" i="10"/>
  <c r="W61" i="10"/>
  <c r="K68" i="1"/>
  <c r="M68" i="1" s="1"/>
  <c r="J68" i="1"/>
  <c r="W61" i="7"/>
  <c r="X61" i="7" s="1"/>
  <c r="M62" i="7"/>
  <c r="O62" i="7" s="1"/>
  <c r="C87" i="7"/>
  <c r="D86" i="7"/>
  <c r="G86" i="7" s="1"/>
  <c r="H86" i="7" s="1"/>
  <c r="N67" i="2"/>
  <c r="I68" i="2" s="1"/>
  <c r="AA59" i="7"/>
  <c r="V59" i="7"/>
  <c r="P61" i="7"/>
  <c r="K62" i="7" s="1"/>
  <c r="E69" i="10"/>
  <c r="Z62" i="11"/>
  <c r="R63" i="11"/>
  <c r="X63" i="11" s="1"/>
  <c r="O66" i="2"/>
  <c r="Q66" i="2" s="1"/>
  <c r="T66" i="2" s="1"/>
  <c r="D71" i="6"/>
  <c r="G71" i="6" s="1"/>
  <c r="H71" i="6" s="1"/>
  <c r="C72" i="6"/>
  <c r="Q62" i="10"/>
  <c r="P62" i="10"/>
  <c r="L63" i="10" s="1"/>
  <c r="R65" i="5"/>
  <c r="X65" i="6" s="1"/>
  <c r="S65" i="5"/>
  <c r="V65" i="5" s="1"/>
  <c r="C93" i="1"/>
  <c r="E92" i="1"/>
  <c r="F92" i="1" s="1"/>
  <c r="Y67" i="6"/>
  <c r="M68" i="6"/>
  <c r="O68" i="6" s="1"/>
  <c r="V62" i="11"/>
  <c r="W62" i="11"/>
  <c r="C102" i="2"/>
  <c r="E101" i="2"/>
  <c r="F101" i="2" s="1"/>
  <c r="AA60" i="7"/>
  <c r="V60" i="7"/>
  <c r="W64" i="6"/>
  <c r="V64" i="6"/>
  <c r="D70" i="12"/>
  <c r="G70" i="12" s="1"/>
  <c r="H70" i="12" s="1"/>
  <c r="C71" i="12"/>
  <c r="O66" i="1"/>
  <c r="Q66" i="1" s="1"/>
  <c r="T66" i="1" s="1"/>
  <c r="C87" i="5"/>
  <c r="D86" i="5"/>
  <c r="G86" i="5" s="1"/>
  <c r="H86" i="5" s="1"/>
  <c r="N72" i="11"/>
  <c r="J72" i="11"/>
  <c r="K72" i="11" s="1"/>
  <c r="D70" i="10"/>
  <c r="G70" i="10" s="1"/>
  <c r="H70" i="10" s="1"/>
  <c r="C71" i="10"/>
  <c r="M63" i="11"/>
  <c r="O63" i="11" s="1"/>
  <c r="Y63" i="11"/>
  <c r="N70" i="6"/>
  <c r="J70" i="6"/>
  <c r="P67" i="5"/>
  <c r="L68" i="5" s="1"/>
  <c r="Q67" i="5"/>
  <c r="K70" i="6"/>
  <c r="Q62" i="12"/>
  <c r="N85" i="7"/>
  <c r="J85" i="5"/>
  <c r="N85" i="5"/>
  <c r="C74" i="11"/>
  <c r="E73" i="11"/>
  <c r="D73" i="11"/>
  <c r="G73" i="11" s="1"/>
  <c r="H73" i="11" s="1"/>
  <c r="J69" i="10"/>
  <c r="K69" i="10" s="1"/>
  <c r="N69" i="10"/>
  <c r="H91" i="1"/>
  <c r="L91" i="1"/>
  <c r="P67" i="6"/>
  <c r="L68" i="6" s="1"/>
  <c r="M69" i="5" l="1"/>
  <c r="O69" i="5" s="1"/>
  <c r="K73" i="11"/>
  <c r="K70" i="12"/>
  <c r="M69" i="6"/>
  <c r="O69" i="6" s="1"/>
  <c r="L69" i="6"/>
  <c r="Y68" i="6"/>
  <c r="N70" i="10"/>
  <c r="J70" i="10"/>
  <c r="K70" i="10" s="1"/>
  <c r="O67" i="2"/>
  <c r="Q67" i="2" s="1"/>
  <c r="T67" i="2" s="1"/>
  <c r="N68" i="2"/>
  <c r="I69" i="2" s="1"/>
  <c r="O68" i="2"/>
  <c r="Q68" i="2" s="1"/>
  <c r="T68" i="2" s="1"/>
  <c r="Q67" i="6"/>
  <c r="E70" i="10"/>
  <c r="E70" i="12"/>
  <c r="Y63" i="10"/>
  <c r="M63" i="10"/>
  <c r="O63" i="10" s="1"/>
  <c r="S63" i="11"/>
  <c r="N86" i="7"/>
  <c r="P63" i="12"/>
  <c r="L64" i="12" s="1"/>
  <c r="D71" i="10"/>
  <c r="G71" i="10" s="1"/>
  <c r="H71" i="10" s="1"/>
  <c r="C72" i="10"/>
  <c r="C103" i="2"/>
  <c r="E102" i="2"/>
  <c r="F102" i="2" s="1"/>
  <c r="J68" i="2"/>
  <c r="S67" i="5"/>
  <c r="V67" i="5" s="1"/>
  <c r="R67" i="5"/>
  <c r="C73" i="6"/>
  <c r="E72" i="6"/>
  <c r="E72" i="7" s="1"/>
  <c r="J72" i="7" s="1"/>
  <c r="D72" i="6"/>
  <c r="G72" i="6" s="1"/>
  <c r="H72" i="6" s="1"/>
  <c r="P62" i="7"/>
  <c r="Q62" i="7" s="1"/>
  <c r="N86" i="5"/>
  <c r="J86" i="5"/>
  <c r="Q61" i="7"/>
  <c r="Q68" i="5"/>
  <c r="P68" i="5"/>
  <c r="L69" i="5" s="1"/>
  <c r="X66" i="6"/>
  <c r="O68" i="1"/>
  <c r="Q68" i="1" s="1"/>
  <c r="T68" i="1" s="1"/>
  <c r="N68" i="1"/>
  <c r="I69" i="1" s="1"/>
  <c r="D74" i="11"/>
  <c r="G74" i="11" s="1"/>
  <c r="H74" i="11" s="1"/>
  <c r="C75" i="11"/>
  <c r="E74" i="11"/>
  <c r="S63" i="10"/>
  <c r="R63" i="10"/>
  <c r="X63" i="10" s="1"/>
  <c r="Z62" i="10"/>
  <c r="W62" i="12"/>
  <c r="V62" i="12"/>
  <c r="R66" i="5"/>
  <c r="S66" i="5" s="1"/>
  <c r="Z66" i="6"/>
  <c r="N71" i="6"/>
  <c r="J71" i="6"/>
  <c r="K71" i="6" s="1"/>
  <c r="L62" i="7"/>
  <c r="C88" i="5"/>
  <c r="D87" i="5"/>
  <c r="G87" i="5" s="1"/>
  <c r="H87" i="5" s="1"/>
  <c r="H92" i="1"/>
  <c r="L92" i="1"/>
  <c r="E71" i="6"/>
  <c r="E71" i="7" s="1"/>
  <c r="J71" i="7" s="1"/>
  <c r="W65" i="6"/>
  <c r="D71" i="12"/>
  <c r="G71" i="12" s="1"/>
  <c r="H71" i="12" s="1"/>
  <c r="C72" i="12"/>
  <c r="N70" i="12"/>
  <c r="J70" i="12"/>
  <c r="C88" i="7"/>
  <c r="D87" i="7"/>
  <c r="G87" i="7" s="1"/>
  <c r="H87" i="7" s="1"/>
  <c r="V66" i="6"/>
  <c r="Q68" i="6"/>
  <c r="P68" i="6"/>
  <c r="J73" i="11"/>
  <c r="N73" i="11"/>
  <c r="Z62" i="12"/>
  <c r="R63" i="12"/>
  <c r="X63" i="12" s="1"/>
  <c r="P63" i="11"/>
  <c r="L64" i="11" s="1"/>
  <c r="L101" i="2"/>
  <c r="H101" i="2"/>
  <c r="E93" i="1"/>
  <c r="F93" i="1" s="1"/>
  <c r="C94" i="1"/>
  <c r="K69" i="1"/>
  <c r="M69" i="1" s="1"/>
  <c r="J69" i="1"/>
  <c r="S62" i="10"/>
  <c r="V66" i="5" l="1"/>
  <c r="W66" i="6"/>
  <c r="R62" i="7"/>
  <c r="Y62" i="7" s="1"/>
  <c r="Z62" i="7" s="1"/>
  <c r="AB62" i="7"/>
  <c r="K71" i="10"/>
  <c r="M70" i="5"/>
  <c r="O70" i="5" s="1"/>
  <c r="Z67" i="6"/>
  <c r="S67" i="6"/>
  <c r="R67" i="6"/>
  <c r="X67" i="6" s="1"/>
  <c r="J72" i="6"/>
  <c r="K72" i="6" s="1"/>
  <c r="N72" i="6"/>
  <c r="C104" i="2"/>
  <c r="E103" i="2"/>
  <c r="F103" i="2" s="1"/>
  <c r="W63" i="11"/>
  <c r="V63" i="11"/>
  <c r="N71" i="12"/>
  <c r="J71" i="12"/>
  <c r="K71" i="12" s="1"/>
  <c r="K69" i="2"/>
  <c r="M69" i="2" s="1"/>
  <c r="J69" i="2"/>
  <c r="W62" i="10"/>
  <c r="V62" i="10"/>
  <c r="L102" i="2"/>
  <c r="H102" i="2"/>
  <c r="K70" i="1"/>
  <c r="M70" i="1" s="1"/>
  <c r="J70" i="1"/>
  <c r="C89" i="7"/>
  <c r="D88" i="7"/>
  <c r="G88" i="7" s="1"/>
  <c r="H88" i="7" s="1"/>
  <c r="R61" i="7"/>
  <c r="Y61" i="7" s="1"/>
  <c r="Z61" i="7" s="1"/>
  <c r="AB61" i="7"/>
  <c r="S61" i="7"/>
  <c r="Q63" i="10"/>
  <c r="P63" i="10"/>
  <c r="L64" i="10" s="1"/>
  <c r="K69" i="5"/>
  <c r="K70" i="5" s="1"/>
  <c r="E71" i="10"/>
  <c r="P69" i="5"/>
  <c r="Q69" i="5" s="1"/>
  <c r="Y64" i="11"/>
  <c r="M64" i="11"/>
  <c r="O64" i="11" s="1"/>
  <c r="W62" i="7"/>
  <c r="X62" i="7" s="1"/>
  <c r="M63" i="7"/>
  <c r="O63" i="7" s="1"/>
  <c r="L63" i="7"/>
  <c r="Q63" i="11"/>
  <c r="N69" i="1"/>
  <c r="I70" i="1" s="1"/>
  <c r="N87" i="7"/>
  <c r="C95" i="1"/>
  <c r="E94" i="1"/>
  <c r="F94" i="1" s="1"/>
  <c r="N71" i="10"/>
  <c r="J71" i="10"/>
  <c r="L93" i="1"/>
  <c r="H93" i="1"/>
  <c r="D75" i="11"/>
  <c r="G75" i="11" s="1"/>
  <c r="H75" i="11" s="1"/>
  <c r="C76" i="11"/>
  <c r="N87" i="5"/>
  <c r="J87" i="5"/>
  <c r="K63" i="7"/>
  <c r="J74" i="11"/>
  <c r="N74" i="11"/>
  <c r="Q63" i="12"/>
  <c r="S68" i="6"/>
  <c r="R68" i="6"/>
  <c r="X68" i="6" s="1"/>
  <c r="Z68" i="6"/>
  <c r="M70" i="6"/>
  <c r="O70" i="6" s="1"/>
  <c r="Y69" i="6"/>
  <c r="E71" i="12"/>
  <c r="P69" i="6"/>
  <c r="L70" i="6" s="1"/>
  <c r="Q69" i="6"/>
  <c r="W63" i="10"/>
  <c r="V63" i="10"/>
  <c r="S68" i="5"/>
  <c r="V68" i="5" s="1"/>
  <c r="R68" i="5"/>
  <c r="C73" i="10"/>
  <c r="D72" i="10"/>
  <c r="G72" i="10" s="1"/>
  <c r="H72" i="10" s="1"/>
  <c r="E72" i="10"/>
  <c r="K74" i="11"/>
  <c r="S63" i="12"/>
  <c r="D73" i="6"/>
  <c r="G73" i="6" s="1"/>
  <c r="H73" i="6" s="1"/>
  <c r="C74" i="6"/>
  <c r="C73" i="12"/>
  <c r="D72" i="12"/>
  <c r="G72" i="12" s="1"/>
  <c r="H72" i="12" s="1"/>
  <c r="E72" i="12"/>
  <c r="D88" i="5"/>
  <c r="G88" i="5" s="1"/>
  <c r="H88" i="5" s="1"/>
  <c r="C89" i="5"/>
  <c r="Y64" i="12"/>
  <c r="M64" i="12"/>
  <c r="O64" i="12" s="1"/>
  <c r="M71" i="6" l="1"/>
  <c r="O71" i="6" s="1"/>
  <c r="K73" i="6"/>
  <c r="R69" i="5"/>
  <c r="S69" i="5" s="1"/>
  <c r="V69" i="5" s="1"/>
  <c r="N73" i="6"/>
  <c r="J73" i="6"/>
  <c r="N69" i="2"/>
  <c r="I70" i="2" s="1"/>
  <c r="H94" i="1"/>
  <c r="L94" i="1"/>
  <c r="E76" i="11"/>
  <c r="C77" i="11"/>
  <c r="D76" i="11"/>
  <c r="G76" i="11" s="1"/>
  <c r="H76" i="11" s="1"/>
  <c r="C96" i="1"/>
  <c r="E95" i="1"/>
  <c r="F95" i="1" s="1"/>
  <c r="Y64" i="10"/>
  <c r="M64" i="10"/>
  <c r="O64" i="10" s="1"/>
  <c r="N70" i="1"/>
  <c r="I71" i="1" s="1"/>
  <c r="S62" i="7"/>
  <c r="W63" i="7"/>
  <c r="X63" i="7" s="1"/>
  <c r="M64" i="7"/>
  <c r="O64" i="7" s="1"/>
  <c r="K72" i="10"/>
  <c r="K71" i="1"/>
  <c r="M71" i="1" s="1"/>
  <c r="D89" i="5"/>
  <c r="G89" i="5" s="1"/>
  <c r="H89" i="5" s="1"/>
  <c r="C90" i="5"/>
  <c r="W68" i="6"/>
  <c r="V68" i="6"/>
  <c r="Q64" i="11"/>
  <c r="P64" i="11"/>
  <c r="L65" i="11" s="1"/>
  <c r="W67" i="6"/>
  <c r="V67" i="6"/>
  <c r="Q70" i="6"/>
  <c r="P70" i="6"/>
  <c r="L71" i="6" s="1"/>
  <c r="C90" i="7"/>
  <c r="D89" i="7"/>
  <c r="G89" i="7" s="1"/>
  <c r="H89" i="7" s="1"/>
  <c r="K71" i="5"/>
  <c r="W63" i="12"/>
  <c r="V63" i="12"/>
  <c r="N75" i="11"/>
  <c r="J75" i="11"/>
  <c r="K75" i="11" s="1"/>
  <c r="Z63" i="10"/>
  <c r="R64" i="10"/>
  <c r="X64" i="10" s="1"/>
  <c r="R64" i="12"/>
  <c r="X64" i="12" s="1"/>
  <c r="Z63" i="12"/>
  <c r="S64" i="12"/>
  <c r="AA61" i="7"/>
  <c r="V61" i="7"/>
  <c r="J72" i="10"/>
  <c r="N72" i="10"/>
  <c r="C74" i="12"/>
  <c r="D73" i="12"/>
  <c r="G73" i="12" s="1"/>
  <c r="H73" i="12" s="1"/>
  <c r="D73" i="10"/>
  <c r="G73" i="10" s="1"/>
  <c r="H73" i="10" s="1"/>
  <c r="C74" i="10"/>
  <c r="O69" i="1"/>
  <c r="Q69" i="1" s="1"/>
  <c r="T69" i="1" s="1"/>
  <c r="L103" i="2"/>
  <c r="H103" i="2"/>
  <c r="L70" i="5"/>
  <c r="Y70" i="6" s="1"/>
  <c r="E73" i="6"/>
  <c r="E73" i="7" s="1"/>
  <c r="J73" i="7" s="1"/>
  <c r="P63" i="7"/>
  <c r="Q63" i="7" s="1"/>
  <c r="J88" i="5"/>
  <c r="N88" i="5"/>
  <c r="R69" i="6"/>
  <c r="S69" i="6" s="1"/>
  <c r="Z69" i="6"/>
  <c r="E75" i="11"/>
  <c r="J72" i="12"/>
  <c r="K72" i="12" s="1"/>
  <c r="N72" i="12"/>
  <c r="Q64" i="12"/>
  <c r="P64" i="12"/>
  <c r="L65" i="12" s="1"/>
  <c r="C75" i="6"/>
  <c r="D74" i="6"/>
  <c r="G74" i="6" s="1"/>
  <c r="H74" i="6" s="1"/>
  <c r="R64" i="11"/>
  <c r="X64" i="11" s="1"/>
  <c r="Z63" i="11"/>
  <c r="N88" i="7"/>
  <c r="K70" i="2"/>
  <c r="M70" i="2" s="1"/>
  <c r="J70" i="2"/>
  <c r="C105" i="2"/>
  <c r="E104" i="2"/>
  <c r="F104" i="2" s="1"/>
  <c r="Q70" i="5"/>
  <c r="P70" i="5"/>
  <c r="M72" i="6" l="1"/>
  <c r="O72" i="6" s="1"/>
  <c r="V69" i="6"/>
  <c r="W69" i="6"/>
  <c r="R63" i="7"/>
  <c r="Y63" i="7" s="1"/>
  <c r="Z63" i="7" s="1"/>
  <c r="S63" i="7"/>
  <c r="AB63" i="7"/>
  <c r="D74" i="10"/>
  <c r="G74" i="10" s="1"/>
  <c r="H74" i="10" s="1"/>
  <c r="C75" i="10"/>
  <c r="J89" i="5"/>
  <c r="N89" i="5"/>
  <c r="J73" i="12"/>
  <c r="K73" i="12" s="1"/>
  <c r="N73" i="12"/>
  <c r="Y65" i="11"/>
  <c r="M65" i="11"/>
  <c r="O65" i="11" s="1"/>
  <c r="N71" i="1"/>
  <c r="I72" i="1" s="1"/>
  <c r="Q64" i="10"/>
  <c r="P64" i="10"/>
  <c r="L65" i="10" s="1"/>
  <c r="L104" i="2"/>
  <c r="H104" i="2"/>
  <c r="J74" i="6"/>
  <c r="K74" i="6" s="1"/>
  <c r="N74" i="6"/>
  <c r="E73" i="12"/>
  <c r="S65" i="11"/>
  <c r="Z64" i="11"/>
  <c r="R65" i="11"/>
  <c r="X65" i="11" s="1"/>
  <c r="D90" i="7"/>
  <c r="G90" i="7" s="1"/>
  <c r="H90" i="7" s="1"/>
  <c r="C91" i="7"/>
  <c r="Q64" i="7"/>
  <c r="P64" i="7"/>
  <c r="L95" i="1"/>
  <c r="H95" i="1"/>
  <c r="O69" i="2"/>
  <c r="Q69" i="2" s="1"/>
  <c r="T69" i="2" s="1"/>
  <c r="C78" i="11"/>
  <c r="D77" i="11"/>
  <c r="G77" i="11" s="1"/>
  <c r="H77" i="11" s="1"/>
  <c r="J73" i="10"/>
  <c r="N73" i="10"/>
  <c r="V64" i="12"/>
  <c r="W64" i="12"/>
  <c r="J71" i="1"/>
  <c r="O70" i="1"/>
  <c r="Q70" i="1" s="1"/>
  <c r="T70" i="1" s="1"/>
  <c r="C106" i="2"/>
  <c r="E105" i="2"/>
  <c r="F105" i="2" s="1"/>
  <c r="K64" i="7"/>
  <c r="K65" i="7" s="1"/>
  <c r="K71" i="2"/>
  <c r="M71" i="2" s="1"/>
  <c r="J71" i="2"/>
  <c r="L71" i="5"/>
  <c r="M71" i="5"/>
  <c r="O71" i="5" s="1"/>
  <c r="N70" i="2"/>
  <c r="I71" i="2" s="1"/>
  <c r="C76" i="6"/>
  <c r="D75" i="6"/>
  <c r="G75" i="6" s="1"/>
  <c r="H75" i="6" s="1"/>
  <c r="N89" i="7"/>
  <c r="L64" i="7"/>
  <c r="P71" i="6"/>
  <c r="Q71" i="6" s="1"/>
  <c r="E74" i="6"/>
  <c r="E74" i="7" s="1"/>
  <c r="J74" i="7" s="1"/>
  <c r="M65" i="12"/>
  <c r="O65" i="12" s="1"/>
  <c r="Y65" i="12"/>
  <c r="S64" i="10"/>
  <c r="C97" i="1"/>
  <c r="E96" i="1"/>
  <c r="F96" i="1" s="1"/>
  <c r="R70" i="5"/>
  <c r="S70" i="5" s="1"/>
  <c r="V70" i="5" s="1"/>
  <c r="K73" i="10"/>
  <c r="X69" i="6"/>
  <c r="E74" i="12"/>
  <c r="D74" i="12"/>
  <c r="G74" i="12" s="1"/>
  <c r="H74" i="12" s="1"/>
  <c r="C75" i="12"/>
  <c r="S64" i="11"/>
  <c r="Z64" i="12"/>
  <c r="R65" i="12"/>
  <c r="X65" i="12" s="1"/>
  <c r="E73" i="10"/>
  <c r="R70" i="6"/>
  <c r="S70" i="6" s="1"/>
  <c r="Z70" i="6"/>
  <c r="C91" i="5"/>
  <c r="D90" i="5"/>
  <c r="G90" i="5" s="1"/>
  <c r="H90" i="5" s="1"/>
  <c r="AA62" i="7"/>
  <c r="V62" i="7"/>
  <c r="N76" i="11"/>
  <c r="J76" i="11"/>
  <c r="K76" i="11" s="1"/>
  <c r="W70" i="6" l="1"/>
  <c r="V70" i="6"/>
  <c r="R71" i="6"/>
  <c r="S71" i="6" s="1"/>
  <c r="C77" i="6"/>
  <c r="D76" i="6"/>
  <c r="G76" i="6" s="1"/>
  <c r="H76" i="6" s="1"/>
  <c r="N71" i="2"/>
  <c r="I72" i="2" s="1"/>
  <c r="O71" i="2"/>
  <c r="Q71" i="2" s="1"/>
  <c r="T71" i="2" s="1"/>
  <c r="O71" i="1"/>
  <c r="Q71" i="1" s="1"/>
  <c r="T71" i="1" s="1"/>
  <c r="D75" i="10"/>
  <c r="G75" i="10" s="1"/>
  <c r="H75" i="10" s="1"/>
  <c r="C76" i="10"/>
  <c r="P65" i="12"/>
  <c r="L66" i="12" s="1"/>
  <c r="J72" i="2"/>
  <c r="K72" i="2"/>
  <c r="M72" i="2" s="1"/>
  <c r="M72" i="5"/>
  <c r="O72" i="5" s="1"/>
  <c r="N74" i="10"/>
  <c r="J74" i="10"/>
  <c r="C92" i="5"/>
  <c r="D91" i="5"/>
  <c r="G91" i="5" s="1"/>
  <c r="H91" i="5" s="1"/>
  <c r="W64" i="11"/>
  <c r="V64" i="11"/>
  <c r="O70" i="2"/>
  <c r="Q70" i="2" s="1"/>
  <c r="T70" i="2" s="1"/>
  <c r="L105" i="2"/>
  <c r="H105" i="2"/>
  <c r="J77" i="11"/>
  <c r="K77" i="11" s="1"/>
  <c r="N77" i="11"/>
  <c r="C92" i="7"/>
  <c r="D91" i="7"/>
  <c r="G91" i="7" s="1"/>
  <c r="H91" i="7" s="1"/>
  <c r="E74" i="10"/>
  <c r="P72" i="6"/>
  <c r="Q72" i="6"/>
  <c r="D75" i="12"/>
  <c r="G75" i="12" s="1"/>
  <c r="H75" i="12" s="1"/>
  <c r="C76" i="12"/>
  <c r="C98" i="1"/>
  <c r="E97" i="1"/>
  <c r="F97" i="1" s="1"/>
  <c r="W64" i="7"/>
  <c r="X64" i="7" s="1"/>
  <c r="M65" i="7"/>
  <c r="O65" i="7" s="1"/>
  <c r="L65" i="7"/>
  <c r="C107" i="2"/>
  <c r="E106" i="2"/>
  <c r="F106" i="2" s="1"/>
  <c r="E77" i="11"/>
  <c r="N90" i="7"/>
  <c r="L72" i="6"/>
  <c r="Z64" i="10"/>
  <c r="R65" i="10"/>
  <c r="X65" i="10" s="1"/>
  <c r="K74" i="10"/>
  <c r="E75" i="6"/>
  <c r="E75" i="7" s="1"/>
  <c r="J75" i="7" s="1"/>
  <c r="N90" i="5"/>
  <c r="J90" i="5"/>
  <c r="Y71" i="6"/>
  <c r="N74" i="12"/>
  <c r="J74" i="12"/>
  <c r="K74" i="12" s="1"/>
  <c r="W64" i="10"/>
  <c r="V64" i="10"/>
  <c r="D78" i="11"/>
  <c r="G78" i="11" s="1"/>
  <c r="H78" i="11" s="1"/>
  <c r="C79" i="11"/>
  <c r="E78" i="11"/>
  <c r="AA63" i="7"/>
  <c r="V63" i="7"/>
  <c r="J75" i="6"/>
  <c r="K75" i="6" s="1"/>
  <c r="N75" i="6"/>
  <c r="V65" i="11"/>
  <c r="W65" i="11"/>
  <c r="S65" i="12"/>
  <c r="R64" i="7"/>
  <c r="Y64" i="7" s="1"/>
  <c r="Z64" i="7" s="1"/>
  <c r="AB64" i="7"/>
  <c r="Q65" i="11"/>
  <c r="P65" i="11"/>
  <c r="L66" i="11" s="1"/>
  <c r="L96" i="1"/>
  <c r="H96" i="1"/>
  <c r="X70" i="6"/>
  <c r="P71" i="5"/>
  <c r="K72" i="5" s="1"/>
  <c r="J72" i="1"/>
  <c r="K72" i="1"/>
  <c r="M72" i="1" s="1"/>
  <c r="M65" i="10"/>
  <c r="O65" i="10" s="1"/>
  <c r="Y65" i="10"/>
  <c r="K76" i="6" l="1"/>
  <c r="V71" i="6"/>
  <c r="M73" i="6"/>
  <c r="O73" i="6" s="1"/>
  <c r="Y72" i="6"/>
  <c r="L73" i="6"/>
  <c r="V65" i="12"/>
  <c r="W65" i="12"/>
  <c r="C99" i="1"/>
  <c r="E98" i="1"/>
  <c r="F98" i="1" s="1"/>
  <c r="C93" i="7"/>
  <c r="D92" i="7"/>
  <c r="G92" i="7" s="1"/>
  <c r="H92" i="7" s="1"/>
  <c r="N91" i="5"/>
  <c r="J91" i="5"/>
  <c r="K73" i="2"/>
  <c r="M73" i="2" s="1"/>
  <c r="J78" i="11"/>
  <c r="K78" i="11" s="1"/>
  <c r="N78" i="11"/>
  <c r="L106" i="2"/>
  <c r="H106" i="2"/>
  <c r="N75" i="12"/>
  <c r="J75" i="12"/>
  <c r="K75" i="12" s="1"/>
  <c r="Q65" i="12"/>
  <c r="E76" i="6"/>
  <c r="E76" i="7" s="1"/>
  <c r="J76" i="7" s="1"/>
  <c r="H97" i="1"/>
  <c r="L97" i="1"/>
  <c r="N72" i="2"/>
  <c r="J73" i="2" s="1"/>
  <c r="E79" i="11"/>
  <c r="D79" i="11"/>
  <c r="G79" i="11" s="1"/>
  <c r="H79" i="11" s="1"/>
  <c r="C80" i="11"/>
  <c r="C77" i="12"/>
  <c r="D76" i="12"/>
  <c r="G76" i="12" s="1"/>
  <c r="H76" i="12" s="1"/>
  <c r="E76" i="12"/>
  <c r="M66" i="12"/>
  <c r="O66" i="12" s="1"/>
  <c r="Y66" i="12"/>
  <c r="P65" i="10"/>
  <c r="L66" i="10" s="1"/>
  <c r="M66" i="11"/>
  <c r="O66" i="11" s="1"/>
  <c r="Y66" i="11"/>
  <c r="C108" i="2"/>
  <c r="E107" i="2"/>
  <c r="F107" i="2" s="1"/>
  <c r="E75" i="12"/>
  <c r="C77" i="10"/>
  <c r="D76" i="10"/>
  <c r="G76" i="10" s="1"/>
  <c r="H76" i="10" s="1"/>
  <c r="D77" i="6"/>
  <c r="G77" i="6" s="1"/>
  <c r="H77" i="6" s="1"/>
  <c r="C78" i="6"/>
  <c r="Q71" i="5"/>
  <c r="N91" i="7"/>
  <c r="D92" i="5"/>
  <c r="G92" i="5" s="1"/>
  <c r="H92" i="5" s="1"/>
  <c r="C93" i="5"/>
  <c r="N72" i="1"/>
  <c r="I73" i="1" s="1"/>
  <c r="W65" i="7"/>
  <c r="X65" i="7" s="1"/>
  <c r="M66" i="7"/>
  <c r="O66" i="7" s="1"/>
  <c r="R72" i="6"/>
  <c r="N75" i="10"/>
  <c r="J75" i="10"/>
  <c r="K75" i="10" s="1"/>
  <c r="P72" i="5"/>
  <c r="Q72" i="5" s="1"/>
  <c r="J76" i="6"/>
  <c r="N76" i="6"/>
  <c r="Z65" i="11"/>
  <c r="R66" i="11"/>
  <c r="X66" i="11" s="1"/>
  <c r="K73" i="1"/>
  <c r="M73" i="1" s="1"/>
  <c r="J73" i="1"/>
  <c r="S64" i="7"/>
  <c r="S65" i="10"/>
  <c r="P65" i="7"/>
  <c r="K66" i="7" s="1"/>
  <c r="L72" i="5"/>
  <c r="E75" i="10"/>
  <c r="R72" i="5" l="1"/>
  <c r="S72" i="5" s="1"/>
  <c r="V72" i="5" s="1"/>
  <c r="Z72" i="6"/>
  <c r="K79" i="11"/>
  <c r="K76" i="10"/>
  <c r="J74" i="2"/>
  <c r="K74" i="2"/>
  <c r="M74" i="2" s="1"/>
  <c r="I73" i="2"/>
  <c r="C109" i="2"/>
  <c r="E108" i="2"/>
  <c r="F108" i="2" s="1"/>
  <c r="O72" i="2"/>
  <c r="Q72" i="2" s="1"/>
  <c r="T72" i="2" s="1"/>
  <c r="P73" i="6"/>
  <c r="L74" i="6" s="1"/>
  <c r="Q73" i="6"/>
  <c r="N77" i="6"/>
  <c r="J77" i="6"/>
  <c r="K77" i="6" s="1"/>
  <c r="M73" i="5"/>
  <c r="O73" i="5" s="1"/>
  <c r="L73" i="5"/>
  <c r="D93" i="5"/>
  <c r="G93" i="5" s="1"/>
  <c r="H93" i="5" s="1"/>
  <c r="C94" i="5"/>
  <c r="J92" i="5"/>
  <c r="N92" i="5"/>
  <c r="P66" i="11"/>
  <c r="L67" i="11" s="1"/>
  <c r="C100" i="1"/>
  <c r="E99" i="1"/>
  <c r="F99" i="1" s="1"/>
  <c r="J74" i="1"/>
  <c r="K74" i="1"/>
  <c r="M74" i="1" s="1"/>
  <c r="R71" i="5"/>
  <c r="X71" i="6" s="1"/>
  <c r="Z71" i="6"/>
  <c r="O73" i="1"/>
  <c r="Q73" i="1" s="1"/>
  <c r="T73" i="1" s="1"/>
  <c r="N73" i="1"/>
  <c r="D78" i="6"/>
  <c r="G78" i="6" s="1"/>
  <c r="H78" i="6" s="1"/>
  <c r="C79" i="6"/>
  <c r="N92" i="7"/>
  <c r="O72" i="1"/>
  <c r="Q72" i="1" s="1"/>
  <c r="T72" i="1" s="1"/>
  <c r="K73" i="5"/>
  <c r="E77" i="6"/>
  <c r="E77" i="7" s="1"/>
  <c r="J77" i="7" s="1"/>
  <c r="L98" i="1"/>
  <c r="H98" i="1"/>
  <c r="K67" i="7"/>
  <c r="S66" i="11"/>
  <c r="X72" i="6"/>
  <c r="Q65" i="7"/>
  <c r="S72" i="6"/>
  <c r="M66" i="10"/>
  <c r="O66" i="10" s="1"/>
  <c r="Y66" i="10"/>
  <c r="C81" i="11"/>
  <c r="D80" i="11"/>
  <c r="G80" i="11" s="1"/>
  <c r="H80" i="11" s="1"/>
  <c r="V65" i="10"/>
  <c r="W65" i="10"/>
  <c r="P66" i="7"/>
  <c r="Q66" i="7" s="1"/>
  <c r="D77" i="10"/>
  <c r="G77" i="10" s="1"/>
  <c r="H77" i="10" s="1"/>
  <c r="C78" i="10"/>
  <c r="E77" i="10"/>
  <c r="Q65" i="10"/>
  <c r="N79" i="11"/>
  <c r="J79" i="11"/>
  <c r="N73" i="2"/>
  <c r="O73" i="2"/>
  <c r="Q73" i="2" s="1"/>
  <c r="T73" i="2" s="1"/>
  <c r="L107" i="2"/>
  <c r="H107" i="2"/>
  <c r="I74" i="1"/>
  <c r="P66" i="12"/>
  <c r="L67" i="12" s="1"/>
  <c r="C94" i="7"/>
  <c r="D93" i="7"/>
  <c r="G93" i="7" s="1"/>
  <c r="H93" i="7" s="1"/>
  <c r="J76" i="12"/>
  <c r="K76" i="12" s="1"/>
  <c r="N76" i="12"/>
  <c r="J76" i="10"/>
  <c r="N76" i="10"/>
  <c r="C78" i="12"/>
  <c r="E77" i="12"/>
  <c r="D77" i="12"/>
  <c r="G77" i="12" s="1"/>
  <c r="H77" i="12" s="1"/>
  <c r="E76" i="10"/>
  <c r="Z65" i="12"/>
  <c r="R66" i="12"/>
  <c r="X66" i="12" s="1"/>
  <c r="AA64" i="7"/>
  <c r="V64" i="7"/>
  <c r="L66" i="7"/>
  <c r="M74" i="6"/>
  <c r="O74" i="6" s="1"/>
  <c r="Y73" i="6"/>
  <c r="M75" i="6" l="1"/>
  <c r="O75" i="6" s="1"/>
  <c r="L75" i="6"/>
  <c r="R66" i="7"/>
  <c r="Y66" i="7" s="1"/>
  <c r="Z66" i="7" s="1"/>
  <c r="AB66" i="7"/>
  <c r="Z65" i="10"/>
  <c r="R66" i="10"/>
  <c r="X66" i="10" s="1"/>
  <c r="K75" i="2"/>
  <c r="M75" i="2" s="1"/>
  <c r="D78" i="10"/>
  <c r="G78" i="10" s="1"/>
  <c r="H78" i="10" s="1"/>
  <c r="C79" i="10"/>
  <c r="Q66" i="12"/>
  <c r="I75" i="1"/>
  <c r="R73" i="6"/>
  <c r="S73" i="6" s="1"/>
  <c r="C95" i="5"/>
  <c r="D94" i="5"/>
  <c r="G94" i="5" s="1"/>
  <c r="H94" i="5" s="1"/>
  <c r="W66" i="7"/>
  <c r="X66" i="7" s="1"/>
  <c r="M67" i="7"/>
  <c r="O67" i="7" s="1"/>
  <c r="L67" i="7"/>
  <c r="W72" i="6"/>
  <c r="V72" i="6"/>
  <c r="Q66" i="11"/>
  <c r="N80" i="11"/>
  <c r="J80" i="11"/>
  <c r="K80" i="11" s="1"/>
  <c r="C82" i="11"/>
  <c r="D81" i="11"/>
  <c r="G81" i="11" s="1"/>
  <c r="H81" i="11" s="1"/>
  <c r="S71" i="5"/>
  <c r="E80" i="11"/>
  <c r="O74" i="1"/>
  <c r="Q74" i="1" s="1"/>
  <c r="T74" i="1" s="1"/>
  <c r="N74" i="1"/>
  <c r="S66" i="12"/>
  <c r="N78" i="6"/>
  <c r="J78" i="6"/>
  <c r="K78" i="6" s="1"/>
  <c r="J75" i="1"/>
  <c r="K75" i="1"/>
  <c r="M75" i="1" s="1"/>
  <c r="J93" i="5"/>
  <c r="N93" i="5"/>
  <c r="L108" i="2"/>
  <c r="H108" i="2"/>
  <c r="Y67" i="12"/>
  <c r="M67" i="12"/>
  <c r="O67" i="12" s="1"/>
  <c r="N74" i="2"/>
  <c r="O74" i="2" s="1"/>
  <c r="Q74" i="2" s="1"/>
  <c r="T74" i="2" s="1"/>
  <c r="R65" i="7"/>
  <c r="Y65" i="7" s="1"/>
  <c r="Z65" i="7" s="1"/>
  <c r="AB65" i="7"/>
  <c r="N93" i="7"/>
  <c r="E78" i="6"/>
  <c r="E78" i="7" s="1"/>
  <c r="J78" i="7" s="1"/>
  <c r="H99" i="1"/>
  <c r="L99" i="1"/>
  <c r="M74" i="5"/>
  <c r="O74" i="5" s="1"/>
  <c r="C110" i="2"/>
  <c r="E109" i="2"/>
  <c r="F109" i="2" s="1"/>
  <c r="M67" i="11"/>
  <c r="O67" i="11" s="1"/>
  <c r="Y67" i="11"/>
  <c r="D78" i="12"/>
  <c r="G78" i="12" s="1"/>
  <c r="H78" i="12" s="1"/>
  <c r="C79" i="12"/>
  <c r="V66" i="11"/>
  <c r="W66" i="11"/>
  <c r="J77" i="10"/>
  <c r="K77" i="10" s="1"/>
  <c r="N77" i="10"/>
  <c r="C80" i="6"/>
  <c r="E79" i="6"/>
  <c r="E79" i="7" s="1"/>
  <c r="J79" i="7" s="1"/>
  <c r="D79" i="6"/>
  <c r="G79" i="6" s="1"/>
  <c r="H79" i="6" s="1"/>
  <c r="P74" i="6"/>
  <c r="Q74" i="6"/>
  <c r="J77" i="12"/>
  <c r="K77" i="12" s="1"/>
  <c r="N77" i="12"/>
  <c r="C95" i="7"/>
  <c r="D94" i="7"/>
  <c r="G94" i="7" s="1"/>
  <c r="H94" i="7" s="1"/>
  <c r="Q66" i="10"/>
  <c r="P66" i="10"/>
  <c r="L67" i="10" s="1"/>
  <c r="C101" i="1"/>
  <c r="E100" i="1"/>
  <c r="F100" i="1" s="1"/>
  <c r="P73" i="5"/>
  <c r="L74" i="5" s="1"/>
  <c r="I74" i="2"/>
  <c r="M75" i="5" l="1"/>
  <c r="O75" i="5" s="1"/>
  <c r="L75" i="5"/>
  <c r="Y74" i="6"/>
  <c r="K81" i="11"/>
  <c r="V73" i="6"/>
  <c r="Z66" i="11"/>
  <c r="R67" i="11"/>
  <c r="X67" i="11" s="1"/>
  <c r="D79" i="10"/>
  <c r="G79" i="10" s="1"/>
  <c r="H79" i="10" s="1"/>
  <c r="C80" i="10"/>
  <c r="S66" i="7"/>
  <c r="P74" i="5"/>
  <c r="Q74" i="5" s="1"/>
  <c r="V71" i="5"/>
  <c r="W71" i="6"/>
  <c r="L76" i="6"/>
  <c r="M76" i="6"/>
  <c r="O76" i="6" s="1"/>
  <c r="Y75" i="6"/>
  <c r="N78" i="12"/>
  <c r="J78" i="12"/>
  <c r="K78" i="12" s="1"/>
  <c r="E78" i="12"/>
  <c r="I75" i="2"/>
  <c r="E78" i="10"/>
  <c r="K76" i="1"/>
  <c r="M76" i="1" s="1"/>
  <c r="J76" i="1"/>
  <c r="Q67" i="7"/>
  <c r="P67" i="7"/>
  <c r="K68" i="7" s="1"/>
  <c r="J75" i="2"/>
  <c r="P75" i="6"/>
  <c r="Q75" i="6" s="1"/>
  <c r="Z66" i="10"/>
  <c r="R67" i="10"/>
  <c r="X67" i="10" s="1"/>
  <c r="S67" i="10"/>
  <c r="N94" i="7"/>
  <c r="N75" i="1"/>
  <c r="I76" i="1" s="1"/>
  <c r="N75" i="2"/>
  <c r="O75" i="2" s="1"/>
  <c r="Q75" i="2" s="1"/>
  <c r="T75" i="2" s="1"/>
  <c r="Q73" i="5"/>
  <c r="Q67" i="11"/>
  <c r="P67" i="11"/>
  <c r="L68" i="11" s="1"/>
  <c r="L109" i="2"/>
  <c r="H109" i="2"/>
  <c r="D82" i="11"/>
  <c r="G82" i="11" s="1"/>
  <c r="H82" i="11" s="1"/>
  <c r="C83" i="11"/>
  <c r="E82" i="11"/>
  <c r="Z66" i="12"/>
  <c r="R67" i="12"/>
  <c r="X67" i="12" s="1"/>
  <c r="C96" i="7"/>
  <c r="D95" i="7"/>
  <c r="G95" i="7" s="1"/>
  <c r="H95" i="7" s="1"/>
  <c r="J81" i="11"/>
  <c r="N81" i="11"/>
  <c r="P67" i="12"/>
  <c r="L68" i="12" s="1"/>
  <c r="Q67" i="12"/>
  <c r="E81" i="11"/>
  <c r="R74" i="6"/>
  <c r="C111" i="2"/>
  <c r="E110" i="2"/>
  <c r="F110" i="2" s="1"/>
  <c r="W66" i="12"/>
  <c r="V66" i="12"/>
  <c r="N94" i="5"/>
  <c r="J94" i="5"/>
  <c r="K74" i="5"/>
  <c r="K75" i="5" s="1"/>
  <c r="D80" i="6"/>
  <c r="G80" i="6" s="1"/>
  <c r="H80" i="6" s="1"/>
  <c r="E80" i="6"/>
  <c r="E80" i="7" s="1"/>
  <c r="J80" i="7" s="1"/>
  <c r="C81" i="6"/>
  <c r="N78" i="10"/>
  <c r="J78" i="10"/>
  <c r="K78" i="10" s="1"/>
  <c r="W67" i="7"/>
  <c r="X67" i="7" s="1"/>
  <c r="M68" i="7"/>
  <c r="O68" i="7" s="1"/>
  <c r="H100" i="1"/>
  <c r="L100" i="1"/>
  <c r="C102" i="1"/>
  <c r="E101" i="1"/>
  <c r="F101" i="1" s="1"/>
  <c r="S65" i="7"/>
  <c r="Y67" i="10"/>
  <c r="M67" i="10"/>
  <c r="O67" i="10" s="1"/>
  <c r="J79" i="6"/>
  <c r="K79" i="6" s="1"/>
  <c r="N79" i="6"/>
  <c r="D79" i="12"/>
  <c r="G79" i="12" s="1"/>
  <c r="H79" i="12" s="1"/>
  <c r="C80" i="12"/>
  <c r="C96" i="5"/>
  <c r="D95" i="5"/>
  <c r="G95" i="5" s="1"/>
  <c r="H95" i="5" s="1"/>
  <c r="S66" i="10"/>
  <c r="R75" i="6" l="1"/>
  <c r="S75" i="6"/>
  <c r="R74" i="5"/>
  <c r="S74" i="5" s="1"/>
  <c r="V74" i="5" s="1"/>
  <c r="Z74" i="6"/>
  <c r="Y68" i="11"/>
  <c r="M68" i="11"/>
  <c r="O68" i="11" s="1"/>
  <c r="K69" i="7"/>
  <c r="AA66" i="7"/>
  <c r="V66" i="7"/>
  <c r="D96" i="5"/>
  <c r="G96" i="5" s="1"/>
  <c r="H96" i="5" s="1"/>
  <c r="C97" i="5"/>
  <c r="W67" i="10"/>
  <c r="V67" i="10"/>
  <c r="L101" i="1"/>
  <c r="H101" i="1"/>
  <c r="R73" i="5"/>
  <c r="X73" i="6" s="1"/>
  <c r="Z73" i="6"/>
  <c r="E79" i="10"/>
  <c r="M76" i="5"/>
  <c r="O76" i="5" s="1"/>
  <c r="AA65" i="7"/>
  <c r="V65" i="7"/>
  <c r="R68" i="12"/>
  <c r="X68" i="12" s="1"/>
  <c r="Z67" i="12"/>
  <c r="Y68" i="12"/>
  <c r="M68" i="12"/>
  <c r="O68" i="12" s="1"/>
  <c r="N79" i="10"/>
  <c r="J79" i="10"/>
  <c r="K79" i="10" s="1"/>
  <c r="E79" i="12"/>
  <c r="M77" i="6"/>
  <c r="O77" i="6" s="1"/>
  <c r="P75" i="5"/>
  <c r="L76" i="5" s="1"/>
  <c r="Q75" i="5"/>
  <c r="S67" i="12"/>
  <c r="Q76" i="6"/>
  <c r="P76" i="6"/>
  <c r="L77" i="6" s="1"/>
  <c r="L110" i="2"/>
  <c r="H110" i="2"/>
  <c r="N80" i="6"/>
  <c r="J80" i="6"/>
  <c r="K80" i="6" s="1"/>
  <c r="J82" i="11"/>
  <c r="K82" i="11" s="1"/>
  <c r="N82" i="11"/>
  <c r="I76" i="2"/>
  <c r="C81" i="12"/>
  <c r="D80" i="12"/>
  <c r="G80" i="12" s="1"/>
  <c r="H80" i="12" s="1"/>
  <c r="E80" i="12"/>
  <c r="R68" i="11"/>
  <c r="X68" i="11" s="1"/>
  <c r="Z67" i="11"/>
  <c r="S68" i="11"/>
  <c r="C81" i="10"/>
  <c r="D80" i="10"/>
  <c r="G80" i="10" s="1"/>
  <c r="H80" i="10" s="1"/>
  <c r="K77" i="1"/>
  <c r="M77" i="1" s="1"/>
  <c r="C103" i="1"/>
  <c r="E102" i="1"/>
  <c r="F102" i="1" s="1"/>
  <c r="D83" i="11"/>
  <c r="G83" i="11" s="1"/>
  <c r="H83" i="11" s="1"/>
  <c r="C84" i="11"/>
  <c r="W66" i="10"/>
  <c r="V66" i="10"/>
  <c r="L68" i="7"/>
  <c r="N95" i="7"/>
  <c r="O75" i="1"/>
  <c r="Q75" i="1" s="1"/>
  <c r="T75" i="1" s="1"/>
  <c r="K76" i="2"/>
  <c r="M76" i="2" s="1"/>
  <c r="J76" i="2"/>
  <c r="S67" i="11"/>
  <c r="R67" i="7"/>
  <c r="Y67" i="7" s="1"/>
  <c r="Z67" i="7" s="1"/>
  <c r="S67" i="7"/>
  <c r="AB67" i="7"/>
  <c r="N79" i="12"/>
  <c r="J79" i="12"/>
  <c r="K79" i="12" s="1"/>
  <c r="D81" i="6"/>
  <c r="G81" i="6" s="1"/>
  <c r="H81" i="6" s="1"/>
  <c r="C82" i="6"/>
  <c r="N76" i="1"/>
  <c r="I77" i="1" s="1"/>
  <c r="C112" i="2"/>
  <c r="E111" i="2"/>
  <c r="F111" i="2" s="1"/>
  <c r="K76" i="5"/>
  <c r="X74" i="6"/>
  <c r="N95" i="5"/>
  <c r="J95" i="5"/>
  <c r="P67" i="10"/>
  <c r="L68" i="10" s="1"/>
  <c r="P68" i="7"/>
  <c r="Q68" i="7" s="1"/>
  <c r="S74" i="6"/>
  <c r="D96" i="7"/>
  <c r="G96" i="7" s="1"/>
  <c r="H96" i="7" s="1"/>
  <c r="C97" i="7"/>
  <c r="AB68" i="7" l="1"/>
  <c r="R68" i="7"/>
  <c r="Y68" i="7" s="1"/>
  <c r="Z68" i="7" s="1"/>
  <c r="M77" i="5"/>
  <c r="O77" i="5" s="1"/>
  <c r="Y76" i="6"/>
  <c r="M78" i="6"/>
  <c r="O78" i="6" s="1"/>
  <c r="L78" i="6"/>
  <c r="N81" i="6"/>
  <c r="J81" i="6"/>
  <c r="K81" i="6" s="1"/>
  <c r="C83" i="6"/>
  <c r="D82" i="6"/>
  <c r="G82" i="6" s="1"/>
  <c r="H82" i="6" s="1"/>
  <c r="W67" i="11"/>
  <c r="V67" i="11"/>
  <c r="E80" i="10"/>
  <c r="C82" i="12"/>
  <c r="E81" i="12"/>
  <c r="D81" i="12"/>
  <c r="G81" i="12" s="1"/>
  <c r="H81" i="12" s="1"/>
  <c r="P77" i="6"/>
  <c r="Q77" i="6" s="1"/>
  <c r="S73" i="5"/>
  <c r="C98" i="7"/>
  <c r="D97" i="7"/>
  <c r="G97" i="7" s="1"/>
  <c r="H97" i="7" s="1"/>
  <c r="D84" i="11"/>
  <c r="G84" i="11" s="1"/>
  <c r="H84" i="11" s="1"/>
  <c r="C85" i="11"/>
  <c r="E81" i="6"/>
  <c r="E81" i="7" s="1"/>
  <c r="J81" i="7" s="1"/>
  <c r="V74" i="6"/>
  <c r="W74" i="6"/>
  <c r="W68" i="11"/>
  <c r="V68" i="11"/>
  <c r="H102" i="1"/>
  <c r="L102" i="1"/>
  <c r="Q68" i="12"/>
  <c r="P68" i="12"/>
  <c r="L69" i="12" s="1"/>
  <c r="P68" i="11"/>
  <c r="L69" i="11" s="1"/>
  <c r="V75" i="6"/>
  <c r="I77" i="2"/>
  <c r="N83" i="11"/>
  <c r="J83" i="11"/>
  <c r="K83" i="11" s="1"/>
  <c r="R75" i="5"/>
  <c r="S75" i="5" s="1"/>
  <c r="P76" i="5"/>
  <c r="L77" i="5" s="1"/>
  <c r="C113" i="2"/>
  <c r="E112" i="2"/>
  <c r="F112" i="2" s="1"/>
  <c r="C104" i="1"/>
  <c r="E103" i="1"/>
  <c r="F103" i="1" s="1"/>
  <c r="Z75" i="6"/>
  <c r="K77" i="2"/>
  <c r="M77" i="2" s="1"/>
  <c r="J77" i="2"/>
  <c r="R76" i="6"/>
  <c r="N96" i="7"/>
  <c r="D81" i="10"/>
  <c r="G81" i="10" s="1"/>
  <c r="H81" i="10" s="1"/>
  <c r="C82" i="10"/>
  <c r="E81" i="10"/>
  <c r="Y68" i="10"/>
  <c r="M68" i="10"/>
  <c r="O68" i="10" s="1"/>
  <c r="AA67" i="7"/>
  <c r="V67" i="7"/>
  <c r="J77" i="1"/>
  <c r="D97" i="5"/>
  <c r="G97" i="5" s="1"/>
  <c r="H97" i="5" s="1"/>
  <c r="C98" i="5"/>
  <c r="X75" i="6"/>
  <c r="J80" i="10"/>
  <c r="K80" i="10" s="1"/>
  <c r="N80" i="10"/>
  <c r="N76" i="2"/>
  <c r="O76" i="2"/>
  <c r="Q76" i="2" s="1"/>
  <c r="T76" i="2" s="1"/>
  <c r="W67" i="12"/>
  <c r="V67" i="12"/>
  <c r="E83" i="11"/>
  <c r="L111" i="2"/>
  <c r="H111" i="2"/>
  <c r="M69" i="7"/>
  <c r="O69" i="7" s="1"/>
  <c r="L69" i="7"/>
  <c r="W68" i="7"/>
  <c r="X68" i="7" s="1"/>
  <c r="Q67" i="10"/>
  <c r="O76" i="1"/>
  <c r="Q76" i="1" s="1"/>
  <c r="T76" i="1" s="1"/>
  <c r="N77" i="1"/>
  <c r="O77" i="1" s="1"/>
  <c r="Q77" i="1" s="1"/>
  <c r="T77" i="1" s="1"/>
  <c r="J80" i="12"/>
  <c r="K80" i="12" s="1"/>
  <c r="N80" i="12"/>
  <c r="S68" i="12"/>
  <c r="J96" i="5"/>
  <c r="N96" i="5"/>
  <c r="M78" i="5" l="1"/>
  <c r="O78" i="5" s="1"/>
  <c r="L78" i="5"/>
  <c r="Y77" i="6"/>
  <c r="V75" i="5"/>
  <c r="W75" i="6"/>
  <c r="K81" i="12"/>
  <c r="R77" i="6"/>
  <c r="S77" i="6"/>
  <c r="N84" i="11"/>
  <c r="J84" i="11"/>
  <c r="K84" i="11" s="1"/>
  <c r="K78" i="2"/>
  <c r="M78" i="2" s="1"/>
  <c r="J78" i="2"/>
  <c r="D82" i="10"/>
  <c r="G82" i="10" s="1"/>
  <c r="H82" i="10" s="1"/>
  <c r="C83" i="10"/>
  <c r="D98" i="7"/>
  <c r="G98" i="7" s="1"/>
  <c r="H98" i="7" s="1"/>
  <c r="C99" i="7"/>
  <c r="Y78" i="6"/>
  <c r="M79" i="6"/>
  <c r="O79" i="6" s="1"/>
  <c r="L79" i="6"/>
  <c r="P77" i="5"/>
  <c r="Q77" i="5" s="1"/>
  <c r="Q76" i="5"/>
  <c r="I78" i="1"/>
  <c r="Q68" i="11"/>
  <c r="V73" i="5"/>
  <c r="W73" i="6"/>
  <c r="P78" i="6"/>
  <c r="Q78" i="6"/>
  <c r="C114" i="2"/>
  <c r="E113" i="2"/>
  <c r="F113" i="2" s="1"/>
  <c r="E84" i="11"/>
  <c r="Y69" i="11"/>
  <c r="M69" i="11"/>
  <c r="O69" i="11" s="1"/>
  <c r="Z67" i="10"/>
  <c r="R68" i="10"/>
  <c r="X68" i="10" s="1"/>
  <c r="L103" i="1"/>
  <c r="H103" i="1"/>
  <c r="K77" i="5"/>
  <c r="K78" i="5" s="1"/>
  <c r="Y69" i="12"/>
  <c r="M69" i="12"/>
  <c r="O69" i="12" s="1"/>
  <c r="N82" i="6"/>
  <c r="J82" i="6"/>
  <c r="K82" i="6" s="1"/>
  <c r="S76" i="6"/>
  <c r="C99" i="5"/>
  <c r="D98" i="5"/>
  <c r="G98" i="5" s="1"/>
  <c r="H98" i="5" s="1"/>
  <c r="J97" i="5"/>
  <c r="N97" i="5"/>
  <c r="K78" i="1"/>
  <c r="M78" i="1" s="1"/>
  <c r="J78" i="1"/>
  <c r="V68" i="12"/>
  <c r="W68" i="12"/>
  <c r="C105" i="1"/>
  <c r="E104" i="1"/>
  <c r="F104" i="1" s="1"/>
  <c r="S69" i="12"/>
  <c r="Z68" i="12"/>
  <c r="R69" i="12"/>
  <c r="X69" i="12" s="1"/>
  <c r="C84" i="6"/>
  <c r="D83" i="6"/>
  <c r="G83" i="6" s="1"/>
  <c r="H83" i="6" s="1"/>
  <c r="S68" i="7"/>
  <c r="I78" i="2"/>
  <c r="D82" i="12"/>
  <c r="G82" i="12" s="1"/>
  <c r="H82" i="12" s="1"/>
  <c r="C83" i="12"/>
  <c r="N97" i="7"/>
  <c r="N77" i="2"/>
  <c r="O77" i="2" s="1"/>
  <c r="Q77" i="2" s="1"/>
  <c r="T77" i="2" s="1"/>
  <c r="J81" i="10"/>
  <c r="K81" i="10" s="1"/>
  <c r="N81" i="10"/>
  <c r="L70" i="7"/>
  <c r="M70" i="7"/>
  <c r="O70" i="7" s="1"/>
  <c r="W69" i="7"/>
  <c r="X69" i="7" s="1"/>
  <c r="P69" i="7"/>
  <c r="K70" i="7" s="1"/>
  <c r="P68" i="10"/>
  <c r="L69" i="10" s="1"/>
  <c r="L112" i="2"/>
  <c r="H112" i="2"/>
  <c r="C86" i="11"/>
  <c r="D85" i="11"/>
  <c r="G85" i="11" s="1"/>
  <c r="H85" i="11" s="1"/>
  <c r="J81" i="12"/>
  <c r="N81" i="12"/>
  <c r="E82" i="6"/>
  <c r="E82" i="7" s="1"/>
  <c r="J82" i="7" s="1"/>
  <c r="R77" i="5" l="1"/>
  <c r="S77" i="5" s="1"/>
  <c r="Z77" i="6"/>
  <c r="K83" i="6"/>
  <c r="L71" i="7"/>
  <c r="M71" i="7"/>
  <c r="O71" i="7" s="1"/>
  <c r="W70" i="7"/>
  <c r="X70" i="7" s="1"/>
  <c r="M80" i="6"/>
  <c r="O80" i="6" s="1"/>
  <c r="N78" i="2"/>
  <c r="O78" i="2"/>
  <c r="Q78" i="2" s="1"/>
  <c r="T78" i="2" s="1"/>
  <c r="I79" i="2"/>
  <c r="S69" i="11"/>
  <c r="Z68" i="11"/>
  <c r="R69" i="11"/>
  <c r="X69" i="11" s="1"/>
  <c r="Q68" i="10"/>
  <c r="E82" i="12"/>
  <c r="P79" i="6"/>
  <c r="L80" i="6" s="1"/>
  <c r="L104" i="1"/>
  <c r="H104" i="1"/>
  <c r="R76" i="5"/>
  <c r="X76" i="6" s="1"/>
  <c r="Z76" i="6"/>
  <c r="N98" i="7"/>
  <c r="V77" i="6"/>
  <c r="M79" i="5"/>
  <c r="O79" i="5" s="1"/>
  <c r="J79" i="2"/>
  <c r="K79" i="2"/>
  <c r="M79" i="2" s="1"/>
  <c r="N98" i="5"/>
  <c r="J98" i="5"/>
  <c r="C100" i="5"/>
  <c r="D99" i="5"/>
  <c r="G99" i="5" s="1"/>
  <c r="H99" i="5" s="1"/>
  <c r="C100" i="7"/>
  <c r="D99" i="7"/>
  <c r="G99" i="7" s="1"/>
  <c r="H99" i="7" s="1"/>
  <c r="J83" i="6"/>
  <c r="N83" i="6"/>
  <c r="V76" i="6"/>
  <c r="L113" i="2"/>
  <c r="H113" i="2"/>
  <c r="Q69" i="7"/>
  <c r="E83" i="6"/>
  <c r="E83" i="7" s="1"/>
  <c r="J83" i="7" s="1"/>
  <c r="C115" i="2"/>
  <c r="E114" i="2"/>
  <c r="F114" i="2" s="1"/>
  <c r="D83" i="10"/>
  <c r="G83" i="10" s="1"/>
  <c r="H83" i="10" s="1"/>
  <c r="C84" i="10"/>
  <c r="P78" i="5"/>
  <c r="Q78" i="5" s="1"/>
  <c r="W69" i="12"/>
  <c r="V69" i="12"/>
  <c r="M69" i="10"/>
  <c r="O69" i="10" s="1"/>
  <c r="Y69" i="10"/>
  <c r="C106" i="1"/>
  <c r="E105" i="1"/>
  <c r="F105" i="1" s="1"/>
  <c r="D84" i="6"/>
  <c r="G84" i="6" s="1"/>
  <c r="H84" i="6" s="1"/>
  <c r="C85" i="6"/>
  <c r="E84" i="6"/>
  <c r="E84" i="7" s="1"/>
  <c r="J84" i="7" s="1"/>
  <c r="K79" i="1"/>
  <c r="M79" i="1" s="1"/>
  <c r="J79" i="1"/>
  <c r="R78" i="6"/>
  <c r="N82" i="10"/>
  <c r="J82" i="10"/>
  <c r="K82" i="10" s="1"/>
  <c r="X77" i="6"/>
  <c r="N82" i="12"/>
  <c r="J82" i="12"/>
  <c r="K82" i="12" s="1"/>
  <c r="Q69" i="11"/>
  <c r="P69" i="11"/>
  <c r="L70" i="11" s="1"/>
  <c r="K79" i="5"/>
  <c r="V68" i="7"/>
  <c r="AA68" i="7"/>
  <c r="J85" i="11"/>
  <c r="K85" i="11" s="1"/>
  <c r="N85" i="11"/>
  <c r="E85" i="11"/>
  <c r="C87" i="11"/>
  <c r="D86" i="11"/>
  <c r="G86" i="11" s="1"/>
  <c r="H86" i="11" s="1"/>
  <c r="P70" i="7"/>
  <c r="K71" i="7" s="1"/>
  <c r="D83" i="12"/>
  <c r="G83" i="12" s="1"/>
  <c r="H83" i="12" s="1"/>
  <c r="C84" i="12"/>
  <c r="O78" i="1"/>
  <c r="Q78" i="1" s="1"/>
  <c r="T78" i="1" s="1"/>
  <c r="N78" i="1"/>
  <c r="I79" i="1" s="1"/>
  <c r="Q69" i="12"/>
  <c r="P69" i="12"/>
  <c r="L70" i="12" s="1"/>
  <c r="S68" i="10"/>
  <c r="E82" i="10"/>
  <c r="M81" i="6" l="1"/>
  <c r="O81" i="6" s="1"/>
  <c r="I80" i="1"/>
  <c r="R78" i="5"/>
  <c r="S78" i="5"/>
  <c r="V78" i="5" s="1"/>
  <c r="Z78" i="6"/>
  <c r="V77" i="5"/>
  <c r="W77" i="6"/>
  <c r="N83" i="10"/>
  <c r="J83" i="10"/>
  <c r="K83" i="10" s="1"/>
  <c r="W69" i="11"/>
  <c r="V69" i="11"/>
  <c r="L72" i="7"/>
  <c r="M72" i="7"/>
  <c r="O72" i="7" s="1"/>
  <c r="W71" i="7"/>
  <c r="X71" i="7" s="1"/>
  <c r="D87" i="11"/>
  <c r="G87" i="11" s="1"/>
  <c r="H87" i="11" s="1"/>
  <c r="C88" i="11"/>
  <c r="E87" i="11"/>
  <c r="Q71" i="7"/>
  <c r="P71" i="7"/>
  <c r="K72" i="7" s="1"/>
  <c r="Q79" i="6"/>
  <c r="N79" i="2"/>
  <c r="O79" i="2"/>
  <c r="Q79" i="2" s="1"/>
  <c r="T79" i="2" s="1"/>
  <c r="N99" i="7"/>
  <c r="P79" i="5"/>
  <c r="Q79" i="5" s="1"/>
  <c r="S76" i="5"/>
  <c r="I80" i="2"/>
  <c r="N79" i="1"/>
  <c r="J80" i="1" s="1"/>
  <c r="E83" i="12"/>
  <c r="W68" i="10"/>
  <c r="V68" i="10"/>
  <c r="M70" i="12"/>
  <c r="O70" i="12" s="1"/>
  <c r="Y70" i="12"/>
  <c r="Q70" i="7"/>
  <c r="J84" i="6"/>
  <c r="K84" i="6" s="1"/>
  <c r="N84" i="6"/>
  <c r="AB69" i="7"/>
  <c r="S69" i="7"/>
  <c r="R69" i="7"/>
  <c r="Y69" i="7" s="1"/>
  <c r="Z69" i="7" s="1"/>
  <c r="C101" i="7"/>
  <c r="D100" i="7"/>
  <c r="G100" i="7" s="1"/>
  <c r="H100" i="7" s="1"/>
  <c r="L79" i="5"/>
  <c r="Z68" i="10"/>
  <c r="R69" i="10"/>
  <c r="X69" i="10" s="1"/>
  <c r="X78" i="6"/>
  <c r="K80" i="1"/>
  <c r="M80" i="1" s="1"/>
  <c r="E83" i="10"/>
  <c r="N83" i="12"/>
  <c r="J83" i="12"/>
  <c r="K83" i="12" s="1"/>
  <c r="L114" i="2"/>
  <c r="H114" i="2"/>
  <c r="J80" i="2"/>
  <c r="K80" i="2"/>
  <c r="M80" i="2" s="1"/>
  <c r="E85" i="6"/>
  <c r="E85" i="7" s="1"/>
  <c r="J85" i="7" s="1"/>
  <c r="D85" i="6"/>
  <c r="G85" i="6" s="1"/>
  <c r="H85" i="6" s="1"/>
  <c r="C86" i="6"/>
  <c r="Z69" i="12"/>
  <c r="R70" i="12"/>
  <c r="X70" i="12" s="1"/>
  <c r="K80" i="5"/>
  <c r="S78" i="6"/>
  <c r="H105" i="1"/>
  <c r="L105" i="1"/>
  <c r="N99" i="5"/>
  <c r="J99" i="5"/>
  <c r="P80" i="6"/>
  <c r="L81" i="6" s="1"/>
  <c r="Q80" i="6"/>
  <c r="S70" i="11"/>
  <c r="Z69" i="11"/>
  <c r="R70" i="11"/>
  <c r="X70" i="11" s="1"/>
  <c r="C85" i="12"/>
  <c r="D84" i="12"/>
  <c r="G84" i="12" s="1"/>
  <c r="H84" i="12" s="1"/>
  <c r="E84" i="12"/>
  <c r="P69" i="10"/>
  <c r="L70" i="10" s="1"/>
  <c r="C116" i="2"/>
  <c r="E115" i="2"/>
  <c r="F115" i="2" s="1"/>
  <c r="J86" i="11"/>
  <c r="K86" i="11" s="1"/>
  <c r="N86" i="11"/>
  <c r="E86" i="11"/>
  <c r="M70" i="11"/>
  <c r="O70" i="11" s="1"/>
  <c r="Y70" i="11"/>
  <c r="E106" i="1"/>
  <c r="F106" i="1" s="1"/>
  <c r="C107" i="1"/>
  <c r="C85" i="10"/>
  <c r="D84" i="10"/>
  <c r="G84" i="10" s="1"/>
  <c r="H84" i="10" s="1"/>
  <c r="D100" i="5"/>
  <c r="G100" i="5" s="1"/>
  <c r="H100" i="5" s="1"/>
  <c r="C101" i="5"/>
  <c r="M82" i="6" l="1"/>
  <c r="O82" i="6" s="1"/>
  <c r="R79" i="5"/>
  <c r="S79" i="5" s="1"/>
  <c r="V79" i="5" s="1"/>
  <c r="K87" i="11"/>
  <c r="K84" i="12"/>
  <c r="K81" i="1"/>
  <c r="M81" i="1" s="1"/>
  <c r="K81" i="2"/>
  <c r="M81" i="2" s="1"/>
  <c r="AB71" i="7"/>
  <c r="S71" i="7"/>
  <c r="R71" i="7"/>
  <c r="Y71" i="7" s="1"/>
  <c r="Z71" i="7" s="1"/>
  <c r="D88" i="11"/>
  <c r="G88" i="11" s="1"/>
  <c r="H88" i="11" s="1"/>
  <c r="C89" i="11"/>
  <c r="C117" i="2"/>
  <c r="E116" i="2"/>
  <c r="F116" i="2" s="1"/>
  <c r="S80" i="6"/>
  <c r="R80" i="6"/>
  <c r="P70" i="11"/>
  <c r="L71" i="11" s="1"/>
  <c r="D86" i="6"/>
  <c r="G86" i="6" s="1"/>
  <c r="H86" i="6" s="1"/>
  <c r="C87" i="6"/>
  <c r="M80" i="5"/>
  <c r="O80" i="5" s="1"/>
  <c r="L80" i="5"/>
  <c r="Y79" i="6"/>
  <c r="AB70" i="7"/>
  <c r="R70" i="7"/>
  <c r="Y70" i="7" s="1"/>
  <c r="Z70" i="7" s="1"/>
  <c r="J100" i="5"/>
  <c r="N100" i="5"/>
  <c r="J84" i="10"/>
  <c r="K84" i="10" s="1"/>
  <c r="N84" i="10"/>
  <c r="E84" i="10"/>
  <c r="C86" i="12"/>
  <c r="D85" i="12"/>
  <c r="G85" i="12" s="1"/>
  <c r="H85" i="12" s="1"/>
  <c r="N85" i="6"/>
  <c r="J85" i="6"/>
  <c r="K85" i="6" s="1"/>
  <c r="N100" i="7"/>
  <c r="O79" i="1"/>
  <c r="Q79" i="1" s="1"/>
  <c r="T79" i="1" s="1"/>
  <c r="P72" i="7"/>
  <c r="Q72" i="7" s="1"/>
  <c r="P81" i="6"/>
  <c r="L82" i="6" s="1"/>
  <c r="Q81" i="6"/>
  <c r="M70" i="10"/>
  <c r="O70" i="10" s="1"/>
  <c r="Y70" i="10"/>
  <c r="D101" i="5"/>
  <c r="G101" i="5" s="1"/>
  <c r="H101" i="5" s="1"/>
  <c r="C102" i="5"/>
  <c r="S70" i="12"/>
  <c r="N80" i="1"/>
  <c r="J81" i="1" s="1"/>
  <c r="C102" i="7"/>
  <c r="D101" i="7"/>
  <c r="G101" i="7" s="1"/>
  <c r="H101" i="7" s="1"/>
  <c r="R79" i="6"/>
  <c r="Z79" i="6"/>
  <c r="L73" i="7"/>
  <c r="M73" i="7"/>
  <c r="O73" i="7" s="1"/>
  <c r="W72" i="7"/>
  <c r="X72" i="7" s="1"/>
  <c r="L106" i="1"/>
  <c r="H106" i="1"/>
  <c r="V70" i="11"/>
  <c r="W70" i="11"/>
  <c r="AA69" i="7"/>
  <c r="V69" i="7"/>
  <c r="Q69" i="10"/>
  <c r="S69" i="10"/>
  <c r="J87" i="11"/>
  <c r="N87" i="11"/>
  <c r="J84" i="12"/>
  <c r="N84" i="12"/>
  <c r="D85" i="10"/>
  <c r="G85" i="10" s="1"/>
  <c r="H85" i="10" s="1"/>
  <c r="C86" i="10"/>
  <c r="E85" i="10"/>
  <c r="C108" i="1"/>
  <c r="E107" i="1"/>
  <c r="F107" i="1" s="1"/>
  <c r="L115" i="2"/>
  <c r="H115" i="2"/>
  <c r="V78" i="6"/>
  <c r="W78" i="6"/>
  <c r="N80" i="2"/>
  <c r="J81" i="2" s="1"/>
  <c r="Q70" i="12"/>
  <c r="P70" i="12"/>
  <c r="L71" i="12" s="1"/>
  <c r="V76" i="5"/>
  <c r="W76" i="6"/>
  <c r="K82" i="2" l="1"/>
  <c r="M82" i="2" s="1"/>
  <c r="M83" i="6"/>
  <c r="O83" i="6" s="1"/>
  <c r="K82" i="1"/>
  <c r="M82" i="1" s="1"/>
  <c r="J82" i="1"/>
  <c r="AB72" i="7"/>
  <c r="S72" i="7"/>
  <c r="R72" i="7"/>
  <c r="Y72" i="7" s="1"/>
  <c r="Z72" i="7" s="1"/>
  <c r="K85" i="10"/>
  <c r="V80" i="6"/>
  <c r="Q73" i="7"/>
  <c r="P73" i="7"/>
  <c r="L74" i="7" s="1"/>
  <c r="L116" i="2"/>
  <c r="H116" i="2"/>
  <c r="D86" i="10"/>
  <c r="G86" i="10" s="1"/>
  <c r="H86" i="10" s="1"/>
  <c r="C87" i="10"/>
  <c r="S81" i="6"/>
  <c r="R81" i="6"/>
  <c r="J85" i="10"/>
  <c r="N85" i="10"/>
  <c r="N81" i="2"/>
  <c r="J82" i="2" s="1"/>
  <c r="Z70" i="12"/>
  <c r="R71" i="12"/>
  <c r="X71" i="12" s="1"/>
  <c r="C103" i="7"/>
  <c r="D102" i="7"/>
  <c r="G102" i="7" s="1"/>
  <c r="H102" i="7" s="1"/>
  <c r="P80" i="5"/>
  <c r="K81" i="5" s="1"/>
  <c r="Z69" i="10"/>
  <c r="R70" i="10"/>
  <c r="X70" i="10" s="1"/>
  <c r="K88" i="11"/>
  <c r="N86" i="6"/>
  <c r="J86" i="6"/>
  <c r="K86" i="6" s="1"/>
  <c r="J85" i="12"/>
  <c r="N85" i="12"/>
  <c r="X79" i="6"/>
  <c r="C103" i="5"/>
  <c r="D102" i="5"/>
  <c r="G102" i="5" s="1"/>
  <c r="H102" i="5" s="1"/>
  <c r="E85" i="12"/>
  <c r="S70" i="7"/>
  <c r="M71" i="11"/>
  <c r="O71" i="11" s="1"/>
  <c r="Y71" i="11"/>
  <c r="D89" i="11"/>
  <c r="G89" i="11" s="1"/>
  <c r="H89" i="11" s="1"/>
  <c r="C90" i="11"/>
  <c r="K73" i="7"/>
  <c r="K74" i="7" s="1"/>
  <c r="V69" i="10"/>
  <c r="W69" i="10"/>
  <c r="K85" i="12"/>
  <c r="O80" i="2"/>
  <c r="Q80" i="2" s="1"/>
  <c r="T80" i="2" s="1"/>
  <c r="O80" i="1"/>
  <c r="Q80" i="1" s="1"/>
  <c r="T80" i="1" s="1"/>
  <c r="C118" i="2"/>
  <c r="E117" i="2"/>
  <c r="F117" i="2" s="1"/>
  <c r="W70" i="12"/>
  <c r="V70" i="12"/>
  <c r="I81" i="1"/>
  <c r="S79" i="6"/>
  <c r="J101" i="5"/>
  <c r="N101" i="5"/>
  <c r="D86" i="12"/>
  <c r="G86" i="12" s="1"/>
  <c r="H86" i="12" s="1"/>
  <c r="C87" i="12"/>
  <c r="E86" i="12"/>
  <c r="Q70" i="11"/>
  <c r="N88" i="11"/>
  <c r="J88" i="11"/>
  <c r="W73" i="7"/>
  <c r="X73" i="7" s="1"/>
  <c r="M74" i="7"/>
  <c r="O74" i="7" s="1"/>
  <c r="E86" i="6"/>
  <c r="E86" i="7" s="1"/>
  <c r="J86" i="7" s="1"/>
  <c r="I81" i="2"/>
  <c r="I82" i="2" s="1"/>
  <c r="E88" i="11"/>
  <c r="O81" i="1"/>
  <c r="Q81" i="1" s="1"/>
  <c r="T81" i="1" s="1"/>
  <c r="N81" i="1"/>
  <c r="P82" i="6"/>
  <c r="Q82" i="6" s="1"/>
  <c r="C109" i="1"/>
  <c r="E108" i="1"/>
  <c r="F108" i="1" s="1"/>
  <c r="Q70" i="10"/>
  <c r="P70" i="10"/>
  <c r="L71" i="10" s="1"/>
  <c r="AA71" i="7"/>
  <c r="V71" i="7"/>
  <c r="C88" i="6"/>
  <c r="D87" i="6"/>
  <c r="G87" i="6" s="1"/>
  <c r="H87" i="6" s="1"/>
  <c r="Y71" i="12"/>
  <c r="M71" i="12"/>
  <c r="O71" i="12" s="1"/>
  <c r="H107" i="1"/>
  <c r="L107" i="1"/>
  <c r="N101" i="7"/>
  <c r="M81" i="5"/>
  <c r="O81" i="5" s="1"/>
  <c r="L81" i="5"/>
  <c r="Y80" i="6"/>
  <c r="R82" i="6" l="1"/>
  <c r="S82" i="6"/>
  <c r="K83" i="2"/>
  <c r="M83" i="2" s="1"/>
  <c r="L75" i="7"/>
  <c r="M75" i="7"/>
  <c r="O75" i="7" s="1"/>
  <c r="W74" i="7"/>
  <c r="X74" i="7" s="1"/>
  <c r="P71" i="12"/>
  <c r="L72" i="12" s="1"/>
  <c r="Q71" i="12"/>
  <c r="R71" i="10"/>
  <c r="X71" i="10" s="1"/>
  <c r="Z70" i="10"/>
  <c r="S71" i="11"/>
  <c r="R71" i="11"/>
  <c r="X71" i="11" s="1"/>
  <c r="Z70" i="11"/>
  <c r="AA70" i="7"/>
  <c r="V70" i="7"/>
  <c r="C104" i="7"/>
  <c r="D103" i="7"/>
  <c r="G103" i="7" s="1"/>
  <c r="H103" i="7" s="1"/>
  <c r="J83" i="1"/>
  <c r="K83" i="1"/>
  <c r="M83" i="1" s="1"/>
  <c r="V81" i="6"/>
  <c r="C110" i="1"/>
  <c r="E109" i="1"/>
  <c r="F109" i="1" s="1"/>
  <c r="D90" i="11"/>
  <c r="G90" i="11" s="1"/>
  <c r="H90" i="11" s="1"/>
  <c r="C91" i="11"/>
  <c r="C89" i="6"/>
  <c r="E88" i="6"/>
  <c r="E88" i="7" s="1"/>
  <c r="J88" i="7" s="1"/>
  <c r="D88" i="6"/>
  <c r="G88" i="6" s="1"/>
  <c r="H88" i="6" s="1"/>
  <c r="C104" i="5"/>
  <c r="D103" i="5"/>
  <c r="G103" i="5" s="1"/>
  <c r="H103" i="5" s="1"/>
  <c r="D87" i="10"/>
  <c r="G87" i="10" s="1"/>
  <c r="H87" i="10" s="1"/>
  <c r="C88" i="10"/>
  <c r="L83" i="6"/>
  <c r="N87" i="6"/>
  <c r="J87" i="6"/>
  <c r="K87" i="6" s="1"/>
  <c r="D87" i="12"/>
  <c r="G87" i="12" s="1"/>
  <c r="H87" i="12" s="1"/>
  <c r="C88" i="12"/>
  <c r="J86" i="12"/>
  <c r="K86" i="12" s="1"/>
  <c r="N86" i="12"/>
  <c r="C119" i="2"/>
  <c r="E118" i="2"/>
  <c r="F118" i="2" s="1"/>
  <c r="E87" i="6"/>
  <c r="E87" i="7" s="1"/>
  <c r="J87" i="7" s="1"/>
  <c r="E89" i="11"/>
  <c r="S70" i="10"/>
  <c r="N86" i="10"/>
  <c r="J86" i="10"/>
  <c r="K86" i="10" s="1"/>
  <c r="AB73" i="7"/>
  <c r="R73" i="7"/>
  <c r="Y73" i="7" s="1"/>
  <c r="Z73" i="7" s="1"/>
  <c r="P81" i="5"/>
  <c r="L82" i="5" s="1"/>
  <c r="N102" i="5"/>
  <c r="J102" i="5"/>
  <c r="P83" i="6"/>
  <c r="Q83" i="6" s="1"/>
  <c r="N89" i="11"/>
  <c r="J89" i="11"/>
  <c r="K89" i="11" s="1"/>
  <c r="S71" i="12"/>
  <c r="Q80" i="5"/>
  <c r="O81" i="2"/>
  <c r="Q81" i="2" s="1"/>
  <c r="T81" i="2" s="1"/>
  <c r="E86" i="10"/>
  <c r="H108" i="1"/>
  <c r="L108" i="1"/>
  <c r="N82" i="1"/>
  <c r="O82" i="1" s="1"/>
  <c r="Q82" i="1" s="1"/>
  <c r="T82" i="1" s="1"/>
  <c r="L117" i="2"/>
  <c r="H117" i="2"/>
  <c r="W79" i="6"/>
  <c r="V79" i="6"/>
  <c r="V72" i="7"/>
  <c r="AA72" i="7"/>
  <c r="N82" i="2"/>
  <c r="I83" i="2" s="1"/>
  <c r="M82" i="5"/>
  <c r="O82" i="5" s="1"/>
  <c r="Y81" i="6"/>
  <c r="P74" i="7"/>
  <c r="K75" i="7" s="1"/>
  <c r="Y71" i="10"/>
  <c r="M71" i="10"/>
  <c r="O71" i="10" s="1"/>
  <c r="I82" i="1"/>
  <c r="I83" i="1" s="1"/>
  <c r="P71" i="11"/>
  <c r="L72" i="11" s="1"/>
  <c r="N102" i="7"/>
  <c r="M83" i="5" l="1"/>
  <c r="O83" i="5" s="1"/>
  <c r="Y82" i="6"/>
  <c r="K87" i="12"/>
  <c r="R83" i="6"/>
  <c r="D88" i="10"/>
  <c r="G88" i="10" s="1"/>
  <c r="H88" i="10" s="1"/>
  <c r="C89" i="10"/>
  <c r="E91" i="11"/>
  <c r="C92" i="11"/>
  <c r="D91" i="11"/>
  <c r="G91" i="11" s="1"/>
  <c r="H91" i="11" s="1"/>
  <c r="N83" i="1"/>
  <c r="O83" i="1" s="1"/>
  <c r="Q83" i="1" s="1"/>
  <c r="T83" i="1" s="1"/>
  <c r="P75" i="7"/>
  <c r="K76" i="7" s="1"/>
  <c r="N87" i="10"/>
  <c r="J87" i="10"/>
  <c r="K87" i="10" s="1"/>
  <c r="N87" i="12"/>
  <c r="J87" i="12"/>
  <c r="J83" i="2"/>
  <c r="I84" i="1"/>
  <c r="N90" i="11"/>
  <c r="J90" i="11"/>
  <c r="K90" i="11" s="1"/>
  <c r="Q71" i="10"/>
  <c r="P71" i="10"/>
  <c r="L72" i="10" s="1"/>
  <c r="E90" i="11"/>
  <c r="W70" i="10"/>
  <c r="V70" i="10"/>
  <c r="L109" i="1"/>
  <c r="H109" i="1"/>
  <c r="E87" i="12"/>
  <c r="C105" i="5"/>
  <c r="D104" i="5"/>
  <c r="G104" i="5" s="1"/>
  <c r="H104" i="5" s="1"/>
  <c r="C111" i="1"/>
  <c r="E110" i="1"/>
  <c r="F110" i="1" s="1"/>
  <c r="C105" i="7"/>
  <c r="D104" i="7"/>
  <c r="G104" i="7" s="1"/>
  <c r="H104" i="7" s="1"/>
  <c r="S71" i="10"/>
  <c r="V82" i="6"/>
  <c r="W71" i="11"/>
  <c r="V71" i="11"/>
  <c r="Q81" i="5"/>
  <c r="Q74" i="7"/>
  <c r="K82" i="5"/>
  <c r="S73" i="7"/>
  <c r="J88" i="6"/>
  <c r="K88" i="6" s="1"/>
  <c r="N88" i="6"/>
  <c r="R72" i="12"/>
  <c r="X72" i="12" s="1"/>
  <c r="Z71" i="12"/>
  <c r="K84" i="1"/>
  <c r="M84" i="1" s="1"/>
  <c r="J84" i="1"/>
  <c r="R80" i="5"/>
  <c r="X80" i="6" s="1"/>
  <c r="Z80" i="6"/>
  <c r="E87" i="10"/>
  <c r="N103" i="7"/>
  <c r="Y72" i="12"/>
  <c r="M72" i="12"/>
  <c r="O72" i="12" s="1"/>
  <c r="Q82" i="5"/>
  <c r="P82" i="5"/>
  <c r="L83" i="5" s="1"/>
  <c r="M76" i="7"/>
  <c r="O76" i="7" s="1"/>
  <c r="W75" i="7"/>
  <c r="X75" i="7" s="1"/>
  <c r="O82" i="2"/>
  <c r="Q82" i="2" s="1"/>
  <c r="T82" i="2" s="1"/>
  <c r="D88" i="12"/>
  <c r="G88" i="12" s="1"/>
  <c r="H88" i="12" s="1"/>
  <c r="C89" i="12"/>
  <c r="O83" i="2"/>
  <c r="Q83" i="2" s="1"/>
  <c r="T83" i="2" s="1"/>
  <c r="N83" i="2"/>
  <c r="I84" i="2" s="1"/>
  <c r="W71" i="12"/>
  <c r="V71" i="12"/>
  <c r="N103" i="5"/>
  <c r="J103" i="5"/>
  <c r="Y72" i="11"/>
  <c r="M72" i="11"/>
  <c r="O72" i="11" s="1"/>
  <c r="L118" i="2"/>
  <c r="H118" i="2"/>
  <c r="Q71" i="11"/>
  <c r="C120" i="2"/>
  <c r="E119" i="2"/>
  <c r="F119" i="2" s="1"/>
  <c r="M84" i="6"/>
  <c r="O84" i="6" s="1"/>
  <c r="L84" i="6"/>
  <c r="C90" i="6"/>
  <c r="E89" i="6"/>
  <c r="E89" i="7" s="1"/>
  <c r="J89" i="7" s="1"/>
  <c r="D89" i="6"/>
  <c r="G89" i="6" s="1"/>
  <c r="H89" i="6" s="1"/>
  <c r="M84" i="5" l="1"/>
  <c r="O84" i="5" s="1"/>
  <c r="Y83" i="6"/>
  <c r="K77" i="7"/>
  <c r="J104" i="5"/>
  <c r="N104" i="5"/>
  <c r="Y72" i="10"/>
  <c r="M72" i="10"/>
  <c r="O72" i="10" s="1"/>
  <c r="K88" i="12"/>
  <c r="P84" i="6"/>
  <c r="L85" i="6" s="1"/>
  <c r="Q84" i="6"/>
  <c r="P72" i="12"/>
  <c r="L73" i="12" s="1"/>
  <c r="W71" i="10"/>
  <c r="V71" i="10"/>
  <c r="Q75" i="7"/>
  <c r="E88" i="10"/>
  <c r="P83" i="5"/>
  <c r="L84" i="5" s="1"/>
  <c r="Q83" i="5"/>
  <c r="P72" i="11"/>
  <c r="L73" i="11" s="1"/>
  <c r="R82" i="5"/>
  <c r="X82" i="6" s="1"/>
  <c r="Z82" i="6"/>
  <c r="D89" i="10"/>
  <c r="G89" i="10" s="1"/>
  <c r="H89" i="10" s="1"/>
  <c r="C90" i="10"/>
  <c r="N88" i="12"/>
  <c r="J88" i="12"/>
  <c r="L119" i="2"/>
  <c r="H119" i="2"/>
  <c r="N84" i="1"/>
  <c r="I85" i="1" s="1"/>
  <c r="N104" i="7"/>
  <c r="Z71" i="10"/>
  <c r="R72" i="10"/>
  <c r="X72" i="10" s="1"/>
  <c r="S80" i="5"/>
  <c r="N88" i="10"/>
  <c r="J88" i="10"/>
  <c r="K88" i="10" s="1"/>
  <c r="E88" i="12"/>
  <c r="K85" i="1"/>
  <c r="M85" i="1" s="1"/>
  <c r="V73" i="7"/>
  <c r="AA73" i="7"/>
  <c r="C121" i="2"/>
  <c r="E120" i="2"/>
  <c r="F120" i="2" s="1"/>
  <c r="K83" i="5"/>
  <c r="K84" i="5" s="1"/>
  <c r="J89" i="6"/>
  <c r="K89" i="6" s="1"/>
  <c r="N89" i="6"/>
  <c r="R72" i="11"/>
  <c r="X72" i="11" s="1"/>
  <c r="Z71" i="11"/>
  <c r="AB74" i="7"/>
  <c r="R74" i="7"/>
  <c r="Y74" i="7" s="1"/>
  <c r="Z74" i="7" s="1"/>
  <c r="C106" i="7"/>
  <c r="D105" i="7"/>
  <c r="G105" i="7" s="1"/>
  <c r="H105" i="7" s="1"/>
  <c r="K84" i="2"/>
  <c r="M84" i="2" s="1"/>
  <c r="J84" i="2"/>
  <c r="M85" i="6"/>
  <c r="O85" i="6" s="1"/>
  <c r="D89" i="12"/>
  <c r="G89" i="12" s="1"/>
  <c r="H89" i="12" s="1"/>
  <c r="C90" i="12"/>
  <c r="D105" i="5"/>
  <c r="G105" i="5" s="1"/>
  <c r="H105" i="5" s="1"/>
  <c r="C106" i="5"/>
  <c r="H110" i="1"/>
  <c r="L110" i="1"/>
  <c r="N91" i="11"/>
  <c r="J91" i="11"/>
  <c r="K91" i="11" s="1"/>
  <c r="Q76" i="7"/>
  <c r="P76" i="7"/>
  <c r="S72" i="12"/>
  <c r="R81" i="5"/>
  <c r="X81" i="6" s="1"/>
  <c r="S81" i="5"/>
  <c r="Z81" i="6"/>
  <c r="C91" i="6"/>
  <c r="D90" i="6"/>
  <c r="G90" i="6" s="1"/>
  <c r="H90" i="6" s="1"/>
  <c r="L76" i="7"/>
  <c r="C112" i="1"/>
  <c r="E111" i="1"/>
  <c r="F111" i="1" s="1"/>
  <c r="C93" i="11"/>
  <c r="D92" i="11"/>
  <c r="G92" i="11" s="1"/>
  <c r="H92" i="11" s="1"/>
  <c r="S83" i="6"/>
  <c r="M85" i="5" l="1"/>
  <c r="O85" i="5" s="1"/>
  <c r="Y84" i="6"/>
  <c r="K90" i="6"/>
  <c r="K89" i="10"/>
  <c r="M86" i="6"/>
  <c r="O86" i="6" s="1"/>
  <c r="J90" i="6"/>
  <c r="N90" i="6"/>
  <c r="R84" i="6"/>
  <c r="S84" i="6" s="1"/>
  <c r="N89" i="10"/>
  <c r="J89" i="10"/>
  <c r="L120" i="2"/>
  <c r="H120" i="2"/>
  <c r="K89" i="12"/>
  <c r="C122" i="2"/>
  <c r="E121" i="2"/>
  <c r="F121" i="2" s="1"/>
  <c r="V80" i="5"/>
  <c r="W80" i="6"/>
  <c r="O84" i="1"/>
  <c r="Q84" i="1" s="1"/>
  <c r="T84" i="1" s="1"/>
  <c r="AB75" i="7"/>
  <c r="S75" i="7"/>
  <c r="R75" i="7"/>
  <c r="Y75" i="7" s="1"/>
  <c r="Z75" i="7" s="1"/>
  <c r="P72" i="10"/>
  <c r="L73" i="10" s="1"/>
  <c r="D106" i="7"/>
  <c r="G106" i="7" s="1"/>
  <c r="H106" i="7" s="1"/>
  <c r="C107" i="7"/>
  <c r="S83" i="5"/>
  <c r="V83" i="5" s="1"/>
  <c r="R83" i="5"/>
  <c r="X83" i="6" s="1"/>
  <c r="Z83" i="6"/>
  <c r="C94" i="11"/>
  <c r="D93" i="11"/>
  <c r="G93" i="11" s="1"/>
  <c r="H93" i="11" s="1"/>
  <c r="E93" i="11"/>
  <c r="E92" i="11"/>
  <c r="K85" i="2"/>
  <c r="M85" i="2" s="1"/>
  <c r="V83" i="6"/>
  <c r="J92" i="11"/>
  <c r="K92" i="11" s="1"/>
  <c r="N92" i="11"/>
  <c r="P85" i="6"/>
  <c r="L86" i="6" s="1"/>
  <c r="C113" i="1"/>
  <c r="E112" i="1"/>
  <c r="F112" i="1" s="1"/>
  <c r="C107" i="5"/>
  <c r="D106" i="5"/>
  <c r="G106" i="5" s="1"/>
  <c r="H106" i="5" s="1"/>
  <c r="S82" i="5"/>
  <c r="L77" i="7"/>
  <c r="M77" i="7"/>
  <c r="O77" i="7" s="1"/>
  <c r="W76" i="7"/>
  <c r="X76" i="7" s="1"/>
  <c r="J105" i="5"/>
  <c r="N105" i="5"/>
  <c r="N84" i="2"/>
  <c r="I85" i="2" s="1"/>
  <c r="O84" i="2"/>
  <c r="Q84" i="2" s="1"/>
  <c r="T84" i="2" s="1"/>
  <c r="S72" i="11"/>
  <c r="J85" i="1"/>
  <c r="S72" i="10"/>
  <c r="Y73" i="11"/>
  <c r="M73" i="11"/>
  <c r="O73" i="11" s="1"/>
  <c r="M73" i="12"/>
  <c r="O73" i="12" s="1"/>
  <c r="Y73" i="12"/>
  <c r="P84" i="5"/>
  <c r="L85" i="5" s="1"/>
  <c r="N89" i="12"/>
  <c r="J89" i="12"/>
  <c r="C91" i="10"/>
  <c r="D90" i="10"/>
  <c r="G90" i="10" s="1"/>
  <c r="H90" i="10" s="1"/>
  <c r="D91" i="6"/>
  <c r="G91" i="6" s="1"/>
  <c r="H91" i="6" s="1"/>
  <c r="C92" i="6"/>
  <c r="E91" i="6"/>
  <c r="E91" i="7" s="1"/>
  <c r="J91" i="7" s="1"/>
  <c r="E89" i="12"/>
  <c r="S74" i="7"/>
  <c r="E89" i="10"/>
  <c r="V81" i="5"/>
  <c r="W81" i="6"/>
  <c r="L111" i="1"/>
  <c r="H111" i="1"/>
  <c r="V72" i="12"/>
  <c r="W72" i="12"/>
  <c r="E90" i="6"/>
  <c r="E90" i="7" s="1"/>
  <c r="J90" i="7" s="1"/>
  <c r="AB76" i="7"/>
  <c r="R76" i="7"/>
  <c r="Y76" i="7" s="1"/>
  <c r="Z76" i="7" s="1"/>
  <c r="C91" i="12"/>
  <c r="D90" i="12"/>
  <c r="G90" i="12" s="1"/>
  <c r="H90" i="12" s="1"/>
  <c r="N105" i="7"/>
  <c r="N85" i="1"/>
  <c r="O85" i="1" s="1"/>
  <c r="Q85" i="1" s="1"/>
  <c r="T85" i="1" s="1"/>
  <c r="Q72" i="11"/>
  <c r="Q72" i="12"/>
  <c r="M86" i="5" l="1"/>
  <c r="O86" i="5" s="1"/>
  <c r="Y85" i="6"/>
  <c r="V84" i="6"/>
  <c r="L87" i="6"/>
  <c r="M87" i="6"/>
  <c r="O87" i="6" s="1"/>
  <c r="N90" i="12"/>
  <c r="J90" i="12"/>
  <c r="Q85" i="6"/>
  <c r="N106" i="7"/>
  <c r="K85" i="5"/>
  <c r="P86" i="6"/>
  <c r="Q86" i="6" s="1"/>
  <c r="P77" i="7"/>
  <c r="K78" i="7" s="1"/>
  <c r="D92" i="6"/>
  <c r="G92" i="6" s="1"/>
  <c r="H92" i="6" s="1"/>
  <c r="C93" i="6"/>
  <c r="Q72" i="10"/>
  <c r="S73" i="11"/>
  <c r="Z72" i="11"/>
  <c r="R73" i="11"/>
  <c r="X73" i="11" s="1"/>
  <c r="J91" i="6"/>
  <c r="N91" i="6"/>
  <c r="W72" i="11"/>
  <c r="V72" i="11"/>
  <c r="V82" i="5"/>
  <c r="W82" i="6"/>
  <c r="D94" i="11"/>
  <c r="G94" i="11" s="1"/>
  <c r="H94" i="11" s="1"/>
  <c r="C95" i="11"/>
  <c r="K90" i="12"/>
  <c r="I86" i="1"/>
  <c r="K90" i="10"/>
  <c r="Q84" i="5"/>
  <c r="P73" i="12"/>
  <c r="L74" i="12" s="1"/>
  <c r="V75" i="7"/>
  <c r="AA75" i="7"/>
  <c r="W72" i="10"/>
  <c r="V72" i="10"/>
  <c r="L121" i="2"/>
  <c r="H121" i="2"/>
  <c r="J93" i="11"/>
  <c r="K93" i="11" s="1"/>
  <c r="N93" i="11"/>
  <c r="J90" i="10"/>
  <c r="N90" i="10"/>
  <c r="N106" i="5"/>
  <c r="J106" i="5"/>
  <c r="C92" i="10"/>
  <c r="D91" i="10"/>
  <c r="G91" i="10" s="1"/>
  <c r="H91" i="10" s="1"/>
  <c r="C108" i="5"/>
  <c r="D107" i="5"/>
  <c r="G107" i="5" s="1"/>
  <c r="H107" i="5" s="1"/>
  <c r="W83" i="6"/>
  <c r="M73" i="10"/>
  <c r="O73" i="10" s="1"/>
  <c r="Y73" i="10"/>
  <c r="E90" i="12"/>
  <c r="W77" i="7"/>
  <c r="X77" i="7" s="1"/>
  <c r="M78" i="7"/>
  <c r="O78" i="7" s="1"/>
  <c r="L78" i="7"/>
  <c r="K91" i="6"/>
  <c r="V74" i="7"/>
  <c r="AA74" i="7"/>
  <c r="Q73" i="11"/>
  <c r="P73" i="11"/>
  <c r="L74" i="11" s="1"/>
  <c r="N85" i="2"/>
  <c r="I86" i="2" s="1"/>
  <c r="D91" i="12"/>
  <c r="G91" i="12" s="1"/>
  <c r="H91" i="12" s="1"/>
  <c r="C92" i="12"/>
  <c r="E91" i="12"/>
  <c r="S73" i="12"/>
  <c r="Z72" i="12"/>
  <c r="R73" i="12"/>
  <c r="X73" i="12" s="1"/>
  <c r="K86" i="1"/>
  <c r="M86" i="1" s="1"/>
  <c r="J86" i="1"/>
  <c r="C123" i="2"/>
  <c r="E122" i="2"/>
  <c r="F122" i="2" s="1"/>
  <c r="S76" i="7"/>
  <c r="E90" i="10"/>
  <c r="L112" i="1"/>
  <c r="H112" i="1"/>
  <c r="C114" i="1"/>
  <c r="E113" i="1"/>
  <c r="F113" i="1" s="1"/>
  <c r="J85" i="2"/>
  <c r="C108" i="7"/>
  <c r="D107" i="7"/>
  <c r="G107" i="7" s="1"/>
  <c r="H107" i="7" s="1"/>
  <c r="P85" i="5"/>
  <c r="L86" i="5" s="1"/>
  <c r="M87" i="5" l="1"/>
  <c r="O87" i="5" s="1"/>
  <c r="Y86" i="6"/>
  <c r="R86" i="6"/>
  <c r="S86" i="6" s="1"/>
  <c r="Z73" i="11"/>
  <c r="R74" i="11"/>
  <c r="X74" i="11" s="1"/>
  <c r="J91" i="10"/>
  <c r="N91" i="10"/>
  <c r="W73" i="11"/>
  <c r="V73" i="11"/>
  <c r="Q87" i="6"/>
  <c r="P87" i="6"/>
  <c r="C93" i="10"/>
  <c r="D92" i="10"/>
  <c r="G92" i="10" s="1"/>
  <c r="H92" i="10" s="1"/>
  <c r="K86" i="5"/>
  <c r="K91" i="10"/>
  <c r="N92" i="6"/>
  <c r="J92" i="6"/>
  <c r="Q85" i="5"/>
  <c r="C109" i="7"/>
  <c r="D108" i="7"/>
  <c r="G108" i="7" s="1"/>
  <c r="H108" i="7" s="1"/>
  <c r="J91" i="12"/>
  <c r="N91" i="12"/>
  <c r="K91" i="12"/>
  <c r="E92" i="6"/>
  <c r="E92" i="7" s="1"/>
  <c r="J92" i="7" s="1"/>
  <c r="Z85" i="6"/>
  <c r="R85" i="6"/>
  <c r="M88" i="6"/>
  <c r="O88" i="6" s="1"/>
  <c r="L88" i="6"/>
  <c r="P73" i="10"/>
  <c r="L74" i="10" s="1"/>
  <c r="E93" i="6"/>
  <c r="E93" i="7" s="1"/>
  <c r="J93" i="7" s="1"/>
  <c r="D93" i="6"/>
  <c r="G93" i="6" s="1"/>
  <c r="H93" i="6" s="1"/>
  <c r="C94" i="6"/>
  <c r="L122" i="2"/>
  <c r="H122" i="2"/>
  <c r="C124" i="2"/>
  <c r="E123" i="2"/>
  <c r="F123" i="2" s="1"/>
  <c r="W78" i="7"/>
  <c r="X78" i="7" s="1"/>
  <c r="M79" i="7"/>
  <c r="O79" i="7" s="1"/>
  <c r="H113" i="1"/>
  <c r="L113" i="1"/>
  <c r="K87" i="1"/>
  <c r="M87" i="1" s="1"/>
  <c r="P78" i="7"/>
  <c r="L79" i="7" s="1"/>
  <c r="D108" i="5"/>
  <c r="G108" i="5" s="1"/>
  <c r="H108" i="5" s="1"/>
  <c r="C109" i="5"/>
  <c r="D95" i="11"/>
  <c r="G95" i="11" s="1"/>
  <c r="H95" i="11" s="1"/>
  <c r="E95" i="11"/>
  <c r="C96" i="11"/>
  <c r="V73" i="12"/>
  <c r="W73" i="12"/>
  <c r="S84" i="5"/>
  <c r="R84" i="5"/>
  <c r="X84" i="6" s="1"/>
  <c r="Z84" i="6"/>
  <c r="N107" i="7"/>
  <c r="K92" i="6"/>
  <c r="K86" i="2"/>
  <c r="M86" i="2" s="1"/>
  <c r="J86" i="2"/>
  <c r="N86" i="1"/>
  <c r="O86" i="1" s="1"/>
  <c r="Q86" i="1" s="1"/>
  <c r="T86" i="1" s="1"/>
  <c r="M74" i="12"/>
  <c r="O74" i="12" s="1"/>
  <c r="Y74" i="12"/>
  <c r="Q77" i="7"/>
  <c r="P86" i="5"/>
  <c r="L87" i="5" s="1"/>
  <c r="S73" i="10"/>
  <c r="Z72" i="10"/>
  <c r="R73" i="10"/>
  <c r="X73" i="10" s="1"/>
  <c r="AA76" i="7"/>
  <c r="V76" i="7"/>
  <c r="C93" i="12"/>
  <c r="D92" i="12"/>
  <c r="G92" i="12" s="1"/>
  <c r="H92" i="12" s="1"/>
  <c r="I87" i="1"/>
  <c r="N107" i="5"/>
  <c r="J107" i="5"/>
  <c r="E114" i="1"/>
  <c r="F114" i="1" s="1"/>
  <c r="C115" i="1"/>
  <c r="O85" i="2"/>
  <c r="Q85" i="2" s="1"/>
  <c r="T85" i="2" s="1"/>
  <c r="N94" i="11"/>
  <c r="J94" i="11"/>
  <c r="K94" i="11" s="1"/>
  <c r="M74" i="11"/>
  <c r="O74" i="11" s="1"/>
  <c r="Y74" i="11"/>
  <c r="E91" i="10"/>
  <c r="Q73" i="12"/>
  <c r="E94" i="11"/>
  <c r="V86" i="6" l="1"/>
  <c r="M88" i="5"/>
  <c r="O88" i="5" s="1"/>
  <c r="Y87" i="6"/>
  <c r="W79" i="7"/>
  <c r="X79" i="7" s="1"/>
  <c r="M80" i="7"/>
  <c r="O80" i="7" s="1"/>
  <c r="V73" i="10"/>
  <c r="W73" i="10"/>
  <c r="V84" i="5"/>
  <c r="W84" i="6"/>
  <c r="J108" i="5"/>
  <c r="N108" i="5"/>
  <c r="P79" i="7"/>
  <c r="L80" i="7" s="1"/>
  <c r="Q79" i="7"/>
  <c r="R87" i="6"/>
  <c r="S87" i="6"/>
  <c r="P74" i="11"/>
  <c r="L75" i="11" s="1"/>
  <c r="E92" i="12"/>
  <c r="Q86" i="5"/>
  <c r="Q78" i="7"/>
  <c r="C94" i="12"/>
  <c r="D93" i="12"/>
  <c r="G93" i="12" s="1"/>
  <c r="H93" i="12" s="1"/>
  <c r="O87" i="1"/>
  <c r="Q87" i="1" s="1"/>
  <c r="T87" i="1" s="1"/>
  <c r="N87" i="1"/>
  <c r="I88" i="1" s="1"/>
  <c r="C125" i="2"/>
  <c r="E124" i="2"/>
  <c r="F124" i="2" s="1"/>
  <c r="M89" i="6"/>
  <c r="O89" i="6" s="1"/>
  <c r="K87" i="5"/>
  <c r="K88" i="5" s="1"/>
  <c r="J92" i="12"/>
  <c r="K92" i="12" s="1"/>
  <c r="N92" i="12"/>
  <c r="M74" i="10"/>
  <c r="O74" i="10" s="1"/>
  <c r="Y74" i="10"/>
  <c r="P88" i="6"/>
  <c r="Q88" i="6" s="1"/>
  <c r="J92" i="10"/>
  <c r="K92" i="10" s="1"/>
  <c r="N92" i="10"/>
  <c r="K87" i="2"/>
  <c r="M87" i="2" s="1"/>
  <c r="C97" i="11"/>
  <c r="D96" i="11"/>
  <c r="G96" i="11" s="1"/>
  <c r="H96" i="11" s="1"/>
  <c r="L114" i="1"/>
  <c r="H114" i="1"/>
  <c r="N108" i="7"/>
  <c r="E92" i="10"/>
  <c r="N86" i="2"/>
  <c r="I87" i="2" s="1"/>
  <c r="K79" i="7"/>
  <c r="K80" i="7" s="1"/>
  <c r="C116" i="1"/>
  <c r="E115" i="1"/>
  <c r="F115" i="1" s="1"/>
  <c r="J87" i="1"/>
  <c r="J95" i="11"/>
  <c r="K95" i="11" s="1"/>
  <c r="N95" i="11"/>
  <c r="D94" i="6"/>
  <c r="G94" i="6" s="1"/>
  <c r="H94" i="6" s="1"/>
  <c r="C95" i="6"/>
  <c r="C110" i="7"/>
  <c r="D109" i="7"/>
  <c r="G109" i="7" s="1"/>
  <c r="H109" i="7" s="1"/>
  <c r="D93" i="10"/>
  <c r="G93" i="10" s="1"/>
  <c r="H93" i="10" s="1"/>
  <c r="C94" i="10"/>
  <c r="E93" i="10"/>
  <c r="L123" i="2"/>
  <c r="H123" i="2"/>
  <c r="Q73" i="10"/>
  <c r="AB77" i="7"/>
  <c r="S77" i="7"/>
  <c r="R77" i="7"/>
  <c r="Y77" i="7" s="1"/>
  <c r="Z77" i="7" s="1"/>
  <c r="Z73" i="12"/>
  <c r="R74" i="12"/>
  <c r="X74" i="12" s="1"/>
  <c r="Q74" i="12"/>
  <c r="P74" i="12"/>
  <c r="L75" i="12" s="1"/>
  <c r="D109" i="5"/>
  <c r="G109" i="5" s="1"/>
  <c r="H109" i="5" s="1"/>
  <c r="C110" i="5"/>
  <c r="N93" i="6"/>
  <c r="J93" i="6"/>
  <c r="K93" i="6" s="1"/>
  <c r="S85" i="6"/>
  <c r="R85" i="5"/>
  <c r="S85" i="5" s="1"/>
  <c r="V85" i="5" s="1"/>
  <c r="S74" i="11"/>
  <c r="P87" i="5"/>
  <c r="Q87" i="5" s="1"/>
  <c r="R88" i="6" l="1"/>
  <c r="S88" i="6"/>
  <c r="K94" i="6"/>
  <c r="W80" i="7"/>
  <c r="X80" i="7" s="1"/>
  <c r="M81" i="7"/>
  <c r="O81" i="7" s="1"/>
  <c r="R87" i="5"/>
  <c r="S87" i="5"/>
  <c r="V87" i="5" s="1"/>
  <c r="Z87" i="6"/>
  <c r="K93" i="10"/>
  <c r="Y75" i="12"/>
  <c r="M75" i="12"/>
  <c r="O75" i="12" s="1"/>
  <c r="Z73" i="10"/>
  <c r="R74" i="10"/>
  <c r="X74" i="10" s="1"/>
  <c r="X85" i="6"/>
  <c r="C117" i="1"/>
  <c r="E116" i="1"/>
  <c r="F116" i="1" s="1"/>
  <c r="O87" i="2"/>
  <c r="Q87" i="2" s="1"/>
  <c r="T87" i="2" s="1"/>
  <c r="N87" i="2"/>
  <c r="P80" i="7"/>
  <c r="L81" i="7" s="1"/>
  <c r="K81" i="7"/>
  <c r="J93" i="12"/>
  <c r="K93" i="12" s="1"/>
  <c r="N93" i="12"/>
  <c r="W85" i="6"/>
  <c r="V85" i="6"/>
  <c r="V87" i="6"/>
  <c r="L88" i="5"/>
  <c r="I88" i="2"/>
  <c r="L89" i="6"/>
  <c r="P88" i="5"/>
  <c r="Q88" i="5"/>
  <c r="V74" i="11"/>
  <c r="W74" i="11"/>
  <c r="C96" i="6"/>
  <c r="D95" i="6"/>
  <c r="G95" i="6" s="1"/>
  <c r="H95" i="6" s="1"/>
  <c r="M75" i="11"/>
  <c r="O75" i="11" s="1"/>
  <c r="Y75" i="11"/>
  <c r="N94" i="6"/>
  <c r="J94" i="6"/>
  <c r="E94" i="6"/>
  <c r="E94" i="7" s="1"/>
  <c r="J94" i="7" s="1"/>
  <c r="P89" i="6"/>
  <c r="Q89" i="6" s="1"/>
  <c r="D94" i="10"/>
  <c r="G94" i="10" s="1"/>
  <c r="H94" i="10" s="1"/>
  <c r="C95" i="10"/>
  <c r="D94" i="12"/>
  <c r="G94" i="12" s="1"/>
  <c r="H94" i="12" s="1"/>
  <c r="C95" i="12"/>
  <c r="X87" i="6"/>
  <c r="J93" i="10"/>
  <c r="N93" i="10"/>
  <c r="Z74" i="12"/>
  <c r="R75" i="12"/>
  <c r="X75" i="12" s="1"/>
  <c r="C98" i="11"/>
  <c r="E97" i="11"/>
  <c r="D97" i="11"/>
  <c r="G97" i="11" s="1"/>
  <c r="H97" i="11" s="1"/>
  <c r="Q74" i="11"/>
  <c r="O86" i="2"/>
  <c r="Q86" i="2" s="1"/>
  <c r="T86" i="2" s="1"/>
  <c r="E93" i="12"/>
  <c r="S74" i="12"/>
  <c r="C111" i="5"/>
  <c r="D110" i="5"/>
  <c r="G110" i="5" s="1"/>
  <c r="H110" i="5" s="1"/>
  <c r="N109" i="7"/>
  <c r="L124" i="2"/>
  <c r="H124" i="2"/>
  <c r="AB78" i="7"/>
  <c r="R78" i="7"/>
  <c r="Y78" i="7" s="1"/>
  <c r="Z78" i="7" s="1"/>
  <c r="AB79" i="7"/>
  <c r="S79" i="7"/>
  <c r="R79" i="7"/>
  <c r="Y79" i="7" s="1"/>
  <c r="Z79" i="7" s="1"/>
  <c r="J96" i="11"/>
  <c r="K96" i="11" s="1"/>
  <c r="N96" i="11"/>
  <c r="K89" i="5"/>
  <c r="E96" i="11"/>
  <c r="V77" i="7"/>
  <c r="AA77" i="7"/>
  <c r="K88" i="1"/>
  <c r="M88" i="1" s="1"/>
  <c r="J88" i="1"/>
  <c r="J109" i="5"/>
  <c r="N109" i="5"/>
  <c r="C111" i="7"/>
  <c r="D110" i="7"/>
  <c r="G110" i="7" s="1"/>
  <c r="H110" i="7" s="1"/>
  <c r="H115" i="1"/>
  <c r="L115" i="1"/>
  <c r="J87" i="2"/>
  <c r="P74" i="10"/>
  <c r="L75" i="10" s="1"/>
  <c r="C126" i="2"/>
  <c r="E125" i="2"/>
  <c r="F125" i="2" s="1"/>
  <c r="R86" i="5"/>
  <c r="X86" i="6" s="1"/>
  <c r="Z86" i="6"/>
  <c r="K97" i="11" l="1"/>
  <c r="R89" i="6"/>
  <c r="W81" i="7"/>
  <c r="X81" i="7" s="1"/>
  <c r="M82" i="7"/>
  <c r="O82" i="7" s="1"/>
  <c r="C112" i="5"/>
  <c r="D111" i="5"/>
  <c r="G111" i="5" s="1"/>
  <c r="H111" i="5" s="1"/>
  <c r="J94" i="12"/>
  <c r="K94" i="12" s="1"/>
  <c r="N94" i="12"/>
  <c r="P75" i="12"/>
  <c r="L76" i="12" s="1"/>
  <c r="Q75" i="12"/>
  <c r="H116" i="1"/>
  <c r="L116" i="1"/>
  <c r="C112" i="7"/>
  <c r="D111" i="7"/>
  <c r="G111" i="7" s="1"/>
  <c r="H111" i="7" s="1"/>
  <c r="S75" i="12"/>
  <c r="C118" i="1"/>
  <c r="E117" i="1"/>
  <c r="F117" i="1" s="1"/>
  <c r="E94" i="10"/>
  <c r="Q75" i="11"/>
  <c r="P75" i="11"/>
  <c r="L76" i="11" s="1"/>
  <c r="L90" i="6"/>
  <c r="M90" i="6"/>
  <c r="O90" i="6" s="1"/>
  <c r="D95" i="10"/>
  <c r="G95" i="10" s="1"/>
  <c r="H95" i="10" s="1"/>
  <c r="C96" i="10"/>
  <c r="N95" i="6"/>
  <c r="J95" i="6"/>
  <c r="S75" i="11"/>
  <c r="Z74" i="11"/>
  <c r="R75" i="11"/>
  <c r="X75" i="11" s="1"/>
  <c r="K82" i="7"/>
  <c r="Q74" i="10"/>
  <c r="K89" i="1"/>
  <c r="M89" i="1" s="1"/>
  <c r="J89" i="1"/>
  <c r="J97" i="11"/>
  <c r="N97" i="11"/>
  <c r="C97" i="6"/>
  <c r="D96" i="6"/>
  <c r="G96" i="6" s="1"/>
  <c r="H96" i="6" s="1"/>
  <c r="E96" i="6"/>
  <c r="E96" i="7" s="1"/>
  <c r="J96" i="7" s="1"/>
  <c r="M89" i="5"/>
  <c r="O89" i="5" s="1"/>
  <c r="L89" i="5"/>
  <c r="Y88" i="6"/>
  <c r="V88" i="6"/>
  <c r="N110" i="7"/>
  <c r="W74" i="12"/>
  <c r="V74" i="12"/>
  <c r="K95" i="6"/>
  <c r="K94" i="10"/>
  <c r="Y75" i="10"/>
  <c r="M75" i="10"/>
  <c r="O75" i="10" s="1"/>
  <c r="N88" i="1"/>
  <c r="I89" i="1" s="1"/>
  <c r="O88" i="1"/>
  <c r="Q88" i="1" s="1"/>
  <c r="T88" i="1" s="1"/>
  <c r="V79" i="7"/>
  <c r="AA79" i="7"/>
  <c r="E94" i="12"/>
  <c r="E95" i="6"/>
  <c r="E95" i="7" s="1"/>
  <c r="J95" i="7" s="1"/>
  <c r="Q80" i="7"/>
  <c r="S74" i="10"/>
  <c r="S86" i="5"/>
  <c r="S78" i="7"/>
  <c r="S88" i="5"/>
  <c r="V88" i="5" s="1"/>
  <c r="R88" i="5"/>
  <c r="X88" i="6" s="1"/>
  <c r="L125" i="2"/>
  <c r="H125" i="2"/>
  <c r="N94" i="10"/>
  <c r="J94" i="10"/>
  <c r="C127" i="2"/>
  <c r="E126" i="2"/>
  <c r="F126" i="2" s="1"/>
  <c r="K88" i="2"/>
  <c r="M88" i="2" s="1"/>
  <c r="J88" i="2"/>
  <c r="N110" i="5"/>
  <c r="J110" i="5"/>
  <c r="C99" i="11"/>
  <c r="D98" i="11"/>
  <c r="G98" i="11" s="1"/>
  <c r="H98" i="11" s="1"/>
  <c r="E95" i="12"/>
  <c r="D95" i="12"/>
  <c r="G95" i="12" s="1"/>
  <c r="H95" i="12" s="1"/>
  <c r="C96" i="12"/>
  <c r="W87" i="6"/>
  <c r="P81" i="7"/>
  <c r="Q81" i="7" s="1"/>
  <c r="Z88" i="6"/>
  <c r="AB81" i="7" l="1"/>
  <c r="R81" i="7"/>
  <c r="Y81" i="7" s="1"/>
  <c r="Z81" i="7" s="1"/>
  <c r="N95" i="12"/>
  <c r="J95" i="12"/>
  <c r="K95" i="12" s="1"/>
  <c r="O88" i="2"/>
  <c r="Q88" i="2" s="1"/>
  <c r="T88" i="2" s="1"/>
  <c r="N88" i="2"/>
  <c r="I89" i="2" s="1"/>
  <c r="K90" i="1"/>
  <c r="M90" i="1" s="1"/>
  <c r="Y76" i="11"/>
  <c r="M76" i="11"/>
  <c r="O76" i="11" s="1"/>
  <c r="L82" i="7"/>
  <c r="K96" i="6"/>
  <c r="P82" i="7"/>
  <c r="Q82" i="7" s="1"/>
  <c r="D96" i="10"/>
  <c r="G96" i="10" s="1"/>
  <c r="H96" i="10" s="1"/>
  <c r="C97" i="10"/>
  <c r="N95" i="10"/>
  <c r="J95" i="10"/>
  <c r="K95" i="10" s="1"/>
  <c r="Y76" i="12"/>
  <c r="M76" i="12"/>
  <c r="O76" i="12" s="1"/>
  <c r="J98" i="11"/>
  <c r="K98" i="11" s="1"/>
  <c r="N98" i="11"/>
  <c r="V86" i="5"/>
  <c r="W86" i="6"/>
  <c r="K83" i="7"/>
  <c r="J96" i="6"/>
  <c r="N96" i="6"/>
  <c r="E95" i="10"/>
  <c r="N89" i="1"/>
  <c r="O89" i="1" s="1"/>
  <c r="Q89" i="1" s="1"/>
  <c r="T89" i="1" s="1"/>
  <c r="C128" i="2"/>
  <c r="E127" i="2"/>
  <c r="F127" i="2" s="1"/>
  <c r="L117" i="1"/>
  <c r="H117" i="1"/>
  <c r="D99" i="11"/>
  <c r="G99" i="11" s="1"/>
  <c r="H99" i="11" s="1"/>
  <c r="C100" i="11"/>
  <c r="E99" i="11"/>
  <c r="I90" i="1"/>
  <c r="C119" i="1"/>
  <c r="E118" i="1"/>
  <c r="F118" i="1" s="1"/>
  <c r="W74" i="10"/>
  <c r="V74" i="10"/>
  <c r="C98" i="6"/>
  <c r="D97" i="6"/>
  <c r="G97" i="6" s="1"/>
  <c r="H97" i="6" s="1"/>
  <c r="P90" i="6"/>
  <c r="Q90" i="6" s="1"/>
  <c r="W75" i="12"/>
  <c r="V75" i="12"/>
  <c r="S89" i="6"/>
  <c r="M90" i="5"/>
  <c r="O90" i="5" s="1"/>
  <c r="R76" i="11"/>
  <c r="X76" i="11" s="1"/>
  <c r="Z75" i="11"/>
  <c r="V78" i="7"/>
  <c r="AA78" i="7"/>
  <c r="R76" i="12"/>
  <c r="X76" i="12" s="1"/>
  <c r="Z75" i="12"/>
  <c r="S76" i="12"/>
  <c r="E98" i="11"/>
  <c r="W75" i="11"/>
  <c r="V75" i="11"/>
  <c r="Y89" i="6"/>
  <c r="N111" i="7"/>
  <c r="L126" i="2"/>
  <c r="H126" i="2"/>
  <c r="P89" i="5"/>
  <c r="K90" i="5" s="1"/>
  <c r="Z74" i="10"/>
  <c r="R75" i="10"/>
  <c r="X75" i="10" s="1"/>
  <c r="AB80" i="7"/>
  <c r="R80" i="7"/>
  <c r="Y80" i="7" s="1"/>
  <c r="Z80" i="7" s="1"/>
  <c r="P75" i="10"/>
  <c r="L76" i="10" s="1"/>
  <c r="N111" i="5"/>
  <c r="J111" i="5"/>
  <c r="C97" i="12"/>
  <c r="E96" i="12"/>
  <c r="D96" i="12"/>
  <c r="G96" i="12" s="1"/>
  <c r="H96" i="12" s="1"/>
  <c r="K89" i="2"/>
  <c r="M89" i="2" s="1"/>
  <c r="J89" i="2"/>
  <c r="W88" i="6"/>
  <c r="M91" i="6"/>
  <c r="O91" i="6" s="1"/>
  <c r="L91" i="6"/>
  <c r="D112" i="7"/>
  <c r="G112" i="7" s="1"/>
  <c r="H112" i="7" s="1"/>
  <c r="C113" i="7"/>
  <c r="D112" i="5"/>
  <c r="G112" i="5" s="1"/>
  <c r="H112" i="5" s="1"/>
  <c r="C113" i="5"/>
  <c r="AB82" i="7" l="1"/>
  <c r="R82" i="7"/>
  <c r="Y82" i="7" s="1"/>
  <c r="Z82" i="7" s="1"/>
  <c r="K99" i="11"/>
  <c r="S90" i="6"/>
  <c r="R90" i="6"/>
  <c r="K97" i="6"/>
  <c r="H118" i="1"/>
  <c r="L118" i="1"/>
  <c r="K91" i="5"/>
  <c r="D113" i="5"/>
  <c r="G113" i="5" s="1"/>
  <c r="H113" i="5" s="1"/>
  <c r="C114" i="5"/>
  <c r="D97" i="10"/>
  <c r="G97" i="10" s="1"/>
  <c r="H97" i="10" s="1"/>
  <c r="C98" i="10"/>
  <c r="M92" i="6"/>
  <c r="O92" i="6" s="1"/>
  <c r="L92" i="6"/>
  <c r="W82" i="7"/>
  <c r="X82" i="7" s="1"/>
  <c r="M83" i="7"/>
  <c r="O83" i="7" s="1"/>
  <c r="L83" i="7"/>
  <c r="C120" i="1"/>
  <c r="E119" i="1"/>
  <c r="F119" i="1" s="1"/>
  <c r="N96" i="10"/>
  <c r="J96" i="10"/>
  <c r="K96" i="10" s="1"/>
  <c r="L127" i="2"/>
  <c r="H127" i="2"/>
  <c r="P76" i="11"/>
  <c r="L77" i="11" s="1"/>
  <c r="K90" i="2"/>
  <c r="M90" i="2" s="1"/>
  <c r="Q89" i="5"/>
  <c r="O89" i="2"/>
  <c r="Q89" i="2" s="1"/>
  <c r="T89" i="2" s="1"/>
  <c r="N89" i="2"/>
  <c r="I90" i="2" s="1"/>
  <c r="J97" i="6"/>
  <c r="N97" i="6"/>
  <c r="C114" i="7"/>
  <c r="D113" i="7"/>
  <c r="G113" i="7" s="1"/>
  <c r="H113" i="7" s="1"/>
  <c r="J96" i="12"/>
  <c r="K96" i="12" s="1"/>
  <c r="N96" i="12"/>
  <c r="S80" i="7"/>
  <c r="V76" i="12"/>
  <c r="W76" i="12"/>
  <c r="P90" i="5"/>
  <c r="Q90" i="5" s="1"/>
  <c r="E97" i="6"/>
  <c r="E97" i="7" s="1"/>
  <c r="J97" i="7" s="1"/>
  <c r="D100" i="11"/>
  <c r="G100" i="11" s="1"/>
  <c r="H100" i="11" s="1"/>
  <c r="C101" i="11"/>
  <c r="E96" i="10"/>
  <c r="N90" i="1"/>
  <c r="O90" i="1" s="1"/>
  <c r="Q90" i="1" s="1"/>
  <c r="T90" i="1" s="1"/>
  <c r="S81" i="7"/>
  <c r="P91" i="6"/>
  <c r="Q91" i="6" s="1"/>
  <c r="Y76" i="10"/>
  <c r="M76" i="10"/>
  <c r="O76" i="10" s="1"/>
  <c r="C99" i="6"/>
  <c r="D98" i="6"/>
  <c r="G98" i="6" s="1"/>
  <c r="H98" i="6" s="1"/>
  <c r="E98" i="6"/>
  <c r="E98" i="7" s="1"/>
  <c r="J98" i="7" s="1"/>
  <c r="N99" i="11"/>
  <c r="J99" i="11"/>
  <c r="P76" i="12"/>
  <c r="L77" i="12" s="1"/>
  <c r="J90" i="1"/>
  <c r="C129" i="2"/>
  <c r="E128" i="2"/>
  <c r="F128" i="2" s="1"/>
  <c r="Q75" i="10"/>
  <c r="J112" i="5"/>
  <c r="N112" i="5"/>
  <c r="S76" i="11"/>
  <c r="N112" i="7"/>
  <c r="L90" i="5"/>
  <c r="C98" i="12"/>
  <c r="D97" i="12"/>
  <c r="G97" i="12" s="1"/>
  <c r="H97" i="12" s="1"/>
  <c r="E97" i="12"/>
  <c r="S75" i="10"/>
  <c r="V89" i="6"/>
  <c r="R90" i="5" l="1"/>
  <c r="S90" i="5" s="1"/>
  <c r="Z90" i="6"/>
  <c r="R91" i="6"/>
  <c r="K91" i="1"/>
  <c r="M91" i="1" s="1"/>
  <c r="J91" i="1"/>
  <c r="Q76" i="10"/>
  <c r="P76" i="10"/>
  <c r="L77" i="10" s="1"/>
  <c r="J113" i="5"/>
  <c r="N113" i="5"/>
  <c r="Y77" i="12"/>
  <c r="M77" i="12"/>
  <c r="O77" i="12" s="1"/>
  <c r="N100" i="11"/>
  <c r="J100" i="11"/>
  <c r="J90" i="2"/>
  <c r="L119" i="1"/>
  <c r="H119" i="1"/>
  <c r="C99" i="10"/>
  <c r="D98" i="10"/>
  <c r="G98" i="10" s="1"/>
  <c r="H98" i="10" s="1"/>
  <c r="N97" i="10"/>
  <c r="J97" i="10"/>
  <c r="K97" i="10" s="1"/>
  <c r="V80" i="7"/>
  <c r="AA80" i="7"/>
  <c r="W76" i="11"/>
  <c r="V76" i="11"/>
  <c r="R89" i="5"/>
  <c r="X89" i="6" s="1"/>
  <c r="Z89" i="6"/>
  <c r="K100" i="11"/>
  <c r="N90" i="2"/>
  <c r="O90" i="2" s="1"/>
  <c r="Q90" i="2" s="1"/>
  <c r="T90" i="2" s="1"/>
  <c r="V81" i="7"/>
  <c r="AA81" i="7"/>
  <c r="D114" i="7"/>
  <c r="G114" i="7" s="1"/>
  <c r="H114" i="7" s="1"/>
  <c r="C115" i="7"/>
  <c r="Y77" i="11"/>
  <c r="M77" i="11"/>
  <c r="O77" i="11" s="1"/>
  <c r="W83" i="7"/>
  <c r="X83" i="7" s="1"/>
  <c r="M84" i="7"/>
  <c r="O84" i="7" s="1"/>
  <c r="E97" i="10"/>
  <c r="V90" i="6"/>
  <c r="Q76" i="12"/>
  <c r="C121" i="1"/>
  <c r="E120" i="1"/>
  <c r="F120" i="1" s="1"/>
  <c r="Z75" i="10"/>
  <c r="R76" i="10"/>
  <c r="X76" i="10" s="1"/>
  <c r="C99" i="12"/>
  <c r="D98" i="12"/>
  <c r="G98" i="12" s="1"/>
  <c r="H98" i="12" s="1"/>
  <c r="L128" i="2"/>
  <c r="H128" i="2"/>
  <c r="Q76" i="11"/>
  <c r="Q83" i="7"/>
  <c r="P83" i="7"/>
  <c r="K84" i="7" s="1"/>
  <c r="I91" i="1"/>
  <c r="S82" i="7"/>
  <c r="D101" i="11"/>
  <c r="G101" i="11" s="1"/>
  <c r="H101" i="11" s="1"/>
  <c r="C102" i="11"/>
  <c r="M93" i="6"/>
  <c r="O93" i="6" s="1"/>
  <c r="P92" i="6"/>
  <c r="L93" i="6" s="1"/>
  <c r="W75" i="10"/>
  <c r="V75" i="10"/>
  <c r="E100" i="11"/>
  <c r="N113" i="7"/>
  <c r="N97" i="12"/>
  <c r="J97" i="12"/>
  <c r="K97" i="12" s="1"/>
  <c r="N98" i="6"/>
  <c r="J98" i="6"/>
  <c r="K98" i="6" s="1"/>
  <c r="M91" i="5"/>
  <c r="O91" i="5" s="1"/>
  <c r="L91" i="5"/>
  <c r="Y90" i="6"/>
  <c r="C130" i="2"/>
  <c r="E129" i="2"/>
  <c r="F129" i="2" s="1"/>
  <c r="D99" i="6"/>
  <c r="G99" i="6" s="1"/>
  <c r="H99" i="6" s="1"/>
  <c r="C100" i="6"/>
  <c r="C115" i="5"/>
  <c r="D114" i="5"/>
  <c r="G114" i="5" s="1"/>
  <c r="H114" i="5" s="1"/>
  <c r="X90" i="6"/>
  <c r="M94" i="6" l="1"/>
  <c r="O94" i="6" s="1"/>
  <c r="V90" i="5"/>
  <c r="W90" i="6"/>
  <c r="M92" i="5"/>
  <c r="O92" i="5" s="1"/>
  <c r="Y91" i="6"/>
  <c r="C103" i="11"/>
  <c r="D102" i="11"/>
  <c r="G102" i="11" s="1"/>
  <c r="H102" i="11" s="1"/>
  <c r="L120" i="1"/>
  <c r="H120" i="1"/>
  <c r="P84" i="7"/>
  <c r="Q84" i="7" s="1"/>
  <c r="I91" i="2"/>
  <c r="C116" i="5"/>
  <c r="D115" i="5"/>
  <c r="G115" i="5" s="1"/>
  <c r="H115" i="5" s="1"/>
  <c r="C122" i="1"/>
  <c r="E121" i="1"/>
  <c r="F121" i="1" s="1"/>
  <c r="Z76" i="12"/>
  <c r="R77" i="12"/>
  <c r="X77" i="12" s="1"/>
  <c r="M77" i="10"/>
  <c r="O77" i="10" s="1"/>
  <c r="Y77" i="10"/>
  <c r="S91" i="6"/>
  <c r="P91" i="5"/>
  <c r="K92" i="5" s="1"/>
  <c r="D100" i="6"/>
  <c r="G100" i="6" s="1"/>
  <c r="H100" i="6" s="1"/>
  <c r="C101" i="6"/>
  <c r="E101" i="11"/>
  <c r="I92" i="1"/>
  <c r="S77" i="10"/>
  <c r="Z76" i="10"/>
  <c r="R77" i="10"/>
  <c r="X77" i="10" s="1"/>
  <c r="N114" i="5"/>
  <c r="J114" i="5"/>
  <c r="N99" i="6"/>
  <c r="J99" i="6"/>
  <c r="K99" i="6" s="1"/>
  <c r="E98" i="12"/>
  <c r="D99" i="12"/>
  <c r="G99" i="12" s="1"/>
  <c r="H99" i="12" s="1"/>
  <c r="C100" i="12"/>
  <c r="L129" i="2"/>
  <c r="H129" i="2"/>
  <c r="K85" i="7"/>
  <c r="C116" i="7"/>
  <c r="D115" i="7"/>
  <c r="G115" i="7" s="1"/>
  <c r="H115" i="7" s="1"/>
  <c r="J98" i="10"/>
  <c r="K98" i="10" s="1"/>
  <c r="N98" i="10"/>
  <c r="K92" i="1"/>
  <c r="M92" i="1" s="1"/>
  <c r="P77" i="11"/>
  <c r="L78" i="11" s="1"/>
  <c r="V82" i="7"/>
  <c r="AA82" i="7"/>
  <c r="Q92" i="6"/>
  <c r="C131" i="2"/>
  <c r="E130" i="2"/>
  <c r="F130" i="2" s="1"/>
  <c r="N114" i="7"/>
  <c r="S89" i="5"/>
  <c r="C100" i="10"/>
  <c r="D99" i="10"/>
  <c r="G99" i="10" s="1"/>
  <c r="H99" i="10" s="1"/>
  <c r="P77" i="12"/>
  <c r="L78" i="12" s="1"/>
  <c r="N91" i="1"/>
  <c r="J92" i="1" s="1"/>
  <c r="O91" i="1"/>
  <c r="Q91" i="1" s="1"/>
  <c r="T91" i="1" s="1"/>
  <c r="N101" i="11"/>
  <c r="J101" i="11"/>
  <c r="K101" i="11" s="1"/>
  <c r="J98" i="12"/>
  <c r="K98" i="12" s="1"/>
  <c r="N98" i="12"/>
  <c r="J91" i="2"/>
  <c r="K91" i="2"/>
  <c r="M91" i="2" s="1"/>
  <c r="E99" i="6"/>
  <c r="E99" i="7" s="1"/>
  <c r="J99" i="7" s="1"/>
  <c r="AB83" i="7"/>
  <c r="R83" i="7"/>
  <c r="Y83" i="7" s="1"/>
  <c r="Z83" i="7" s="1"/>
  <c r="P93" i="6"/>
  <c r="L94" i="6" s="1"/>
  <c r="Q93" i="6"/>
  <c r="Z76" i="11"/>
  <c r="R77" i="11"/>
  <c r="X77" i="11" s="1"/>
  <c r="S76" i="10"/>
  <c r="L84" i="7"/>
  <c r="E98" i="10"/>
  <c r="K93" i="1" l="1"/>
  <c r="M93" i="1" s="1"/>
  <c r="M95" i="6"/>
  <c r="O95" i="6" s="1"/>
  <c r="L95" i="6"/>
  <c r="K102" i="11"/>
  <c r="AB84" i="7"/>
  <c r="R84" i="7"/>
  <c r="Y84" i="7" s="1"/>
  <c r="Z84" i="7" s="1"/>
  <c r="R93" i="6"/>
  <c r="S93" i="6" s="1"/>
  <c r="J99" i="10"/>
  <c r="K99" i="10" s="1"/>
  <c r="N99" i="10"/>
  <c r="J99" i="12"/>
  <c r="K99" i="12" s="1"/>
  <c r="N99" i="12"/>
  <c r="V91" i="6"/>
  <c r="I93" i="1"/>
  <c r="C117" i="7"/>
  <c r="D116" i="7"/>
  <c r="G116" i="7" s="1"/>
  <c r="H116" i="7" s="1"/>
  <c r="E122" i="1"/>
  <c r="F122" i="1" s="1"/>
  <c r="C123" i="1"/>
  <c r="M78" i="11"/>
  <c r="O78" i="11" s="1"/>
  <c r="Y78" i="11"/>
  <c r="D101" i="6"/>
  <c r="G101" i="6" s="1"/>
  <c r="H101" i="6" s="1"/>
  <c r="C102" i="6"/>
  <c r="N115" i="5"/>
  <c r="J115" i="5"/>
  <c r="D103" i="11"/>
  <c r="G103" i="11" s="1"/>
  <c r="H103" i="11" s="1"/>
  <c r="E103" i="11"/>
  <c r="C104" i="11"/>
  <c r="N100" i="6"/>
  <c r="J100" i="6"/>
  <c r="K100" i="6" s="1"/>
  <c r="D116" i="5"/>
  <c r="G116" i="5" s="1"/>
  <c r="H116" i="5" s="1"/>
  <c r="C117" i="5"/>
  <c r="E102" i="11"/>
  <c r="N115" i="7"/>
  <c r="H121" i="1"/>
  <c r="L121" i="1"/>
  <c r="W84" i="7"/>
  <c r="X84" i="7" s="1"/>
  <c r="M85" i="7"/>
  <c r="O85" i="7" s="1"/>
  <c r="L85" i="7"/>
  <c r="Q77" i="11"/>
  <c r="N92" i="1"/>
  <c r="O92" i="1" s="1"/>
  <c r="Q92" i="1" s="1"/>
  <c r="T92" i="1" s="1"/>
  <c r="E100" i="6"/>
  <c r="E100" i="7" s="1"/>
  <c r="J100" i="7" s="1"/>
  <c r="I92" i="2"/>
  <c r="O91" i="2"/>
  <c r="Q91" i="2" s="1"/>
  <c r="T91" i="2" s="1"/>
  <c r="N91" i="2"/>
  <c r="L130" i="2"/>
  <c r="H130" i="2"/>
  <c r="E99" i="12"/>
  <c r="L92" i="5"/>
  <c r="S92" i="6"/>
  <c r="R92" i="6"/>
  <c r="V77" i="10"/>
  <c r="W77" i="10"/>
  <c r="E99" i="10"/>
  <c r="C101" i="10"/>
  <c r="D100" i="10"/>
  <c r="G100" i="10" s="1"/>
  <c r="H100" i="10" s="1"/>
  <c r="E100" i="10"/>
  <c r="N102" i="11"/>
  <c r="J102" i="11"/>
  <c r="S83" i="7"/>
  <c r="V89" i="5"/>
  <c r="W89" i="6"/>
  <c r="P77" i="10"/>
  <c r="L78" i="10" s="1"/>
  <c r="W76" i="10"/>
  <c r="V76" i="10"/>
  <c r="M78" i="12"/>
  <c r="O78" i="12" s="1"/>
  <c r="Y78" i="12"/>
  <c r="S77" i="11"/>
  <c r="K92" i="2"/>
  <c r="M92" i="2" s="1"/>
  <c r="J92" i="2"/>
  <c r="Q77" i="12"/>
  <c r="C132" i="2"/>
  <c r="E131" i="2"/>
  <c r="F131" i="2" s="1"/>
  <c r="C101" i="12"/>
  <c r="D100" i="12"/>
  <c r="G100" i="12" s="1"/>
  <c r="H100" i="12" s="1"/>
  <c r="Q91" i="5"/>
  <c r="S77" i="12"/>
  <c r="P92" i="5"/>
  <c r="K93" i="5" s="1"/>
  <c r="Q92" i="5"/>
  <c r="P94" i="6"/>
  <c r="Q94" i="6"/>
  <c r="V93" i="6" l="1"/>
  <c r="R92" i="5"/>
  <c r="S92" i="5" s="1"/>
  <c r="Z92" i="6"/>
  <c r="P85" i="7"/>
  <c r="K86" i="7" s="1"/>
  <c r="J116" i="5"/>
  <c r="N116" i="5"/>
  <c r="D102" i="6"/>
  <c r="G102" i="6" s="1"/>
  <c r="H102" i="6" s="1"/>
  <c r="C103" i="6"/>
  <c r="E102" i="6"/>
  <c r="E102" i="7" s="1"/>
  <c r="J102" i="7" s="1"/>
  <c r="N116" i="7"/>
  <c r="E104" i="11"/>
  <c r="C105" i="11"/>
  <c r="D104" i="11"/>
  <c r="G104" i="11" s="1"/>
  <c r="H104" i="11" s="1"/>
  <c r="C133" i="2"/>
  <c r="E132" i="2"/>
  <c r="F132" i="2" s="1"/>
  <c r="V92" i="6"/>
  <c r="M96" i="6"/>
  <c r="O96" i="6" s="1"/>
  <c r="J100" i="10"/>
  <c r="K100" i="10" s="1"/>
  <c r="N100" i="10"/>
  <c r="D101" i="10"/>
  <c r="G101" i="10" s="1"/>
  <c r="H101" i="10" s="1"/>
  <c r="C102" i="10"/>
  <c r="N100" i="12"/>
  <c r="J100" i="12"/>
  <c r="K100" i="12" s="1"/>
  <c r="J93" i="1"/>
  <c r="Z77" i="12"/>
  <c r="R78" i="12"/>
  <c r="X78" i="12" s="1"/>
  <c r="K93" i="2"/>
  <c r="M93" i="2" s="1"/>
  <c r="P95" i="6"/>
  <c r="Q95" i="6" s="1"/>
  <c r="Q77" i="10"/>
  <c r="S78" i="11"/>
  <c r="Z77" i="11"/>
  <c r="R78" i="11"/>
  <c r="X78" i="11" s="1"/>
  <c r="J103" i="11"/>
  <c r="K103" i="11" s="1"/>
  <c r="N103" i="11"/>
  <c r="P78" i="11"/>
  <c r="L79" i="11" s="1"/>
  <c r="Q78" i="11"/>
  <c r="N93" i="1"/>
  <c r="I94" i="1" s="1"/>
  <c r="I93" i="2"/>
  <c r="C118" i="7"/>
  <c r="D117" i="7"/>
  <c r="G117" i="7" s="1"/>
  <c r="H117" i="7" s="1"/>
  <c r="W77" i="12"/>
  <c r="V77" i="12"/>
  <c r="M93" i="5"/>
  <c r="O93" i="5" s="1"/>
  <c r="L93" i="5"/>
  <c r="Y92" i="6"/>
  <c r="E101" i="6"/>
  <c r="E101" i="7" s="1"/>
  <c r="J101" i="7" s="1"/>
  <c r="N92" i="2"/>
  <c r="O92" i="2" s="1"/>
  <c r="Q92" i="2" s="1"/>
  <c r="T92" i="2" s="1"/>
  <c r="V77" i="11"/>
  <c r="W77" i="11"/>
  <c r="D101" i="12"/>
  <c r="G101" i="12" s="1"/>
  <c r="H101" i="12" s="1"/>
  <c r="C102" i="12"/>
  <c r="E100" i="12"/>
  <c r="V83" i="7"/>
  <c r="AA83" i="7"/>
  <c r="C124" i="1"/>
  <c r="E123" i="1"/>
  <c r="F123" i="1" s="1"/>
  <c r="S84" i="7"/>
  <c r="N101" i="6"/>
  <c r="J101" i="6"/>
  <c r="K101" i="6" s="1"/>
  <c r="M78" i="10"/>
  <c r="O78" i="10" s="1"/>
  <c r="Y78" i="10"/>
  <c r="R91" i="5"/>
  <c r="X91" i="6" s="1"/>
  <c r="S91" i="5"/>
  <c r="Z91" i="6"/>
  <c r="S94" i="6"/>
  <c r="R94" i="6"/>
  <c r="L131" i="2"/>
  <c r="H131" i="2"/>
  <c r="P78" i="12"/>
  <c r="L79" i="12" s="1"/>
  <c r="W85" i="7"/>
  <c r="X85" i="7" s="1"/>
  <c r="M86" i="7"/>
  <c r="O86" i="7" s="1"/>
  <c r="L86" i="7"/>
  <c r="D117" i="5"/>
  <c r="G117" i="5" s="1"/>
  <c r="H117" i="5" s="1"/>
  <c r="C118" i="5"/>
  <c r="L122" i="1"/>
  <c r="H122" i="1"/>
  <c r="R95" i="6" l="1"/>
  <c r="S95" i="6"/>
  <c r="V92" i="5"/>
  <c r="W92" i="6"/>
  <c r="K104" i="11"/>
  <c r="L132" i="2"/>
  <c r="H132" i="2"/>
  <c r="D102" i="12"/>
  <c r="G102" i="12" s="1"/>
  <c r="H102" i="12" s="1"/>
  <c r="C103" i="12"/>
  <c r="E101" i="12"/>
  <c r="M94" i="5"/>
  <c r="O94" i="5" s="1"/>
  <c r="Y93" i="6"/>
  <c r="O93" i="1"/>
  <c r="Q93" i="1" s="1"/>
  <c r="T93" i="1" s="1"/>
  <c r="Z77" i="10"/>
  <c r="R78" i="10"/>
  <c r="X78" i="10" s="1"/>
  <c r="S78" i="12"/>
  <c r="J104" i="11"/>
  <c r="N104" i="11"/>
  <c r="J102" i="6"/>
  <c r="K102" i="6" s="1"/>
  <c r="N102" i="6"/>
  <c r="C134" i="2"/>
  <c r="E133" i="2"/>
  <c r="F133" i="2" s="1"/>
  <c r="X92" i="6"/>
  <c r="V84" i="7"/>
  <c r="AA84" i="7"/>
  <c r="Z78" i="11"/>
  <c r="R79" i="11"/>
  <c r="X79" i="11" s="1"/>
  <c r="K94" i="1"/>
  <c r="M94" i="1" s="1"/>
  <c r="J94" i="1"/>
  <c r="L96" i="6"/>
  <c r="C106" i="11"/>
  <c r="D105" i="11"/>
  <c r="G105" i="11" s="1"/>
  <c r="H105" i="11" s="1"/>
  <c r="C104" i="6"/>
  <c r="D103" i="6"/>
  <c r="G103" i="6" s="1"/>
  <c r="H103" i="6" s="1"/>
  <c r="Q78" i="10"/>
  <c r="P78" i="10"/>
  <c r="L79" i="10" s="1"/>
  <c r="V91" i="5"/>
  <c r="W91" i="6"/>
  <c r="P93" i="5"/>
  <c r="K94" i="5" s="1"/>
  <c r="M79" i="11"/>
  <c r="O79" i="11" s="1"/>
  <c r="Y79" i="11"/>
  <c r="C119" i="5"/>
  <c r="D118" i="5"/>
  <c r="G118" i="5" s="1"/>
  <c r="H118" i="5" s="1"/>
  <c r="C125" i="1"/>
  <c r="E124" i="1"/>
  <c r="F124" i="1" s="1"/>
  <c r="N93" i="2"/>
  <c r="I94" i="2" s="1"/>
  <c r="K87" i="7"/>
  <c r="V94" i="6"/>
  <c r="J101" i="10"/>
  <c r="K101" i="10" s="1"/>
  <c r="N101" i="10"/>
  <c r="N101" i="12"/>
  <c r="J101" i="12"/>
  <c r="K101" i="12" s="1"/>
  <c r="Q78" i="12"/>
  <c r="J93" i="2"/>
  <c r="E101" i="10"/>
  <c r="Q85" i="7"/>
  <c r="P86" i="7"/>
  <c r="Q86" i="7" s="1"/>
  <c r="V78" i="11"/>
  <c r="W78" i="11"/>
  <c r="Y79" i="12"/>
  <c r="M79" i="12"/>
  <c r="O79" i="12" s="1"/>
  <c r="H123" i="1"/>
  <c r="L123" i="1"/>
  <c r="Q96" i="6"/>
  <c r="P96" i="6"/>
  <c r="J117" i="5"/>
  <c r="N117" i="5"/>
  <c r="N117" i="7"/>
  <c r="M87" i="7"/>
  <c r="O87" i="7" s="1"/>
  <c r="W86" i="7"/>
  <c r="X86" i="7" s="1"/>
  <c r="C119" i="7"/>
  <c r="D118" i="7"/>
  <c r="G118" i="7" s="1"/>
  <c r="H118" i="7" s="1"/>
  <c r="D102" i="10"/>
  <c r="G102" i="10" s="1"/>
  <c r="H102" i="10" s="1"/>
  <c r="C103" i="10"/>
  <c r="AB86" i="7" l="1"/>
  <c r="R86" i="7"/>
  <c r="Y86" i="7" s="1"/>
  <c r="Z86" i="7" s="1"/>
  <c r="K102" i="10"/>
  <c r="AB85" i="7"/>
  <c r="R85" i="7"/>
  <c r="Y85" i="7" s="1"/>
  <c r="Z85" i="7" s="1"/>
  <c r="C120" i="5"/>
  <c r="D119" i="5"/>
  <c r="G119" i="5" s="1"/>
  <c r="H119" i="5" s="1"/>
  <c r="Y79" i="10"/>
  <c r="M79" i="10"/>
  <c r="O79" i="10" s="1"/>
  <c r="C107" i="11"/>
  <c r="D106" i="11"/>
  <c r="G106" i="11" s="1"/>
  <c r="H106" i="11" s="1"/>
  <c r="W78" i="12"/>
  <c r="V78" i="12"/>
  <c r="L97" i="6"/>
  <c r="M97" i="6"/>
  <c r="O97" i="6" s="1"/>
  <c r="E102" i="10"/>
  <c r="L133" i="2"/>
  <c r="H133" i="2"/>
  <c r="E103" i="6"/>
  <c r="E103" i="7" s="1"/>
  <c r="J103" i="7" s="1"/>
  <c r="N102" i="12"/>
  <c r="J102" i="12"/>
  <c r="K102" i="12" s="1"/>
  <c r="N94" i="1"/>
  <c r="I95" i="1" s="1"/>
  <c r="D103" i="10"/>
  <c r="G103" i="10" s="1"/>
  <c r="H103" i="10" s="1"/>
  <c r="C104" i="10"/>
  <c r="J94" i="2"/>
  <c r="K94" i="2"/>
  <c r="M94" i="2" s="1"/>
  <c r="J95" i="1"/>
  <c r="K95" i="1"/>
  <c r="M95" i="1" s="1"/>
  <c r="V95" i="6"/>
  <c r="C135" i="2"/>
  <c r="E134" i="2"/>
  <c r="F134" i="2" s="1"/>
  <c r="O93" i="2"/>
  <c r="Q93" i="2" s="1"/>
  <c r="T93" i="2" s="1"/>
  <c r="C105" i="6"/>
  <c r="E104" i="6"/>
  <c r="E104" i="7" s="1"/>
  <c r="J104" i="7" s="1"/>
  <c r="D104" i="6"/>
  <c r="G104" i="6" s="1"/>
  <c r="H104" i="6" s="1"/>
  <c r="H124" i="1"/>
  <c r="L124" i="1"/>
  <c r="Q93" i="5"/>
  <c r="N102" i="10"/>
  <c r="J102" i="10"/>
  <c r="R79" i="10"/>
  <c r="X79" i="10" s="1"/>
  <c r="Z78" i="10"/>
  <c r="C104" i="12"/>
  <c r="D103" i="12"/>
  <c r="G103" i="12" s="1"/>
  <c r="H103" i="12" s="1"/>
  <c r="P79" i="12"/>
  <c r="L80" i="12" s="1"/>
  <c r="Q79" i="12"/>
  <c r="S79" i="12"/>
  <c r="Z78" i="12"/>
  <c r="R79" i="12"/>
  <c r="X79" i="12" s="1"/>
  <c r="E102" i="12"/>
  <c r="C120" i="7"/>
  <c r="D119" i="7"/>
  <c r="G119" i="7" s="1"/>
  <c r="H119" i="7" s="1"/>
  <c r="E125" i="1"/>
  <c r="F125" i="1" s="1"/>
  <c r="C126" i="1"/>
  <c r="J105" i="11"/>
  <c r="K105" i="11" s="1"/>
  <c r="N105" i="11"/>
  <c r="S79" i="11"/>
  <c r="Q94" i="5"/>
  <c r="P94" i="5"/>
  <c r="K95" i="5" s="1"/>
  <c r="P87" i="7"/>
  <c r="Q87" i="7" s="1"/>
  <c r="J103" i="6"/>
  <c r="K103" i="6" s="1"/>
  <c r="N103" i="6"/>
  <c r="N118" i="7"/>
  <c r="P79" i="11"/>
  <c r="L80" i="11" s="1"/>
  <c r="S78" i="10"/>
  <c r="R96" i="6"/>
  <c r="S96" i="6"/>
  <c r="L87" i="7"/>
  <c r="N118" i="5"/>
  <c r="J118" i="5"/>
  <c r="E105" i="11"/>
  <c r="L94" i="5"/>
  <c r="AB87" i="7" l="1"/>
  <c r="R87" i="7"/>
  <c r="Y87" i="7" s="1"/>
  <c r="Z87" i="7" s="1"/>
  <c r="K96" i="1"/>
  <c r="M96" i="1" s="1"/>
  <c r="D107" i="11"/>
  <c r="G107" i="11" s="1"/>
  <c r="H107" i="11" s="1"/>
  <c r="C108" i="11"/>
  <c r="E107" i="11"/>
  <c r="K103" i="10"/>
  <c r="Y80" i="12"/>
  <c r="M80" i="12"/>
  <c r="O80" i="12" s="1"/>
  <c r="S86" i="7"/>
  <c r="V96" i="6"/>
  <c r="S79" i="10"/>
  <c r="C127" i="1"/>
  <c r="E126" i="1"/>
  <c r="F126" i="1" s="1"/>
  <c r="K95" i="2"/>
  <c r="M95" i="2" s="1"/>
  <c r="P79" i="10"/>
  <c r="L80" i="10" s="1"/>
  <c r="W78" i="10"/>
  <c r="V78" i="10"/>
  <c r="N119" i="7"/>
  <c r="C136" i="2"/>
  <c r="E135" i="2"/>
  <c r="F135" i="2" s="1"/>
  <c r="N103" i="10"/>
  <c r="J103" i="10"/>
  <c r="N119" i="5"/>
  <c r="J119" i="5"/>
  <c r="N94" i="2"/>
  <c r="I95" i="2" s="1"/>
  <c r="M98" i="6"/>
  <c r="O98" i="6" s="1"/>
  <c r="L125" i="1"/>
  <c r="H125" i="1"/>
  <c r="K88" i="7"/>
  <c r="N103" i="12"/>
  <c r="J103" i="12"/>
  <c r="K103" i="12" s="1"/>
  <c r="Q79" i="11"/>
  <c r="C121" i="7"/>
  <c r="D120" i="7"/>
  <c r="G120" i="7" s="1"/>
  <c r="H120" i="7" s="1"/>
  <c r="D104" i="12"/>
  <c r="G104" i="12" s="1"/>
  <c r="H104" i="12" s="1"/>
  <c r="C105" i="12"/>
  <c r="E103" i="10"/>
  <c r="D120" i="5"/>
  <c r="G120" i="5" s="1"/>
  <c r="H120" i="5" s="1"/>
  <c r="C121" i="5"/>
  <c r="W79" i="12"/>
  <c r="V79" i="12"/>
  <c r="P97" i="6"/>
  <c r="L98" i="6" s="1"/>
  <c r="R80" i="12"/>
  <c r="X80" i="12" s="1"/>
  <c r="Z79" i="12"/>
  <c r="S80" i="12"/>
  <c r="M95" i="5"/>
  <c r="O95" i="5" s="1"/>
  <c r="L95" i="5"/>
  <c r="Y94" i="6"/>
  <c r="L134" i="2"/>
  <c r="H134" i="2"/>
  <c r="E103" i="12"/>
  <c r="J106" i="11"/>
  <c r="K106" i="11" s="1"/>
  <c r="N106" i="11"/>
  <c r="D105" i="6"/>
  <c r="G105" i="6" s="1"/>
  <c r="H105" i="6" s="1"/>
  <c r="C106" i="6"/>
  <c r="E105" i="6"/>
  <c r="E105" i="7" s="1"/>
  <c r="J105" i="7" s="1"/>
  <c r="D104" i="10"/>
  <c r="G104" i="10" s="1"/>
  <c r="H104" i="10" s="1"/>
  <c r="C105" i="10"/>
  <c r="Y80" i="11"/>
  <c r="M80" i="11"/>
  <c r="O80" i="11" s="1"/>
  <c r="R93" i="5"/>
  <c r="X93" i="6" s="1"/>
  <c r="Z93" i="6"/>
  <c r="R94" i="5"/>
  <c r="X94" i="6" s="1"/>
  <c r="Z94" i="6"/>
  <c r="L88" i="7"/>
  <c r="W87" i="7"/>
  <c r="X87" i="7" s="1"/>
  <c r="M88" i="7"/>
  <c r="O88" i="7" s="1"/>
  <c r="W79" i="11"/>
  <c r="V79" i="11"/>
  <c r="J104" i="6"/>
  <c r="K104" i="6" s="1"/>
  <c r="N104" i="6"/>
  <c r="O95" i="1"/>
  <c r="Q95" i="1" s="1"/>
  <c r="T95" i="1" s="1"/>
  <c r="N95" i="1"/>
  <c r="J96" i="1" s="1"/>
  <c r="O94" i="1"/>
  <c r="Q94" i="1" s="1"/>
  <c r="T94" i="1" s="1"/>
  <c r="E106" i="11"/>
  <c r="S85" i="7"/>
  <c r="M99" i="6" l="1"/>
  <c r="O99" i="6" s="1"/>
  <c r="K104" i="12"/>
  <c r="K97" i="1"/>
  <c r="M97" i="1" s="1"/>
  <c r="M89" i="7"/>
  <c r="O89" i="7" s="1"/>
  <c r="W88" i="7"/>
  <c r="X88" i="7" s="1"/>
  <c r="P95" i="5"/>
  <c r="K96" i="5" s="1"/>
  <c r="D121" i="5"/>
  <c r="G121" i="5" s="1"/>
  <c r="H121" i="5" s="1"/>
  <c r="C122" i="5"/>
  <c r="R80" i="11"/>
  <c r="X80" i="11" s="1"/>
  <c r="Z79" i="11"/>
  <c r="P98" i="6"/>
  <c r="Q98" i="6" s="1"/>
  <c r="C137" i="2"/>
  <c r="E136" i="2"/>
  <c r="F136" i="2" s="1"/>
  <c r="J95" i="2"/>
  <c r="N96" i="1"/>
  <c r="O96" i="1" s="1"/>
  <c r="Q96" i="1" s="1"/>
  <c r="T96" i="1" s="1"/>
  <c r="V80" i="12"/>
  <c r="W80" i="12"/>
  <c r="N104" i="10"/>
  <c r="J104" i="10"/>
  <c r="K104" i="10" s="1"/>
  <c r="W79" i="10"/>
  <c r="V79" i="10"/>
  <c r="I96" i="2"/>
  <c r="J104" i="12"/>
  <c r="N104" i="12"/>
  <c r="D108" i="11"/>
  <c r="G108" i="11" s="1"/>
  <c r="H108" i="11" s="1"/>
  <c r="C109" i="11"/>
  <c r="S87" i="7"/>
  <c r="O94" i="2"/>
  <c r="Q94" i="2" s="1"/>
  <c r="T94" i="2" s="1"/>
  <c r="S94" i="5"/>
  <c r="V85" i="7"/>
  <c r="AA85" i="7"/>
  <c r="Q97" i="6"/>
  <c r="E104" i="12"/>
  <c r="Y80" i="10"/>
  <c r="M80" i="10"/>
  <c r="O80" i="10" s="1"/>
  <c r="N107" i="11"/>
  <c r="J107" i="11"/>
  <c r="K107" i="11" s="1"/>
  <c r="J120" i="5"/>
  <c r="N120" i="5"/>
  <c r="P88" i="7"/>
  <c r="L89" i="7" s="1"/>
  <c r="S93" i="5"/>
  <c r="D106" i="6"/>
  <c r="G106" i="6" s="1"/>
  <c r="H106" i="6" s="1"/>
  <c r="C107" i="6"/>
  <c r="N120" i="7"/>
  <c r="Q79" i="10"/>
  <c r="V86" i="7"/>
  <c r="AA86" i="7"/>
  <c r="I96" i="1"/>
  <c r="H126" i="1"/>
  <c r="L126" i="1"/>
  <c r="D105" i="10"/>
  <c r="G105" i="10" s="1"/>
  <c r="H105" i="10" s="1"/>
  <c r="C106" i="10"/>
  <c r="C128" i="1"/>
  <c r="E127" i="1"/>
  <c r="F127" i="1" s="1"/>
  <c r="C106" i="12"/>
  <c r="D105" i="12"/>
  <c r="G105" i="12" s="1"/>
  <c r="H105" i="12" s="1"/>
  <c r="E104" i="10"/>
  <c r="P80" i="11"/>
  <c r="L81" i="11" s="1"/>
  <c r="J105" i="6"/>
  <c r="K105" i="6" s="1"/>
  <c r="N105" i="6"/>
  <c r="M96" i="5"/>
  <c r="O96" i="5" s="1"/>
  <c r="Y95" i="6"/>
  <c r="C122" i="7"/>
  <c r="D121" i="7"/>
  <c r="G121" i="7" s="1"/>
  <c r="H121" i="7" s="1"/>
  <c r="L135" i="2"/>
  <c r="H135" i="2"/>
  <c r="O95" i="2"/>
  <c r="Q95" i="2" s="1"/>
  <c r="T95" i="2" s="1"/>
  <c r="N95" i="2"/>
  <c r="P80" i="12"/>
  <c r="L81" i="12" s="1"/>
  <c r="W89" i="7" l="1"/>
  <c r="X89" i="7" s="1"/>
  <c r="M90" i="7"/>
  <c r="O90" i="7" s="1"/>
  <c r="K106" i="6"/>
  <c r="S98" i="6"/>
  <c r="R98" i="6"/>
  <c r="V93" i="5"/>
  <c r="W93" i="6"/>
  <c r="J97" i="1"/>
  <c r="J96" i="2"/>
  <c r="K96" i="2"/>
  <c r="M96" i="2" s="1"/>
  <c r="Y81" i="11"/>
  <c r="M81" i="11"/>
  <c r="O81" i="11" s="1"/>
  <c r="Q88" i="7"/>
  <c r="J121" i="5"/>
  <c r="N121" i="5"/>
  <c r="N108" i="11"/>
  <c r="J108" i="11"/>
  <c r="K108" i="11" s="1"/>
  <c r="E108" i="11"/>
  <c r="Q95" i="5"/>
  <c r="L99" i="6"/>
  <c r="L127" i="1"/>
  <c r="H127" i="1"/>
  <c r="AA87" i="7"/>
  <c r="V87" i="7"/>
  <c r="C123" i="5"/>
  <c r="D122" i="5"/>
  <c r="G122" i="5" s="1"/>
  <c r="H122" i="5" s="1"/>
  <c r="C107" i="10"/>
  <c r="D106" i="10"/>
  <c r="G106" i="10" s="1"/>
  <c r="H106" i="10" s="1"/>
  <c r="D109" i="11"/>
  <c r="G109" i="11" s="1"/>
  <c r="H109" i="11" s="1"/>
  <c r="C110" i="11"/>
  <c r="K105" i="12"/>
  <c r="M81" i="12"/>
  <c r="O81" i="12" s="1"/>
  <c r="Y81" i="12"/>
  <c r="J105" i="12"/>
  <c r="N105" i="12"/>
  <c r="D107" i="6"/>
  <c r="G107" i="6" s="1"/>
  <c r="H107" i="6" s="1"/>
  <c r="C108" i="6"/>
  <c r="P99" i="6"/>
  <c r="Q99" i="6" s="1"/>
  <c r="C129" i="1"/>
  <c r="E128" i="1"/>
  <c r="F128" i="1" s="1"/>
  <c r="N121" i="7"/>
  <c r="Q80" i="11"/>
  <c r="D122" i="7"/>
  <c r="G122" i="7" s="1"/>
  <c r="H122" i="7" s="1"/>
  <c r="C123" i="7"/>
  <c r="L96" i="5"/>
  <c r="E105" i="12"/>
  <c r="N106" i="6"/>
  <c r="J106" i="6"/>
  <c r="K89" i="7"/>
  <c r="K90" i="7" s="1"/>
  <c r="S80" i="11"/>
  <c r="O97" i="1"/>
  <c r="Q97" i="1" s="1"/>
  <c r="T97" i="1" s="1"/>
  <c r="N97" i="1"/>
  <c r="Z79" i="10"/>
  <c r="R80" i="10"/>
  <c r="X80" i="10" s="1"/>
  <c r="L136" i="2"/>
  <c r="H136" i="2"/>
  <c r="N105" i="10"/>
  <c r="J105" i="10"/>
  <c r="K105" i="10" s="1"/>
  <c r="R97" i="6"/>
  <c r="C138" i="2"/>
  <c r="E137" i="2"/>
  <c r="F137" i="2" s="1"/>
  <c r="E105" i="10"/>
  <c r="Q80" i="12"/>
  <c r="P96" i="5"/>
  <c r="Q96" i="5" s="1"/>
  <c r="C107" i="12"/>
  <c r="D106" i="12"/>
  <c r="G106" i="12" s="1"/>
  <c r="H106" i="12" s="1"/>
  <c r="I97" i="1"/>
  <c r="I98" i="1" s="1"/>
  <c r="E106" i="6"/>
  <c r="E106" i="7" s="1"/>
  <c r="J106" i="7" s="1"/>
  <c r="P80" i="10"/>
  <c r="L81" i="10" s="1"/>
  <c r="V94" i="5"/>
  <c r="W94" i="6"/>
  <c r="P89" i="7"/>
  <c r="Q89" i="7" s="1"/>
  <c r="R99" i="6" l="1"/>
  <c r="S99" i="6"/>
  <c r="R89" i="7"/>
  <c r="Y89" i="7" s="1"/>
  <c r="Z89" i="7" s="1"/>
  <c r="AB89" i="7"/>
  <c r="S96" i="5"/>
  <c r="R96" i="5"/>
  <c r="X96" i="6" s="1"/>
  <c r="Z96" i="6"/>
  <c r="M81" i="10"/>
  <c r="O81" i="10" s="1"/>
  <c r="Y81" i="10"/>
  <c r="N122" i="7"/>
  <c r="D108" i="6"/>
  <c r="G108" i="6" s="1"/>
  <c r="H108" i="6" s="1"/>
  <c r="C109" i="6"/>
  <c r="K97" i="5"/>
  <c r="N122" i="5"/>
  <c r="J122" i="5"/>
  <c r="W80" i="11"/>
  <c r="V80" i="11"/>
  <c r="V98" i="6"/>
  <c r="J98" i="1"/>
  <c r="K98" i="1"/>
  <c r="M98" i="1" s="1"/>
  <c r="L90" i="7"/>
  <c r="N109" i="11"/>
  <c r="J109" i="11"/>
  <c r="K109" i="11" s="1"/>
  <c r="P90" i="7"/>
  <c r="Q90" i="7" s="1"/>
  <c r="Z80" i="12"/>
  <c r="R81" i="12"/>
  <c r="X81" i="12" s="1"/>
  <c r="N107" i="6"/>
  <c r="J107" i="6"/>
  <c r="K107" i="6" s="1"/>
  <c r="C124" i="5"/>
  <c r="D123" i="5"/>
  <c r="G123" i="5" s="1"/>
  <c r="H123" i="5" s="1"/>
  <c r="K91" i="7"/>
  <c r="C111" i="11"/>
  <c r="D110" i="11"/>
  <c r="G110" i="11" s="1"/>
  <c r="H110" i="11" s="1"/>
  <c r="C139" i="2"/>
  <c r="E138" i="2"/>
  <c r="F138" i="2" s="1"/>
  <c r="E109" i="11"/>
  <c r="E106" i="12"/>
  <c r="C130" i="1"/>
  <c r="E129" i="1"/>
  <c r="F129" i="1" s="1"/>
  <c r="J106" i="10"/>
  <c r="K106" i="10" s="1"/>
  <c r="N106" i="10"/>
  <c r="AB88" i="7"/>
  <c r="S88" i="7"/>
  <c r="R88" i="7"/>
  <c r="Y88" i="7" s="1"/>
  <c r="Z88" i="7" s="1"/>
  <c r="Q80" i="10"/>
  <c r="K97" i="2"/>
  <c r="M97" i="2" s="1"/>
  <c r="J97" i="2"/>
  <c r="L137" i="2"/>
  <c r="H137" i="2"/>
  <c r="J106" i="12"/>
  <c r="K106" i="12" s="1"/>
  <c r="N106" i="12"/>
  <c r="M97" i="5"/>
  <c r="O97" i="5" s="1"/>
  <c r="L97" i="5"/>
  <c r="Y96" i="6"/>
  <c r="P81" i="12"/>
  <c r="L82" i="12" s="1"/>
  <c r="C108" i="10"/>
  <c r="E107" i="10"/>
  <c r="D107" i="10"/>
  <c r="G107" i="10" s="1"/>
  <c r="H107" i="10" s="1"/>
  <c r="M100" i="6"/>
  <c r="O100" i="6" s="1"/>
  <c r="L100" i="6"/>
  <c r="P81" i="11"/>
  <c r="L82" i="11" s="1"/>
  <c r="Z80" i="11"/>
  <c r="R81" i="11"/>
  <c r="X81" i="11" s="1"/>
  <c r="N96" i="2"/>
  <c r="I97" i="2" s="1"/>
  <c r="E107" i="6"/>
  <c r="E107" i="7" s="1"/>
  <c r="J107" i="7" s="1"/>
  <c r="L128" i="1"/>
  <c r="H128" i="1"/>
  <c r="D107" i="12"/>
  <c r="G107" i="12" s="1"/>
  <c r="H107" i="12" s="1"/>
  <c r="C108" i="12"/>
  <c r="S80" i="10"/>
  <c r="S97" i="6"/>
  <c r="C124" i="7"/>
  <c r="D123" i="7"/>
  <c r="G123" i="7" s="1"/>
  <c r="H123" i="7" s="1"/>
  <c r="E106" i="10"/>
  <c r="R95" i="5"/>
  <c r="X95" i="6" s="1"/>
  <c r="Z95" i="6"/>
  <c r="R90" i="7" l="1"/>
  <c r="Y90" i="7" s="1"/>
  <c r="Z90" i="7" s="1"/>
  <c r="AB90" i="7"/>
  <c r="S90" i="7"/>
  <c r="K110" i="11"/>
  <c r="K108" i="6"/>
  <c r="K107" i="12"/>
  <c r="J107" i="10"/>
  <c r="K107" i="10" s="1"/>
  <c r="N107" i="10"/>
  <c r="AA88" i="7"/>
  <c r="V88" i="7"/>
  <c r="L138" i="2"/>
  <c r="H138" i="2"/>
  <c r="C125" i="5"/>
  <c r="D124" i="5"/>
  <c r="G124" i="5" s="1"/>
  <c r="H124" i="5" s="1"/>
  <c r="J107" i="12"/>
  <c r="N107" i="12"/>
  <c r="N123" i="7"/>
  <c r="W90" i="7"/>
  <c r="X90" i="7" s="1"/>
  <c r="M91" i="7"/>
  <c r="O91" i="7" s="1"/>
  <c r="L91" i="7"/>
  <c r="M82" i="11"/>
  <c r="O82" i="11" s="1"/>
  <c r="Y82" i="11"/>
  <c r="N110" i="11"/>
  <c r="J110" i="11"/>
  <c r="V97" i="6"/>
  <c r="Q81" i="12"/>
  <c r="H129" i="1"/>
  <c r="L129" i="1"/>
  <c r="D111" i="11"/>
  <c r="G111" i="11" s="1"/>
  <c r="H111" i="11" s="1"/>
  <c r="E111" i="11"/>
  <c r="C112" i="11"/>
  <c r="K99" i="1"/>
  <c r="M99" i="1" s="1"/>
  <c r="J99" i="1"/>
  <c r="Q81" i="10"/>
  <c r="P81" i="10"/>
  <c r="L82" i="10" s="1"/>
  <c r="S89" i="7"/>
  <c r="C125" i="7"/>
  <c r="D124" i="7"/>
  <c r="G124" i="7" s="1"/>
  <c r="H124" i="7" s="1"/>
  <c r="Q81" i="11"/>
  <c r="K98" i="2"/>
  <c r="M98" i="2" s="1"/>
  <c r="J98" i="2"/>
  <c r="W80" i="10"/>
  <c r="V80" i="10"/>
  <c r="M101" i="6"/>
  <c r="O101" i="6" s="1"/>
  <c r="N97" i="2"/>
  <c r="I98" i="2" s="1"/>
  <c r="E130" i="1"/>
  <c r="F130" i="1" s="1"/>
  <c r="C131" i="1"/>
  <c r="E110" i="11"/>
  <c r="S81" i="12"/>
  <c r="E109" i="6"/>
  <c r="E109" i="7" s="1"/>
  <c r="J109" i="7" s="1"/>
  <c r="D109" i="6"/>
  <c r="G109" i="6" s="1"/>
  <c r="H109" i="6" s="1"/>
  <c r="C110" i="6"/>
  <c r="V99" i="6"/>
  <c r="C140" i="2"/>
  <c r="E139" i="2"/>
  <c r="F139" i="2" s="1"/>
  <c r="V96" i="5"/>
  <c r="W96" i="6"/>
  <c r="S81" i="11"/>
  <c r="E107" i="12"/>
  <c r="Z80" i="10"/>
  <c r="R81" i="10"/>
  <c r="X81" i="10" s="1"/>
  <c r="N108" i="6"/>
  <c r="J108" i="6"/>
  <c r="C109" i="10"/>
  <c r="D108" i="10"/>
  <c r="G108" i="10" s="1"/>
  <c r="H108" i="10" s="1"/>
  <c r="M82" i="12"/>
  <c r="O82" i="12" s="1"/>
  <c r="Y82" i="12"/>
  <c r="O98" i="1"/>
  <c r="Q98" i="1" s="1"/>
  <c r="T98" i="1" s="1"/>
  <c r="N98" i="1"/>
  <c r="I99" i="1" s="1"/>
  <c r="M98" i="5"/>
  <c r="O98" i="5" s="1"/>
  <c r="Y97" i="6"/>
  <c r="S95" i="5"/>
  <c r="D108" i="12"/>
  <c r="G108" i="12" s="1"/>
  <c r="H108" i="12" s="1"/>
  <c r="C109" i="12"/>
  <c r="O96" i="2"/>
  <c r="Q96" i="2" s="1"/>
  <c r="T96" i="2" s="1"/>
  <c r="P100" i="6"/>
  <c r="L101" i="6" s="1"/>
  <c r="Q100" i="6"/>
  <c r="Q97" i="5"/>
  <c r="P97" i="5"/>
  <c r="L98" i="5" s="1"/>
  <c r="N123" i="5"/>
  <c r="J123" i="5"/>
  <c r="E108" i="6"/>
  <c r="E108" i="7" s="1"/>
  <c r="J108" i="7" s="1"/>
  <c r="M99" i="5" l="1"/>
  <c r="O99" i="5" s="1"/>
  <c r="Y98" i="6"/>
  <c r="M102" i="6"/>
  <c r="O102" i="6" s="1"/>
  <c r="R97" i="5"/>
  <c r="X97" i="6" s="1"/>
  <c r="Z97" i="6"/>
  <c r="V95" i="5"/>
  <c r="W95" i="6"/>
  <c r="L139" i="2"/>
  <c r="H139" i="2"/>
  <c r="M82" i="10"/>
  <c r="O82" i="10" s="1"/>
  <c r="Y82" i="10"/>
  <c r="Z81" i="10"/>
  <c r="R82" i="10"/>
  <c r="X82" i="10" s="1"/>
  <c r="S100" i="6"/>
  <c r="R100" i="6"/>
  <c r="K100" i="1"/>
  <c r="M100" i="1" s="1"/>
  <c r="P91" i="7"/>
  <c r="K92" i="7" s="1"/>
  <c r="P82" i="12"/>
  <c r="L83" i="12" s="1"/>
  <c r="C132" i="1"/>
  <c r="E131" i="1"/>
  <c r="F131" i="1" s="1"/>
  <c r="J108" i="10"/>
  <c r="K108" i="10" s="1"/>
  <c r="N108" i="10"/>
  <c r="K98" i="5"/>
  <c r="E108" i="10"/>
  <c r="D109" i="10"/>
  <c r="G109" i="10" s="1"/>
  <c r="H109" i="10" s="1"/>
  <c r="C110" i="10"/>
  <c r="O97" i="2"/>
  <c r="Q97" i="2" s="1"/>
  <c r="T97" i="2" s="1"/>
  <c r="N99" i="1"/>
  <c r="J100" i="1" s="1"/>
  <c r="W91" i="7"/>
  <c r="X91" i="7" s="1"/>
  <c r="M92" i="7"/>
  <c r="O92" i="7" s="1"/>
  <c r="L92" i="7"/>
  <c r="S81" i="10"/>
  <c r="Z81" i="11"/>
  <c r="R82" i="11"/>
  <c r="X82" i="11" s="1"/>
  <c r="D109" i="12"/>
  <c r="G109" i="12" s="1"/>
  <c r="H109" i="12" s="1"/>
  <c r="C110" i="12"/>
  <c r="I100" i="1"/>
  <c r="V81" i="11"/>
  <c r="W81" i="11"/>
  <c r="N109" i="6"/>
  <c r="J109" i="6"/>
  <c r="K109" i="6" s="1"/>
  <c r="P101" i="6"/>
  <c r="Q101" i="6" s="1"/>
  <c r="N124" i="7"/>
  <c r="C113" i="11"/>
  <c r="D112" i="11"/>
  <c r="G112" i="11" s="1"/>
  <c r="H112" i="11" s="1"/>
  <c r="V90" i="7"/>
  <c r="AA90" i="7"/>
  <c r="J124" i="5"/>
  <c r="N124" i="5"/>
  <c r="L130" i="1"/>
  <c r="H130" i="1"/>
  <c r="D125" i="5"/>
  <c r="G125" i="5" s="1"/>
  <c r="H125" i="5" s="1"/>
  <c r="C126" i="5"/>
  <c r="C126" i="7"/>
  <c r="D125" i="7"/>
  <c r="G125" i="7" s="1"/>
  <c r="H125" i="7" s="1"/>
  <c r="C141" i="2"/>
  <c r="E140" i="2"/>
  <c r="F140" i="2" s="1"/>
  <c r="Q82" i="11"/>
  <c r="P82" i="11"/>
  <c r="L83" i="11" s="1"/>
  <c r="Q98" i="5"/>
  <c r="P98" i="5"/>
  <c r="L99" i="5" s="1"/>
  <c r="K99" i="2"/>
  <c r="M99" i="2" s="1"/>
  <c r="J99" i="2"/>
  <c r="Z81" i="12"/>
  <c r="R82" i="12"/>
  <c r="X82" i="12" s="1"/>
  <c r="N98" i="2"/>
  <c r="O98" i="2" s="1"/>
  <c r="Q98" i="2" s="1"/>
  <c r="T98" i="2" s="1"/>
  <c r="D110" i="6"/>
  <c r="G110" i="6" s="1"/>
  <c r="H110" i="6" s="1"/>
  <c r="C111" i="6"/>
  <c r="E110" i="6"/>
  <c r="E110" i="7" s="1"/>
  <c r="J110" i="7" s="1"/>
  <c r="N108" i="12"/>
  <c r="J108" i="12"/>
  <c r="K108" i="12" s="1"/>
  <c r="E108" i="12"/>
  <c r="V81" i="12"/>
  <c r="W81" i="12"/>
  <c r="AA89" i="7"/>
  <c r="V89" i="7"/>
  <c r="J111" i="11"/>
  <c r="K111" i="11" s="1"/>
  <c r="N111" i="11"/>
  <c r="K101" i="1" l="1"/>
  <c r="M101" i="1" s="1"/>
  <c r="M100" i="5"/>
  <c r="O100" i="5" s="1"/>
  <c r="L100" i="5"/>
  <c r="Y99" i="6"/>
  <c r="R101" i="6"/>
  <c r="K110" i="6"/>
  <c r="Z82" i="11"/>
  <c r="R83" i="11"/>
  <c r="X83" i="11" s="1"/>
  <c r="W92" i="7"/>
  <c r="X92" i="7" s="1"/>
  <c r="M93" i="7"/>
  <c r="O93" i="7" s="1"/>
  <c r="E109" i="10"/>
  <c r="H131" i="1"/>
  <c r="L131" i="1"/>
  <c r="Q82" i="10"/>
  <c r="P82" i="10"/>
  <c r="L83" i="10" s="1"/>
  <c r="L102" i="6"/>
  <c r="D110" i="10"/>
  <c r="G110" i="10" s="1"/>
  <c r="H110" i="10" s="1"/>
  <c r="C111" i="10"/>
  <c r="Y83" i="12"/>
  <c r="M83" i="12"/>
  <c r="O83" i="12" s="1"/>
  <c r="C133" i="1"/>
  <c r="E132" i="1"/>
  <c r="F132" i="1" s="1"/>
  <c r="J109" i="10"/>
  <c r="K109" i="10" s="1"/>
  <c r="N109" i="10"/>
  <c r="K100" i="2"/>
  <c r="M100" i="2" s="1"/>
  <c r="J100" i="2"/>
  <c r="C112" i="6"/>
  <c r="E111" i="6"/>
  <c r="E111" i="7" s="1"/>
  <c r="J111" i="7" s="1"/>
  <c r="D111" i="6"/>
  <c r="G111" i="6" s="1"/>
  <c r="H111" i="6" s="1"/>
  <c r="D110" i="12"/>
  <c r="G110" i="12" s="1"/>
  <c r="H110" i="12" s="1"/>
  <c r="C111" i="12"/>
  <c r="S82" i="12"/>
  <c r="N109" i="12"/>
  <c r="J109" i="12"/>
  <c r="K109" i="12" s="1"/>
  <c r="J110" i="6"/>
  <c r="N110" i="6"/>
  <c r="C127" i="5"/>
  <c r="D126" i="5"/>
  <c r="G126" i="5" s="1"/>
  <c r="H126" i="5" s="1"/>
  <c r="J112" i="11"/>
  <c r="K112" i="11" s="1"/>
  <c r="N112" i="11"/>
  <c r="O99" i="1"/>
  <c r="Q99" i="1" s="1"/>
  <c r="T99" i="1" s="1"/>
  <c r="K99" i="5"/>
  <c r="K100" i="5" s="1"/>
  <c r="Q91" i="7"/>
  <c r="S82" i="10"/>
  <c r="P99" i="5"/>
  <c r="Q99" i="5" s="1"/>
  <c r="P102" i="6"/>
  <c r="Q102" i="6" s="1"/>
  <c r="C142" i="2"/>
  <c r="E141" i="2"/>
  <c r="F141" i="2" s="1"/>
  <c r="C127" i="7"/>
  <c r="D126" i="7"/>
  <c r="G126" i="7" s="1"/>
  <c r="H126" i="7" s="1"/>
  <c r="R98" i="5"/>
  <c r="X98" i="6" s="1"/>
  <c r="Z98" i="6"/>
  <c r="S82" i="11"/>
  <c r="N100" i="1"/>
  <c r="O100" i="1" s="1"/>
  <c r="Q100" i="1" s="1"/>
  <c r="T100" i="1" s="1"/>
  <c r="I99" i="2"/>
  <c r="L140" i="2"/>
  <c r="H140" i="2"/>
  <c r="P92" i="7"/>
  <c r="K93" i="7" s="1"/>
  <c r="Q92" i="7"/>
  <c r="V100" i="6"/>
  <c r="N125" i="7"/>
  <c r="E109" i="12"/>
  <c r="Q82" i="12"/>
  <c r="N99" i="2"/>
  <c r="O99" i="2" s="1"/>
  <c r="Q99" i="2" s="1"/>
  <c r="T99" i="2" s="1"/>
  <c r="J125" i="5"/>
  <c r="N125" i="5"/>
  <c r="C114" i="11"/>
  <c r="D113" i="11"/>
  <c r="G113" i="11" s="1"/>
  <c r="H113" i="11" s="1"/>
  <c r="M83" i="11"/>
  <c r="O83" i="11" s="1"/>
  <c r="Y83" i="11"/>
  <c r="E112" i="11"/>
  <c r="V81" i="10"/>
  <c r="W81" i="10"/>
  <c r="S97" i="5"/>
  <c r="R99" i="5" l="1"/>
  <c r="X99" i="6" s="1"/>
  <c r="S99" i="5"/>
  <c r="Z99" i="6"/>
  <c r="K110" i="10"/>
  <c r="R102" i="6"/>
  <c r="S102" i="6" s="1"/>
  <c r="Z82" i="10"/>
  <c r="R83" i="10"/>
  <c r="X83" i="10" s="1"/>
  <c r="S83" i="10"/>
  <c r="I101" i="1"/>
  <c r="P83" i="12"/>
  <c r="L84" i="12" s="1"/>
  <c r="K101" i="2"/>
  <c r="M101" i="2" s="1"/>
  <c r="S83" i="11"/>
  <c r="AB92" i="7"/>
  <c r="R92" i="7"/>
  <c r="Y92" i="7" s="1"/>
  <c r="Z92" i="7" s="1"/>
  <c r="S92" i="7"/>
  <c r="O100" i="2"/>
  <c r="Q100" i="2" s="1"/>
  <c r="T100" i="2" s="1"/>
  <c r="N100" i="2"/>
  <c r="J101" i="2" s="1"/>
  <c r="N110" i="12"/>
  <c r="J110" i="12"/>
  <c r="K110" i="12" s="1"/>
  <c r="N110" i="10"/>
  <c r="J110" i="10"/>
  <c r="J101" i="1"/>
  <c r="C115" i="11"/>
  <c r="E114" i="11"/>
  <c r="D114" i="11"/>
  <c r="G114" i="11" s="1"/>
  <c r="H114" i="11" s="1"/>
  <c r="P100" i="5"/>
  <c r="Q100" i="5" s="1"/>
  <c r="C112" i="12"/>
  <c r="D111" i="12"/>
  <c r="G111" i="12" s="1"/>
  <c r="H111" i="12" s="1"/>
  <c r="N126" i="5"/>
  <c r="J126" i="5"/>
  <c r="P83" i="11"/>
  <c r="L84" i="11" s="1"/>
  <c r="Z82" i="12"/>
  <c r="R83" i="12"/>
  <c r="X83" i="12" s="1"/>
  <c r="S98" i="5"/>
  <c r="C128" i="5"/>
  <c r="D127" i="5"/>
  <c r="G127" i="5" s="1"/>
  <c r="H127" i="5" s="1"/>
  <c r="E110" i="12"/>
  <c r="E110" i="10"/>
  <c r="L93" i="7"/>
  <c r="N101" i="1"/>
  <c r="O101" i="1" s="1"/>
  <c r="Q101" i="1" s="1"/>
  <c r="T101" i="1" s="1"/>
  <c r="L141" i="2"/>
  <c r="H141" i="2"/>
  <c r="C113" i="6"/>
  <c r="E112" i="6"/>
  <c r="E112" i="7" s="1"/>
  <c r="J112" i="7" s="1"/>
  <c r="D112" i="6"/>
  <c r="G112" i="6" s="1"/>
  <c r="H112" i="6" s="1"/>
  <c r="J113" i="11"/>
  <c r="K113" i="11" s="1"/>
  <c r="N113" i="11"/>
  <c r="N126" i="7"/>
  <c r="W82" i="10"/>
  <c r="V82" i="10"/>
  <c r="H132" i="1"/>
  <c r="L132" i="1"/>
  <c r="M103" i="6"/>
  <c r="O103" i="6" s="1"/>
  <c r="L103" i="6"/>
  <c r="P93" i="7"/>
  <c r="K94" i="7" s="1"/>
  <c r="S101" i="6"/>
  <c r="K101" i="5"/>
  <c r="C143" i="2"/>
  <c r="E142" i="2"/>
  <c r="F142" i="2" s="1"/>
  <c r="M101" i="5"/>
  <c r="O101" i="5" s="1"/>
  <c r="L101" i="5"/>
  <c r="Y100" i="6"/>
  <c r="V82" i="11"/>
  <c r="W82" i="11"/>
  <c r="W82" i="12"/>
  <c r="V82" i="12"/>
  <c r="D111" i="10"/>
  <c r="G111" i="10" s="1"/>
  <c r="H111" i="10" s="1"/>
  <c r="C112" i="10"/>
  <c r="V97" i="5"/>
  <c r="W97" i="6"/>
  <c r="E113" i="11"/>
  <c r="I100" i="2"/>
  <c r="C128" i="7"/>
  <c r="D127" i="7"/>
  <c r="G127" i="7" s="1"/>
  <c r="H127" i="7" s="1"/>
  <c r="R91" i="7"/>
  <c r="Y91" i="7" s="1"/>
  <c r="Z91" i="7" s="1"/>
  <c r="AB91" i="7"/>
  <c r="J111" i="6"/>
  <c r="K111" i="6" s="1"/>
  <c r="N111" i="6"/>
  <c r="C134" i="1"/>
  <c r="E133" i="1"/>
  <c r="F133" i="1" s="1"/>
  <c r="Y83" i="10"/>
  <c r="M83" i="10"/>
  <c r="O83" i="10" s="1"/>
  <c r="V102" i="6" l="1"/>
  <c r="R100" i="5"/>
  <c r="X100" i="6" s="1"/>
  <c r="Z100" i="6"/>
  <c r="K102" i="2"/>
  <c r="M102" i="2" s="1"/>
  <c r="Q93" i="7"/>
  <c r="N127" i="5"/>
  <c r="J127" i="5"/>
  <c r="Q83" i="12"/>
  <c r="D115" i="11"/>
  <c r="G115" i="11" s="1"/>
  <c r="H115" i="11" s="1"/>
  <c r="C116" i="11"/>
  <c r="D112" i="10"/>
  <c r="G112" i="10" s="1"/>
  <c r="H112" i="10" s="1"/>
  <c r="C113" i="10"/>
  <c r="W83" i="10"/>
  <c r="V83" i="10"/>
  <c r="K111" i="10"/>
  <c r="D128" i="5"/>
  <c r="G128" i="5" s="1"/>
  <c r="H128" i="5" s="1"/>
  <c r="C129" i="5"/>
  <c r="M104" i="6"/>
  <c r="O104" i="6" s="1"/>
  <c r="K102" i="1"/>
  <c r="M102" i="1" s="1"/>
  <c r="J102" i="1"/>
  <c r="P101" i="5"/>
  <c r="Q101" i="5" s="1"/>
  <c r="D112" i="12"/>
  <c r="G112" i="12" s="1"/>
  <c r="H112" i="12" s="1"/>
  <c r="C113" i="12"/>
  <c r="N127" i="7"/>
  <c r="L142" i="2"/>
  <c r="H142" i="2"/>
  <c r="E111" i="12"/>
  <c r="Y84" i="12"/>
  <c r="M84" i="12"/>
  <c r="O84" i="12" s="1"/>
  <c r="L102" i="5"/>
  <c r="M102" i="5"/>
  <c r="O102" i="5" s="1"/>
  <c r="Y101" i="6"/>
  <c r="V98" i="5"/>
  <c r="W98" i="6"/>
  <c r="V92" i="7"/>
  <c r="AA92" i="7"/>
  <c r="N111" i="10"/>
  <c r="J111" i="10"/>
  <c r="E111" i="10"/>
  <c r="L133" i="1"/>
  <c r="H133" i="1"/>
  <c r="C129" i="7"/>
  <c r="D128" i="7"/>
  <c r="G128" i="7" s="1"/>
  <c r="H128" i="7" s="1"/>
  <c r="C144" i="2"/>
  <c r="E143" i="2"/>
  <c r="F143" i="2" s="1"/>
  <c r="J112" i="6"/>
  <c r="K112" i="6" s="1"/>
  <c r="N112" i="6"/>
  <c r="W93" i="7"/>
  <c r="X93" i="7" s="1"/>
  <c r="M94" i="7"/>
  <c r="O94" i="7" s="1"/>
  <c r="L94" i="7"/>
  <c r="S83" i="12"/>
  <c r="W83" i="11"/>
  <c r="V83" i="11"/>
  <c r="V99" i="5"/>
  <c r="W99" i="6"/>
  <c r="N111" i="12"/>
  <c r="J111" i="12"/>
  <c r="K111" i="12" s="1"/>
  <c r="P83" i="10"/>
  <c r="L84" i="10" s="1"/>
  <c r="P103" i="6"/>
  <c r="Q103" i="6" s="1"/>
  <c r="Y84" i="11"/>
  <c r="M84" i="11"/>
  <c r="O84" i="11" s="1"/>
  <c r="I102" i="1"/>
  <c r="S91" i="7"/>
  <c r="C135" i="1"/>
  <c r="E134" i="1"/>
  <c r="F134" i="1" s="1"/>
  <c r="I101" i="2"/>
  <c r="K102" i="5"/>
  <c r="V101" i="6"/>
  <c r="D113" i="6"/>
  <c r="G113" i="6" s="1"/>
  <c r="H113" i="6" s="1"/>
  <c r="C114" i="6"/>
  <c r="E113" i="6"/>
  <c r="E113" i="7" s="1"/>
  <c r="J113" i="7" s="1"/>
  <c r="Q83" i="11"/>
  <c r="J114" i="11"/>
  <c r="K114" i="11" s="1"/>
  <c r="N114" i="11"/>
  <c r="N101" i="2"/>
  <c r="J102" i="2" s="1"/>
  <c r="R101" i="5" l="1"/>
  <c r="X101" i="6" s="1"/>
  <c r="Z101" i="6"/>
  <c r="K103" i="2"/>
  <c r="M103" i="2" s="1"/>
  <c r="J103" i="2"/>
  <c r="S103" i="6"/>
  <c r="R103" i="6"/>
  <c r="N115" i="11"/>
  <c r="J115" i="11"/>
  <c r="K115" i="11" s="1"/>
  <c r="P104" i="6"/>
  <c r="Q104" i="6" s="1"/>
  <c r="K112" i="10"/>
  <c r="O101" i="2"/>
  <c r="Q101" i="2" s="1"/>
  <c r="T101" i="2" s="1"/>
  <c r="I102" i="2"/>
  <c r="P84" i="12"/>
  <c r="L85" i="12" s="1"/>
  <c r="C114" i="12"/>
  <c r="D113" i="12"/>
  <c r="G113" i="12" s="1"/>
  <c r="H113" i="12" s="1"/>
  <c r="E113" i="10"/>
  <c r="D113" i="10"/>
  <c r="G113" i="10" s="1"/>
  <c r="H113" i="10" s="1"/>
  <c r="C114" i="10"/>
  <c r="R84" i="12"/>
  <c r="X84" i="12" s="1"/>
  <c r="Z83" i="12"/>
  <c r="S84" i="12"/>
  <c r="J112" i="12"/>
  <c r="K112" i="12" s="1"/>
  <c r="N112" i="12"/>
  <c r="L104" i="6"/>
  <c r="N112" i="10"/>
  <c r="J112" i="10"/>
  <c r="AB93" i="7"/>
  <c r="R93" i="7"/>
  <c r="Y93" i="7" s="1"/>
  <c r="Z93" i="7" s="1"/>
  <c r="P84" i="11"/>
  <c r="L85" i="11" s="1"/>
  <c r="N102" i="1"/>
  <c r="O102" i="1" s="1"/>
  <c r="Q102" i="1" s="1"/>
  <c r="T102" i="1" s="1"/>
  <c r="R84" i="11"/>
  <c r="X84" i="11" s="1"/>
  <c r="Z83" i="11"/>
  <c r="S84" i="11"/>
  <c r="Y84" i="10"/>
  <c r="M84" i="10"/>
  <c r="O84" i="10" s="1"/>
  <c r="W83" i="12"/>
  <c r="V83" i="12"/>
  <c r="N128" i="7"/>
  <c r="E112" i="12"/>
  <c r="E112" i="10"/>
  <c r="K103" i="1"/>
  <c r="M103" i="1" s="1"/>
  <c r="Q102" i="5"/>
  <c r="P102" i="5"/>
  <c r="K103" i="5" s="1"/>
  <c r="S100" i="5"/>
  <c r="M103" i="5"/>
  <c r="O103" i="5" s="1"/>
  <c r="L103" i="5"/>
  <c r="Y102" i="6"/>
  <c r="V91" i="7"/>
  <c r="AA91" i="7"/>
  <c r="M95" i="7"/>
  <c r="O95" i="7" s="1"/>
  <c r="L95" i="7"/>
  <c r="W94" i="7"/>
  <c r="X94" i="7" s="1"/>
  <c r="C130" i="7"/>
  <c r="D129" i="7"/>
  <c r="G129" i="7" s="1"/>
  <c r="H129" i="7" s="1"/>
  <c r="D129" i="5"/>
  <c r="G129" i="5" s="1"/>
  <c r="H129" i="5" s="1"/>
  <c r="C130" i="5"/>
  <c r="E115" i="11"/>
  <c r="O102" i="2"/>
  <c r="Q102" i="2" s="1"/>
  <c r="T102" i="2" s="1"/>
  <c r="N102" i="2"/>
  <c r="L143" i="2"/>
  <c r="H143" i="2"/>
  <c r="H134" i="1"/>
  <c r="L134" i="1"/>
  <c r="C145" i="2"/>
  <c r="E144" i="2"/>
  <c r="F144" i="2" s="1"/>
  <c r="C136" i="1"/>
  <c r="E135" i="1"/>
  <c r="F135" i="1" s="1"/>
  <c r="D114" i="6"/>
  <c r="G114" i="6" s="1"/>
  <c r="H114" i="6" s="1"/>
  <c r="C115" i="6"/>
  <c r="Q83" i="10"/>
  <c r="J113" i="6"/>
  <c r="K113" i="6" s="1"/>
  <c r="N113" i="6"/>
  <c r="Q94" i="7"/>
  <c r="P94" i="7"/>
  <c r="K95" i="7" s="1"/>
  <c r="J128" i="5"/>
  <c r="N128" i="5"/>
  <c r="D116" i="11"/>
  <c r="G116" i="11" s="1"/>
  <c r="H116" i="11" s="1"/>
  <c r="C117" i="11"/>
  <c r="R104" i="6" l="1"/>
  <c r="S104" i="6" s="1"/>
  <c r="Q84" i="10"/>
  <c r="P84" i="10"/>
  <c r="L85" i="10" s="1"/>
  <c r="D117" i="11"/>
  <c r="G117" i="11" s="1"/>
  <c r="H117" i="11" s="1"/>
  <c r="C118" i="11"/>
  <c r="N116" i="11"/>
  <c r="J116" i="11"/>
  <c r="K116" i="11" s="1"/>
  <c r="J113" i="12"/>
  <c r="K113" i="12" s="1"/>
  <c r="N113" i="12"/>
  <c r="D115" i="6"/>
  <c r="G115" i="6" s="1"/>
  <c r="H115" i="6" s="1"/>
  <c r="C116" i="6"/>
  <c r="W84" i="11"/>
  <c r="V84" i="11"/>
  <c r="V84" i="12"/>
  <c r="W84" i="12"/>
  <c r="C115" i="12"/>
  <c r="D114" i="12"/>
  <c r="G114" i="12" s="1"/>
  <c r="H114" i="12" s="1"/>
  <c r="N103" i="2"/>
  <c r="O103" i="2" s="1"/>
  <c r="Q103" i="2" s="1"/>
  <c r="T103" i="2" s="1"/>
  <c r="L144" i="2"/>
  <c r="H144" i="2"/>
  <c r="M105" i="6"/>
  <c r="O105" i="6" s="1"/>
  <c r="L105" i="6"/>
  <c r="C131" i="5"/>
  <c r="D130" i="5"/>
  <c r="G130" i="5" s="1"/>
  <c r="H130" i="5" s="1"/>
  <c r="J103" i="1"/>
  <c r="J129" i="5"/>
  <c r="N129" i="5"/>
  <c r="Q84" i="11"/>
  <c r="N129" i="7"/>
  <c r="D130" i="7"/>
  <c r="G130" i="7" s="1"/>
  <c r="H130" i="7" s="1"/>
  <c r="C131" i="7"/>
  <c r="S93" i="7"/>
  <c r="N103" i="1"/>
  <c r="O103" i="1" s="1"/>
  <c r="Q103" i="1" s="1"/>
  <c r="T103" i="1" s="1"/>
  <c r="S84" i="10"/>
  <c r="Z83" i="10"/>
  <c r="R84" i="10"/>
  <c r="X84" i="10" s="1"/>
  <c r="E113" i="12"/>
  <c r="K104" i="2"/>
  <c r="M104" i="2" s="1"/>
  <c r="J104" i="2"/>
  <c r="M104" i="5"/>
  <c r="O104" i="5" s="1"/>
  <c r="L104" i="5"/>
  <c r="Y103" i="6"/>
  <c r="N114" i="6"/>
  <c r="J114" i="6"/>
  <c r="K114" i="6" s="1"/>
  <c r="P103" i="5"/>
  <c r="K104" i="5" s="1"/>
  <c r="Y85" i="12"/>
  <c r="M85" i="12"/>
  <c r="O85" i="12" s="1"/>
  <c r="K96" i="7"/>
  <c r="E114" i="6"/>
  <c r="E114" i="7" s="1"/>
  <c r="J114" i="7" s="1"/>
  <c r="V100" i="5"/>
  <c r="W100" i="6"/>
  <c r="Q84" i="12"/>
  <c r="C146" i="2"/>
  <c r="E145" i="2"/>
  <c r="F145" i="2" s="1"/>
  <c r="L135" i="1"/>
  <c r="H135" i="1"/>
  <c r="W95" i="7"/>
  <c r="X95" i="7" s="1"/>
  <c r="M96" i="7"/>
  <c r="O96" i="7" s="1"/>
  <c r="C115" i="10"/>
  <c r="D114" i="10"/>
  <c r="G114" i="10" s="1"/>
  <c r="H114" i="10" s="1"/>
  <c r="I103" i="2"/>
  <c r="I104" i="2" s="1"/>
  <c r="S101" i="5"/>
  <c r="Y85" i="11"/>
  <c r="M85" i="11"/>
  <c r="O85" i="11" s="1"/>
  <c r="V103" i="6"/>
  <c r="E116" i="11"/>
  <c r="AB94" i="7"/>
  <c r="S94" i="7"/>
  <c r="R94" i="7"/>
  <c r="Y94" i="7" s="1"/>
  <c r="Z94" i="7" s="1"/>
  <c r="I103" i="1"/>
  <c r="C137" i="1"/>
  <c r="E136" i="1"/>
  <c r="F136" i="1" s="1"/>
  <c r="P95" i="7"/>
  <c r="L96" i="7" s="1"/>
  <c r="R102" i="5"/>
  <c r="X102" i="6" s="1"/>
  <c r="Z102" i="6"/>
  <c r="N113" i="10"/>
  <c r="J113" i="10"/>
  <c r="K113" i="10" s="1"/>
  <c r="K114" i="12" l="1"/>
  <c r="M97" i="7"/>
  <c r="O97" i="7" s="1"/>
  <c r="L97" i="7"/>
  <c r="W96" i="7"/>
  <c r="X96" i="7" s="1"/>
  <c r="V104" i="6"/>
  <c r="S102" i="5"/>
  <c r="V94" i="7"/>
  <c r="AA94" i="7"/>
  <c r="V101" i="5"/>
  <c r="W101" i="6"/>
  <c r="K97" i="7"/>
  <c r="W84" i="10"/>
  <c r="V84" i="10"/>
  <c r="Z84" i="11"/>
  <c r="R85" i="11"/>
  <c r="X85" i="11" s="1"/>
  <c r="P105" i="6"/>
  <c r="L106" i="6" s="1"/>
  <c r="Q105" i="6"/>
  <c r="S85" i="10"/>
  <c r="Z84" i="10"/>
  <c r="R85" i="10"/>
  <c r="X85" i="10" s="1"/>
  <c r="L145" i="2"/>
  <c r="H145" i="2"/>
  <c r="K105" i="2"/>
  <c r="M105" i="2" s="1"/>
  <c r="J105" i="2"/>
  <c r="E118" i="11"/>
  <c r="C119" i="11"/>
  <c r="D118" i="11"/>
  <c r="G118" i="11" s="1"/>
  <c r="H118" i="11" s="1"/>
  <c r="M105" i="5"/>
  <c r="O105" i="5" s="1"/>
  <c r="P104" i="5"/>
  <c r="K105" i="5" s="1"/>
  <c r="Q104" i="5"/>
  <c r="C116" i="10"/>
  <c r="E115" i="10"/>
  <c r="D115" i="10"/>
  <c r="G115" i="10" s="1"/>
  <c r="H115" i="10" s="1"/>
  <c r="E114" i="10"/>
  <c r="N104" i="2"/>
  <c r="O104" i="2" s="1"/>
  <c r="Q104" i="2" s="1"/>
  <c r="T104" i="2" s="1"/>
  <c r="C132" i="7"/>
  <c r="D131" i="7"/>
  <c r="G131" i="7" s="1"/>
  <c r="H131" i="7" s="1"/>
  <c r="N130" i="5"/>
  <c r="J130" i="5"/>
  <c r="D116" i="6"/>
  <c r="G116" i="6" s="1"/>
  <c r="H116" i="6" s="1"/>
  <c r="C117" i="6"/>
  <c r="N117" i="11"/>
  <c r="J117" i="11"/>
  <c r="K117" i="11" s="1"/>
  <c r="Q95" i="7"/>
  <c r="C147" i="2"/>
  <c r="E146" i="2"/>
  <c r="F146" i="2" s="1"/>
  <c r="L136" i="1"/>
  <c r="H136" i="1"/>
  <c r="Z84" i="12"/>
  <c r="R85" i="12"/>
  <c r="X85" i="12" s="1"/>
  <c r="C138" i="1"/>
  <c r="E137" i="1"/>
  <c r="F137" i="1" s="1"/>
  <c r="Q85" i="11"/>
  <c r="P85" i="11"/>
  <c r="L86" i="11" s="1"/>
  <c r="Q96" i="7"/>
  <c r="P96" i="7"/>
  <c r="Q103" i="5"/>
  <c r="N130" i="7"/>
  <c r="C132" i="5"/>
  <c r="D131" i="5"/>
  <c r="G131" i="5" s="1"/>
  <c r="H131" i="5" s="1"/>
  <c r="J114" i="12"/>
  <c r="N114" i="12"/>
  <c r="N115" i="6"/>
  <c r="J115" i="6"/>
  <c r="K115" i="6" s="1"/>
  <c r="E117" i="11"/>
  <c r="I105" i="2"/>
  <c r="V93" i="7"/>
  <c r="AA93" i="7"/>
  <c r="I104" i="1"/>
  <c r="Y104" i="6"/>
  <c r="E114" i="12"/>
  <c r="E115" i="6"/>
  <c r="E115" i="7" s="1"/>
  <c r="J115" i="7" s="1"/>
  <c r="P85" i="12"/>
  <c r="L86" i="12" s="1"/>
  <c r="J114" i="10"/>
  <c r="K114" i="10" s="1"/>
  <c r="N114" i="10"/>
  <c r="K104" i="1"/>
  <c r="M104" i="1" s="1"/>
  <c r="J104" i="1"/>
  <c r="M106" i="6"/>
  <c r="O106" i="6" s="1"/>
  <c r="D115" i="12"/>
  <c r="G115" i="12" s="1"/>
  <c r="H115" i="12" s="1"/>
  <c r="C116" i="12"/>
  <c r="E115" i="12"/>
  <c r="M85" i="10"/>
  <c r="O85" i="10" s="1"/>
  <c r="Y85" i="10"/>
  <c r="M107" i="6" l="1"/>
  <c r="O107" i="6" s="1"/>
  <c r="K118" i="11"/>
  <c r="N131" i="5"/>
  <c r="J131" i="5"/>
  <c r="Z85" i="11"/>
  <c r="R86" i="11"/>
  <c r="X86" i="11" s="1"/>
  <c r="L146" i="2"/>
  <c r="H146" i="2"/>
  <c r="D119" i="11"/>
  <c r="G119" i="11" s="1"/>
  <c r="H119" i="11" s="1"/>
  <c r="C120" i="11"/>
  <c r="V85" i="10"/>
  <c r="W85" i="10"/>
  <c r="K98" i="7"/>
  <c r="W97" i="7"/>
  <c r="X97" i="7" s="1"/>
  <c r="L98" i="7"/>
  <c r="M98" i="7"/>
  <c r="O98" i="7" s="1"/>
  <c r="C139" i="1"/>
  <c r="E138" i="1"/>
  <c r="F138" i="1" s="1"/>
  <c r="Q85" i="12"/>
  <c r="D116" i="12"/>
  <c r="G116" i="12" s="1"/>
  <c r="H116" i="12" s="1"/>
  <c r="C117" i="12"/>
  <c r="C148" i="2"/>
  <c r="E147" i="2"/>
  <c r="F147" i="2" s="1"/>
  <c r="C117" i="10"/>
  <c r="D116" i="10"/>
  <c r="G116" i="10" s="1"/>
  <c r="H116" i="10" s="1"/>
  <c r="M86" i="12"/>
  <c r="O86" i="12" s="1"/>
  <c r="Y86" i="12"/>
  <c r="AB95" i="7"/>
  <c r="S95" i="7"/>
  <c r="R95" i="7"/>
  <c r="Y95" i="7" s="1"/>
  <c r="Z95" i="7" s="1"/>
  <c r="P97" i="7"/>
  <c r="Q97" i="7" s="1"/>
  <c r="R105" i="6"/>
  <c r="S105" i="6" s="1"/>
  <c r="I106" i="2"/>
  <c r="S104" i="5"/>
  <c r="R104" i="5"/>
  <c r="X104" i="6" s="1"/>
  <c r="Z104" i="6"/>
  <c r="C133" i="7"/>
  <c r="D132" i="7"/>
  <c r="G132" i="7" s="1"/>
  <c r="H132" i="7" s="1"/>
  <c r="R103" i="5"/>
  <c r="X103" i="6" s="1"/>
  <c r="S103" i="5"/>
  <c r="Z103" i="6"/>
  <c r="Q106" i="6"/>
  <c r="P106" i="6"/>
  <c r="L107" i="6" s="1"/>
  <c r="S85" i="12"/>
  <c r="C118" i="6"/>
  <c r="D117" i="6"/>
  <c r="G117" i="6" s="1"/>
  <c r="H117" i="6" s="1"/>
  <c r="L105" i="5"/>
  <c r="S85" i="11"/>
  <c r="V102" i="5"/>
  <c r="W102" i="6"/>
  <c r="H137" i="1"/>
  <c r="L137" i="1"/>
  <c r="J115" i="12"/>
  <c r="K115" i="12" s="1"/>
  <c r="N115" i="12"/>
  <c r="K106" i="2"/>
  <c r="M106" i="2" s="1"/>
  <c r="J106" i="2"/>
  <c r="AB96" i="7"/>
  <c r="R96" i="7"/>
  <c r="Y96" i="7" s="1"/>
  <c r="Z96" i="7" s="1"/>
  <c r="N116" i="6"/>
  <c r="J116" i="6"/>
  <c r="K116" i="6" s="1"/>
  <c r="P105" i="5"/>
  <c r="Q105" i="5" s="1"/>
  <c r="D132" i="5"/>
  <c r="G132" i="5" s="1"/>
  <c r="H132" i="5" s="1"/>
  <c r="C133" i="5"/>
  <c r="N131" i="7"/>
  <c r="N105" i="2"/>
  <c r="O105" i="2" s="1"/>
  <c r="Q105" i="2" s="1"/>
  <c r="T105" i="2" s="1"/>
  <c r="K105" i="1"/>
  <c r="M105" i="1" s="1"/>
  <c r="J105" i="1"/>
  <c r="Q85" i="10"/>
  <c r="P85" i="10"/>
  <c r="L86" i="10" s="1"/>
  <c r="N104" i="1"/>
  <c r="O104" i="1"/>
  <c r="Q104" i="1" s="1"/>
  <c r="T104" i="1" s="1"/>
  <c r="I105" i="1"/>
  <c r="Y86" i="11"/>
  <c r="M86" i="11"/>
  <c r="O86" i="11" s="1"/>
  <c r="E116" i="6"/>
  <c r="E116" i="7" s="1"/>
  <c r="J116" i="7" s="1"/>
  <c r="J115" i="10"/>
  <c r="K115" i="10" s="1"/>
  <c r="N115" i="10"/>
  <c r="N118" i="11"/>
  <c r="J118" i="11"/>
  <c r="R97" i="7" l="1"/>
  <c r="Y97" i="7" s="1"/>
  <c r="Z97" i="7" s="1"/>
  <c r="AB97" i="7"/>
  <c r="V105" i="6"/>
  <c r="R105" i="5"/>
  <c r="X105" i="6" s="1"/>
  <c r="Z105" i="6"/>
  <c r="M108" i="6"/>
  <c r="O108" i="6" s="1"/>
  <c r="K116" i="12"/>
  <c r="M86" i="10"/>
  <c r="O86" i="10" s="1"/>
  <c r="Y86" i="10"/>
  <c r="C134" i="5"/>
  <c r="D133" i="5"/>
  <c r="G133" i="5" s="1"/>
  <c r="H133" i="5" s="1"/>
  <c r="R106" i="6"/>
  <c r="S106" i="6" s="1"/>
  <c r="V104" i="5"/>
  <c r="W104" i="6"/>
  <c r="AA95" i="7"/>
  <c r="V95" i="7"/>
  <c r="L147" i="2"/>
  <c r="H147" i="2"/>
  <c r="C140" i="1"/>
  <c r="E139" i="1"/>
  <c r="F139" i="1" s="1"/>
  <c r="E119" i="11"/>
  <c r="K106" i="5"/>
  <c r="W85" i="11"/>
  <c r="V85" i="11"/>
  <c r="P86" i="11"/>
  <c r="L87" i="11" s="1"/>
  <c r="V103" i="5"/>
  <c r="W103" i="6"/>
  <c r="E117" i="12"/>
  <c r="D117" i="12"/>
  <c r="G117" i="12" s="1"/>
  <c r="H117" i="12" s="1"/>
  <c r="C118" i="12"/>
  <c r="N105" i="1"/>
  <c r="O105" i="1" s="1"/>
  <c r="Q105" i="1" s="1"/>
  <c r="T105" i="1" s="1"/>
  <c r="D118" i="6"/>
  <c r="G118" i="6" s="1"/>
  <c r="H118" i="6" s="1"/>
  <c r="C119" i="6"/>
  <c r="E118" i="6"/>
  <c r="E118" i="7" s="1"/>
  <c r="J118" i="7" s="1"/>
  <c r="E116" i="12"/>
  <c r="J132" i="5"/>
  <c r="N132" i="5"/>
  <c r="J119" i="11"/>
  <c r="K119" i="11" s="1"/>
  <c r="N119" i="11"/>
  <c r="L106" i="5"/>
  <c r="M106" i="5"/>
  <c r="O106" i="5" s="1"/>
  <c r="Y105" i="6"/>
  <c r="N116" i="12"/>
  <c r="J116" i="12"/>
  <c r="P86" i="12"/>
  <c r="L87" i="12" s="1"/>
  <c r="Q86" i="12"/>
  <c r="I106" i="1"/>
  <c r="E117" i="6"/>
  <c r="E117" i="7" s="1"/>
  <c r="J117" i="7" s="1"/>
  <c r="C134" i="7"/>
  <c r="D133" i="7"/>
  <c r="G133" i="7" s="1"/>
  <c r="H133" i="7" s="1"/>
  <c r="J116" i="10"/>
  <c r="K116" i="10" s="1"/>
  <c r="N116" i="10"/>
  <c r="K107" i="2"/>
  <c r="M107" i="2" s="1"/>
  <c r="C149" i="2"/>
  <c r="E148" i="2"/>
  <c r="F148" i="2" s="1"/>
  <c r="J106" i="1"/>
  <c r="K106" i="1"/>
  <c r="M106" i="1" s="1"/>
  <c r="W85" i="12"/>
  <c r="V85" i="12"/>
  <c r="E116" i="10"/>
  <c r="Z85" i="12"/>
  <c r="R86" i="12"/>
  <c r="X86" i="12" s="1"/>
  <c r="S86" i="11"/>
  <c r="Z85" i="10"/>
  <c r="R86" i="10"/>
  <c r="X86" i="10" s="1"/>
  <c r="P98" i="7"/>
  <c r="K99" i="7" s="1"/>
  <c r="N106" i="2"/>
  <c r="O106" i="2" s="1"/>
  <c r="Q106" i="2" s="1"/>
  <c r="T106" i="2" s="1"/>
  <c r="W98" i="7"/>
  <c r="X98" i="7" s="1"/>
  <c r="M99" i="7"/>
  <c r="O99" i="7" s="1"/>
  <c r="N117" i="6"/>
  <c r="J117" i="6"/>
  <c r="K117" i="6" s="1"/>
  <c r="N132" i="7"/>
  <c r="S96" i="7"/>
  <c r="D117" i="10"/>
  <c r="G117" i="10" s="1"/>
  <c r="H117" i="10" s="1"/>
  <c r="C118" i="10"/>
  <c r="E117" i="10"/>
  <c r="L138" i="1"/>
  <c r="H138" i="1"/>
  <c r="C121" i="11"/>
  <c r="D120" i="11"/>
  <c r="G120" i="11" s="1"/>
  <c r="H120" i="11" s="1"/>
  <c r="P107" i="6"/>
  <c r="Q107" i="6" s="1"/>
  <c r="V106" i="6" l="1"/>
  <c r="K100" i="7"/>
  <c r="R107" i="6"/>
  <c r="AA96" i="7"/>
  <c r="V96" i="7"/>
  <c r="N106" i="1"/>
  <c r="J107" i="1" s="1"/>
  <c r="N133" i="7"/>
  <c r="I107" i="2"/>
  <c r="I108" i="2" s="1"/>
  <c r="K107" i="1"/>
  <c r="M107" i="1" s="1"/>
  <c r="M107" i="5"/>
  <c r="O107" i="5" s="1"/>
  <c r="Y106" i="6"/>
  <c r="I107" i="1"/>
  <c r="Q106" i="5"/>
  <c r="P106" i="5"/>
  <c r="K107" i="5" s="1"/>
  <c r="P86" i="10"/>
  <c r="L87" i="10" s="1"/>
  <c r="E120" i="11"/>
  <c r="C120" i="6"/>
  <c r="D119" i="6"/>
  <c r="G119" i="6" s="1"/>
  <c r="H119" i="6" s="1"/>
  <c r="M87" i="11"/>
  <c r="O87" i="11" s="1"/>
  <c r="Y87" i="11"/>
  <c r="J107" i="2"/>
  <c r="Z86" i="12"/>
  <c r="R87" i="12"/>
  <c r="X87" i="12" s="1"/>
  <c r="Q86" i="11"/>
  <c r="L108" i="6"/>
  <c r="J120" i="11"/>
  <c r="K120" i="11" s="1"/>
  <c r="N120" i="11"/>
  <c r="S86" i="12"/>
  <c r="H139" i="1"/>
  <c r="L139" i="1"/>
  <c r="C150" i="2"/>
  <c r="E149" i="2"/>
  <c r="F149" i="2" s="1"/>
  <c r="C141" i="1"/>
  <c r="E140" i="1"/>
  <c r="F140" i="1" s="1"/>
  <c r="L99" i="7"/>
  <c r="N107" i="2"/>
  <c r="O107" i="2" s="1"/>
  <c r="Q107" i="2" s="1"/>
  <c r="T107" i="2" s="1"/>
  <c r="M87" i="12"/>
  <c r="O87" i="12" s="1"/>
  <c r="Y87" i="12"/>
  <c r="N133" i="5"/>
  <c r="J133" i="5"/>
  <c r="C122" i="11"/>
  <c r="D121" i="11"/>
  <c r="G121" i="11" s="1"/>
  <c r="H121" i="11" s="1"/>
  <c r="D134" i="7"/>
  <c r="G134" i="7" s="1"/>
  <c r="H134" i="7" s="1"/>
  <c r="C135" i="7"/>
  <c r="Q99" i="7"/>
  <c r="P99" i="7"/>
  <c r="D118" i="12"/>
  <c r="G118" i="12" s="1"/>
  <c r="H118" i="12" s="1"/>
  <c r="C119" i="12"/>
  <c r="D134" i="5"/>
  <c r="G134" i="5" s="1"/>
  <c r="H134" i="5" s="1"/>
  <c r="C135" i="5"/>
  <c r="P108" i="6"/>
  <c r="Q108" i="6"/>
  <c r="L148" i="2"/>
  <c r="H148" i="2"/>
  <c r="S105" i="5"/>
  <c r="Q98" i="7"/>
  <c r="J118" i="6"/>
  <c r="K118" i="6" s="1"/>
  <c r="N118" i="6"/>
  <c r="D118" i="10"/>
  <c r="G118" i="10" s="1"/>
  <c r="H118" i="10" s="1"/>
  <c r="C119" i="10"/>
  <c r="S86" i="10"/>
  <c r="J117" i="10"/>
  <c r="K117" i="10" s="1"/>
  <c r="N117" i="10"/>
  <c r="W86" i="11"/>
  <c r="V86" i="11"/>
  <c r="N117" i="12"/>
  <c r="J117" i="12"/>
  <c r="K117" i="12" s="1"/>
  <c r="S97" i="7"/>
  <c r="K108" i="1" l="1"/>
  <c r="M108" i="1" s="1"/>
  <c r="K118" i="12"/>
  <c r="K119" i="6"/>
  <c r="E141" i="1"/>
  <c r="F141" i="1" s="1"/>
  <c r="C142" i="1"/>
  <c r="L109" i="6"/>
  <c r="M109" i="6"/>
  <c r="O109" i="6" s="1"/>
  <c r="P87" i="11"/>
  <c r="L88" i="11" s="1"/>
  <c r="P87" i="12"/>
  <c r="L88" i="12" s="1"/>
  <c r="R106" i="5"/>
  <c r="X106" i="6" s="1"/>
  <c r="Z106" i="6"/>
  <c r="C136" i="5"/>
  <c r="D135" i="5"/>
  <c r="G135" i="5" s="1"/>
  <c r="H135" i="5" s="1"/>
  <c r="N134" i="7"/>
  <c r="R98" i="7"/>
  <c r="Y98" i="7" s="1"/>
  <c r="Z98" i="7" s="1"/>
  <c r="AB98" i="7"/>
  <c r="S98" i="7"/>
  <c r="E119" i="12"/>
  <c r="C120" i="12"/>
  <c r="D119" i="12"/>
  <c r="G119" i="12" s="1"/>
  <c r="H119" i="12" s="1"/>
  <c r="C121" i="6"/>
  <c r="D120" i="6"/>
  <c r="G120" i="6" s="1"/>
  <c r="H120" i="6" s="1"/>
  <c r="L107" i="5"/>
  <c r="O106" i="1"/>
  <c r="Q106" i="1" s="1"/>
  <c r="T106" i="1" s="1"/>
  <c r="R99" i="7"/>
  <c r="Y99" i="7" s="1"/>
  <c r="Z99" i="7" s="1"/>
  <c r="AB99" i="7"/>
  <c r="E118" i="10"/>
  <c r="D135" i="7"/>
  <c r="G135" i="7" s="1"/>
  <c r="H135" i="7" s="1"/>
  <c r="C136" i="7"/>
  <c r="C151" i="2"/>
  <c r="E150" i="2"/>
  <c r="F150" i="2" s="1"/>
  <c r="N134" i="5"/>
  <c r="J134" i="5"/>
  <c r="J121" i="11"/>
  <c r="K121" i="11" s="1"/>
  <c r="N121" i="11"/>
  <c r="S87" i="12"/>
  <c r="V105" i="5"/>
  <c r="W105" i="6"/>
  <c r="E118" i="12"/>
  <c r="E121" i="11"/>
  <c r="W86" i="12"/>
  <c r="V86" i="12"/>
  <c r="K108" i="2"/>
  <c r="M108" i="2" s="1"/>
  <c r="J108" i="2"/>
  <c r="P107" i="5"/>
  <c r="Q107" i="5" s="1"/>
  <c r="N118" i="10"/>
  <c r="J118" i="10"/>
  <c r="K118" i="10" s="1"/>
  <c r="L149" i="2"/>
  <c r="H149" i="2"/>
  <c r="E119" i="6"/>
  <c r="E119" i="7" s="1"/>
  <c r="J119" i="7" s="1"/>
  <c r="V86" i="10"/>
  <c r="W86" i="10"/>
  <c r="C123" i="11"/>
  <c r="D122" i="11"/>
  <c r="G122" i="11" s="1"/>
  <c r="H122" i="11" s="1"/>
  <c r="W99" i="7"/>
  <c r="X99" i="7" s="1"/>
  <c r="M100" i="7"/>
  <c r="O100" i="7" s="1"/>
  <c r="L100" i="7"/>
  <c r="M87" i="10"/>
  <c r="O87" i="10" s="1"/>
  <c r="Y87" i="10"/>
  <c r="R108" i="6"/>
  <c r="Z86" i="11"/>
  <c r="R87" i="11"/>
  <c r="X87" i="11" s="1"/>
  <c r="J119" i="6"/>
  <c r="N119" i="6"/>
  <c r="AA97" i="7"/>
  <c r="V97" i="7"/>
  <c r="N118" i="12"/>
  <c r="J118" i="12"/>
  <c r="E119" i="10"/>
  <c r="D119" i="10"/>
  <c r="G119" i="10" s="1"/>
  <c r="H119" i="10" s="1"/>
  <c r="C120" i="10"/>
  <c r="H140" i="1"/>
  <c r="L140" i="1"/>
  <c r="Q86" i="10"/>
  <c r="N107" i="1"/>
  <c r="O107" i="1" s="1"/>
  <c r="Q107" i="1" s="1"/>
  <c r="T107" i="1" s="1"/>
  <c r="S107" i="6"/>
  <c r="R107" i="5" l="1"/>
  <c r="X107" i="6" s="1"/>
  <c r="S107" i="5"/>
  <c r="V107" i="5" s="1"/>
  <c r="Z107" i="6"/>
  <c r="N119" i="12"/>
  <c r="J119" i="12"/>
  <c r="K119" i="12" s="1"/>
  <c r="I108" i="1"/>
  <c r="L141" i="1"/>
  <c r="H141" i="1"/>
  <c r="D123" i="11"/>
  <c r="G123" i="11" s="1"/>
  <c r="H123" i="11" s="1"/>
  <c r="C124" i="11"/>
  <c r="Q87" i="11"/>
  <c r="S87" i="10"/>
  <c r="Z86" i="10"/>
  <c r="R87" i="10"/>
  <c r="X87" i="10" s="1"/>
  <c r="D136" i="5"/>
  <c r="G136" i="5" s="1"/>
  <c r="H136" i="5" s="1"/>
  <c r="C137" i="5"/>
  <c r="L150" i="2"/>
  <c r="H150" i="2"/>
  <c r="M108" i="5"/>
  <c r="O108" i="5" s="1"/>
  <c r="L108" i="5"/>
  <c r="Y107" i="6"/>
  <c r="Q109" i="6"/>
  <c r="P109" i="6"/>
  <c r="K108" i="5"/>
  <c r="E122" i="11"/>
  <c r="V98" i="7"/>
  <c r="AA98" i="7"/>
  <c r="C152" i="2"/>
  <c r="E151" i="2"/>
  <c r="F151" i="2" s="1"/>
  <c r="N119" i="10"/>
  <c r="J119" i="10"/>
  <c r="K119" i="10" s="1"/>
  <c r="P87" i="10"/>
  <c r="L88" i="10" s="1"/>
  <c r="C137" i="7"/>
  <c r="D136" i="7"/>
  <c r="G136" i="7" s="1"/>
  <c r="H136" i="7" s="1"/>
  <c r="E120" i="6"/>
  <c r="E120" i="7" s="1"/>
  <c r="J120" i="7" s="1"/>
  <c r="S106" i="5"/>
  <c r="N108" i="1"/>
  <c r="O108" i="1" s="1"/>
  <c r="Q108" i="1" s="1"/>
  <c r="T108" i="1" s="1"/>
  <c r="C121" i="12"/>
  <c r="D120" i="12"/>
  <c r="G120" i="12" s="1"/>
  <c r="H120" i="12" s="1"/>
  <c r="S99" i="7"/>
  <c r="E120" i="10"/>
  <c r="D120" i="10"/>
  <c r="G120" i="10" s="1"/>
  <c r="H120" i="10" s="1"/>
  <c r="C121" i="10"/>
  <c r="N135" i="7"/>
  <c r="J120" i="6"/>
  <c r="K120" i="6" s="1"/>
  <c r="N120" i="6"/>
  <c r="M88" i="12"/>
  <c r="O88" i="12" s="1"/>
  <c r="Y88" i="12"/>
  <c r="M110" i="6"/>
  <c r="O110" i="6" s="1"/>
  <c r="L110" i="6"/>
  <c r="J108" i="1"/>
  <c r="J122" i="11"/>
  <c r="K122" i="11" s="1"/>
  <c r="N122" i="11"/>
  <c r="J135" i="5"/>
  <c r="N135" i="5"/>
  <c r="S108" i="6"/>
  <c r="M88" i="11"/>
  <c r="O88" i="11" s="1"/>
  <c r="Y88" i="11"/>
  <c r="W107" i="6"/>
  <c r="V107" i="6"/>
  <c r="W100" i="7"/>
  <c r="X100" i="7" s="1"/>
  <c r="M101" i="7"/>
  <c r="O101" i="7" s="1"/>
  <c r="K109" i="2"/>
  <c r="M109" i="2" s="1"/>
  <c r="J109" i="2"/>
  <c r="V87" i="12"/>
  <c r="W87" i="12"/>
  <c r="S87" i="11"/>
  <c r="P100" i="7"/>
  <c r="K101" i="7" s="1"/>
  <c r="N108" i="2"/>
  <c r="I109" i="2" s="1"/>
  <c r="D121" i="6"/>
  <c r="G121" i="6" s="1"/>
  <c r="H121" i="6" s="1"/>
  <c r="C122" i="6"/>
  <c r="E121" i="6"/>
  <c r="E121" i="7" s="1"/>
  <c r="J121" i="7" s="1"/>
  <c r="Q87" i="12"/>
  <c r="C143" i="1"/>
  <c r="E142" i="1"/>
  <c r="F142" i="1" s="1"/>
  <c r="K123" i="11" l="1"/>
  <c r="E120" i="12"/>
  <c r="D137" i="7"/>
  <c r="G137" i="7" s="1"/>
  <c r="H137" i="7" s="1"/>
  <c r="C138" i="7"/>
  <c r="M109" i="5"/>
  <c r="O109" i="5" s="1"/>
  <c r="Y108" i="6"/>
  <c r="W87" i="10"/>
  <c r="V87" i="10"/>
  <c r="I109" i="1"/>
  <c r="L111" i="6"/>
  <c r="M111" i="6"/>
  <c r="O111" i="6" s="1"/>
  <c r="D124" i="11"/>
  <c r="G124" i="11" s="1"/>
  <c r="H124" i="11" s="1"/>
  <c r="C125" i="11"/>
  <c r="M88" i="10"/>
  <c r="O88" i="10" s="1"/>
  <c r="Y88" i="10"/>
  <c r="C122" i="12"/>
  <c r="E121" i="12"/>
  <c r="D121" i="12"/>
  <c r="G121" i="12" s="1"/>
  <c r="H121" i="12" s="1"/>
  <c r="L101" i="7"/>
  <c r="D121" i="10"/>
  <c r="G121" i="10" s="1"/>
  <c r="H121" i="10" s="1"/>
  <c r="C122" i="10"/>
  <c r="K109" i="5"/>
  <c r="C138" i="5"/>
  <c r="D137" i="5"/>
  <c r="G137" i="5" s="1"/>
  <c r="H137" i="5" s="1"/>
  <c r="N123" i="11"/>
  <c r="J123" i="11"/>
  <c r="J120" i="12"/>
  <c r="K120" i="12" s="1"/>
  <c r="N120" i="12"/>
  <c r="K110" i="2"/>
  <c r="M110" i="2" s="1"/>
  <c r="J110" i="2"/>
  <c r="Q87" i="10"/>
  <c r="P110" i="6"/>
  <c r="Q110" i="6" s="1"/>
  <c r="O108" i="2"/>
  <c r="Q108" i="2" s="1"/>
  <c r="T108" i="2" s="1"/>
  <c r="V108" i="6"/>
  <c r="H142" i="1"/>
  <c r="L142" i="1"/>
  <c r="Q100" i="7"/>
  <c r="P101" i="7"/>
  <c r="Q101" i="7"/>
  <c r="N120" i="10"/>
  <c r="J120" i="10"/>
  <c r="K120" i="10" s="1"/>
  <c r="V106" i="5"/>
  <c r="W106" i="6"/>
  <c r="L151" i="2"/>
  <c r="H151" i="2"/>
  <c r="J136" i="5"/>
  <c r="N136" i="5"/>
  <c r="E123" i="11"/>
  <c r="K109" i="1"/>
  <c r="M109" i="1" s="1"/>
  <c r="J109" i="1"/>
  <c r="P108" i="5"/>
  <c r="L109" i="5" s="1"/>
  <c r="Q108" i="5"/>
  <c r="S88" i="11"/>
  <c r="Z87" i="11"/>
  <c r="R88" i="11"/>
  <c r="X88" i="11" s="1"/>
  <c r="N109" i="2"/>
  <c r="I110" i="2" s="1"/>
  <c r="K102" i="7"/>
  <c r="C153" i="2"/>
  <c r="E152" i="2"/>
  <c r="F152" i="2" s="1"/>
  <c r="S109" i="6"/>
  <c r="R109" i="6"/>
  <c r="D122" i="6"/>
  <c r="G122" i="6" s="1"/>
  <c r="H122" i="6" s="1"/>
  <c r="C123" i="6"/>
  <c r="J121" i="6"/>
  <c r="K121" i="6" s="1"/>
  <c r="N121" i="6"/>
  <c r="Q88" i="11"/>
  <c r="P88" i="11"/>
  <c r="L89" i="11" s="1"/>
  <c r="C144" i="1"/>
  <c r="E143" i="1"/>
  <c r="F143" i="1" s="1"/>
  <c r="R88" i="12"/>
  <c r="X88" i="12" s="1"/>
  <c r="Z87" i="12"/>
  <c r="S88" i="12"/>
  <c r="W87" i="11"/>
  <c r="V87" i="11"/>
  <c r="P88" i="12"/>
  <c r="L89" i="12" s="1"/>
  <c r="V99" i="7"/>
  <c r="AA99" i="7"/>
  <c r="N136" i="7"/>
  <c r="M110" i="5" l="1"/>
  <c r="O110" i="5" s="1"/>
  <c r="Y109" i="6"/>
  <c r="R110" i="6"/>
  <c r="S110" i="6"/>
  <c r="Z88" i="11"/>
  <c r="R89" i="11"/>
  <c r="X89" i="11" s="1"/>
  <c r="V109" i="6"/>
  <c r="V88" i="11"/>
  <c r="W88" i="11"/>
  <c r="AB100" i="7"/>
  <c r="R100" i="7"/>
  <c r="Y100" i="7" s="1"/>
  <c r="Z100" i="7" s="1"/>
  <c r="S100" i="7"/>
  <c r="Z87" i="10"/>
  <c r="R88" i="10"/>
  <c r="X88" i="10" s="1"/>
  <c r="D138" i="5"/>
  <c r="G138" i="5" s="1"/>
  <c r="H138" i="5" s="1"/>
  <c r="C139" i="5"/>
  <c r="P111" i="6"/>
  <c r="Q111" i="6" s="1"/>
  <c r="L152" i="2"/>
  <c r="H152" i="2"/>
  <c r="C139" i="7"/>
  <c r="D138" i="7"/>
  <c r="G138" i="7" s="1"/>
  <c r="H138" i="7" s="1"/>
  <c r="W88" i="12"/>
  <c r="V88" i="12"/>
  <c r="R108" i="5"/>
  <c r="X108" i="6" s="1"/>
  <c r="Z108" i="6"/>
  <c r="E122" i="10"/>
  <c r="C123" i="10"/>
  <c r="D122" i="10"/>
  <c r="G122" i="10" s="1"/>
  <c r="H122" i="10" s="1"/>
  <c r="K110" i="1"/>
  <c r="M110" i="1" s="1"/>
  <c r="N109" i="1"/>
  <c r="J110" i="1" s="1"/>
  <c r="E121" i="10"/>
  <c r="P88" i="10"/>
  <c r="L89" i="10" s="1"/>
  <c r="K111" i="2"/>
  <c r="M111" i="2" s="1"/>
  <c r="C154" i="2"/>
  <c r="E153" i="2"/>
  <c r="F153" i="2" s="1"/>
  <c r="D123" i="6"/>
  <c r="G123" i="6" s="1"/>
  <c r="H123" i="6" s="1"/>
  <c r="C124" i="6"/>
  <c r="L143" i="1"/>
  <c r="H143" i="1"/>
  <c r="E122" i="6"/>
  <c r="E122" i="7" s="1"/>
  <c r="J122" i="7" s="1"/>
  <c r="O109" i="2"/>
  <c r="Q109" i="2" s="1"/>
  <c r="T109" i="2" s="1"/>
  <c r="W101" i="7"/>
  <c r="X101" i="7" s="1"/>
  <c r="M102" i="7"/>
  <c r="O102" i="7" s="1"/>
  <c r="L102" i="7"/>
  <c r="E125" i="11"/>
  <c r="D125" i="11"/>
  <c r="G125" i="11" s="1"/>
  <c r="H125" i="11" s="1"/>
  <c r="C126" i="11"/>
  <c r="C123" i="12"/>
  <c r="D122" i="12"/>
  <c r="G122" i="12" s="1"/>
  <c r="H122" i="12" s="1"/>
  <c r="E122" i="12"/>
  <c r="N137" i="7"/>
  <c r="C145" i="1"/>
  <c r="E144" i="1"/>
  <c r="F144" i="1" s="1"/>
  <c r="AB101" i="7"/>
  <c r="R101" i="7"/>
  <c r="Y101" i="7" s="1"/>
  <c r="Z101" i="7" s="1"/>
  <c r="N124" i="11"/>
  <c r="J124" i="11"/>
  <c r="K124" i="11" s="1"/>
  <c r="L112" i="6"/>
  <c r="M112" i="6"/>
  <c r="O112" i="6" s="1"/>
  <c r="N110" i="2"/>
  <c r="I111" i="2" s="1"/>
  <c r="N121" i="10"/>
  <c r="J121" i="10"/>
  <c r="K121" i="10" s="1"/>
  <c r="N122" i="6"/>
  <c r="J122" i="6"/>
  <c r="K122" i="6" s="1"/>
  <c r="M89" i="12"/>
  <c r="O89" i="12" s="1"/>
  <c r="Y89" i="12"/>
  <c r="Q88" i="12"/>
  <c r="M89" i="11"/>
  <c r="O89" i="11" s="1"/>
  <c r="Y89" i="11"/>
  <c r="N137" i="5"/>
  <c r="J137" i="5"/>
  <c r="N121" i="12"/>
  <c r="J121" i="12"/>
  <c r="K121" i="12" s="1"/>
  <c r="E124" i="11"/>
  <c r="P109" i="5"/>
  <c r="L110" i="5" s="1"/>
  <c r="K111" i="1" l="1"/>
  <c r="M111" i="1" s="1"/>
  <c r="M111" i="5"/>
  <c r="O111" i="5" s="1"/>
  <c r="L111" i="5"/>
  <c r="Y110" i="6"/>
  <c r="R111" i="6"/>
  <c r="C146" i="1"/>
  <c r="E145" i="1"/>
  <c r="F145" i="1" s="1"/>
  <c r="E124" i="6"/>
  <c r="E124" i="7" s="1"/>
  <c r="J124" i="7" s="1"/>
  <c r="D124" i="6"/>
  <c r="G124" i="6" s="1"/>
  <c r="H124" i="6" s="1"/>
  <c r="C125" i="6"/>
  <c r="Q88" i="10"/>
  <c r="J122" i="10"/>
  <c r="K122" i="10" s="1"/>
  <c r="N122" i="10"/>
  <c r="N138" i="5"/>
  <c r="J138" i="5"/>
  <c r="Y89" i="10"/>
  <c r="M89" i="10"/>
  <c r="O89" i="10" s="1"/>
  <c r="V110" i="6"/>
  <c r="L153" i="2"/>
  <c r="H153" i="2"/>
  <c r="N138" i="7"/>
  <c r="Q109" i="5"/>
  <c r="P102" i="7"/>
  <c r="K103" i="7" s="1"/>
  <c r="C155" i="2"/>
  <c r="E154" i="2"/>
  <c r="F154" i="2" s="1"/>
  <c r="V100" i="7"/>
  <c r="AA100" i="7"/>
  <c r="M113" i="6"/>
  <c r="O113" i="6" s="1"/>
  <c r="N123" i="6"/>
  <c r="J123" i="6"/>
  <c r="K123" i="6" s="1"/>
  <c r="P89" i="11"/>
  <c r="L90" i="11" s="1"/>
  <c r="Q89" i="11"/>
  <c r="K110" i="5"/>
  <c r="K111" i="5" s="1"/>
  <c r="Z88" i="12"/>
  <c r="R89" i="12"/>
  <c r="X89" i="12" s="1"/>
  <c r="O109" i="1"/>
  <c r="Q109" i="1" s="1"/>
  <c r="T109" i="1" s="1"/>
  <c r="S101" i="7"/>
  <c r="D123" i="12"/>
  <c r="G123" i="12" s="1"/>
  <c r="H123" i="12" s="1"/>
  <c r="C124" i="12"/>
  <c r="E123" i="12"/>
  <c r="J111" i="2"/>
  <c r="I110" i="1"/>
  <c r="S89" i="11"/>
  <c r="P110" i="5"/>
  <c r="Q110" i="5" s="1"/>
  <c r="M103" i="7"/>
  <c r="O103" i="7" s="1"/>
  <c r="L103" i="7"/>
  <c r="W102" i="7"/>
  <c r="X102" i="7" s="1"/>
  <c r="C124" i="10"/>
  <c r="D123" i="10"/>
  <c r="G123" i="10" s="1"/>
  <c r="H123" i="10" s="1"/>
  <c r="S88" i="10"/>
  <c r="J122" i="12"/>
  <c r="K122" i="12" s="1"/>
  <c r="N122" i="12"/>
  <c r="O110" i="2"/>
  <c r="Q110" i="2" s="1"/>
  <c r="T110" i="2" s="1"/>
  <c r="E126" i="11"/>
  <c r="C127" i="11"/>
  <c r="D126" i="11"/>
  <c r="G126" i="11" s="1"/>
  <c r="H126" i="11" s="1"/>
  <c r="N111" i="2"/>
  <c r="I112" i="2" s="1"/>
  <c r="S108" i="5"/>
  <c r="E123" i="6"/>
  <c r="E123" i="7" s="1"/>
  <c r="J123" i="7" s="1"/>
  <c r="C140" i="7"/>
  <c r="D139" i="7"/>
  <c r="G139" i="7" s="1"/>
  <c r="H139" i="7" s="1"/>
  <c r="P89" i="12"/>
  <c r="L90" i="12" s="1"/>
  <c r="Q89" i="12"/>
  <c r="P112" i="6"/>
  <c r="L113" i="6" s="1"/>
  <c r="L144" i="1"/>
  <c r="H144" i="1"/>
  <c r="N125" i="11"/>
  <c r="J125" i="11"/>
  <c r="K125" i="11" s="1"/>
  <c r="N110" i="1"/>
  <c r="J111" i="1" s="1"/>
  <c r="O110" i="1"/>
  <c r="Q110" i="1" s="1"/>
  <c r="T110" i="1" s="1"/>
  <c r="C140" i="5"/>
  <c r="D139" i="5"/>
  <c r="G139" i="5" s="1"/>
  <c r="H139" i="5" s="1"/>
  <c r="R110" i="5" l="1"/>
  <c r="X110" i="6" s="1"/>
  <c r="Z110" i="6"/>
  <c r="K123" i="12"/>
  <c r="M114" i="6"/>
  <c r="O114" i="6" s="1"/>
  <c r="K112" i="1"/>
  <c r="M112" i="1" s="1"/>
  <c r="K112" i="5"/>
  <c r="P111" i="5"/>
  <c r="Q111" i="5" s="1"/>
  <c r="M90" i="11"/>
  <c r="O90" i="11" s="1"/>
  <c r="Y90" i="11"/>
  <c r="V101" i="7"/>
  <c r="AA101" i="7"/>
  <c r="O111" i="1"/>
  <c r="Q111" i="1" s="1"/>
  <c r="T111" i="1" s="1"/>
  <c r="N111" i="1"/>
  <c r="J112" i="1" s="1"/>
  <c r="W103" i="7"/>
  <c r="X103" i="7" s="1"/>
  <c r="M104" i="7"/>
  <c r="O104" i="7" s="1"/>
  <c r="Z89" i="11"/>
  <c r="R90" i="11"/>
  <c r="X90" i="11" s="1"/>
  <c r="L154" i="2"/>
  <c r="H154" i="2"/>
  <c r="V108" i="5"/>
  <c r="W108" i="6"/>
  <c r="J139" i="5"/>
  <c r="N139" i="5"/>
  <c r="C141" i="5"/>
  <c r="D140" i="5"/>
  <c r="G140" i="5" s="1"/>
  <c r="H140" i="5" s="1"/>
  <c r="Q112" i="6"/>
  <c r="O111" i="2"/>
  <c r="Q111" i="2" s="1"/>
  <c r="T111" i="2" s="1"/>
  <c r="E123" i="10"/>
  <c r="W89" i="11"/>
  <c r="V89" i="11"/>
  <c r="R89" i="10"/>
  <c r="X89" i="10" s="1"/>
  <c r="Z88" i="10"/>
  <c r="S111" i="6"/>
  <c r="N139" i="7"/>
  <c r="D124" i="12"/>
  <c r="G124" i="12" s="1"/>
  <c r="H124" i="12" s="1"/>
  <c r="C125" i="12"/>
  <c r="P103" i="7"/>
  <c r="L104" i="7" s="1"/>
  <c r="M112" i="5"/>
  <c r="O112" i="5" s="1"/>
  <c r="Y111" i="6"/>
  <c r="W88" i="10"/>
  <c r="V88" i="10"/>
  <c r="N126" i="11"/>
  <c r="J126" i="11"/>
  <c r="K126" i="11" s="1"/>
  <c r="J123" i="10"/>
  <c r="K123" i="10" s="1"/>
  <c r="N123" i="10"/>
  <c r="I111" i="1"/>
  <c r="Q102" i="7"/>
  <c r="C126" i="6"/>
  <c r="D125" i="6"/>
  <c r="G125" i="6" s="1"/>
  <c r="H125" i="6" s="1"/>
  <c r="D140" i="7"/>
  <c r="G140" i="7" s="1"/>
  <c r="H140" i="7" s="1"/>
  <c r="C141" i="7"/>
  <c r="H145" i="1"/>
  <c r="L145" i="1"/>
  <c r="J123" i="12"/>
  <c r="N123" i="12"/>
  <c r="C147" i="1"/>
  <c r="E146" i="1"/>
  <c r="F146" i="1" s="1"/>
  <c r="C156" i="2"/>
  <c r="E155" i="2"/>
  <c r="F155" i="2" s="1"/>
  <c r="S90" i="12"/>
  <c r="R90" i="12"/>
  <c r="X90" i="12" s="1"/>
  <c r="Z89" i="12"/>
  <c r="Y90" i="12"/>
  <c r="M90" i="12"/>
  <c r="O90" i="12" s="1"/>
  <c r="D127" i="11"/>
  <c r="G127" i="11" s="1"/>
  <c r="H127" i="11" s="1"/>
  <c r="C128" i="11"/>
  <c r="E127" i="11"/>
  <c r="C125" i="10"/>
  <c r="E124" i="10"/>
  <c r="D124" i="10"/>
  <c r="G124" i="10" s="1"/>
  <c r="H124" i="10" s="1"/>
  <c r="K112" i="2"/>
  <c r="M112" i="2" s="1"/>
  <c r="J112" i="2"/>
  <c r="S89" i="12"/>
  <c r="P113" i="6"/>
  <c r="L114" i="6" s="1"/>
  <c r="R109" i="5"/>
  <c r="X109" i="6" s="1"/>
  <c r="Z109" i="6"/>
  <c r="P89" i="10"/>
  <c r="L90" i="10" s="1"/>
  <c r="N124" i="6"/>
  <c r="J124" i="6"/>
  <c r="K124" i="6" s="1"/>
  <c r="K113" i="1" l="1"/>
  <c r="M113" i="1" s="1"/>
  <c r="K127" i="11"/>
  <c r="R111" i="5"/>
  <c r="X111" i="6" s="1"/>
  <c r="S111" i="5"/>
  <c r="V111" i="5" s="1"/>
  <c r="Z111" i="6"/>
  <c r="M105" i="7"/>
  <c r="O105" i="7" s="1"/>
  <c r="W104" i="7"/>
  <c r="X104" i="7" s="1"/>
  <c r="M115" i="6"/>
  <c r="O115" i="6" s="1"/>
  <c r="Q113" i="6"/>
  <c r="W90" i="12"/>
  <c r="V90" i="12"/>
  <c r="P112" i="5"/>
  <c r="Q112" i="5"/>
  <c r="V111" i="6"/>
  <c r="P114" i="6"/>
  <c r="Q114" i="6" s="1"/>
  <c r="S112" i="6"/>
  <c r="R112" i="6"/>
  <c r="D125" i="12"/>
  <c r="G125" i="12" s="1"/>
  <c r="H125" i="12" s="1"/>
  <c r="C126" i="12"/>
  <c r="C129" i="11"/>
  <c r="E128" i="11"/>
  <c r="D128" i="11"/>
  <c r="G128" i="11" s="1"/>
  <c r="H128" i="11" s="1"/>
  <c r="J127" i="11"/>
  <c r="N127" i="11"/>
  <c r="J140" i="5"/>
  <c r="N140" i="5"/>
  <c r="Y90" i="10"/>
  <c r="M90" i="10"/>
  <c r="O90" i="10" s="1"/>
  <c r="N125" i="6"/>
  <c r="J125" i="6"/>
  <c r="K125" i="6" s="1"/>
  <c r="N112" i="2"/>
  <c r="I113" i="2" s="1"/>
  <c r="D126" i="6"/>
  <c r="G126" i="6" s="1"/>
  <c r="H126" i="6" s="1"/>
  <c r="C127" i="6"/>
  <c r="E126" i="6"/>
  <c r="E126" i="7" s="1"/>
  <c r="J126" i="7" s="1"/>
  <c r="N124" i="12"/>
  <c r="J124" i="12"/>
  <c r="K124" i="12" s="1"/>
  <c r="K104" i="7"/>
  <c r="S90" i="11"/>
  <c r="C142" i="7"/>
  <c r="D141" i="7"/>
  <c r="G141" i="7" s="1"/>
  <c r="H141" i="7" s="1"/>
  <c r="C157" i="2"/>
  <c r="E156" i="2"/>
  <c r="F156" i="2" s="1"/>
  <c r="Q103" i="7"/>
  <c r="K113" i="5"/>
  <c r="L146" i="1"/>
  <c r="H146" i="1"/>
  <c r="C142" i="5"/>
  <c r="D141" i="5"/>
  <c r="G141" i="5" s="1"/>
  <c r="H141" i="5" s="1"/>
  <c r="C148" i="1"/>
  <c r="E147" i="1"/>
  <c r="F147" i="1" s="1"/>
  <c r="J124" i="10"/>
  <c r="K124" i="10" s="1"/>
  <c r="N124" i="10"/>
  <c r="E125" i="6"/>
  <c r="E125" i="7" s="1"/>
  <c r="J125" i="7" s="1"/>
  <c r="E124" i="12"/>
  <c r="P104" i="7"/>
  <c r="L105" i="7" s="1"/>
  <c r="N112" i="1"/>
  <c r="J113" i="1" s="1"/>
  <c r="O112" i="1"/>
  <c r="Q112" i="1" s="1"/>
  <c r="T112" i="1" s="1"/>
  <c r="L155" i="2"/>
  <c r="H155" i="2"/>
  <c r="W89" i="12"/>
  <c r="V89" i="12"/>
  <c r="K113" i="2"/>
  <c r="M113" i="2" s="1"/>
  <c r="J113" i="2"/>
  <c r="P90" i="11"/>
  <c r="L91" i="11" s="1"/>
  <c r="Q90" i="11"/>
  <c r="S110" i="5"/>
  <c r="N140" i="7"/>
  <c r="P90" i="12"/>
  <c r="L91" i="12" s="1"/>
  <c r="S89" i="10"/>
  <c r="Q89" i="10"/>
  <c r="AB102" i="7"/>
  <c r="S102" i="7"/>
  <c r="R102" i="7"/>
  <c r="Y102" i="7" s="1"/>
  <c r="Z102" i="7" s="1"/>
  <c r="S109" i="5"/>
  <c r="D125" i="10"/>
  <c r="G125" i="10" s="1"/>
  <c r="H125" i="10" s="1"/>
  <c r="C126" i="10"/>
  <c r="E125" i="10"/>
  <c r="I112" i="1"/>
  <c r="I113" i="1" s="1"/>
  <c r="L112" i="5"/>
  <c r="K114" i="1" l="1"/>
  <c r="M114" i="1" s="1"/>
  <c r="R114" i="6"/>
  <c r="W105" i="7"/>
  <c r="X105" i="7" s="1"/>
  <c r="M106" i="7"/>
  <c r="O106" i="7" s="1"/>
  <c r="L106" i="7"/>
  <c r="V102" i="7"/>
  <c r="AA102" i="7"/>
  <c r="V110" i="5"/>
  <c r="W110" i="6"/>
  <c r="AB103" i="7"/>
  <c r="R103" i="7"/>
  <c r="Y103" i="7" s="1"/>
  <c r="Z103" i="7" s="1"/>
  <c r="J128" i="11"/>
  <c r="N128" i="11"/>
  <c r="V112" i="6"/>
  <c r="C158" i="2"/>
  <c r="E157" i="2"/>
  <c r="F157" i="2" s="1"/>
  <c r="W111" i="6"/>
  <c r="L115" i="6"/>
  <c r="H147" i="1"/>
  <c r="L147" i="1"/>
  <c r="Y91" i="11"/>
  <c r="M91" i="11"/>
  <c r="O91" i="11" s="1"/>
  <c r="N141" i="5"/>
  <c r="J141" i="5"/>
  <c r="D126" i="12"/>
  <c r="G126" i="12" s="1"/>
  <c r="H126" i="12" s="1"/>
  <c r="C127" i="12"/>
  <c r="Q104" i="7"/>
  <c r="J126" i="6"/>
  <c r="K126" i="6" s="1"/>
  <c r="N126" i="6"/>
  <c r="N125" i="12"/>
  <c r="J125" i="12"/>
  <c r="K125" i="12" s="1"/>
  <c r="P115" i="6"/>
  <c r="Q115" i="6" s="1"/>
  <c r="K128" i="11"/>
  <c r="R91" i="11"/>
  <c r="X91" i="11" s="1"/>
  <c r="S91" i="11"/>
  <c r="Z90" i="11"/>
  <c r="P90" i="10"/>
  <c r="L91" i="10" s="1"/>
  <c r="R113" i="6"/>
  <c r="R90" i="10"/>
  <c r="X90" i="10" s="1"/>
  <c r="Z89" i="10"/>
  <c r="C149" i="1"/>
  <c r="E148" i="1"/>
  <c r="F148" i="1" s="1"/>
  <c r="W89" i="10"/>
  <c r="V89" i="10"/>
  <c r="C128" i="6"/>
  <c r="D127" i="6"/>
  <c r="G127" i="6" s="1"/>
  <c r="H127" i="6" s="1"/>
  <c r="O113" i="2"/>
  <c r="Q113" i="2" s="1"/>
  <c r="T113" i="2" s="1"/>
  <c r="N113" i="2"/>
  <c r="N141" i="7"/>
  <c r="J125" i="10"/>
  <c r="K125" i="10" s="1"/>
  <c r="N125" i="10"/>
  <c r="Q90" i="12"/>
  <c r="D142" i="7"/>
  <c r="G142" i="7" s="1"/>
  <c r="H142" i="7" s="1"/>
  <c r="C143" i="7"/>
  <c r="I114" i="2"/>
  <c r="E125" i="12"/>
  <c r="R112" i="5"/>
  <c r="S112" i="5" s="1"/>
  <c r="C130" i="11"/>
  <c r="D129" i="11"/>
  <c r="G129" i="11" s="1"/>
  <c r="H129" i="11" s="1"/>
  <c r="Y91" i="12"/>
  <c r="M91" i="12"/>
  <c r="O91" i="12" s="1"/>
  <c r="W90" i="11"/>
  <c r="V90" i="11"/>
  <c r="O112" i="2"/>
  <c r="Q112" i="2" s="1"/>
  <c r="T112" i="2" s="1"/>
  <c r="X112" i="6"/>
  <c r="O113" i="1"/>
  <c r="Q113" i="1" s="1"/>
  <c r="T113" i="1" s="1"/>
  <c r="N113" i="1"/>
  <c r="J114" i="1" s="1"/>
  <c r="M113" i="5"/>
  <c r="O113" i="5" s="1"/>
  <c r="L113" i="5"/>
  <c r="Y112" i="6"/>
  <c r="L156" i="2"/>
  <c r="H156" i="2"/>
  <c r="K114" i="2"/>
  <c r="M114" i="2" s="1"/>
  <c r="J114" i="2"/>
  <c r="E126" i="10"/>
  <c r="D126" i="10"/>
  <c r="G126" i="10" s="1"/>
  <c r="H126" i="10" s="1"/>
  <c r="C127" i="10"/>
  <c r="D142" i="5"/>
  <c r="G142" i="5" s="1"/>
  <c r="H142" i="5" s="1"/>
  <c r="C143" i="5"/>
  <c r="V109" i="5"/>
  <c r="W109" i="6"/>
  <c r="K105" i="7"/>
  <c r="K106" i="7" s="1"/>
  <c r="Z112" i="6"/>
  <c r="Q105" i="7"/>
  <c r="P105" i="7"/>
  <c r="K115" i="1" l="1"/>
  <c r="M115" i="1" s="1"/>
  <c r="R115" i="6"/>
  <c r="S115" i="6"/>
  <c r="V112" i="5"/>
  <c r="W112" i="6"/>
  <c r="D143" i="7"/>
  <c r="G143" i="7" s="1"/>
  <c r="H143" i="7" s="1"/>
  <c r="C144" i="7"/>
  <c r="S90" i="10"/>
  <c r="C159" i="2"/>
  <c r="E158" i="2"/>
  <c r="F158" i="2" s="1"/>
  <c r="W106" i="7"/>
  <c r="X106" i="7" s="1"/>
  <c r="M107" i="7"/>
  <c r="O107" i="7" s="1"/>
  <c r="K115" i="2"/>
  <c r="M115" i="2" s="1"/>
  <c r="J115" i="2"/>
  <c r="P91" i="11"/>
  <c r="L92" i="11" s="1"/>
  <c r="C129" i="6"/>
  <c r="D128" i="6"/>
  <c r="G128" i="6" s="1"/>
  <c r="H128" i="6" s="1"/>
  <c r="N142" i="7"/>
  <c r="E127" i="6"/>
  <c r="E127" i="7" s="1"/>
  <c r="J127" i="7" s="1"/>
  <c r="D130" i="11"/>
  <c r="G130" i="11" s="1"/>
  <c r="H130" i="11" s="1"/>
  <c r="C131" i="11"/>
  <c r="E130" i="11"/>
  <c r="C128" i="12"/>
  <c r="D127" i="12"/>
  <c r="G127" i="12" s="1"/>
  <c r="H127" i="12" s="1"/>
  <c r="N126" i="12"/>
  <c r="J126" i="12"/>
  <c r="K126" i="12" s="1"/>
  <c r="W91" i="11"/>
  <c r="V91" i="11"/>
  <c r="P106" i="7"/>
  <c r="Q106" i="7" s="1"/>
  <c r="E129" i="11"/>
  <c r="N142" i="5"/>
  <c r="J142" i="5"/>
  <c r="S113" i="6"/>
  <c r="E126" i="12"/>
  <c r="M116" i="6"/>
  <c r="O116" i="6" s="1"/>
  <c r="L116" i="6"/>
  <c r="S114" i="6"/>
  <c r="J129" i="11"/>
  <c r="K129" i="11" s="1"/>
  <c r="N129" i="11"/>
  <c r="I114" i="1"/>
  <c r="I115" i="1" s="1"/>
  <c r="O114" i="2"/>
  <c r="Q114" i="2" s="1"/>
  <c r="T114" i="2" s="1"/>
  <c r="N114" i="2"/>
  <c r="E127" i="10"/>
  <c r="D127" i="10"/>
  <c r="G127" i="10" s="1"/>
  <c r="H127" i="10" s="1"/>
  <c r="C128" i="10"/>
  <c r="H148" i="1"/>
  <c r="L148" i="1"/>
  <c r="Y91" i="10"/>
  <c r="M91" i="10"/>
  <c r="O91" i="10" s="1"/>
  <c r="O114" i="1"/>
  <c r="Q114" i="1" s="1"/>
  <c r="T114" i="1" s="1"/>
  <c r="N114" i="1"/>
  <c r="J115" i="1" s="1"/>
  <c r="J127" i="6"/>
  <c r="K127" i="6" s="1"/>
  <c r="N127" i="6"/>
  <c r="R91" i="12"/>
  <c r="X91" i="12" s="1"/>
  <c r="Z90" i="12"/>
  <c r="S91" i="12"/>
  <c r="AB104" i="7"/>
  <c r="S104" i="7"/>
  <c r="R104" i="7"/>
  <c r="Y104" i="7" s="1"/>
  <c r="Z104" i="7" s="1"/>
  <c r="C144" i="5"/>
  <c r="D143" i="5"/>
  <c r="G143" i="5" s="1"/>
  <c r="H143" i="5" s="1"/>
  <c r="R105" i="7"/>
  <c r="Y105" i="7" s="1"/>
  <c r="Z105" i="7" s="1"/>
  <c r="AB105" i="7"/>
  <c r="M114" i="5"/>
  <c r="O114" i="5" s="1"/>
  <c r="Y113" i="6"/>
  <c r="N126" i="10"/>
  <c r="J126" i="10"/>
  <c r="K126" i="10" s="1"/>
  <c r="P113" i="5"/>
  <c r="K114" i="5" s="1"/>
  <c r="P91" i="12"/>
  <c r="L92" i="12" s="1"/>
  <c r="I115" i="2"/>
  <c r="E149" i="1"/>
  <c r="F149" i="1" s="1"/>
  <c r="C150" i="1"/>
  <c r="Q90" i="10"/>
  <c r="L157" i="2"/>
  <c r="H157" i="2"/>
  <c r="S103" i="7"/>
  <c r="R106" i="7" l="1"/>
  <c r="Y106" i="7" s="1"/>
  <c r="Z106" i="7" s="1"/>
  <c r="AB106" i="7"/>
  <c r="S106" i="7"/>
  <c r="K128" i="6"/>
  <c r="K127" i="12"/>
  <c r="K130" i="11"/>
  <c r="K116" i="1"/>
  <c r="M116" i="1" s="1"/>
  <c r="W91" i="12"/>
  <c r="V91" i="12"/>
  <c r="D129" i="6"/>
  <c r="G129" i="6" s="1"/>
  <c r="H129" i="6" s="1"/>
  <c r="C130" i="6"/>
  <c r="E129" i="6"/>
  <c r="E129" i="7" s="1"/>
  <c r="J129" i="7" s="1"/>
  <c r="L158" i="2"/>
  <c r="H158" i="2"/>
  <c r="V115" i="6"/>
  <c r="C145" i="7"/>
  <c r="D144" i="7"/>
  <c r="G144" i="7" s="1"/>
  <c r="H144" i="7" s="1"/>
  <c r="I116" i="1"/>
  <c r="D131" i="11"/>
  <c r="G131" i="11" s="1"/>
  <c r="H131" i="11" s="1"/>
  <c r="C132" i="11"/>
  <c r="Z90" i="10"/>
  <c r="R91" i="10"/>
  <c r="X91" i="10" s="1"/>
  <c r="W90" i="10"/>
  <c r="V90" i="10"/>
  <c r="V114" i="6"/>
  <c r="N115" i="2"/>
  <c r="O115" i="2" s="1"/>
  <c r="Q115" i="2" s="1"/>
  <c r="T115" i="2" s="1"/>
  <c r="N143" i="7"/>
  <c r="Y92" i="11"/>
  <c r="M92" i="11"/>
  <c r="O92" i="11" s="1"/>
  <c r="J130" i="11"/>
  <c r="N130" i="11"/>
  <c r="K116" i="2"/>
  <c r="M116" i="2" s="1"/>
  <c r="J116" i="2"/>
  <c r="I116" i="2"/>
  <c r="P114" i="5"/>
  <c r="Q114" i="5" s="1"/>
  <c r="N127" i="10"/>
  <c r="J127" i="10"/>
  <c r="K127" i="10" s="1"/>
  <c r="N127" i="12"/>
  <c r="J127" i="12"/>
  <c r="L107" i="7"/>
  <c r="K107" i="7"/>
  <c r="N115" i="1"/>
  <c r="J116" i="1" s="1"/>
  <c r="O115" i="1"/>
  <c r="Q115" i="1" s="1"/>
  <c r="T115" i="1" s="1"/>
  <c r="Q113" i="5"/>
  <c r="J143" i="5"/>
  <c r="N143" i="5"/>
  <c r="Q91" i="11"/>
  <c r="C145" i="5"/>
  <c r="D144" i="5"/>
  <c r="G144" i="5" s="1"/>
  <c r="H144" i="5" s="1"/>
  <c r="Y92" i="12"/>
  <c r="M92" i="12"/>
  <c r="O92" i="12" s="1"/>
  <c r="L114" i="5"/>
  <c r="AA104" i="7"/>
  <c r="V104" i="7"/>
  <c r="M117" i="6"/>
  <c r="O117" i="6" s="1"/>
  <c r="D128" i="12"/>
  <c r="G128" i="12" s="1"/>
  <c r="H128" i="12" s="1"/>
  <c r="C129" i="12"/>
  <c r="E128" i="12"/>
  <c r="J128" i="6"/>
  <c r="N128" i="6"/>
  <c r="P107" i="7"/>
  <c r="Q107" i="7" s="1"/>
  <c r="S105" i="7"/>
  <c r="V113" i="6"/>
  <c r="C160" i="2"/>
  <c r="E159" i="2"/>
  <c r="F159" i="2" s="1"/>
  <c r="C151" i="1"/>
  <c r="E150" i="1"/>
  <c r="F150" i="1" s="1"/>
  <c r="L149" i="1"/>
  <c r="H149" i="1"/>
  <c r="E128" i="10"/>
  <c r="D128" i="10"/>
  <c r="G128" i="10" s="1"/>
  <c r="H128" i="10" s="1"/>
  <c r="C129" i="10"/>
  <c r="AA103" i="7"/>
  <c r="V103" i="7"/>
  <c r="Q91" i="12"/>
  <c r="P91" i="10"/>
  <c r="L92" i="10" s="1"/>
  <c r="P116" i="6"/>
  <c r="L117" i="6" s="1"/>
  <c r="E127" i="12"/>
  <c r="E128" i="6"/>
  <c r="E128" i="7" s="1"/>
  <c r="J128" i="7" s="1"/>
  <c r="R114" i="5" l="1"/>
  <c r="X114" i="6" s="1"/>
  <c r="Z114" i="6"/>
  <c r="M118" i="6"/>
  <c r="O118" i="6" s="1"/>
  <c r="L118" i="6"/>
  <c r="K117" i="1"/>
  <c r="M117" i="1" s="1"/>
  <c r="R107" i="7"/>
  <c r="Y107" i="7" s="1"/>
  <c r="Z107" i="7" s="1"/>
  <c r="AB107" i="7"/>
  <c r="Q116" i="6"/>
  <c r="N128" i="10"/>
  <c r="J128" i="10"/>
  <c r="K128" i="10" s="1"/>
  <c r="C161" i="2"/>
  <c r="E160" i="2"/>
  <c r="F160" i="2" s="1"/>
  <c r="M115" i="5"/>
  <c r="O115" i="5" s="1"/>
  <c r="L115" i="5"/>
  <c r="Y114" i="6"/>
  <c r="D132" i="11"/>
  <c r="G132" i="11" s="1"/>
  <c r="H132" i="11" s="1"/>
  <c r="C133" i="11"/>
  <c r="C130" i="12"/>
  <c r="D129" i="12"/>
  <c r="G129" i="12" s="1"/>
  <c r="H129" i="12" s="1"/>
  <c r="J128" i="12"/>
  <c r="N128" i="12"/>
  <c r="N144" i="7"/>
  <c r="J129" i="6"/>
  <c r="K129" i="6" s="1"/>
  <c r="N129" i="6"/>
  <c r="P92" i="12"/>
  <c r="L93" i="12" s="1"/>
  <c r="Q91" i="10"/>
  <c r="J144" i="5"/>
  <c r="N144" i="5"/>
  <c r="I117" i="2"/>
  <c r="D145" i="7"/>
  <c r="G145" i="7" s="1"/>
  <c r="H145" i="7" s="1"/>
  <c r="C146" i="7"/>
  <c r="R113" i="5"/>
  <c r="X113" i="6" s="1"/>
  <c r="Z113" i="6"/>
  <c r="P92" i="11"/>
  <c r="L93" i="11" s="1"/>
  <c r="K131" i="11"/>
  <c r="K128" i="12"/>
  <c r="Z91" i="12"/>
  <c r="R92" i="12"/>
  <c r="X92" i="12" s="1"/>
  <c r="P117" i="6"/>
  <c r="Q117" i="6" s="1"/>
  <c r="K108" i="7"/>
  <c r="C152" i="1"/>
  <c r="E151" i="1"/>
  <c r="F151" i="1" s="1"/>
  <c r="C146" i="5"/>
  <c r="D145" i="5"/>
  <c r="G145" i="5" s="1"/>
  <c r="H145" i="5" s="1"/>
  <c r="W107" i="7"/>
  <c r="X107" i="7" s="1"/>
  <c r="M108" i="7"/>
  <c r="O108" i="7" s="1"/>
  <c r="L108" i="7"/>
  <c r="K117" i="2"/>
  <c r="M117" i="2" s="1"/>
  <c r="J117" i="2"/>
  <c r="V106" i="7"/>
  <c r="AA106" i="7"/>
  <c r="H150" i="1"/>
  <c r="L150" i="1"/>
  <c r="R92" i="11"/>
  <c r="X92" i="11" s="1"/>
  <c r="Z91" i="11"/>
  <c r="S92" i="11"/>
  <c r="O116" i="2"/>
  <c r="Q116" i="2" s="1"/>
  <c r="T116" i="2" s="1"/>
  <c r="N116" i="2"/>
  <c r="S91" i="10"/>
  <c r="K115" i="5"/>
  <c r="N131" i="11"/>
  <c r="J131" i="11"/>
  <c r="Y92" i="10"/>
  <c r="M92" i="10"/>
  <c r="O92" i="10" s="1"/>
  <c r="D130" i="6"/>
  <c r="G130" i="6" s="1"/>
  <c r="H130" i="6" s="1"/>
  <c r="C131" i="6"/>
  <c r="AA105" i="7"/>
  <c r="V105" i="7"/>
  <c r="D129" i="10"/>
  <c r="G129" i="10" s="1"/>
  <c r="H129" i="10" s="1"/>
  <c r="C130" i="10"/>
  <c r="L159" i="2"/>
  <c r="H159" i="2"/>
  <c r="E131" i="11"/>
  <c r="N116" i="1"/>
  <c r="J117" i="1" s="1"/>
  <c r="R117" i="6" l="1"/>
  <c r="S117" i="6"/>
  <c r="K118" i="1"/>
  <c r="M118" i="1" s="1"/>
  <c r="K130" i="6"/>
  <c r="K129" i="10"/>
  <c r="C131" i="12"/>
  <c r="D130" i="12"/>
  <c r="G130" i="12" s="1"/>
  <c r="H130" i="12" s="1"/>
  <c r="C162" i="2"/>
  <c r="E161" i="2"/>
  <c r="F161" i="2" s="1"/>
  <c r="N117" i="1"/>
  <c r="J118" i="1" s="1"/>
  <c r="C131" i="10"/>
  <c r="E130" i="10"/>
  <c r="D130" i="10"/>
  <c r="G130" i="10" s="1"/>
  <c r="H130" i="10" s="1"/>
  <c r="W92" i="11"/>
  <c r="V92" i="11"/>
  <c r="C153" i="1"/>
  <c r="E152" i="1"/>
  <c r="F152" i="1" s="1"/>
  <c r="M119" i="6"/>
  <c r="O119" i="6" s="1"/>
  <c r="N132" i="11"/>
  <c r="J132" i="11"/>
  <c r="P108" i="7"/>
  <c r="L109" i="7" s="1"/>
  <c r="Q108" i="7"/>
  <c r="S92" i="10"/>
  <c r="Z91" i="10"/>
  <c r="R92" i="10"/>
  <c r="X92" i="10" s="1"/>
  <c r="L151" i="1"/>
  <c r="H151" i="1"/>
  <c r="K132" i="11"/>
  <c r="E129" i="10"/>
  <c r="E132" i="11"/>
  <c r="O116" i="1"/>
  <c r="Q116" i="1" s="1"/>
  <c r="T116" i="1" s="1"/>
  <c r="K116" i="5"/>
  <c r="Y93" i="12"/>
  <c r="M93" i="12"/>
  <c r="O93" i="12" s="1"/>
  <c r="M116" i="5"/>
  <c r="O116" i="5" s="1"/>
  <c r="L116" i="5"/>
  <c r="Y115" i="6"/>
  <c r="N129" i="10"/>
  <c r="J129" i="10"/>
  <c r="O117" i="2"/>
  <c r="Q117" i="2" s="1"/>
  <c r="T117" i="2" s="1"/>
  <c r="N117" i="2"/>
  <c r="I118" i="2" s="1"/>
  <c r="R116" i="6"/>
  <c r="S116" i="6" s="1"/>
  <c r="W91" i="10"/>
  <c r="V91" i="10"/>
  <c r="I117" i="1"/>
  <c r="N145" i="5"/>
  <c r="J145" i="5"/>
  <c r="S113" i="5"/>
  <c r="Q92" i="12"/>
  <c r="J129" i="12"/>
  <c r="K129" i="12" s="1"/>
  <c r="N129" i="12"/>
  <c r="Q115" i="5"/>
  <c r="P115" i="5"/>
  <c r="S107" i="7"/>
  <c r="S114" i="5"/>
  <c r="P92" i="10"/>
  <c r="L93" i="10" s="1"/>
  <c r="N145" i="7"/>
  <c r="K118" i="2"/>
  <c r="M118" i="2" s="1"/>
  <c r="C134" i="11"/>
  <c r="D133" i="11"/>
  <c r="G133" i="11" s="1"/>
  <c r="H133" i="11" s="1"/>
  <c r="Y93" i="11"/>
  <c r="M93" i="11"/>
  <c r="O93" i="11" s="1"/>
  <c r="Q118" i="6"/>
  <c r="P118" i="6"/>
  <c r="L119" i="6" s="1"/>
  <c r="W108" i="7"/>
  <c r="X108" i="7" s="1"/>
  <c r="M109" i="7"/>
  <c r="O109" i="7" s="1"/>
  <c r="Q92" i="11"/>
  <c r="D131" i="6"/>
  <c r="G131" i="6" s="1"/>
  <c r="H131" i="6" s="1"/>
  <c r="C132" i="6"/>
  <c r="N130" i="6"/>
  <c r="J130" i="6"/>
  <c r="E130" i="6"/>
  <c r="E130" i="7" s="1"/>
  <c r="J130" i="7" s="1"/>
  <c r="D146" i="5"/>
  <c r="G146" i="5" s="1"/>
  <c r="H146" i="5" s="1"/>
  <c r="C147" i="5"/>
  <c r="S92" i="12"/>
  <c r="C147" i="7"/>
  <c r="D146" i="7"/>
  <c r="G146" i="7" s="1"/>
  <c r="H146" i="7" s="1"/>
  <c r="E129" i="12"/>
  <c r="L160" i="2"/>
  <c r="H160" i="2"/>
  <c r="W109" i="7" l="1"/>
  <c r="X109" i="7" s="1"/>
  <c r="M110" i="7"/>
  <c r="O110" i="7" s="1"/>
  <c r="K119" i="1"/>
  <c r="M119" i="1" s="1"/>
  <c r="L120" i="6"/>
  <c r="M120" i="6"/>
  <c r="O120" i="6" s="1"/>
  <c r="V116" i="6"/>
  <c r="I119" i="2"/>
  <c r="D132" i="6"/>
  <c r="G132" i="6" s="1"/>
  <c r="H132" i="6" s="1"/>
  <c r="C133" i="6"/>
  <c r="R118" i="6"/>
  <c r="S118" i="6"/>
  <c r="N118" i="2"/>
  <c r="O118" i="2" s="1"/>
  <c r="Q118" i="2" s="1"/>
  <c r="T118" i="2" s="1"/>
  <c r="R115" i="5"/>
  <c r="X115" i="6" s="1"/>
  <c r="S115" i="5"/>
  <c r="Z115" i="6"/>
  <c r="D131" i="12"/>
  <c r="G131" i="12" s="1"/>
  <c r="H131" i="12" s="1"/>
  <c r="C132" i="12"/>
  <c r="E131" i="12"/>
  <c r="P93" i="11"/>
  <c r="L94" i="11" s="1"/>
  <c r="K130" i="10"/>
  <c r="S93" i="12"/>
  <c r="Z92" i="12"/>
  <c r="R93" i="12"/>
  <c r="X93" i="12" s="1"/>
  <c r="K109" i="7"/>
  <c r="O117" i="1"/>
  <c r="Q117" i="1" s="1"/>
  <c r="T117" i="1" s="1"/>
  <c r="V92" i="12"/>
  <c r="W92" i="12"/>
  <c r="C154" i="1"/>
  <c r="E153" i="1"/>
  <c r="F153" i="1" s="1"/>
  <c r="S93" i="11"/>
  <c r="Z92" i="11"/>
  <c r="R93" i="11"/>
  <c r="X93" i="11" s="1"/>
  <c r="M117" i="5"/>
  <c r="O117" i="5" s="1"/>
  <c r="Y116" i="6"/>
  <c r="P116" i="5"/>
  <c r="L117" i="5" s="1"/>
  <c r="Q116" i="5"/>
  <c r="L161" i="2"/>
  <c r="H161" i="2"/>
  <c r="N118" i="1"/>
  <c r="J119" i="1" s="1"/>
  <c r="O118" i="1"/>
  <c r="Q118" i="1" s="1"/>
  <c r="T118" i="1" s="1"/>
  <c r="C148" i="7"/>
  <c r="D147" i="7"/>
  <c r="G147" i="7" s="1"/>
  <c r="H147" i="7" s="1"/>
  <c r="L152" i="1"/>
  <c r="H152" i="1"/>
  <c r="C148" i="5"/>
  <c r="D147" i="5"/>
  <c r="G147" i="5" s="1"/>
  <c r="H147" i="5" s="1"/>
  <c r="N133" i="11"/>
  <c r="J133" i="11"/>
  <c r="K133" i="11" s="1"/>
  <c r="P109" i="7"/>
  <c r="L110" i="7" s="1"/>
  <c r="D134" i="11"/>
  <c r="G134" i="11" s="1"/>
  <c r="H134" i="11" s="1"/>
  <c r="C135" i="11"/>
  <c r="V114" i="5"/>
  <c r="W114" i="6"/>
  <c r="P93" i="12"/>
  <c r="L94" i="12" s="1"/>
  <c r="C163" i="2"/>
  <c r="E162" i="2"/>
  <c r="F162" i="2" s="1"/>
  <c r="N146" i="7"/>
  <c r="C132" i="10"/>
  <c r="D131" i="10"/>
  <c r="G131" i="10" s="1"/>
  <c r="H131" i="10" s="1"/>
  <c r="E131" i="6"/>
  <c r="E131" i="7" s="1"/>
  <c r="J131" i="7" s="1"/>
  <c r="V113" i="5"/>
  <c r="W113" i="6"/>
  <c r="V107" i="7"/>
  <c r="AA107" i="7"/>
  <c r="J130" i="12"/>
  <c r="K130" i="12" s="1"/>
  <c r="N130" i="12"/>
  <c r="V117" i="6"/>
  <c r="N131" i="6"/>
  <c r="J131" i="6"/>
  <c r="K131" i="6" s="1"/>
  <c r="W92" i="10"/>
  <c r="V92" i="10"/>
  <c r="AB108" i="7"/>
  <c r="R108" i="7"/>
  <c r="Y108" i="7" s="1"/>
  <c r="Z108" i="7" s="1"/>
  <c r="S108" i="7"/>
  <c r="M93" i="10"/>
  <c r="O93" i="10" s="1"/>
  <c r="Y93" i="10"/>
  <c r="N146" i="5"/>
  <c r="J146" i="5"/>
  <c r="Q92" i="10"/>
  <c r="E133" i="11"/>
  <c r="J118" i="2"/>
  <c r="I118" i="1"/>
  <c r="I119" i="1" s="1"/>
  <c r="Q119" i="6"/>
  <c r="P119" i="6"/>
  <c r="J130" i="10"/>
  <c r="N130" i="10"/>
  <c r="E130" i="12"/>
  <c r="K120" i="1" l="1"/>
  <c r="M120" i="1" s="1"/>
  <c r="M118" i="5"/>
  <c r="O118" i="5" s="1"/>
  <c r="Y117" i="6"/>
  <c r="K131" i="12"/>
  <c r="M111" i="7"/>
  <c r="O111" i="7" s="1"/>
  <c r="W110" i="7"/>
  <c r="X110" i="7" s="1"/>
  <c r="R116" i="5"/>
  <c r="X116" i="6" s="1"/>
  <c r="Z116" i="6"/>
  <c r="J131" i="10"/>
  <c r="N131" i="10"/>
  <c r="C155" i="1"/>
  <c r="E154" i="1"/>
  <c r="F154" i="1" s="1"/>
  <c r="R119" i="6"/>
  <c r="S119" i="6" s="1"/>
  <c r="C164" i="2"/>
  <c r="E163" i="2"/>
  <c r="F163" i="2" s="1"/>
  <c r="Q109" i="7"/>
  <c r="W93" i="11"/>
  <c r="V93" i="11"/>
  <c r="K117" i="5"/>
  <c r="P120" i="6"/>
  <c r="Q120" i="6" s="1"/>
  <c r="M94" i="12"/>
  <c r="O94" i="12" s="1"/>
  <c r="Y94" i="12"/>
  <c r="W93" i="12"/>
  <c r="V93" i="12"/>
  <c r="V108" i="7"/>
  <c r="AA108" i="7"/>
  <c r="Y94" i="11"/>
  <c r="M94" i="11"/>
  <c r="O94" i="11" s="1"/>
  <c r="E132" i="6"/>
  <c r="E132" i="7" s="1"/>
  <c r="J132" i="7" s="1"/>
  <c r="N119" i="1"/>
  <c r="O119" i="1" s="1"/>
  <c r="Q119" i="1" s="1"/>
  <c r="T119" i="1" s="1"/>
  <c r="P93" i="10"/>
  <c r="L94" i="10" s="1"/>
  <c r="D133" i="6"/>
  <c r="G133" i="6" s="1"/>
  <c r="H133" i="6" s="1"/>
  <c r="C134" i="6"/>
  <c r="N132" i="6"/>
  <c r="J132" i="6"/>
  <c r="K132" i="6" s="1"/>
  <c r="N147" i="7"/>
  <c r="M121" i="6"/>
  <c r="O121" i="6" s="1"/>
  <c r="L121" i="6"/>
  <c r="C149" i="7"/>
  <c r="D148" i="7"/>
  <c r="G148" i="7" s="1"/>
  <c r="H148" i="7" s="1"/>
  <c r="Z92" i="10"/>
  <c r="R93" i="10"/>
  <c r="X93" i="10" s="1"/>
  <c r="Q93" i="11"/>
  <c r="C136" i="11"/>
  <c r="D135" i="11"/>
  <c r="G135" i="11" s="1"/>
  <c r="H135" i="11" s="1"/>
  <c r="E135" i="11"/>
  <c r="J147" i="5"/>
  <c r="N147" i="5"/>
  <c r="P117" i="5"/>
  <c r="Q117" i="5" s="1"/>
  <c r="I120" i="1"/>
  <c r="Q93" i="12"/>
  <c r="K131" i="10"/>
  <c r="E131" i="10"/>
  <c r="J134" i="11"/>
  <c r="K134" i="11" s="1"/>
  <c r="N134" i="11"/>
  <c r="C149" i="5"/>
  <c r="D148" i="5"/>
  <c r="G148" i="5" s="1"/>
  <c r="H148" i="5" s="1"/>
  <c r="K110" i="7"/>
  <c r="K111" i="7" s="1"/>
  <c r="D132" i="12"/>
  <c r="G132" i="12" s="1"/>
  <c r="H132" i="12" s="1"/>
  <c r="C133" i="12"/>
  <c r="V118" i="6"/>
  <c r="P110" i="7"/>
  <c r="L111" i="7" s="1"/>
  <c r="H153" i="1"/>
  <c r="L153" i="1"/>
  <c r="K119" i="2"/>
  <c r="M119" i="2" s="1"/>
  <c r="J119" i="2"/>
  <c r="V115" i="5"/>
  <c r="W115" i="6"/>
  <c r="C133" i="10"/>
  <c r="D132" i="10"/>
  <c r="G132" i="10" s="1"/>
  <c r="H132" i="10" s="1"/>
  <c r="L162" i="2"/>
  <c r="H162" i="2"/>
  <c r="E134" i="11"/>
  <c r="J131" i="12"/>
  <c r="N131" i="12"/>
  <c r="W111" i="7" l="1"/>
  <c r="X111" i="7" s="1"/>
  <c r="M112" i="7"/>
  <c r="O112" i="7" s="1"/>
  <c r="V119" i="6"/>
  <c r="S120" i="6"/>
  <c r="R120" i="6"/>
  <c r="R117" i="5"/>
  <c r="X117" i="6" s="1"/>
  <c r="Z117" i="6"/>
  <c r="C150" i="7"/>
  <c r="D149" i="7"/>
  <c r="G149" i="7" s="1"/>
  <c r="H149" i="7" s="1"/>
  <c r="AB109" i="7"/>
  <c r="R109" i="7"/>
  <c r="Y109" i="7" s="1"/>
  <c r="Z109" i="7" s="1"/>
  <c r="N119" i="2"/>
  <c r="I120" i="2" s="1"/>
  <c r="E132" i="12"/>
  <c r="J132" i="10"/>
  <c r="K132" i="10" s="1"/>
  <c r="N132" i="10"/>
  <c r="E133" i="6"/>
  <c r="E133" i="7" s="1"/>
  <c r="J133" i="7" s="1"/>
  <c r="L118" i="5"/>
  <c r="N132" i="12"/>
  <c r="J132" i="12"/>
  <c r="K132" i="12" s="1"/>
  <c r="M122" i="6"/>
  <c r="O122" i="6" s="1"/>
  <c r="L122" i="6"/>
  <c r="C165" i="2"/>
  <c r="E164" i="2"/>
  <c r="F164" i="2" s="1"/>
  <c r="P121" i="6"/>
  <c r="Q121" i="6" s="1"/>
  <c r="E132" i="10"/>
  <c r="M94" i="10"/>
  <c r="O94" i="10" s="1"/>
  <c r="Y94" i="10"/>
  <c r="S116" i="5"/>
  <c r="J120" i="1"/>
  <c r="K120" i="2"/>
  <c r="M120" i="2" s="1"/>
  <c r="L163" i="2"/>
  <c r="H163" i="2"/>
  <c r="S94" i="12"/>
  <c r="Z93" i="12"/>
  <c r="R94" i="12"/>
  <c r="X94" i="12" s="1"/>
  <c r="P118" i="5"/>
  <c r="Q118" i="5" s="1"/>
  <c r="R94" i="11"/>
  <c r="X94" i="11" s="1"/>
  <c r="Z93" i="11"/>
  <c r="J148" i="5"/>
  <c r="N148" i="5"/>
  <c r="C134" i="10"/>
  <c r="D133" i="10"/>
  <c r="G133" i="10" s="1"/>
  <c r="H133" i="10" s="1"/>
  <c r="E133" i="10"/>
  <c r="Q110" i="7"/>
  <c r="C150" i="5"/>
  <c r="D149" i="5"/>
  <c r="G149" i="5" s="1"/>
  <c r="H149" i="5" s="1"/>
  <c r="Q93" i="10"/>
  <c r="K118" i="5"/>
  <c r="K119" i="5" s="1"/>
  <c r="N120" i="1"/>
  <c r="O120" i="1" s="1"/>
  <c r="Q120" i="1" s="1"/>
  <c r="T120" i="1" s="1"/>
  <c r="D134" i="6"/>
  <c r="G134" i="6" s="1"/>
  <c r="H134" i="6" s="1"/>
  <c r="C135" i="6"/>
  <c r="E134" i="6"/>
  <c r="E134" i="7" s="1"/>
  <c r="J134" i="7" s="1"/>
  <c r="C137" i="11"/>
  <c r="E136" i="11"/>
  <c r="D136" i="11"/>
  <c r="G136" i="11" s="1"/>
  <c r="H136" i="11" s="1"/>
  <c r="S93" i="10"/>
  <c r="L154" i="1"/>
  <c r="H154" i="1"/>
  <c r="D133" i="12"/>
  <c r="G133" i="12" s="1"/>
  <c r="H133" i="12" s="1"/>
  <c r="C134" i="12"/>
  <c r="J135" i="11"/>
  <c r="K135" i="11" s="1"/>
  <c r="N135" i="11"/>
  <c r="P94" i="11"/>
  <c r="L95" i="11" s="1"/>
  <c r="N133" i="6"/>
  <c r="J133" i="6"/>
  <c r="K133" i="6" s="1"/>
  <c r="P94" i="12"/>
  <c r="L95" i="12" s="1"/>
  <c r="Q94" i="12"/>
  <c r="N148" i="7"/>
  <c r="C156" i="1"/>
  <c r="E155" i="1"/>
  <c r="F155" i="1" s="1"/>
  <c r="P111" i="7"/>
  <c r="L112" i="7" s="1"/>
  <c r="M113" i="7" l="1"/>
  <c r="O113" i="7" s="1"/>
  <c r="W112" i="7"/>
  <c r="X112" i="7" s="1"/>
  <c r="K133" i="12"/>
  <c r="S118" i="5"/>
  <c r="R118" i="5"/>
  <c r="X118" i="6" s="1"/>
  <c r="Z118" i="6"/>
  <c r="R121" i="6"/>
  <c r="K112" i="7"/>
  <c r="K113" i="7" s="1"/>
  <c r="J136" i="11"/>
  <c r="K136" i="11" s="1"/>
  <c r="N136" i="11"/>
  <c r="D134" i="10"/>
  <c r="G134" i="10" s="1"/>
  <c r="H134" i="10" s="1"/>
  <c r="C135" i="10"/>
  <c r="E134" i="10"/>
  <c r="V116" i="5"/>
  <c r="W116" i="6"/>
  <c r="C166" i="2"/>
  <c r="E165" i="2"/>
  <c r="F165" i="2" s="1"/>
  <c r="Z94" i="12"/>
  <c r="R95" i="12"/>
  <c r="X95" i="12" s="1"/>
  <c r="S95" i="12"/>
  <c r="Q111" i="7"/>
  <c r="V94" i="12"/>
  <c r="W94" i="12"/>
  <c r="Y95" i="12"/>
  <c r="M95" i="12"/>
  <c r="O95" i="12" s="1"/>
  <c r="P122" i="6"/>
  <c r="Q122" i="6" s="1"/>
  <c r="D150" i="5"/>
  <c r="G150" i="5" s="1"/>
  <c r="H150" i="5" s="1"/>
  <c r="C151" i="5"/>
  <c r="O119" i="2"/>
  <c r="Q119" i="2" s="1"/>
  <c r="T119" i="2" s="1"/>
  <c r="D134" i="12"/>
  <c r="G134" i="12" s="1"/>
  <c r="H134" i="12" s="1"/>
  <c r="C135" i="12"/>
  <c r="N133" i="12"/>
  <c r="J133" i="12"/>
  <c r="M123" i="6"/>
  <c r="O123" i="6" s="1"/>
  <c r="L123" i="6"/>
  <c r="I121" i="2"/>
  <c r="Q94" i="11"/>
  <c r="J134" i="6"/>
  <c r="K134" i="6" s="1"/>
  <c r="N134" i="6"/>
  <c r="AB110" i="7"/>
  <c r="R110" i="7"/>
  <c r="Y110" i="7" s="1"/>
  <c r="Z110" i="7" s="1"/>
  <c r="S94" i="11"/>
  <c r="J120" i="2"/>
  <c r="S117" i="5"/>
  <c r="Q112" i="7"/>
  <c r="P112" i="7"/>
  <c r="L113" i="7" s="1"/>
  <c r="V120" i="6"/>
  <c r="Z93" i="10"/>
  <c r="R94" i="10"/>
  <c r="X94" i="10" s="1"/>
  <c r="C151" i="7"/>
  <c r="D150" i="7"/>
  <c r="G150" i="7" s="1"/>
  <c r="H150" i="7" s="1"/>
  <c r="E133" i="12"/>
  <c r="P94" i="10"/>
  <c r="L95" i="10" s="1"/>
  <c r="Y95" i="11"/>
  <c r="M95" i="11"/>
  <c r="O95" i="11" s="1"/>
  <c r="W93" i="10"/>
  <c r="V93" i="10"/>
  <c r="N120" i="2"/>
  <c r="O120" i="2" s="1"/>
  <c r="Q120" i="2" s="1"/>
  <c r="T120" i="2" s="1"/>
  <c r="M119" i="5"/>
  <c r="O119" i="5" s="1"/>
  <c r="L119" i="5"/>
  <c r="Y118" i="6"/>
  <c r="N149" i="7"/>
  <c r="D137" i="11"/>
  <c r="G137" i="11" s="1"/>
  <c r="H137" i="11" s="1"/>
  <c r="C138" i="11"/>
  <c r="H155" i="1"/>
  <c r="L155" i="1"/>
  <c r="N149" i="5"/>
  <c r="J149" i="5"/>
  <c r="C157" i="1"/>
  <c r="E156" i="1"/>
  <c r="F156" i="1" s="1"/>
  <c r="C136" i="6"/>
  <c r="D135" i="6"/>
  <c r="G135" i="6" s="1"/>
  <c r="H135" i="6" s="1"/>
  <c r="I121" i="1"/>
  <c r="J133" i="10"/>
  <c r="K133" i="10" s="1"/>
  <c r="N133" i="10"/>
  <c r="K121" i="1"/>
  <c r="M121" i="1" s="1"/>
  <c r="J121" i="1"/>
  <c r="L164" i="2"/>
  <c r="H164" i="2"/>
  <c r="S109" i="7"/>
  <c r="W113" i="7" l="1"/>
  <c r="X113" i="7" s="1"/>
  <c r="M114" i="7"/>
  <c r="O114" i="7" s="1"/>
  <c r="R122" i="6"/>
  <c r="N121" i="1"/>
  <c r="O121" i="1" s="1"/>
  <c r="Q121" i="1" s="1"/>
  <c r="T121" i="1" s="1"/>
  <c r="C158" i="1"/>
  <c r="E157" i="1"/>
  <c r="F157" i="1" s="1"/>
  <c r="D151" i="7"/>
  <c r="G151" i="7" s="1"/>
  <c r="H151" i="7" s="1"/>
  <c r="C152" i="7"/>
  <c r="AB112" i="7"/>
  <c r="R112" i="7"/>
  <c r="Y112" i="7" s="1"/>
  <c r="Z112" i="7" s="1"/>
  <c r="D135" i="12"/>
  <c r="G135" i="12" s="1"/>
  <c r="H135" i="12" s="1"/>
  <c r="C136" i="12"/>
  <c r="L165" i="2"/>
  <c r="H165" i="2"/>
  <c r="Q95" i="11"/>
  <c r="P95" i="11"/>
  <c r="L96" i="11" s="1"/>
  <c r="M120" i="5"/>
  <c r="O120" i="5" s="1"/>
  <c r="Y119" i="6"/>
  <c r="N134" i="12"/>
  <c r="J134" i="12"/>
  <c r="V109" i="7"/>
  <c r="AA109" i="7"/>
  <c r="M124" i="6"/>
  <c r="O124" i="6" s="1"/>
  <c r="L124" i="6"/>
  <c r="C152" i="5"/>
  <c r="D151" i="5"/>
  <c r="G151" i="5" s="1"/>
  <c r="H151" i="5" s="1"/>
  <c r="V117" i="5"/>
  <c r="W117" i="6"/>
  <c r="P95" i="12"/>
  <c r="L96" i="12" s="1"/>
  <c r="K121" i="2"/>
  <c r="M121" i="2" s="1"/>
  <c r="J121" i="2"/>
  <c r="K134" i="12"/>
  <c r="V94" i="11"/>
  <c r="W94" i="11"/>
  <c r="J135" i="6"/>
  <c r="K135" i="6" s="1"/>
  <c r="N135" i="6"/>
  <c r="P119" i="5"/>
  <c r="K120" i="5" s="1"/>
  <c r="E135" i="6"/>
  <c r="E135" i="7" s="1"/>
  <c r="J135" i="7" s="1"/>
  <c r="E137" i="11"/>
  <c r="Q94" i="10"/>
  <c r="S110" i="7"/>
  <c r="P123" i="6"/>
  <c r="Q123" i="6" s="1"/>
  <c r="N150" i="5"/>
  <c r="J150" i="5"/>
  <c r="AB111" i="7"/>
  <c r="S111" i="7"/>
  <c r="R111" i="7"/>
  <c r="Y111" i="7" s="1"/>
  <c r="Z111" i="7" s="1"/>
  <c r="S94" i="10"/>
  <c r="M95" i="10"/>
  <c r="O95" i="10" s="1"/>
  <c r="Y95" i="10"/>
  <c r="C137" i="6"/>
  <c r="D136" i="6"/>
  <c r="G136" i="6" s="1"/>
  <c r="H136" i="6" s="1"/>
  <c r="E138" i="11"/>
  <c r="D138" i="11"/>
  <c r="G138" i="11" s="1"/>
  <c r="H138" i="11" s="1"/>
  <c r="C139" i="11"/>
  <c r="W95" i="12"/>
  <c r="V95" i="12"/>
  <c r="D135" i="10"/>
  <c r="G135" i="10" s="1"/>
  <c r="H135" i="10" s="1"/>
  <c r="C136" i="10"/>
  <c r="S121" i="6"/>
  <c r="R95" i="11"/>
  <c r="X95" i="11" s="1"/>
  <c r="Z94" i="11"/>
  <c r="V118" i="5"/>
  <c r="W118" i="6"/>
  <c r="E134" i="12"/>
  <c r="C167" i="2"/>
  <c r="E166" i="2"/>
  <c r="F166" i="2" s="1"/>
  <c r="I122" i="1"/>
  <c r="J122" i="1"/>
  <c r="K122" i="1"/>
  <c r="M122" i="1" s="1"/>
  <c r="H156" i="1"/>
  <c r="L156" i="1"/>
  <c r="J137" i="11"/>
  <c r="K137" i="11" s="1"/>
  <c r="N137" i="11"/>
  <c r="N150" i="7"/>
  <c r="J134" i="10"/>
  <c r="K134" i="10" s="1"/>
  <c r="N134" i="10"/>
  <c r="P113" i="7"/>
  <c r="Q113" i="7" s="1"/>
  <c r="R113" i="7" l="1"/>
  <c r="Y113" i="7" s="1"/>
  <c r="Z113" i="7" s="1"/>
  <c r="AB113" i="7"/>
  <c r="K136" i="6"/>
  <c r="R123" i="6"/>
  <c r="S123" i="6" s="1"/>
  <c r="L166" i="2"/>
  <c r="H166" i="2"/>
  <c r="V121" i="6"/>
  <c r="S95" i="10"/>
  <c r="Z94" i="10"/>
  <c r="R95" i="10"/>
  <c r="X95" i="10" s="1"/>
  <c r="K114" i="7"/>
  <c r="R96" i="11"/>
  <c r="X96" i="11" s="1"/>
  <c r="Z95" i="11"/>
  <c r="S96" i="11"/>
  <c r="C168" i="2"/>
  <c r="E167" i="2"/>
  <c r="F167" i="2" s="1"/>
  <c r="L157" i="1"/>
  <c r="H157" i="1"/>
  <c r="E136" i="6"/>
  <c r="E136" i="7" s="1"/>
  <c r="J136" i="7" s="1"/>
  <c r="N151" i="7"/>
  <c r="K121" i="5"/>
  <c r="Q119" i="5"/>
  <c r="L125" i="6"/>
  <c r="M125" i="6"/>
  <c r="O125" i="6" s="1"/>
  <c r="N135" i="12"/>
  <c r="J135" i="12"/>
  <c r="K135" i="12" s="1"/>
  <c r="C159" i="1"/>
  <c r="E158" i="1"/>
  <c r="F158" i="1" s="1"/>
  <c r="Q114" i="7"/>
  <c r="P114" i="7"/>
  <c r="J136" i="6"/>
  <c r="N136" i="6"/>
  <c r="AA111" i="7"/>
  <c r="V111" i="7"/>
  <c r="N135" i="10"/>
  <c r="J135" i="10"/>
  <c r="K135" i="10" s="1"/>
  <c r="K122" i="2"/>
  <c r="M122" i="2" s="1"/>
  <c r="J122" i="2"/>
  <c r="D137" i="6"/>
  <c r="G137" i="6" s="1"/>
  <c r="H137" i="6" s="1"/>
  <c r="C138" i="6"/>
  <c r="E137" i="6"/>
  <c r="E137" i="7" s="1"/>
  <c r="J137" i="7" s="1"/>
  <c r="N121" i="2"/>
  <c r="I122" i="2" s="1"/>
  <c r="Y96" i="12"/>
  <c r="M96" i="12"/>
  <c r="O96" i="12" s="1"/>
  <c r="N122" i="1"/>
  <c r="O122" i="1" s="1"/>
  <c r="Q122" i="1" s="1"/>
  <c r="T122" i="1" s="1"/>
  <c r="Q95" i="12"/>
  <c r="P124" i="6"/>
  <c r="Q124" i="6"/>
  <c r="L120" i="5"/>
  <c r="E135" i="12"/>
  <c r="L114" i="7"/>
  <c r="J151" i="5"/>
  <c r="N151" i="5"/>
  <c r="C153" i="7"/>
  <c r="D152" i="7"/>
  <c r="G152" i="7" s="1"/>
  <c r="H152" i="7" s="1"/>
  <c r="D152" i="5"/>
  <c r="G152" i="5" s="1"/>
  <c r="H152" i="5" s="1"/>
  <c r="C153" i="5"/>
  <c r="S122" i="6"/>
  <c r="E135" i="10"/>
  <c r="D136" i="12"/>
  <c r="G136" i="12" s="1"/>
  <c r="H136" i="12" s="1"/>
  <c r="C137" i="12"/>
  <c r="E136" i="12"/>
  <c r="D139" i="11"/>
  <c r="G139" i="11" s="1"/>
  <c r="H139" i="11" s="1"/>
  <c r="C140" i="11"/>
  <c r="Q95" i="10"/>
  <c r="P95" i="10"/>
  <c r="L96" i="10" s="1"/>
  <c r="P120" i="5"/>
  <c r="Q120" i="5"/>
  <c r="D136" i="10"/>
  <c r="G136" i="10" s="1"/>
  <c r="H136" i="10" s="1"/>
  <c r="C137" i="10"/>
  <c r="K123" i="1"/>
  <c r="M123" i="1" s="1"/>
  <c r="J123" i="1"/>
  <c r="I123" i="1"/>
  <c r="S95" i="11"/>
  <c r="N138" i="11"/>
  <c r="J138" i="11"/>
  <c r="K138" i="11" s="1"/>
  <c r="V94" i="10"/>
  <c r="W94" i="10"/>
  <c r="V110" i="7"/>
  <c r="AA110" i="7"/>
  <c r="Y96" i="11"/>
  <c r="M96" i="11"/>
  <c r="O96" i="11" s="1"/>
  <c r="S112" i="7"/>
  <c r="V123" i="6" l="1"/>
  <c r="I124" i="1"/>
  <c r="M96" i="10"/>
  <c r="O96" i="10" s="1"/>
  <c r="Y96" i="10"/>
  <c r="W114" i="7"/>
  <c r="X114" i="7" s="1"/>
  <c r="M115" i="7"/>
  <c r="O115" i="7" s="1"/>
  <c r="L115" i="7"/>
  <c r="P96" i="12"/>
  <c r="L97" i="12" s="1"/>
  <c r="K123" i="2"/>
  <c r="M123" i="2" s="1"/>
  <c r="J123" i="2"/>
  <c r="M126" i="6"/>
  <c r="O126" i="6" s="1"/>
  <c r="Z95" i="10"/>
  <c r="R96" i="10"/>
  <c r="X96" i="10" s="1"/>
  <c r="S96" i="10"/>
  <c r="R114" i="7"/>
  <c r="Y114" i="7" s="1"/>
  <c r="Z114" i="7" s="1"/>
  <c r="AB114" i="7"/>
  <c r="M121" i="5"/>
  <c r="O121" i="5" s="1"/>
  <c r="L121" i="5"/>
  <c r="Y120" i="6"/>
  <c r="D137" i="10"/>
  <c r="G137" i="10" s="1"/>
  <c r="H137" i="10" s="1"/>
  <c r="C138" i="10"/>
  <c r="K137" i="6"/>
  <c r="H158" i="1"/>
  <c r="L158" i="1"/>
  <c r="R124" i="6"/>
  <c r="C169" i="2"/>
  <c r="E168" i="2"/>
  <c r="F168" i="2" s="1"/>
  <c r="N152" i="7"/>
  <c r="O121" i="2"/>
  <c r="Q121" i="2" s="1"/>
  <c r="T121" i="2" s="1"/>
  <c r="V96" i="11"/>
  <c r="W96" i="11"/>
  <c r="V122" i="6"/>
  <c r="C154" i="5"/>
  <c r="D153" i="5"/>
  <c r="G153" i="5" s="1"/>
  <c r="H153" i="5" s="1"/>
  <c r="W95" i="10"/>
  <c r="V95" i="10"/>
  <c r="J152" i="5"/>
  <c r="N152" i="5"/>
  <c r="C160" i="1"/>
  <c r="E159" i="1"/>
  <c r="F159" i="1" s="1"/>
  <c r="E136" i="10"/>
  <c r="C154" i="7"/>
  <c r="D153" i="7"/>
  <c r="G153" i="7" s="1"/>
  <c r="H153" i="7" s="1"/>
  <c r="R96" i="12"/>
  <c r="X96" i="12" s="1"/>
  <c r="S96" i="12"/>
  <c r="Z95" i="12"/>
  <c r="R119" i="5"/>
  <c r="X119" i="6" s="1"/>
  <c r="S119" i="5"/>
  <c r="Z119" i="6"/>
  <c r="N123" i="1"/>
  <c r="O123" i="1"/>
  <c r="Q123" i="1" s="1"/>
  <c r="T123" i="1" s="1"/>
  <c r="L167" i="2"/>
  <c r="H167" i="2"/>
  <c r="N139" i="11"/>
  <c r="J139" i="11"/>
  <c r="K139" i="11" s="1"/>
  <c r="N136" i="10"/>
  <c r="J136" i="10"/>
  <c r="K136" i="10" s="1"/>
  <c r="C138" i="12"/>
  <c r="E137" i="12"/>
  <c r="D137" i="12"/>
  <c r="G137" i="12" s="1"/>
  <c r="H137" i="12" s="1"/>
  <c r="D138" i="6"/>
  <c r="G138" i="6" s="1"/>
  <c r="H138" i="6" s="1"/>
  <c r="C139" i="6"/>
  <c r="J124" i="1"/>
  <c r="K124" i="1"/>
  <c r="M124" i="1" s="1"/>
  <c r="N122" i="2"/>
  <c r="O122" i="2" s="1"/>
  <c r="Q122" i="2" s="1"/>
  <c r="T122" i="2" s="1"/>
  <c r="D140" i="11"/>
  <c r="G140" i="11" s="1"/>
  <c r="H140" i="11" s="1"/>
  <c r="C141" i="11"/>
  <c r="I123" i="2"/>
  <c r="E139" i="11"/>
  <c r="AA112" i="7"/>
  <c r="V112" i="7"/>
  <c r="R120" i="5"/>
  <c r="X120" i="6" s="1"/>
  <c r="Z120" i="6"/>
  <c r="P96" i="11"/>
  <c r="L97" i="11" s="1"/>
  <c r="W95" i="11"/>
  <c r="V95" i="11"/>
  <c r="J136" i="12"/>
  <c r="K136" i="12" s="1"/>
  <c r="N136" i="12"/>
  <c r="J137" i="6"/>
  <c r="N137" i="6"/>
  <c r="P125" i="6"/>
  <c r="Q125" i="6" s="1"/>
  <c r="K115" i="7"/>
  <c r="S113" i="7"/>
  <c r="R125" i="6" l="1"/>
  <c r="K137" i="10"/>
  <c r="O124" i="1"/>
  <c r="Q124" i="1" s="1"/>
  <c r="T124" i="1" s="1"/>
  <c r="N124" i="1"/>
  <c r="I125" i="1" s="1"/>
  <c r="D154" i="5"/>
  <c r="G154" i="5" s="1"/>
  <c r="H154" i="5" s="1"/>
  <c r="C155" i="5"/>
  <c r="K124" i="2"/>
  <c r="M124" i="2" s="1"/>
  <c r="P96" i="10"/>
  <c r="L97" i="10" s="1"/>
  <c r="E137" i="10"/>
  <c r="Q96" i="12"/>
  <c r="Y97" i="11"/>
  <c r="M97" i="11"/>
  <c r="O97" i="11" s="1"/>
  <c r="L168" i="2"/>
  <c r="H168" i="2"/>
  <c r="W115" i="7"/>
  <c r="X115" i="7" s="1"/>
  <c r="M116" i="7"/>
  <c r="O116" i="7" s="1"/>
  <c r="L116" i="7"/>
  <c r="K116" i="7"/>
  <c r="K125" i="1"/>
  <c r="M125" i="1" s="1"/>
  <c r="J125" i="1"/>
  <c r="V119" i="5"/>
  <c r="W119" i="6"/>
  <c r="C139" i="10"/>
  <c r="D138" i="10"/>
  <c r="G138" i="10" s="1"/>
  <c r="H138" i="10" s="1"/>
  <c r="Q96" i="11"/>
  <c r="C161" i="1"/>
  <c r="E160" i="1"/>
  <c r="F160" i="1" s="1"/>
  <c r="N137" i="10"/>
  <c r="J137" i="10"/>
  <c r="N138" i="6"/>
  <c r="J138" i="6"/>
  <c r="K138" i="6" s="1"/>
  <c r="N140" i="11"/>
  <c r="J140" i="11"/>
  <c r="K140" i="11" s="1"/>
  <c r="V96" i="12"/>
  <c r="W96" i="12"/>
  <c r="S120" i="5"/>
  <c r="E140" i="11"/>
  <c r="J137" i="12"/>
  <c r="K137" i="12" s="1"/>
  <c r="N137" i="12"/>
  <c r="S124" i="6"/>
  <c r="M122" i="5"/>
  <c r="O122" i="5" s="1"/>
  <c r="Y121" i="6"/>
  <c r="L126" i="6"/>
  <c r="P115" i="7"/>
  <c r="Q115" i="7" s="1"/>
  <c r="L159" i="1"/>
  <c r="H159" i="1"/>
  <c r="N123" i="2"/>
  <c r="I124" i="2" s="1"/>
  <c r="E139" i="6"/>
  <c r="E139" i="7" s="1"/>
  <c r="J139" i="7" s="1"/>
  <c r="D139" i="6"/>
  <c r="G139" i="6" s="1"/>
  <c r="H139" i="6" s="1"/>
  <c r="C140" i="6"/>
  <c r="M97" i="12"/>
  <c r="O97" i="12" s="1"/>
  <c r="Y97" i="12"/>
  <c r="P121" i="5"/>
  <c r="K122" i="5" s="1"/>
  <c r="Q126" i="6"/>
  <c r="P126" i="6"/>
  <c r="C170" i="2"/>
  <c r="E169" i="2"/>
  <c r="F169" i="2" s="1"/>
  <c r="W96" i="10"/>
  <c r="V96" i="10"/>
  <c r="C142" i="11"/>
  <c r="D141" i="11"/>
  <c r="G141" i="11" s="1"/>
  <c r="H141" i="11" s="1"/>
  <c r="E138" i="6"/>
  <c r="E138" i="7" s="1"/>
  <c r="J138" i="7" s="1"/>
  <c r="N153" i="7"/>
  <c r="AA113" i="7"/>
  <c r="V113" i="7"/>
  <c r="C139" i="12"/>
  <c r="D138" i="12"/>
  <c r="G138" i="12" s="1"/>
  <c r="H138" i="12" s="1"/>
  <c r="C155" i="7"/>
  <c r="D154" i="7"/>
  <c r="G154" i="7" s="1"/>
  <c r="H154" i="7" s="1"/>
  <c r="N153" i="5"/>
  <c r="J153" i="5"/>
  <c r="S114" i="7"/>
  <c r="R115" i="7" l="1"/>
  <c r="Y115" i="7" s="1"/>
  <c r="Z115" i="7" s="1"/>
  <c r="AB115" i="7"/>
  <c r="I126" i="1"/>
  <c r="K141" i="11"/>
  <c r="N139" i="6"/>
  <c r="J139" i="6"/>
  <c r="K139" i="6" s="1"/>
  <c r="M127" i="6"/>
  <c r="O127" i="6" s="1"/>
  <c r="L127" i="6"/>
  <c r="V120" i="5"/>
  <c r="W120" i="6"/>
  <c r="Q96" i="10"/>
  <c r="N141" i="11"/>
  <c r="J141" i="11"/>
  <c r="K126" i="1"/>
  <c r="M126" i="1" s="1"/>
  <c r="P122" i="5"/>
  <c r="Q122" i="5" s="1"/>
  <c r="K117" i="7"/>
  <c r="J124" i="2"/>
  <c r="C156" i="7"/>
  <c r="D155" i="7"/>
  <c r="G155" i="7" s="1"/>
  <c r="H155" i="7" s="1"/>
  <c r="Y97" i="10"/>
  <c r="M97" i="10"/>
  <c r="O97" i="10" s="1"/>
  <c r="K138" i="10"/>
  <c r="Q121" i="5"/>
  <c r="J138" i="10"/>
  <c r="N138" i="10"/>
  <c r="W116" i="7"/>
  <c r="X116" i="7" s="1"/>
  <c r="M117" i="7"/>
  <c r="O117" i="7" s="1"/>
  <c r="L117" i="7"/>
  <c r="N124" i="2"/>
  <c r="O124" i="2" s="1"/>
  <c r="Q124" i="2" s="1"/>
  <c r="T124" i="2" s="1"/>
  <c r="S125" i="6"/>
  <c r="R126" i="6"/>
  <c r="S126" i="6"/>
  <c r="D142" i="11"/>
  <c r="G142" i="11" s="1"/>
  <c r="H142" i="11" s="1"/>
  <c r="C143" i="11"/>
  <c r="Q97" i="11"/>
  <c r="P97" i="11"/>
  <c r="L98" i="11" s="1"/>
  <c r="D139" i="12"/>
  <c r="G139" i="12" s="1"/>
  <c r="H139" i="12" s="1"/>
  <c r="C140" i="12"/>
  <c r="O123" i="2"/>
  <c r="Q123" i="2" s="1"/>
  <c r="T123" i="2" s="1"/>
  <c r="L122" i="5"/>
  <c r="P97" i="12"/>
  <c r="L98" i="12" s="1"/>
  <c r="C140" i="10"/>
  <c r="D139" i="10"/>
  <c r="G139" i="10" s="1"/>
  <c r="H139" i="10" s="1"/>
  <c r="P116" i="7"/>
  <c r="Q116" i="7"/>
  <c r="Z96" i="12"/>
  <c r="R97" i="12"/>
  <c r="X97" i="12" s="1"/>
  <c r="J138" i="12"/>
  <c r="K138" i="12" s="1"/>
  <c r="N138" i="12"/>
  <c r="E138" i="12"/>
  <c r="N125" i="1"/>
  <c r="J126" i="1" s="1"/>
  <c r="E141" i="11"/>
  <c r="V124" i="6"/>
  <c r="L169" i="2"/>
  <c r="H169" i="2"/>
  <c r="E138" i="10"/>
  <c r="C156" i="5"/>
  <c r="D155" i="5"/>
  <c r="G155" i="5" s="1"/>
  <c r="H155" i="5" s="1"/>
  <c r="L160" i="1"/>
  <c r="H160" i="1"/>
  <c r="K123" i="5"/>
  <c r="C162" i="1"/>
  <c r="E161" i="1"/>
  <c r="F161" i="1" s="1"/>
  <c r="Z96" i="11"/>
  <c r="R97" i="11"/>
  <c r="X97" i="11" s="1"/>
  <c r="V114" i="7"/>
  <c r="AA114" i="7"/>
  <c r="N154" i="7"/>
  <c r="C171" i="2"/>
  <c r="E170" i="2"/>
  <c r="F170" i="2" s="1"/>
  <c r="D140" i="6"/>
  <c r="G140" i="6" s="1"/>
  <c r="H140" i="6" s="1"/>
  <c r="C141" i="6"/>
  <c r="N154" i="5"/>
  <c r="J154" i="5"/>
  <c r="R122" i="5" l="1"/>
  <c r="X122" i="6" s="1"/>
  <c r="S122" i="5"/>
  <c r="Z122" i="6"/>
  <c r="K127" i="1"/>
  <c r="M127" i="1" s="1"/>
  <c r="E162" i="1"/>
  <c r="F162" i="1" s="1"/>
  <c r="C163" i="1"/>
  <c r="C141" i="10"/>
  <c r="D140" i="10"/>
  <c r="G140" i="10" s="1"/>
  <c r="H140" i="10" s="1"/>
  <c r="M98" i="11"/>
  <c r="O98" i="11" s="1"/>
  <c r="Y98" i="11"/>
  <c r="V125" i="6"/>
  <c r="R121" i="5"/>
  <c r="X121" i="6" s="1"/>
  <c r="Z121" i="6"/>
  <c r="K125" i="2"/>
  <c r="M125" i="2" s="1"/>
  <c r="J125" i="2"/>
  <c r="Z96" i="10"/>
  <c r="S97" i="10"/>
  <c r="R97" i="10"/>
  <c r="X97" i="10" s="1"/>
  <c r="P97" i="10"/>
  <c r="L98" i="10" s="1"/>
  <c r="M123" i="5"/>
  <c r="O123" i="5" s="1"/>
  <c r="L123" i="5"/>
  <c r="Y122" i="6"/>
  <c r="J155" i="5"/>
  <c r="N155" i="5"/>
  <c r="P117" i="7"/>
  <c r="L118" i="7" s="1"/>
  <c r="Q117" i="7"/>
  <c r="P127" i="6"/>
  <c r="Q127" i="6" s="1"/>
  <c r="S98" i="11"/>
  <c r="Z97" i="11"/>
  <c r="R98" i="11"/>
  <c r="X98" i="11" s="1"/>
  <c r="C144" i="11"/>
  <c r="D143" i="11"/>
  <c r="G143" i="11" s="1"/>
  <c r="H143" i="11" s="1"/>
  <c r="E143" i="11"/>
  <c r="S97" i="12"/>
  <c r="L128" i="6"/>
  <c r="M128" i="6"/>
  <c r="O128" i="6" s="1"/>
  <c r="AB116" i="7"/>
  <c r="R116" i="7"/>
  <c r="Y116" i="7" s="1"/>
  <c r="Z116" i="7" s="1"/>
  <c r="S116" i="7"/>
  <c r="E140" i="6"/>
  <c r="E140" i="7" s="1"/>
  <c r="J140" i="7" s="1"/>
  <c r="C157" i="5"/>
  <c r="D156" i="5"/>
  <c r="G156" i="5" s="1"/>
  <c r="H156" i="5" s="1"/>
  <c r="O125" i="1"/>
  <c r="Q125" i="1" s="1"/>
  <c r="T125" i="1" s="1"/>
  <c r="C141" i="12"/>
  <c r="E140" i="12"/>
  <c r="D140" i="12"/>
  <c r="G140" i="12" s="1"/>
  <c r="H140" i="12" s="1"/>
  <c r="V126" i="6"/>
  <c r="N155" i="7"/>
  <c r="N126" i="1"/>
  <c r="O126" i="1" s="1"/>
  <c r="Q126" i="1" s="1"/>
  <c r="T126" i="1" s="1"/>
  <c r="S115" i="7"/>
  <c r="Y98" i="12"/>
  <c r="M98" i="12"/>
  <c r="O98" i="12" s="1"/>
  <c r="K118" i="7"/>
  <c r="Q97" i="12"/>
  <c r="E141" i="6"/>
  <c r="E141" i="7" s="1"/>
  <c r="J141" i="7" s="1"/>
  <c r="C142" i="6"/>
  <c r="D141" i="6"/>
  <c r="G141" i="6" s="1"/>
  <c r="H141" i="6" s="1"/>
  <c r="J142" i="11"/>
  <c r="K142" i="11" s="1"/>
  <c r="N142" i="11"/>
  <c r="N140" i="6"/>
  <c r="J140" i="6"/>
  <c r="K140" i="6" s="1"/>
  <c r="S97" i="11"/>
  <c r="N139" i="12"/>
  <c r="J139" i="12"/>
  <c r="K139" i="12" s="1"/>
  <c r="C157" i="7"/>
  <c r="D156" i="7"/>
  <c r="G156" i="7" s="1"/>
  <c r="H156" i="7" s="1"/>
  <c r="I125" i="2"/>
  <c r="W117" i="7"/>
  <c r="X117" i="7" s="1"/>
  <c r="M118" i="7"/>
  <c r="O118" i="7" s="1"/>
  <c r="E142" i="11"/>
  <c r="L170" i="2"/>
  <c r="H170" i="2"/>
  <c r="J139" i="10"/>
  <c r="K139" i="10" s="1"/>
  <c r="N139" i="10"/>
  <c r="C172" i="2"/>
  <c r="E171" i="2"/>
  <c r="F171" i="2" s="1"/>
  <c r="H161" i="1"/>
  <c r="L161" i="1"/>
  <c r="E139" i="10"/>
  <c r="E139" i="12"/>
  <c r="R127" i="6" l="1"/>
  <c r="K143" i="11"/>
  <c r="K140" i="12"/>
  <c r="M119" i="7"/>
  <c r="O119" i="7" s="1"/>
  <c r="W118" i="7"/>
  <c r="X118" i="7" s="1"/>
  <c r="W98" i="11"/>
  <c r="V98" i="11"/>
  <c r="M124" i="5"/>
  <c r="O124" i="5" s="1"/>
  <c r="Y123" i="6"/>
  <c r="W97" i="10"/>
  <c r="V97" i="10"/>
  <c r="L162" i="1"/>
  <c r="H162" i="1"/>
  <c r="W97" i="11"/>
  <c r="V97" i="11"/>
  <c r="N127" i="1"/>
  <c r="O127" i="1" s="1"/>
  <c r="Q127" i="1" s="1"/>
  <c r="T127" i="1" s="1"/>
  <c r="Y98" i="10"/>
  <c r="M98" i="10"/>
  <c r="O98" i="10" s="1"/>
  <c r="C173" i="2"/>
  <c r="E172" i="2"/>
  <c r="F172" i="2" s="1"/>
  <c r="M129" i="6"/>
  <c r="O129" i="6" s="1"/>
  <c r="C158" i="5"/>
  <c r="D157" i="5"/>
  <c r="G157" i="5" s="1"/>
  <c r="H157" i="5" s="1"/>
  <c r="I127" i="1"/>
  <c r="V116" i="7"/>
  <c r="AA116" i="7"/>
  <c r="Q97" i="10"/>
  <c r="J140" i="10"/>
  <c r="K140" i="10" s="1"/>
  <c r="N140" i="10"/>
  <c r="V122" i="5"/>
  <c r="W122" i="6"/>
  <c r="R98" i="12"/>
  <c r="X98" i="12" s="1"/>
  <c r="Z97" i="12"/>
  <c r="S98" i="12"/>
  <c r="P123" i="5"/>
  <c r="K124" i="5" s="1"/>
  <c r="W97" i="12"/>
  <c r="V97" i="12"/>
  <c r="P98" i="11"/>
  <c r="L99" i="11" s="1"/>
  <c r="P98" i="12"/>
  <c r="L99" i="12" s="1"/>
  <c r="N156" i="7"/>
  <c r="C158" i="7"/>
  <c r="D157" i="7"/>
  <c r="G157" i="7" s="1"/>
  <c r="H157" i="7" s="1"/>
  <c r="J140" i="12"/>
  <c r="N140" i="12"/>
  <c r="C145" i="11"/>
  <c r="D144" i="11"/>
  <c r="G144" i="11" s="1"/>
  <c r="H144" i="11" s="1"/>
  <c r="E140" i="10"/>
  <c r="L171" i="2"/>
  <c r="H171" i="2"/>
  <c r="K126" i="2"/>
  <c r="M126" i="2" s="1"/>
  <c r="N125" i="2"/>
  <c r="J126" i="2" s="1"/>
  <c r="S121" i="5"/>
  <c r="D141" i="10"/>
  <c r="G141" i="10" s="1"/>
  <c r="H141" i="10" s="1"/>
  <c r="C142" i="10"/>
  <c r="P118" i="7"/>
  <c r="L119" i="7" s="1"/>
  <c r="J156" i="5"/>
  <c r="N156" i="5"/>
  <c r="J127" i="1"/>
  <c r="AB117" i="7"/>
  <c r="R117" i="7"/>
  <c r="Y117" i="7" s="1"/>
  <c r="Z117" i="7" s="1"/>
  <c r="J143" i="11"/>
  <c r="N143" i="11"/>
  <c r="N141" i="6"/>
  <c r="J141" i="6"/>
  <c r="K141" i="6" s="1"/>
  <c r="V115" i="7"/>
  <c r="AA115" i="7"/>
  <c r="D142" i="6"/>
  <c r="G142" i="6" s="1"/>
  <c r="H142" i="6" s="1"/>
  <c r="E142" i="6"/>
  <c r="E142" i="7" s="1"/>
  <c r="J142" i="7" s="1"/>
  <c r="C143" i="6"/>
  <c r="C142" i="12"/>
  <c r="D141" i="12"/>
  <c r="G141" i="12" s="1"/>
  <c r="H141" i="12" s="1"/>
  <c r="P128" i="6"/>
  <c r="L129" i="6" s="1"/>
  <c r="C164" i="1"/>
  <c r="E163" i="1"/>
  <c r="F163" i="1" s="1"/>
  <c r="M130" i="6" l="1"/>
  <c r="O130" i="6" s="1"/>
  <c r="L120" i="7"/>
  <c r="W119" i="7"/>
  <c r="X119" i="7" s="1"/>
  <c r="M120" i="7"/>
  <c r="O120" i="7" s="1"/>
  <c r="K142" i="6"/>
  <c r="K141" i="10"/>
  <c r="K127" i="2"/>
  <c r="M127" i="2" s="1"/>
  <c r="J141" i="10"/>
  <c r="N141" i="10"/>
  <c r="C159" i="7"/>
  <c r="D158" i="7"/>
  <c r="G158" i="7" s="1"/>
  <c r="H158" i="7" s="1"/>
  <c r="I126" i="2"/>
  <c r="I127" i="2" s="1"/>
  <c r="Q119" i="7"/>
  <c r="P119" i="7"/>
  <c r="M99" i="12"/>
  <c r="O99" i="12" s="1"/>
  <c r="Y99" i="12"/>
  <c r="P124" i="5"/>
  <c r="Q124" i="5"/>
  <c r="K128" i="1"/>
  <c r="M128" i="1" s="1"/>
  <c r="J128" i="1"/>
  <c r="Q123" i="5"/>
  <c r="L124" i="5"/>
  <c r="E141" i="12"/>
  <c r="O125" i="2"/>
  <c r="Q125" i="2" s="1"/>
  <c r="T125" i="2" s="1"/>
  <c r="V98" i="12"/>
  <c r="W98" i="12"/>
  <c r="C143" i="12"/>
  <c r="D142" i="12"/>
  <c r="G142" i="12" s="1"/>
  <c r="H142" i="12" s="1"/>
  <c r="C174" i="2"/>
  <c r="E173" i="2"/>
  <c r="F173" i="2" s="1"/>
  <c r="Q128" i="6"/>
  <c r="J144" i="11"/>
  <c r="K144" i="11" s="1"/>
  <c r="N144" i="11"/>
  <c r="D145" i="11"/>
  <c r="G145" i="11" s="1"/>
  <c r="H145" i="11" s="1"/>
  <c r="C146" i="11"/>
  <c r="E145" i="11"/>
  <c r="Q98" i="12"/>
  <c r="C144" i="6"/>
  <c r="E143" i="6"/>
  <c r="E143" i="7" s="1"/>
  <c r="J143" i="7" s="1"/>
  <c r="D143" i="6"/>
  <c r="G143" i="6" s="1"/>
  <c r="H143" i="6" s="1"/>
  <c r="Q118" i="7"/>
  <c r="O126" i="2"/>
  <c r="Q126" i="2" s="1"/>
  <c r="T126" i="2" s="1"/>
  <c r="N126" i="2"/>
  <c r="J127" i="2" s="1"/>
  <c r="Q98" i="11"/>
  <c r="I128" i="1"/>
  <c r="P98" i="10"/>
  <c r="L99" i="10" s="1"/>
  <c r="V121" i="5"/>
  <c r="W121" i="6"/>
  <c r="R98" i="10"/>
  <c r="X98" i="10" s="1"/>
  <c r="Z97" i="10"/>
  <c r="S98" i="10"/>
  <c r="E144" i="11"/>
  <c r="H163" i="1"/>
  <c r="L163" i="1"/>
  <c r="M99" i="11"/>
  <c r="O99" i="11" s="1"/>
  <c r="Y99" i="11"/>
  <c r="N157" i="5"/>
  <c r="J157" i="5"/>
  <c r="S127" i="6"/>
  <c r="K125" i="5"/>
  <c r="J141" i="12"/>
  <c r="K141" i="12" s="1"/>
  <c r="N141" i="12"/>
  <c r="P129" i="6"/>
  <c r="L130" i="6" s="1"/>
  <c r="Q129" i="6"/>
  <c r="L172" i="2"/>
  <c r="H172" i="2"/>
  <c r="E141" i="10"/>
  <c r="K119" i="7"/>
  <c r="K120" i="7" s="1"/>
  <c r="C165" i="1"/>
  <c r="E164" i="1"/>
  <c r="F164" i="1" s="1"/>
  <c r="J142" i="6"/>
  <c r="N142" i="6"/>
  <c r="S117" i="7"/>
  <c r="D142" i="10"/>
  <c r="G142" i="10" s="1"/>
  <c r="H142" i="10" s="1"/>
  <c r="C143" i="10"/>
  <c r="N157" i="7"/>
  <c r="D158" i="5"/>
  <c r="G158" i="5" s="1"/>
  <c r="H158" i="5" s="1"/>
  <c r="C159" i="5"/>
  <c r="M131" i="6" l="1"/>
  <c r="O131" i="6" s="1"/>
  <c r="K128" i="2"/>
  <c r="M128" i="2" s="1"/>
  <c r="H164" i="1"/>
  <c r="L164" i="1"/>
  <c r="P99" i="11"/>
  <c r="L100" i="11" s="1"/>
  <c r="J143" i="6"/>
  <c r="N143" i="6"/>
  <c r="D143" i="12"/>
  <c r="G143" i="12" s="1"/>
  <c r="H143" i="12" s="1"/>
  <c r="C144" i="12"/>
  <c r="N128" i="1"/>
  <c r="O128" i="1"/>
  <c r="Q128" i="1" s="1"/>
  <c r="T128" i="1" s="1"/>
  <c r="AB119" i="7"/>
  <c r="R119" i="7"/>
  <c r="Y119" i="7" s="1"/>
  <c r="Z119" i="7" s="1"/>
  <c r="S128" i="6"/>
  <c r="R128" i="6"/>
  <c r="V127" i="6"/>
  <c r="Y99" i="10"/>
  <c r="M99" i="10"/>
  <c r="O99" i="10" s="1"/>
  <c r="K143" i="6"/>
  <c r="N158" i="7"/>
  <c r="R99" i="12"/>
  <c r="X99" i="12" s="1"/>
  <c r="Z98" i="12"/>
  <c r="S99" i="12"/>
  <c r="C160" i="7"/>
  <c r="D159" i="7"/>
  <c r="G159" i="7" s="1"/>
  <c r="H159" i="7" s="1"/>
  <c r="W98" i="10"/>
  <c r="V98" i="10"/>
  <c r="M121" i="7"/>
  <c r="O121" i="7" s="1"/>
  <c r="W120" i="7"/>
  <c r="X120" i="7" s="1"/>
  <c r="D143" i="10"/>
  <c r="G143" i="10" s="1"/>
  <c r="H143" i="10" s="1"/>
  <c r="C144" i="10"/>
  <c r="C145" i="6"/>
  <c r="D144" i="6"/>
  <c r="G144" i="6" s="1"/>
  <c r="H144" i="6" s="1"/>
  <c r="P120" i="7"/>
  <c r="L121" i="7" s="1"/>
  <c r="E142" i="10"/>
  <c r="Z98" i="11"/>
  <c r="R99" i="11"/>
  <c r="X99" i="11" s="1"/>
  <c r="L173" i="2"/>
  <c r="H173" i="2"/>
  <c r="V117" i="7"/>
  <c r="AA117" i="7"/>
  <c r="D146" i="11"/>
  <c r="G146" i="11" s="1"/>
  <c r="H146" i="11" s="1"/>
  <c r="C147" i="11"/>
  <c r="C175" i="2"/>
  <c r="E174" i="2"/>
  <c r="F174" i="2" s="1"/>
  <c r="M125" i="5"/>
  <c r="O125" i="5" s="1"/>
  <c r="L125" i="5"/>
  <c r="Y124" i="6"/>
  <c r="E165" i="1"/>
  <c r="F165" i="1" s="1"/>
  <c r="C166" i="1"/>
  <c r="K121" i="7"/>
  <c r="Q98" i="10"/>
  <c r="R124" i="5"/>
  <c r="X124" i="6" s="1"/>
  <c r="Z124" i="6"/>
  <c r="I129" i="1"/>
  <c r="J145" i="11"/>
  <c r="K145" i="11" s="1"/>
  <c r="N145" i="11"/>
  <c r="J142" i="12"/>
  <c r="K142" i="12" s="1"/>
  <c r="N142" i="12"/>
  <c r="R123" i="5"/>
  <c r="X123" i="6" s="1"/>
  <c r="S123" i="5"/>
  <c r="Z123" i="6"/>
  <c r="P99" i="12"/>
  <c r="L100" i="12" s="1"/>
  <c r="Q99" i="12"/>
  <c r="N142" i="10"/>
  <c r="J142" i="10"/>
  <c r="K142" i="10" s="1"/>
  <c r="C160" i="5"/>
  <c r="D159" i="5"/>
  <c r="G159" i="5" s="1"/>
  <c r="H159" i="5" s="1"/>
  <c r="R129" i="6"/>
  <c r="N158" i="5"/>
  <c r="J158" i="5"/>
  <c r="AB118" i="7"/>
  <c r="R118" i="7"/>
  <c r="Y118" i="7" s="1"/>
  <c r="Z118" i="7" s="1"/>
  <c r="E142" i="12"/>
  <c r="K129" i="1"/>
  <c r="M129" i="1" s="1"/>
  <c r="J129" i="1"/>
  <c r="N127" i="2"/>
  <c r="J128" i="2" s="1"/>
  <c r="Q130" i="6"/>
  <c r="P130" i="6"/>
  <c r="L131" i="6" s="1"/>
  <c r="M132" i="6" l="1"/>
  <c r="O132" i="6" s="1"/>
  <c r="K129" i="2"/>
  <c r="M129" i="2" s="1"/>
  <c r="K146" i="11"/>
  <c r="K143" i="12"/>
  <c r="W121" i="7"/>
  <c r="X121" i="7" s="1"/>
  <c r="M122" i="7"/>
  <c r="O122" i="7" s="1"/>
  <c r="R130" i="6"/>
  <c r="S130" i="6" s="1"/>
  <c r="S99" i="10"/>
  <c r="Z98" i="10"/>
  <c r="R99" i="10"/>
  <c r="X99" i="10" s="1"/>
  <c r="C176" i="2"/>
  <c r="E175" i="2"/>
  <c r="F175" i="2" s="1"/>
  <c r="D145" i="6"/>
  <c r="G145" i="6" s="1"/>
  <c r="H145" i="6" s="1"/>
  <c r="C146" i="6"/>
  <c r="E145" i="6"/>
  <c r="E145" i="7" s="1"/>
  <c r="J145" i="7" s="1"/>
  <c r="K144" i="6"/>
  <c r="V128" i="6"/>
  <c r="E143" i="12"/>
  <c r="N159" i="7"/>
  <c r="P99" i="10"/>
  <c r="L100" i="10" s="1"/>
  <c r="O127" i="2"/>
  <c r="Q127" i="2" s="1"/>
  <c r="T127" i="2" s="1"/>
  <c r="N143" i="10"/>
  <c r="J143" i="10"/>
  <c r="K143" i="10" s="1"/>
  <c r="L165" i="1"/>
  <c r="H165" i="1"/>
  <c r="W99" i="12"/>
  <c r="V99" i="12"/>
  <c r="S119" i="7"/>
  <c r="K122" i="7"/>
  <c r="D144" i="12"/>
  <c r="G144" i="12" s="1"/>
  <c r="H144" i="12" s="1"/>
  <c r="C145" i="12"/>
  <c r="N146" i="11"/>
  <c r="J146" i="11"/>
  <c r="J143" i="12"/>
  <c r="N143" i="12"/>
  <c r="S100" i="12"/>
  <c r="Z99" i="12"/>
  <c r="R100" i="12"/>
  <c r="X100" i="12" s="1"/>
  <c r="E146" i="11"/>
  <c r="I130" i="1"/>
  <c r="S129" i="6"/>
  <c r="L126" i="5"/>
  <c r="M126" i="5"/>
  <c r="O126" i="5" s="1"/>
  <c r="Y125" i="6"/>
  <c r="Q120" i="7"/>
  <c r="M100" i="11"/>
  <c r="O100" i="11" s="1"/>
  <c r="Y100" i="11"/>
  <c r="D147" i="11"/>
  <c r="G147" i="11" s="1"/>
  <c r="H147" i="11" s="1"/>
  <c r="C148" i="11"/>
  <c r="I128" i="2"/>
  <c r="I129" i="2" s="1"/>
  <c r="C167" i="1"/>
  <c r="E166" i="1"/>
  <c r="F166" i="1" s="1"/>
  <c r="C161" i="7"/>
  <c r="D160" i="7"/>
  <c r="G160" i="7" s="1"/>
  <c r="H160" i="7" s="1"/>
  <c r="N128" i="2"/>
  <c r="J129" i="2" s="1"/>
  <c r="E143" i="10"/>
  <c r="O129" i="1"/>
  <c r="Q129" i="1" s="1"/>
  <c r="T129" i="1" s="1"/>
  <c r="N129" i="1"/>
  <c r="J159" i="5"/>
  <c r="N159" i="5"/>
  <c r="P125" i="5"/>
  <c r="K126" i="5" s="1"/>
  <c r="J144" i="6"/>
  <c r="N144" i="6"/>
  <c r="Q121" i="7"/>
  <c r="P121" i="7"/>
  <c r="L122" i="7" s="1"/>
  <c r="Q99" i="11"/>
  <c r="P131" i="6"/>
  <c r="Q131" i="6" s="1"/>
  <c r="D144" i="10"/>
  <c r="G144" i="10" s="1"/>
  <c r="H144" i="10" s="1"/>
  <c r="C145" i="10"/>
  <c r="S99" i="11"/>
  <c r="J130" i="1"/>
  <c r="K130" i="1"/>
  <c r="M130" i="1" s="1"/>
  <c r="Y100" i="12"/>
  <c r="M100" i="12"/>
  <c r="O100" i="12" s="1"/>
  <c r="V123" i="5"/>
  <c r="W123" i="6"/>
  <c r="S118" i="7"/>
  <c r="C161" i="5"/>
  <c r="D160" i="5"/>
  <c r="G160" i="5" s="1"/>
  <c r="H160" i="5" s="1"/>
  <c r="S124" i="5"/>
  <c r="L174" i="2"/>
  <c r="H174" i="2"/>
  <c r="E144" i="6"/>
  <c r="E144" i="7" s="1"/>
  <c r="J144" i="7" s="1"/>
  <c r="K130" i="2" l="1"/>
  <c r="M130" i="2" s="1"/>
  <c r="V130" i="6"/>
  <c r="R131" i="6"/>
  <c r="S131" i="6" s="1"/>
  <c r="W122" i="7"/>
  <c r="X122" i="7" s="1"/>
  <c r="M123" i="7"/>
  <c r="O123" i="7" s="1"/>
  <c r="R121" i="7"/>
  <c r="Y121" i="7" s="1"/>
  <c r="Z121" i="7" s="1"/>
  <c r="AB121" i="7"/>
  <c r="I130" i="2"/>
  <c r="V100" i="12"/>
  <c r="W100" i="12"/>
  <c r="D145" i="10"/>
  <c r="G145" i="10" s="1"/>
  <c r="H145" i="10" s="1"/>
  <c r="C146" i="10"/>
  <c r="K145" i="6"/>
  <c r="E144" i="10"/>
  <c r="O128" i="2"/>
  <c r="Q128" i="2" s="1"/>
  <c r="T128" i="2" s="1"/>
  <c r="D146" i="6"/>
  <c r="G146" i="6" s="1"/>
  <c r="H146" i="6" s="1"/>
  <c r="C147" i="6"/>
  <c r="P126" i="5"/>
  <c r="Q126" i="5" s="1"/>
  <c r="K144" i="12"/>
  <c r="Q99" i="10"/>
  <c r="N160" i="7"/>
  <c r="J145" i="6"/>
  <c r="N145" i="6"/>
  <c r="N129" i="2"/>
  <c r="O129" i="2" s="1"/>
  <c r="Q129" i="2" s="1"/>
  <c r="T129" i="2" s="1"/>
  <c r="N144" i="10"/>
  <c r="J144" i="10"/>
  <c r="K144" i="10" s="1"/>
  <c r="D148" i="11"/>
  <c r="G148" i="11" s="1"/>
  <c r="H148" i="11" s="1"/>
  <c r="C149" i="11"/>
  <c r="AA119" i="7"/>
  <c r="V119" i="7"/>
  <c r="K127" i="5"/>
  <c r="V129" i="6"/>
  <c r="Q125" i="5"/>
  <c r="J160" i="5"/>
  <c r="N160" i="5"/>
  <c r="N130" i="1"/>
  <c r="I131" i="1" s="1"/>
  <c r="R100" i="11"/>
  <c r="X100" i="11" s="1"/>
  <c r="S100" i="11"/>
  <c r="Z99" i="11"/>
  <c r="C162" i="7"/>
  <c r="D161" i="7"/>
  <c r="G161" i="7" s="1"/>
  <c r="H161" i="7" s="1"/>
  <c r="D145" i="12"/>
  <c r="G145" i="12" s="1"/>
  <c r="H145" i="12" s="1"/>
  <c r="C146" i="12"/>
  <c r="L175" i="2"/>
  <c r="H175" i="2"/>
  <c r="L132" i="6"/>
  <c r="Y100" i="10"/>
  <c r="M100" i="10"/>
  <c r="O100" i="10" s="1"/>
  <c r="P100" i="12"/>
  <c r="L101" i="12" s="1"/>
  <c r="Q100" i="12"/>
  <c r="M127" i="5"/>
  <c r="O127" i="5" s="1"/>
  <c r="L127" i="5"/>
  <c r="Y126" i="6"/>
  <c r="E147" i="11"/>
  <c r="K131" i="1"/>
  <c r="M131" i="1" s="1"/>
  <c r="H166" i="1"/>
  <c r="L166" i="1"/>
  <c r="P100" i="11"/>
  <c r="L101" i="11" s="1"/>
  <c r="N144" i="12"/>
  <c r="J144" i="12"/>
  <c r="C177" i="2"/>
  <c r="E176" i="2"/>
  <c r="F176" i="2" s="1"/>
  <c r="W99" i="10"/>
  <c r="V99" i="10"/>
  <c r="N147" i="11"/>
  <c r="J147" i="11"/>
  <c r="K147" i="11" s="1"/>
  <c r="V124" i="5"/>
  <c r="W124" i="6"/>
  <c r="C162" i="5"/>
  <c r="D161" i="5"/>
  <c r="G161" i="5" s="1"/>
  <c r="H161" i="5" s="1"/>
  <c r="V118" i="7"/>
  <c r="AA118" i="7"/>
  <c r="W99" i="11"/>
  <c r="V99" i="11"/>
  <c r="C168" i="1"/>
  <c r="E167" i="1"/>
  <c r="F167" i="1" s="1"/>
  <c r="AB120" i="7"/>
  <c r="R120" i="7"/>
  <c r="Y120" i="7" s="1"/>
  <c r="Z120" i="7" s="1"/>
  <c r="E144" i="12"/>
  <c r="Q122" i="7"/>
  <c r="P122" i="7"/>
  <c r="K123" i="7" s="1"/>
  <c r="P132" i="6"/>
  <c r="Q132" i="6" s="1"/>
  <c r="V131" i="6" l="1"/>
  <c r="R132" i="6"/>
  <c r="S132" i="6" s="1"/>
  <c r="K148" i="11"/>
  <c r="S126" i="5"/>
  <c r="R126" i="5"/>
  <c r="X126" i="6" s="1"/>
  <c r="Z126" i="6"/>
  <c r="R122" i="7"/>
  <c r="Y122" i="7" s="1"/>
  <c r="Z122" i="7" s="1"/>
  <c r="AB122" i="7"/>
  <c r="S122" i="7"/>
  <c r="Q100" i="11"/>
  <c r="L133" i="6"/>
  <c r="M133" i="6"/>
  <c r="O133" i="6" s="1"/>
  <c r="Z99" i="10"/>
  <c r="R100" i="10"/>
  <c r="X100" i="10" s="1"/>
  <c r="K128" i="5"/>
  <c r="V100" i="11"/>
  <c r="W100" i="11"/>
  <c r="P127" i="5"/>
  <c r="Q127" i="5" s="1"/>
  <c r="R101" i="12"/>
  <c r="X101" i="12" s="1"/>
  <c r="Z100" i="12"/>
  <c r="S101" i="12"/>
  <c r="E146" i="10"/>
  <c r="C147" i="10"/>
  <c r="D146" i="10"/>
  <c r="G146" i="10" s="1"/>
  <c r="H146" i="10" s="1"/>
  <c r="J131" i="1"/>
  <c r="N145" i="10"/>
  <c r="J145" i="10"/>
  <c r="K145" i="10" s="1"/>
  <c r="S121" i="7"/>
  <c r="M101" i="11"/>
  <c r="O101" i="11" s="1"/>
  <c r="Y101" i="11"/>
  <c r="S120" i="7"/>
  <c r="D162" i="5"/>
  <c r="G162" i="5" s="1"/>
  <c r="H162" i="5" s="1"/>
  <c r="C163" i="5"/>
  <c r="M101" i="12"/>
  <c r="O101" i="12" s="1"/>
  <c r="Y101" i="12"/>
  <c r="O130" i="1"/>
  <c r="Q130" i="1" s="1"/>
  <c r="T130" i="1" s="1"/>
  <c r="L167" i="1"/>
  <c r="H167" i="1"/>
  <c r="C178" i="2"/>
  <c r="E177" i="2"/>
  <c r="F177" i="2" s="1"/>
  <c r="N131" i="1"/>
  <c r="I132" i="1" s="1"/>
  <c r="O131" i="1"/>
  <c r="Q131" i="1" s="1"/>
  <c r="T131" i="1" s="1"/>
  <c r="Q100" i="10"/>
  <c r="P100" i="10"/>
  <c r="L101" i="10" s="1"/>
  <c r="E145" i="12"/>
  <c r="E149" i="11"/>
  <c r="C150" i="11"/>
  <c r="D149" i="11"/>
  <c r="G149" i="11" s="1"/>
  <c r="H149" i="11" s="1"/>
  <c r="D147" i="6"/>
  <c r="G147" i="6" s="1"/>
  <c r="H147" i="6" s="1"/>
  <c r="C148" i="6"/>
  <c r="E145" i="10"/>
  <c r="L123" i="7"/>
  <c r="M128" i="5"/>
  <c r="O128" i="5" s="1"/>
  <c r="Y127" i="6"/>
  <c r="K145" i="12"/>
  <c r="L176" i="2"/>
  <c r="H176" i="2"/>
  <c r="C169" i="1"/>
  <c r="E168" i="1"/>
  <c r="F168" i="1" s="1"/>
  <c r="N161" i="7"/>
  <c r="N148" i="11"/>
  <c r="J148" i="11"/>
  <c r="N146" i="6"/>
  <c r="J146" i="6"/>
  <c r="K146" i="6" s="1"/>
  <c r="Q123" i="7"/>
  <c r="P123" i="7"/>
  <c r="K124" i="7" s="1"/>
  <c r="J130" i="2"/>
  <c r="N161" i="5"/>
  <c r="J161" i="5"/>
  <c r="E146" i="12"/>
  <c r="D146" i="12"/>
  <c r="G146" i="12" s="1"/>
  <c r="H146" i="12" s="1"/>
  <c r="C147" i="12"/>
  <c r="N145" i="12"/>
  <c r="J145" i="12"/>
  <c r="C163" i="7"/>
  <c r="D162" i="7"/>
  <c r="G162" i="7" s="1"/>
  <c r="H162" i="7" s="1"/>
  <c r="R125" i="5"/>
  <c r="X125" i="6" s="1"/>
  <c r="Z125" i="6"/>
  <c r="E148" i="11"/>
  <c r="E146" i="6"/>
  <c r="E146" i="7" s="1"/>
  <c r="J146" i="7" s="1"/>
  <c r="N130" i="2"/>
  <c r="I131" i="2" s="1"/>
  <c r="V132" i="6" l="1"/>
  <c r="R127" i="5"/>
  <c r="X127" i="6" s="1"/>
  <c r="S127" i="5"/>
  <c r="Z127" i="6"/>
  <c r="N146" i="12"/>
  <c r="J146" i="12"/>
  <c r="K146" i="12" s="1"/>
  <c r="R123" i="7"/>
  <c r="Y123" i="7" s="1"/>
  <c r="Z123" i="7" s="1"/>
  <c r="AB123" i="7"/>
  <c r="C170" i="1"/>
  <c r="E169" i="1"/>
  <c r="F169" i="1" s="1"/>
  <c r="M101" i="10"/>
  <c r="O101" i="10" s="1"/>
  <c r="Y101" i="10"/>
  <c r="Z100" i="11"/>
  <c r="R101" i="11"/>
  <c r="X101" i="11" s="1"/>
  <c r="V126" i="5"/>
  <c r="W126" i="6"/>
  <c r="P101" i="11"/>
  <c r="L102" i="11" s="1"/>
  <c r="AA121" i="7"/>
  <c r="V121" i="7"/>
  <c r="S101" i="10"/>
  <c r="Z100" i="10"/>
  <c r="R101" i="10"/>
  <c r="X101" i="10" s="1"/>
  <c r="S125" i="5"/>
  <c r="N162" i="7"/>
  <c r="E147" i="6"/>
  <c r="E147" i="7" s="1"/>
  <c r="J147" i="7" s="1"/>
  <c r="C164" i="7"/>
  <c r="D163" i="7"/>
  <c r="G163" i="7" s="1"/>
  <c r="H163" i="7" s="1"/>
  <c r="L177" i="2"/>
  <c r="H177" i="2"/>
  <c r="C164" i="5"/>
  <c r="D163" i="5"/>
  <c r="G163" i="5" s="1"/>
  <c r="H163" i="5" s="1"/>
  <c r="S100" i="10"/>
  <c r="D148" i="6"/>
  <c r="G148" i="6" s="1"/>
  <c r="H148" i="6" s="1"/>
  <c r="C149" i="6"/>
  <c r="W101" i="12"/>
  <c r="V101" i="12"/>
  <c r="P101" i="12"/>
  <c r="L102" i="12" s="1"/>
  <c r="N149" i="11"/>
  <c r="J149" i="11"/>
  <c r="K149" i="11" s="1"/>
  <c r="O130" i="2"/>
  <c r="Q130" i="2" s="1"/>
  <c r="T130" i="2" s="1"/>
  <c r="L128" i="5"/>
  <c r="D150" i="11"/>
  <c r="G150" i="11" s="1"/>
  <c r="H150" i="11" s="1"/>
  <c r="C151" i="11"/>
  <c r="C179" i="2"/>
  <c r="E178" i="2"/>
  <c r="F178" i="2" s="1"/>
  <c r="N162" i="5"/>
  <c r="J162" i="5"/>
  <c r="J132" i="1"/>
  <c r="K132" i="1"/>
  <c r="M132" i="1" s="1"/>
  <c r="Q133" i="6"/>
  <c r="P133" i="6"/>
  <c r="K131" i="2"/>
  <c r="M131" i="2" s="1"/>
  <c r="J131" i="2"/>
  <c r="J146" i="10"/>
  <c r="K146" i="10" s="1"/>
  <c r="N146" i="10"/>
  <c r="V122" i="7"/>
  <c r="AA122" i="7"/>
  <c r="N147" i="6"/>
  <c r="J147" i="6"/>
  <c r="K147" i="6" s="1"/>
  <c r="P128" i="5"/>
  <c r="K129" i="5" s="1"/>
  <c r="Q128" i="5"/>
  <c r="AA120" i="7"/>
  <c r="V120" i="7"/>
  <c r="E147" i="12"/>
  <c r="D147" i="12"/>
  <c r="G147" i="12" s="1"/>
  <c r="H147" i="12" s="1"/>
  <c r="C148" i="12"/>
  <c r="L168" i="1"/>
  <c r="H168" i="1"/>
  <c r="W123" i="7"/>
  <c r="X123" i="7" s="1"/>
  <c r="M124" i="7"/>
  <c r="O124" i="7" s="1"/>
  <c r="L124" i="7"/>
  <c r="C148" i="10"/>
  <c r="D147" i="10"/>
  <c r="G147" i="10" s="1"/>
  <c r="H147" i="10" s="1"/>
  <c r="E147" i="10"/>
  <c r="M134" i="6"/>
  <c r="O134" i="6" s="1"/>
  <c r="L134" i="6"/>
  <c r="K148" i="6" l="1"/>
  <c r="K133" i="1"/>
  <c r="M133" i="1" s="1"/>
  <c r="L129" i="5"/>
  <c r="M129" i="5"/>
  <c r="O129" i="5" s="1"/>
  <c r="Y128" i="6"/>
  <c r="C171" i="1"/>
  <c r="E170" i="1"/>
  <c r="F170" i="1" s="1"/>
  <c r="R128" i="5"/>
  <c r="X128" i="6" s="1"/>
  <c r="Z128" i="6"/>
  <c r="E149" i="6"/>
  <c r="E149" i="7" s="1"/>
  <c r="J149" i="7" s="1"/>
  <c r="C150" i="6"/>
  <c r="D149" i="6"/>
  <c r="G149" i="6" s="1"/>
  <c r="H149" i="6" s="1"/>
  <c r="L178" i="2"/>
  <c r="H178" i="2"/>
  <c r="S101" i="11"/>
  <c r="S123" i="7"/>
  <c r="V127" i="5"/>
  <c r="W127" i="6"/>
  <c r="W101" i="10"/>
  <c r="V101" i="10"/>
  <c r="V100" i="10"/>
  <c r="W100" i="10"/>
  <c r="P124" i="7"/>
  <c r="K125" i="7" s="1"/>
  <c r="Q124" i="7"/>
  <c r="K132" i="2"/>
  <c r="M132" i="2" s="1"/>
  <c r="J132" i="2"/>
  <c r="C165" i="7"/>
  <c r="D164" i="7"/>
  <c r="G164" i="7" s="1"/>
  <c r="H164" i="7" s="1"/>
  <c r="C149" i="12"/>
  <c r="D148" i="12"/>
  <c r="G148" i="12" s="1"/>
  <c r="H148" i="12" s="1"/>
  <c r="J147" i="10"/>
  <c r="K147" i="10" s="1"/>
  <c r="N147" i="10"/>
  <c r="N147" i="12"/>
  <c r="J147" i="12"/>
  <c r="K147" i="12" s="1"/>
  <c r="C152" i="11"/>
  <c r="D151" i="11"/>
  <c r="G151" i="11" s="1"/>
  <c r="H151" i="11" s="1"/>
  <c r="E151" i="11"/>
  <c r="Q101" i="12"/>
  <c r="J163" i="5"/>
  <c r="N163" i="5"/>
  <c r="M102" i="11"/>
  <c r="O102" i="11" s="1"/>
  <c r="Y102" i="11"/>
  <c r="N163" i="7"/>
  <c r="P134" i="6"/>
  <c r="Q134" i="6" s="1"/>
  <c r="E148" i="6"/>
  <c r="E148" i="7" s="1"/>
  <c r="J148" i="7" s="1"/>
  <c r="C180" i="2"/>
  <c r="E179" i="2"/>
  <c r="F179" i="2" s="1"/>
  <c r="R133" i="6"/>
  <c r="J150" i="11"/>
  <c r="K150" i="11" s="1"/>
  <c r="N150" i="11"/>
  <c r="D164" i="5"/>
  <c r="G164" i="5" s="1"/>
  <c r="H164" i="5" s="1"/>
  <c r="C165" i="5"/>
  <c r="V125" i="5"/>
  <c r="W125" i="6"/>
  <c r="Q101" i="11"/>
  <c r="P101" i="10"/>
  <c r="L102" i="10" s="1"/>
  <c r="M135" i="6"/>
  <c r="O135" i="6" s="1"/>
  <c r="L135" i="6"/>
  <c r="N148" i="6"/>
  <c r="J148" i="6"/>
  <c r="N131" i="2"/>
  <c r="I132" i="2" s="1"/>
  <c r="M102" i="12"/>
  <c r="O102" i="12" s="1"/>
  <c r="Y102" i="12"/>
  <c r="C149" i="10"/>
  <c r="D148" i="10"/>
  <c r="G148" i="10" s="1"/>
  <c r="H148" i="10" s="1"/>
  <c r="W124" i="7"/>
  <c r="X124" i="7" s="1"/>
  <c r="M125" i="7"/>
  <c r="O125" i="7" s="1"/>
  <c r="L125" i="7"/>
  <c r="N132" i="1"/>
  <c r="I133" i="1" s="1"/>
  <c r="E150" i="11"/>
  <c r="H169" i="1"/>
  <c r="L169" i="1"/>
  <c r="R134" i="6" l="1"/>
  <c r="S134" i="6"/>
  <c r="K148" i="12"/>
  <c r="D149" i="10"/>
  <c r="G149" i="10" s="1"/>
  <c r="H149" i="10" s="1"/>
  <c r="C150" i="10"/>
  <c r="P102" i="11"/>
  <c r="L103" i="11" s="1"/>
  <c r="Q102" i="11"/>
  <c r="K133" i="2"/>
  <c r="M133" i="2" s="1"/>
  <c r="M130" i="5"/>
  <c r="O130" i="5" s="1"/>
  <c r="Y129" i="6"/>
  <c r="M136" i="6"/>
  <c r="O136" i="6" s="1"/>
  <c r="J148" i="12"/>
  <c r="N148" i="12"/>
  <c r="S128" i="5"/>
  <c r="K149" i="6"/>
  <c r="C166" i="5"/>
  <c r="D165" i="5"/>
  <c r="G165" i="5" s="1"/>
  <c r="H165" i="5" s="1"/>
  <c r="P135" i="6"/>
  <c r="L136" i="6" s="1"/>
  <c r="N132" i="2"/>
  <c r="I133" i="2" s="1"/>
  <c r="O132" i="1"/>
  <c r="Q132" i="1" s="1"/>
  <c r="T132" i="1" s="1"/>
  <c r="AB124" i="7"/>
  <c r="R124" i="7"/>
  <c r="Y124" i="7" s="1"/>
  <c r="Z124" i="7" s="1"/>
  <c r="M102" i="10"/>
  <c r="O102" i="10" s="1"/>
  <c r="Y102" i="10"/>
  <c r="W101" i="11"/>
  <c r="V101" i="11"/>
  <c r="Q101" i="10"/>
  <c r="L170" i="1"/>
  <c r="H170" i="1"/>
  <c r="C181" i="2"/>
  <c r="E180" i="2"/>
  <c r="F180" i="2" s="1"/>
  <c r="J164" i="5"/>
  <c r="N164" i="5"/>
  <c r="N133" i="1"/>
  <c r="O133" i="1" s="1"/>
  <c r="Q133" i="1" s="1"/>
  <c r="T133" i="1" s="1"/>
  <c r="P102" i="12"/>
  <c r="L103" i="12" s="1"/>
  <c r="Z101" i="12"/>
  <c r="R102" i="12"/>
  <c r="X102" i="12" s="1"/>
  <c r="P125" i="7"/>
  <c r="L126" i="7" s="1"/>
  <c r="Q125" i="7"/>
  <c r="E148" i="12"/>
  <c r="O131" i="2"/>
  <c r="Q131" i="2" s="1"/>
  <c r="T131" i="2" s="1"/>
  <c r="R102" i="11"/>
  <c r="X102" i="11" s="1"/>
  <c r="Z101" i="11"/>
  <c r="S133" i="6"/>
  <c r="J151" i="11"/>
  <c r="K151" i="11" s="1"/>
  <c r="N151" i="11"/>
  <c r="C150" i="12"/>
  <c r="D149" i="12"/>
  <c r="G149" i="12" s="1"/>
  <c r="H149" i="12" s="1"/>
  <c r="C172" i="1"/>
  <c r="E171" i="1"/>
  <c r="F171" i="1" s="1"/>
  <c r="K126" i="7"/>
  <c r="C153" i="11"/>
  <c r="D152" i="11"/>
  <c r="G152" i="11" s="1"/>
  <c r="H152" i="11" s="1"/>
  <c r="N164" i="7"/>
  <c r="N149" i="6"/>
  <c r="J149" i="6"/>
  <c r="J133" i="1"/>
  <c r="V123" i="7"/>
  <c r="AA123" i="7"/>
  <c r="W125" i="7"/>
  <c r="X125" i="7" s="1"/>
  <c r="M126" i="7"/>
  <c r="O126" i="7" s="1"/>
  <c r="J148" i="10"/>
  <c r="K148" i="10" s="1"/>
  <c r="N148" i="10"/>
  <c r="E148" i="10"/>
  <c r="L179" i="2"/>
  <c r="H179" i="2"/>
  <c r="C166" i="7"/>
  <c r="D165" i="7"/>
  <c r="G165" i="7" s="1"/>
  <c r="H165" i="7" s="1"/>
  <c r="D150" i="6"/>
  <c r="G150" i="6" s="1"/>
  <c r="H150" i="6" s="1"/>
  <c r="C151" i="6"/>
  <c r="E150" i="6"/>
  <c r="E150" i="7" s="1"/>
  <c r="J150" i="7" s="1"/>
  <c r="P129" i="5"/>
  <c r="K130" i="5" s="1"/>
  <c r="M127" i="7" l="1"/>
  <c r="O127" i="7" s="1"/>
  <c r="W126" i="7"/>
  <c r="X126" i="7" s="1"/>
  <c r="K149" i="10"/>
  <c r="M137" i="6"/>
  <c r="O137" i="6" s="1"/>
  <c r="C151" i="12"/>
  <c r="D150" i="12"/>
  <c r="G150" i="12" s="1"/>
  <c r="H150" i="12" s="1"/>
  <c r="Y103" i="12"/>
  <c r="M103" i="12"/>
  <c r="O103" i="12" s="1"/>
  <c r="D166" i="5"/>
  <c r="G166" i="5" s="1"/>
  <c r="H166" i="5" s="1"/>
  <c r="C167" i="5"/>
  <c r="D150" i="10"/>
  <c r="G150" i="10" s="1"/>
  <c r="H150" i="10" s="1"/>
  <c r="C151" i="10"/>
  <c r="K150" i="6"/>
  <c r="K149" i="12"/>
  <c r="J152" i="11"/>
  <c r="K152" i="11" s="1"/>
  <c r="N152" i="11"/>
  <c r="J149" i="10"/>
  <c r="N149" i="10"/>
  <c r="D153" i="11"/>
  <c r="G153" i="11" s="1"/>
  <c r="H153" i="11" s="1"/>
  <c r="C154" i="11"/>
  <c r="E153" i="11"/>
  <c r="L130" i="5"/>
  <c r="I134" i="1"/>
  <c r="J150" i="6"/>
  <c r="N150" i="6"/>
  <c r="O132" i="2"/>
  <c r="Q132" i="2" s="1"/>
  <c r="T132" i="2" s="1"/>
  <c r="N133" i="2"/>
  <c r="O133" i="2" s="1"/>
  <c r="Q133" i="2" s="1"/>
  <c r="T133" i="2" s="1"/>
  <c r="V134" i="6"/>
  <c r="Q129" i="5"/>
  <c r="E152" i="11"/>
  <c r="V133" i="6"/>
  <c r="H171" i="1"/>
  <c r="L171" i="1"/>
  <c r="N165" i="7"/>
  <c r="C173" i="1"/>
  <c r="E172" i="1"/>
  <c r="F172" i="1" s="1"/>
  <c r="S102" i="11"/>
  <c r="L180" i="2"/>
  <c r="H180" i="2"/>
  <c r="P136" i="6"/>
  <c r="Q136" i="6" s="1"/>
  <c r="S103" i="11"/>
  <c r="R103" i="11"/>
  <c r="X103" i="11" s="1"/>
  <c r="Z102" i="11"/>
  <c r="C152" i="6"/>
  <c r="D151" i="6"/>
  <c r="G151" i="6" s="1"/>
  <c r="H151" i="6" s="1"/>
  <c r="J133" i="2"/>
  <c r="Q126" i="7"/>
  <c r="P126" i="7"/>
  <c r="L127" i="7" s="1"/>
  <c r="S102" i="12"/>
  <c r="C182" i="2"/>
  <c r="E181" i="2"/>
  <c r="F181" i="2" s="1"/>
  <c r="P102" i="10"/>
  <c r="L103" i="10" s="1"/>
  <c r="Q102" i="10"/>
  <c r="Q135" i="6"/>
  <c r="Y103" i="11"/>
  <c r="M103" i="11"/>
  <c r="O103" i="11" s="1"/>
  <c r="Z101" i="10"/>
  <c r="R102" i="10"/>
  <c r="X102" i="10" s="1"/>
  <c r="P130" i="5"/>
  <c r="Q130" i="5" s="1"/>
  <c r="K134" i="1"/>
  <c r="M134" i="1" s="1"/>
  <c r="J134" i="1"/>
  <c r="AB125" i="7"/>
  <c r="R125" i="7"/>
  <c r="Y125" i="7" s="1"/>
  <c r="Z125" i="7" s="1"/>
  <c r="V128" i="5"/>
  <c r="W128" i="6"/>
  <c r="C167" i="7"/>
  <c r="D166" i="7"/>
  <c r="G166" i="7" s="1"/>
  <c r="H166" i="7" s="1"/>
  <c r="J149" i="12"/>
  <c r="N149" i="12"/>
  <c r="E149" i="12"/>
  <c r="Q102" i="12"/>
  <c r="S124" i="7"/>
  <c r="N165" i="5"/>
  <c r="J165" i="5"/>
  <c r="E149" i="10"/>
  <c r="R136" i="6" l="1"/>
  <c r="R130" i="5"/>
  <c r="X130" i="6" s="1"/>
  <c r="Z130" i="6"/>
  <c r="W127" i="7"/>
  <c r="X127" i="7" s="1"/>
  <c r="M128" i="7"/>
  <c r="O128" i="7" s="1"/>
  <c r="K135" i="1"/>
  <c r="M135" i="1" s="1"/>
  <c r="P103" i="11"/>
  <c r="L104" i="11" s="1"/>
  <c r="C174" i="1"/>
  <c r="E173" i="1"/>
  <c r="F173" i="1" s="1"/>
  <c r="R129" i="5"/>
  <c r="X129" i="6" s="1"/>
  <c r="Z129" i="6"/>
  <c r="N166" i="5"/>
  <c r="J166" i="5"/>
  <c r="L137" i="6"/>
  <c r="I134" i="2"/>
  <c r="M131" i="5"/>
  <c r="O131" i="5" s="1"/>
  <c r="L131" i="5"/>
  <c r="Y130" i="6"/>
  <c r="K134" i="2"/>
  <c r="M134" i="2" s="1"/>
  <c r="J134" i="2"/>
  <c r="J151" i="6"/>
  <c r="K151" i="6" s="1"/>
  <c r="N151" i="6"/>
  <c r="J153" i="11"/>
  <c r="K153" i="11" s="1"/>
  <c r="N153" i="11"/>
  <c r="E151" i="10"/>
  <c r="D151" i="10"/>
  <c r="G151" i="10" s="1"/>
  <c r="H151" i="10" s="1"/>
  <c r="C152" i="10"/>
  <c r="J150" i="12"/>
  <c r="N150" i="12"/>
  <c r="AB126" i="7"/>
  <c r="S126" i="7"/>
  <c r="R126" i="7"/>
  <c r="Y126" i="7" s="1"/>
  <c r="Z126" i="7" s="1"/>
  <c r="R135" i="6"/>
  <c r="K131" i="5"/>
  <c r="E151" i="6"/>
  <c r="E151" i="7" s="1"/>
  <c r="J151" i="7" s="1"/>
  <c r="L181" i="2"/>
  <c r="H181" i="2"/>
  <c r="C153" i="6"/>
  <c r="D152" i="6"/>
  <c r="G152" i="6" s="1"/>
  <c r="H152" i="6" s="1"/>
  <c r="E152" i="6"/>
  <c r="E152" i="7" s="1"/>
  <c r="J152" i="7" s="1"/>
  <c r="N150" i="10"/>
  <c r="J150" i="10"/>
  <c r="K150" i="10" s="1"/>
  <c r="E150" i="12"/>
  <c r="N166" i="7"/>
  <c r="C168" i="7"/>
  <c r="D167" i="7"/>
  <c r="G167" i="7" s="1"/>
  <c r="H167" i="7" s="1"/>
  <c r="W103" i="11"/>
  <c r="V103" i="11"/>
  <c r="K150" i="12"/>
  <c r="K127" i="7"/>
  <c r="K128" i="7" s="1"/>
  <c r="V124" i="7"/>
  <c r="AA124" i="7"/>
  <c r="R103" i="12"/>
  <c r="X103" i="12" s="1"/>
  <c r="Z102" i="12"/>
  <c r="S103" i="12"/>
  <c r="S125" i="7"/>
  <c r="S102" i="10"/>
  <c r="C183" i="2"/>
  <c r="E182" i="2"/>
  <c r="F182" i="2" s="1"/>
  <c r="W102" i="11"/>
  <c r="V102" i="11"/>
  <c r="E150" i="10"/>
  <c r="D151" i="12"/>
  <c r="G151" i="12" s="1"/>
  <c r="H151" i="12" s="1"/>
  <c r="C152" i="12"/>
  <c r="E151" i="12"/>
  <c r="N134" i="1"/>
  <c r="O134" i="1" s="1"/>
  <c r="Q134" i="1" s="1"/>
  <c r="T134" i="1" s="1"/>
  <c r="P137" i="6"/>
  <c r="Q137" i="6"/>
  <c r="P103" i="12"/>
  <c r="L104" i="12" s="1"/>
  <c r="Z102" i="10"/>
  <c r="R103" i="10"/>
  <c r="X103" i="10" s="1"/>
  <c r="D154" i="11"/>
  <c r="G154" i="11" s="1"/>
  <c r="H154" i="11" s="1"/>
  <c r="C155" i="11"/>
  <c r="M103" i="10"/>
  <c r="O103" i="10" s="1"/>
  <c r="Y103" i="10"/>
  <c r="W102" i="12"/>
  <c r="V102" i="12"/>
  <c r="H172" i="1"/>
  <c r="L172" i="1"/>
  <c r="C168" i="5"/>
  <c r="D167" i="5"/>
  <c r="G167" i="5" s="1"/>
  <c r="H167" i="5" s="1"/>
  <c r="P127" i="7"/>
  <c r="Q127" i="7" s="1"/>
  <c r="AB127" i="7" l="1"/>
  <c r="R127" i="7"/>
  <c r="Y127" i="7" s="1"/>
  <c r="Z127" i="7" s="1"/>
  <c r="K151" i="10"/>
  <c r="C184" i="2"/>
  <c r="E183" i="2"/>
  <c r="F183" i="2" s="1"/>
  <c r="V126" i="7"/>
  <c r="AA126" i="7"/>
  <c r="L173" i="1"/>
  <c r="H173" i="1"/>
  <c r="L128" i="7"/>
  <c r="S103" i="10"/>
  <c r="K135" i="2"/>
  <c r="M135" i="2" s="1"/>
  <c r="Q103" i="11"/>
  <c r="S130" i="5"/>
  <c r="C175" i="1"/>
  <c r="E174" i="1"/>
  <c r="F174" i="1" s="1"/>
  <c r="P103" i="10"/>
  <c r="L104" i="10" s="1"/>
  <c r="E152" i="10"/>
  <c r="D152" i="10"/>
  <c r="G152" i="10" s="1"/>
  <c r="H152" i="10" s="1"/>
  <c r="C153" i="10"/>
  <c r="N134" i="2"/>
  <c r="J135" i="2" s="1"/>
  <c r="I135" i="1"/>
  <c r="I136" i="1" s="1"/>
  <c r="O135" i="1"/>
  <c r="Q135" i="1" s="1"/>
  <c r="T135" i="1" s="1"/>
  <c r="N135" i="1"/>
  <c r="V102" i="10"/>
  <c r="W102" i="10"/>
  <c r="J151" i="12"/>
  <c r="K151" i="12" s="1"/>
  <c r="N151" i="12"/>
  <c r="E155" i="11"/>
  <c r="D155" i="11"/>
  <c r="G155" i="11" s="1"/>
  <c r="H155" i="11" s="1"/>
  <c r="C156" i="11"/>
  <c r="R137" i="6"/>
  <c r="S137" i="6" s="1"/>
  <c r="N167" i="7"/>
  <c r="J152" i="6"/>
  <c r="K152" i="6" s="1"/>
  <c r="N152" i="6"/>
  <c r="N151" i="10"/>
  <c r="J151" i="10"/>
  <c r="J135" i="1"/>
  <c r="V125" i="7"/>
  <c r="AA125" i="7"/>
  <c r="Y104" i="11"/>
  <c r="M104" i="11"/>
  <c r="O104" i="11" s="1"/>
  <c r="W103" i="12"/>
  <c r="V103" i="12"/>
  <c r="Q103" i="12"/>
  <c r="N154" i="11"/>
  <c r="J154" i="11"/>
  <c r="K154" i="11" s="1"/>
  <c r="C169" i="7"/>
  <c r="D168" i="7"/>
  <c r="G168" i="7" s="1"/>
  <c r="H168" i="7" s="1"/>
  <c r="D153" i="6"/>
  <c r="G153" i="6" s="1"/>
  <c r="H153" i="6" s="1"/>
  <c r="C154" i="6"/>
  <c r="E153" i="6"/>
  <c r="E153" i="7" s="1"/>
  <c r="J153" i="7" s="1"/>
  <c r="S135" i="6"/>
  <c r="M132" i="5"/>
  <c r="O132" i="5" s="1"/>
  <c r="L132" i="5"/>
  <c r="Y131" i="6"/>
  <c r="Q128" i="7"/>
  <c r="P128" i="7"/>
  <c r="S136" i="6"/>
  <c r="K129" i="7"/>
  <c r="M138" i="6"/>
  <c r="O138" i="6" s="1"/>
  <c r="L138" i="6"/>
  <c r="D152" i="12"/>
  <c r="G152" i="12" s="1"/>
  <c r="H152" i="12" s="1"/>
  <c r="C153" i="12"/>
  <c r="Y104" i="12"/>
  <c r="M104" i="12"/>
  <c r="O104" i="12" s="1"/>
  <c r="J167" i="5"/>
  <c r="N167" i="5"/>
  <c r="D168" i="5"/>
  <c r="G168" i="5" s="1"/>
  <c r="H168" i="5" s="1"/>
  <c r="C169" i="5"/>
  <c r="E154" i="11"/>
  <c r="L182" i="2"/>
  <c r="H182" i="2"/>
  <c r="P131" i="5"/>
  <c r="Q131" i="5" s="1"/>
  <c r="S129" i="5"/>
  <c r="V137" i="6" l="1"/>
  <c r="K136" i="2"/>
  <c r="M136" i="2" s="1"/>
  <c r="J136" i="2"/>
  <c r="R131" i="5"/>
  <c r="X131" i="6" s="1"/>
  <c r="Z131" i="6"/>
  <c r="N168" i="7"/>
  <c r="P104" i="11"/>
  <c r="L105" i="11" s="1"/>
  <c r="Q103" i="10"/>
  <c r="O135" i="2"/>
  <c r="Q135" i="2" s="1"/>
  <c r="T135" i="2" s="1"/>
  <c r="N135" i="2"/>
  <c r="L183" i="2"/>
  <c r="H183" i="2"/>
  <c r="C170" i="7"/>
  <c r="D169" i="7"/>
  <c r="G169" i="7" s="1"/>
  <c r="H169" i="7" s="1"/>
  <c r="E184" i="2"/>
  <c r="C186" i="2"/>
  <c r="AB128" i="7"/>
  <c r="R128" i="7"/>
  <c r="Y128" i="7" s="1"/>
  <c r="Z128" i="7" s="1"/>
  <c r="M129" i="7"/>
  <c r="O129" i="7" s="1"/>
  <c r="L129" i="7"/>
  <c r="W128" i="7"/>
  <c r="X128" i="7" s="1"/>
  <c r="K132" i="5"/>
  <c r="K133" i="5" s="1"/>
  <c r="Q104" i="12"/>
  <c r="P104" i="12"/>
  <c r="L105" i="12" s="1"/>
  <c r="K136" i="1"/>
  <c r="M136" i="1" s="1"/>
  <c r="J136" i="1"/>
  <c r="D153" i="10"/>
  <c r="G153" i="10" s="1"/>
  <c r="H153" i="10" s="1"/>
  <c r="C154" i="10"/>
  <c r="C176" i="1"/>
  <c r="E175" i="1"/>
  <c r="F175" i="1" s="1"/>
  <c r="S127" i="7"/>
  <c r="C170" i="5"/>
  <c r="D169" i="5"/>
  <c r="G169" i="5" s="1"/>
  <c r="H169" i="5" s="1"/>
  <c r="M104" i="10"/>
  <c r="O104" i="10" s="1"/>
  <c r="Y104" i="10"/>
  <c r="V129" i="5"/>
  <c r="W129" i="6"/>
  <c r="H174" i="1"/>
  <c r="L174" i="1"/>
  <c r="V135" i="6"/>
  <c r="R104" i="12"/>
  <c r="X104" i="12" s="1"/>
  <c r="S104" i="12"/>
  <c r="Z103" i="12"/>
  <c r="N152" i="10"/>
  <c r="J152" i="10"/>
  <c r="V130" i="5"/>
  <c r="W130" i="6"/>
  <c r="I135" i="2"/>
  <c r="I136" i="2" s="1"/>
  <c r="J168" i="5"/>
  <c r="N168" i="5"/>
  <c r="W103" i="10"/>
  <c r="V103" i="10"/>
  <c r="P132" i="5"/>
  <c r="Q132" i="5" s="1"/>
  <c r="D154" i="6"/>
  <c r="G154" i="6" s="1"/>
  <c r="H154" i="6" s="1"/>
  <c r="C155" i="6"/>
  <c r="D156" i="11"/>
  <c r="G156" i="11" s="1"/>
  <c r="H156" i="11" s="1"/>
  <c r="C157" i="11"/>
  <c r="R104" i="11"/>
  <c r="X104" i="11" s="1"/>
  <c r="Z103" i="11"/>
  <c r="S104" i="11"/>
  <c r="N152" i="12"/>
  <c r="J152" i="12"/>
  <c r="K152" i="12" s="1"/>
  <c r="E152" i="12"/>
  <c r="M133" i="5"/>
  <c r="O133" i="5" s="1"/>
  <c r="Y132" i="6"/>
  <c r="K152" i="10"/>
  <c r="M139" i="6"/>
  <c r="O139" i="6" s="1"/>
  <c r="L139" i="6"/>
  <c r="O134" i="2"/>
  <c r="Q134" i="2" s="1"/>
  <c r="T134" i="2" s="1"/>
  <c r="P138" i="6"/>
  <c r="Q138" i="6" s="1"/>
  <c r="V136" i="6"/>
  <c r="D153" i="12"/>
  <c r="G153" i="12" s="1"/>
  <c r="H153" i="12" s="1"/>
  <c r="C154" i="12"/>
  <c r="J153" i="6"/>
  <c r="K153" i="6" s="1"/>
  <c r="N153" i="6"/>
  <c r="N155" i="11"/>
  <c r="J155" i="11"/>
  <c r="K155" i="11" s="1"/>
  <c r="R132" i="5" l="1"/>
  <c r="X132" i="6" s="1"/>
  <c r="S132" i="5"/>
  <c r="Z132" i="6"/>
  <c r="R138" i="6"/>
  <c r="S138" i="6" s="1"/>
  <c r="K156" i="11"/>
  <c r="P133" i="5"/>
  <c r="Q133" i="5" s="1"/>
  <c r="C158" i="11"/>
  <c r="D157" i="11"/>
  <c r="G157" i="11" s="1"/>
  <c r="H157" i="11" s="1"/>
  <c r="AA127" i="7"/>
  <c r="V127" i="7"/>
  <c r="Y105" i="12"/>
  <c r="M105" i="12"/>
  <c r="O105" i="12" s="1"/>
  <c r="S131" i="5"/>
  <c r="Q104" i="11"/>
  <c r="N136" i="2"/>
  <c r="J137" i="2" s="1"/>
  <c r="E154" i="12"/>
  <c r="C155" i="12"/>
  <c r="D154" i="12"/>
  <c r="G154" i="12" s="1"/>
  <c r="H154" i="12" s="1"/>
  <c r="Z104" i="12"/>
  <c r="R105" i="12"/>
  <c r="X105" i="12" s="1"/>
  <c r="E176" i="1"/>
  <c r="F176" i="1" s="1"/>
  <c r="C177" i="1"/>
  <c r="K137" i="2"/>
  <c r="M137" i="2" s="1"/>
  <c r="W104" i="12"/>
  <c r="V104" i="12"/>
  <c r="W129" i="7"/>
  <c r="X129" i="7" s="1"/>
  <c r="M130" i="7"/>
  <c r="O130" i="7" s="1"/>
  <c r="L130" i="7"/>
  <c r="C171" i="7"/>
  <c r="D170" i="7"/>
  <c r="G170" i="7" s="1"/>
  <c r="H170" i="7" s="1"/>
  <c r="N156" i="11"/>
  <c r="J156" i="11"/>
  <c r="L175" i="1"/>
  <c r="H175" i="1"/>
  <c r="N153" i="12"/>
  <c r="J153" i="12"/>
  <c r="K153" i="12" s="1"/>
  <c r="E156" i="11"/>
  <c r="F184" i="2"/>
  <c r="E186" i="2"/>
  <c r="E153" i="12"/>
  <c r="N154" i="6"/>
  <c r="J154" i="6"/>
  <c r="K154" i="6" s="1"/>
  <c r="N153" i="10"/>
  <c r="J153" i="10"/>
  <c r="K153" i="10" s="1"/>
  <c r="V104" i="11"/>
  <c r="W104" i="11"/>
  <c r="E154" i="6"/>
  <c r="E154" i="7" s="1"/>
  <c r="J154" i="7" s="1"/>
  <c r="P104" i="10"/>
  <c r="L105" i="10" s="1"/>
  <c r="Q104" i="10"/>
  <c r="E153" i="10"/>
  <c r="Q129" i="7"/>
  <c r="P129" i="7"/>
  <c r="K130" i="7" s="1"/>
  <c r="Z103" i="10"/>
  <c r="S104" i="10"/>
  <c r="R104" i="10"/>
  <c r="X104" i="10" s="1"/>
  <c r="K134" i="5"/>
  <c r="M140" i="6"/>
  <c r="O140" i="6" s="1"/>
  <c r="L140" i="6"/>
  <c r="N169" i="7"/>
  <c r="Q139" i="6"/>
  <c r="P139" i="6"/>
  <c r="N169" i="5"/>
  <c r="J169" i="5"/>
  <c r="K137" i="1"/>
  <c r="M137" i="1" s="1"/>
  <c r="J137" i="1"/>
  <c r="Y105" i="11"/>
  <c r="M105" i="11"/>
  <c r="O105" i="11" s="1"/>
  <c r="D155" i="6"/>
  <c r="G155" i="6" s="1"/>
  <c r="H155" i="6" s="1"/>
  <c r="C156" i="6"/>
  <c r="C155" i="10"/>
  <c r="D154" i="10"/>
  <c r="G154" i="10" s="1"/>
  <c r="H154" i="10" s="1"/>
  <c r="L133" i="5"/>
  <c r="D170" i="5"/>
  <c r="G170" i="5" s="1"/>
  <c r="H170" i="5" s="1"/>
  <c r="C171" i="5"/>
  <c r="N136" i="1"/>
  <c r="I137" i="1" s="1"/>
  <c r="O136" i="1"/>
  <c r="Q136" i="1" s="1"/>
  <c r="T136" i="1" s="1"/>
  <c r="S128" i="7"/>
  <c r="K138" i="2" l="1"/>
  <c r="M138" i="2" s="1"/>
  <c r="J138" i="2"/>
  <c r="R133" i="5"/>
  <c r="X133" i="6" s="1"/>
  <c r="Z133" i="6"/>
  <c r="K154" i="10"/>
  <c r="K154" i="12"/>
  <c r="V138" i="6"/>
  <c r="J154" i="10"/>
  <c r="N154" i="10"/>
  <c r="K131" i="7"/>
  <c r="C172" i="7"/>
  <c r="D171" i="7"/>
  <c r="G171" i="7" s="1"/>
  <c r="H171" i="7" s="1"/>
  <c r="O137" i="2"/>
  <c r="Q137" i="2" s="1"/>
  <c r="T137" i="2" s="1"/>
  <c r="N137" i="2"/>
  <c r="L141" i="6"/>
  <c r="M141" i="6"/>
  <c r="O141" i="6" s="1"/>
  <c r="C178" i="1"/>
  <c r="E177" i="1"/>
  <c r="F177" i="1" s="1"/>
  <c r="AA128" i="7"/>
  <c r="V128" i="7"/>
  <c r="D156" i="6"/>
  <c r="G156" i="6" s="1"/>
  <c r="H156" i="6" s="1"/>
  <c r="C157" i="6"/>
  <c r="Z104" i="11"/>
  <c r="R105" i="11"/>
  <c r="X105" i="11" s="1"/>
  <c r="E158" i="11"/>
  <c r="D158" i="11"/>
  <c r="G158" i="11" s="1"/>
  <c r="H158" i="11" s="1"/>
  <c r="C159" i="11"/>
  <c r="R129" i="7"/>
  <c r="Y129" i="7" s="1"/>
  <c r="Z129" i="7" s="1"/>
  <c r="AB129" i="7"/>
  <c r="L176" i="1"/>
  <c r="H176" i="1"/>
  <c r="O136" i="2"/>
  <c r="Q136" i="2" s="1"/>
  <c r="T136" i="2" s="1"/>
  <c r="P140" i="6"/>
  <c r="Q140" i="6"/>
  <c r="I137" i="2"/>
  <c r="I138" i="2" s="1"/>
  <c r="V131" i="5"/>
  <c r="W131" i="6"/>
  <c r="E157" i="11"/>
  <c r="E154" i="10"/>
  <c r="N157" i="11"/>
  <c r="J157" i="11"/>
  <c r="K157" i="11" s="1"/>
  <c r="N155" i="6"/>
  <c r="J155" i="6"/>
  <c r="K155" i="6" s="1"/>
  <c r="Y105" i="10"/>
  <c r="M105" i="10"/>
  <c r="O105" i="10" s="1"/>
  <c r="C172" i="5"/>
  <c r="D171" i="5"/>
  <c r="G171" i="5" s="1"/>
  <c r="H171" i="5" s="1"/>
  <c r="E155" i="6"/>
  <c r="E155" i="7" s="1"/>
  <c r="J155" i="7" s="1"/>
  <c r="S105" i="12"/>
  <c r="P105" i="12"/>
  <c r="L106" i="12" s="1"/>
  <c r="V132" i="5"/>
  <c r="W132" i="6"/>
  <c r="C156" i="10"/>
  <c r="D155" i="10"/>
  <c r="G155" i="10" s="1"/>
  <c r="H155" i="10" s="1"/>
  <c r="W130" i="7"/>
  <c r="X130" i="7" s="1"/>
  <c r="M131" i="7"/>
  <c r="O131" i="7" s="1"/>
  <c r="L131" i="7"/>
  <c r="O137" i="1"/>
  <c r="Q137" i="1" s="1"/>
  <c r="T137" i="1" s="1"/>
  <c r="N137" i="1"/>
  <c r="I138" i="1" s="1"/>
  <c r="Q130" i="7"/>
  <c r="P130" i="7"/>
  <c r="N154" i="12"/>
  <c r="J154" i="12"/>
  <c r="J138" i="1"/>
  <c r="K138" i="1"/>
  <c r="M138" i="1" s="1"/>
  <c r="Z104" i="10"/>
  <c r="R105" i="10"/>
  <c r="X105" i="10" s="1"/>
  <c r="N170" i="5"/>
  <c r="J170" i="5"/>
  <c r="P105" i="11"/>
  <c r="L106" i="11" s="1"/>
  <c r="R139" i="6"/>
  <c r="W104" i="10"/>
  <c r="V104" i="10"/>
  <c r="M134" i="5"/>
  <c r="O134" i="5" s="1"/>
  <c r="L134" i="5"/>
  <c r="Y133" i="6"/>
  <c r="L184" i="2"/>
  <c r="H184" i="2"/>
  <c r="H186" i="2" s="1"/>
  <c r="N170" i="7"/>
  <c r="D155" i="12"/>
  <c r="G155" i="12" s="1"/>
  <c r="H155" i="12" s="1"/>
  <c r="C156" i="12"/>
  <c r="E155" i="12"/>
  <c r="P105" i="10" l="1"/>
  <c r="L106" i="10" s="1"/>
  <c r="W131" i="7"/>
  <c r="X131" i="7" s="1"/>
  <c r="M132" i="7"/>
  <c r="O132" i="7" s="1"/>
  <c r="K139" i="1"/>
  <c r="M139" i="1" s="1"/>
  <c r="P141" i="6"/>
  <c r="L142" i="6" s="1"/>
  <c r="K132" i="7"/>
  <c r="Y106" i="12"/>
  <c r="M106" i="12"/>
  <c r="O106" i="12" s="1"/>
  <c r="H177" i="1"/>
  <c r="L177" i="1"/>
  <c r="P131" i="7"/>
  <c r="L132" i="7" s="1"/>
  <c r="C179" i="1"/>
  <c r="E178" i="1"/>
  <c r="F178" i="1" s="1"/>
  <c r="L135" i="5"/>
  <c r="M135" i="5"/>
  <c r="O135" i="5" s="1"/>
  <c r="Y134" i="6"/>
  <c r="W105" i="12"/>
  <c r="V105" i="12"/>
  <c r="J155" i="10"/>
  <c r="K155" i="10" s="1"/>
  <c r="N155" i="10"/>
  <c r="M106" i="11"/>
  <c r="O106" i="11" s="1"/>
  <c r="Y106" i="11"/>
  <c r="Q105" i="11"/>
  <c r="C158" i="6"/>
  <c r="D157" i="6"/>
  <c r="G157" i="6" s="1"/>
  <c r="H157" i="6" s="1"/>
  <c r="N155" i="12"/>
  <c r="J155" i="12"/>
  <c r="K155" i="12" s="1"/>
  <c r="E155" i="10"/>
  <c r="J171" i="5"/>
  <c r="N171" i="5"/>
  <c r="S129" i="7"/>
  <c r="N156" i="6"/>
  <c r="J156" i="6"/>
  <c r="K156" i="6" s="1"/>
  <c r="M142" i="6"/>
  <c r="O142" i="6" s="1"/>
  <c r="S133" i="5"/>
  <c r="N138" i="1"/>
  <c r="I139" i="1" s="1"/>
  <c r="N171" i="7"/>
  <c r="C173" i="7"/>
  <c r="D172" i="7"/>
  <c r="G172" i="7" s="1"/>
  <c r="H172" i="7" s="1"/>
  <c r="S105" i="11"/>
  <c r="Q134" i="5"/>
  <c r="P134" i="5"/>
  <c r="K135" i="5" s="1"/>
  <c r="R130" i="7"/>
  <c r="Y130" i="7" s="1"/>
  <c r="Z130" i="7" s="1"/>
  <c r="AB130" i="7"/>
  <c r="S130" i="7"/>
  <c r="C157" i="10"/>
  <c r="E156" i="10"/>
  <c r="D156" i="10"/>
  <c r="G156" i="10" s="1"/>
  <c r="H156" i="10" s="1"/>
  <c r="C173" i="5"/>
  <c r="D172" i="5"/>
  <c r="G172" i="5" s="1"/>
  <c r="H172" i="5" s="1"/>
  <c r="R140" i="6"/>
  <c r="S140" i="6" s="1"/>
  <c r="C160" i="11"/>
  <c r="D159" i="11"/>
  <c r="G159" i="11" s="1"/>
  <c r="H159" i="11" s="1"/>
  <c r="E156" i="6"/>
  <c r="E156" i="7" s="1"/>
  <c r="J156" i="7" s="1"/>
  <c r="K139" i="2"/>
  <c r="M139" i="2" s="1"/>
  <c r="Q105" i="12"/>
  <c r="E156" i="12"/>
  <c r="C157" i="12"/>
  <c r="D156" i="12"/>
  <c r="G156" i="12" s="1"/>
  <c r="H156" i="12" s="1"/>
  <c r="S139" i="6"/>
  <c r="S105" i="10"/>
  <c r="J158" i="11"/>
  <c r="K158" i="11" s="1"/>
  <c r="N158" i="11"/>
  <c r="N138" i="2"/>
  <c r="O138" i="2" s="1"/>
  <c r="Q138" i="2" s="1"/>
  <c r="T138" i="2" s="1"/>
  <c r="W132" i="7" l="1"/>
  <c r="X132" i="7" s="1"/>
  <c r="M133" i="7"/>
  <c r="O133" i="7" s="1"/>
  <c r="L133" i="7"/>
  <c r="L143" i="6"/>
  <c r="M143" i="6"/>
  <c r="O143" i="6" s="1"/>
  <c r="K156" i="12"/>
  <c r="V140" i="6"/>
  <c r="P106" i="11"/>
  <c r="L107" i="11" s="1"/>
  <c r="Q106" i="11"/>
  <c r="M136" i="5"/>
  <c r="O136" i="5" s="1"/>
  <c r="Y135" i="6"/>
  <c r="P132" i="7"/>
  <c r="Q132" i="7"/>
  <c r="I139" i="2"/>
  <c r="I140" i="2" s="1"/>
  <c r="Y106" i="10"/>
  <c r="M106" i="10"/>
  <c r="O106" i="10" s="1"/>
  <c r="J159" i="11"/>
  <c r="K159" i="11" s="1"/>
  <c r="N159" i="11"/>
  <c r="L178" i="1"/>
  <c r="H178" i="1"/>
  <c r="K133" i="7"/>
  <c r="J139" i="2"/>
  <c r="AA129" i="7"/>
  <c r="V129" i="7"/>
  <c r="E157" i="6"/>
  <c r="E157" i="7" s="1"/>
  <c r="J157" i="7" s="1"/>
  <c r="Q131" i="7"/>
  <c r="Q141" i="6"/>
  <c r="Q105" i="10"/>
  <c r="N172" i="7"/>
  <c r="C174" i="7"/>
  <c r="D173" i="7"/>
  <c r="G173" i="7" s="1"/>
  <c r="H173" i="7" s="1"/>
  <c r="Z105" i="12"/>
  <c r="R106" i="12"/>
  <c r="X106" i="12" s="1"/>
  <c r="N157" i="6"/>
  <c r="J157" i="6"/>
  <c r="K157" i="6" s="1"/>
  <c r="W105" i="10"/>
  <c r="V105" i="10"/>
  <c r="V139" i="6"/>
  <c r="O139" i="2"/>
  <c r="Q139" i="2" s="1"/>
  <c r="T139" i="2" s="1"/>
  <c r="N139" i="2"/>
  <c r="J172" i="5"/>
  <c r="N172" i="5"/>
  <c r="O138" i="1"/>
  <c r="Q138" i="1" s="1"/>
  <c r="T138" i="1" s="1"/>
  <c r="S106" i="11"/>
  <c r="Z105" i="11"/>
  <c r="R106" i="11"/>
  <c r="X106" i="11" s="1"/>
  <c r="J139" i="1"/>
  <c r="D157" i="10"/>
  <c r="G157" i="10" s="1"/>
  <c r="H157" i="10" s="1"/>
  <c r="C158" i="10"/>
  <c r="E157" i="10"/>
  <c r="V130" i="7"/>
  <c r="AA130" i="7"/>
  <c r="N156" i="12"/>
  <c r="J156" i="12"/>
  <c r="C174" i="5"/>
  <c r="D173" i="5"/>
  <c r="G173" i="5" s="1"/>
  <c r="H173" i="5" s="1"/>
  <c r="R134" i="5"/>
  <c r="X134" i="6" s="1"/>
  <c r="Z134" i="6"/>
  <c r="V133" i="5"/>
  <c r="W133" i="6"/>
  <c r="N139" i="1"/>
  <c r="I140" i="1" s="1"/>
  <c r="P142" i="6"/>
  <c r="Q142" i="6" s="1"/>
  <c r="C161" i="11"/>
  <c r="E160" i="11"/>
  <c r="D160" i="11"/>
  <c r="G160" i="11" s="1"/>
  <c r="H160" i="11" s="1"/>
  <c r="C180" i="1"/>
  <c r="E179" i="1"/>
  <c r="F179" i="1" s="1"/>
  <c r="D158" i="6"/>
  <c r="G158" i="6" s="1"/>
  <c r="H158" i="6" s="1"/>
  <c r="C159" i="6"/>
  <c r="E158" i="6"/>
  <c r="E158" i="7" s="1"/>
  <c r="J158" i="7" s="1"/>
  <c r="D157" i="12"/>
  <c r="G157" i="12" s="1"/>
  <c r="H157" i="12" s="1"/>
  <c r="C158" i="12"/>
  <c r="E159" i="11"/>
  <c r="J156" i="10"/>
  <c r="K156" i="10" s="1"/>
  <c r="N156" i="10"/>
  <c r="W105" i="11"/>
  <c r="V105" i="11"/>
  <c r="P135" i="5"/>
  <c r="L136" i="5" s="1"/>
  <c r="P106" i="12"/>
  <c r="L107" i="12" s="1"/>
  <c r="M137" i="5" l="1"/>
  <c r="O137" i="5" s="1"/>
  <c r="Y136" i="6"/>
  <c r="R142" i="6"/>
  <c r="S142" i="6" s="1"/>
  <c r="J160" i="11"/>
  <c r="K160" i="11" s="1"/>
  <c r="N160" i="11"/>
  <c r="W106" i="11"/>
  <c r="V106" i="11"/>
  <c r="N173" i="7"/>
  <c r="P106" i="10"/>
  <c r="L107" i="10" s="1"/>
  <c r="P136" i="5"/>
  <c r="L137" i="5" s="1"/>
  <c r="K157" i="12"/>
  <c r="E158" i="12"/>
  <c r="C159" i="12"/>
  <c r="D158" i="12"/>
  <c r="G158" i="12" s="1"/>
  <c r="H158" i="12" s="1"/>
  <c r="Q135" i="5"/>
  <c r="C175" i="7"/>
  <c r="D174" i="7"/>
  <c r="G174" i="7" s="1"/>
  <c r="H174" i="7" s="1"/>
  <c r="Z106" i="11"/>
  <c r="R107" i="11"/>
  <c r="X107" i="11" s="1"/>
  <c r="M107" i="11"/>
  <c r="O107" i="11" s="1"/>
  <c r="Y107" i="11"/>
  <c r="C160" i="6"/>
  <c r="D159" i="6"/>
  <c r="G159" i="6" s="1"/>
  <c r="H159" i="6" s="1"/>
  <c r="N173" i="5"/>
  <c r="J173" i="5"/>
  <c r="R106" i="10"/>
  <c r="X106" i="10" s="1"/>
  <c r="Z105" i="10"/>
  <c r="AB132" i="7"/>
  <c r="R132" i="7"/>
  <c r="Y132" i="7" s="1"/>
  <c r="Z132" i="7" s="1"/>
  <c r="S132" i="7"/>
  <c r="M134" i="7"/>
  <c r="O134" i="7" s="1"/>
  <c r="W133" i="7"/>
  <c r="X133" i="7" s="1"/>
  <c r="K136" i="5"/>
  <c r="M144" i="6"/>
  <c r="O144" i="6" s="1"/>
  <c r="S134" i="5"/>
  <c r="J157" i="10"/>
  <c r="K157" i="10" s="1"/>
  <c r="N157" i="10"/>
  <c r="O139" i="1"/>
  <c r="Q139" i="1" s="1"/>
  <c r="T139" i="1" s="1"/>
  <c r="D174" i="5"/>
  <c r="G174" i="5" s="1"/>
  <c r="H174" i="5" s="1"/>
  <c r="C175" i="5"/>
  <c r="J140" i="1"/>
  <c r="K140" i="1"/>
  <c r="M140" i="1" s="1"/>
  <c r="R141" i="6"/>
  <c r="P133" i="7"/>
  <c r="Q133" i="7" s="1"/>
  <c r="N157" i="12"/>
  <c r="J157" i="12"/>
  <c r="H179" i="1"/>
  <c r="L179" i="1"/>
  <c r="R131" i="7"/>
  <c r="Y131" i="7" s="1"/>
  <c r="Z131" i="7" s="1"/>
  <c r="AB131" i="7"/>
  <c r="Q143" i="6"/>
  <c r="P143" i="6"/>
  <c r="L144" i="6" s="1"/>
  <c r="D161" i="11"/>
  <c r="G161" i="11" s="1"/>
  <c r="H161" i="11" s="1"/>
  <c r="C162" i="11"/>
  <c r="E161" i="11"/>
  <c r="K140" i="2"/>
  <c r="M140" i="2" s="1"/>
  <c r="J140" i="2"/>
  <c r="D158" i="10"/>
  <c r="G158" i="10" s="1"/>
  <c r="H158" i="10" s="1"/>
  <c r="C159" i="10"/>
  <c r="J158" i="6"/>
  <c r="K158" i="6" s="1"/>
  <c r="N158" i="6"/>
  <c r="M107" i="12"/>
  <c r="O107" i="12" s="1"/>
  <c r="Y107" i="12"/>
  <c r="Q106" i="12"/>
  <c r="E157" i="12"/>
  <c r="C181" i="1"/>
  <c r="E180" i="1"/>
  <c r="F180" i="1" s="1"/>
  <c r="S106" i="12"/>
  <c r="M145" i="6" l="1"/>
  <c r="O145" i="6" s="1"/>
  <c r="V142" i="6"/>
  <c r="K159" i="6"/>
  <c r="K158" i="10"/>
  <c r="AB133" i="7"/>
  <c r="R133" i="7"/>
  <c r="Y133" i="7" s="1"/>
  <c r="Z133" i="7" s="1"/>
  <c r="S133" i="7"/>
  <c r="M138" i="5"/>
  <c r="O138" i="5" s="1"/>
  <c r="Y137" i="6"/>
  <c r="Q107" i="11"/>
  <c r="P107" i="11"/>
  <c r="L108" i="11" s="1"/>
  <c r="J158" i="12"/>
  <c r="N158" i="12"/>
  <c r="S131" i="7"/>
  <c r="P134" i="7"/>
  <c r="Q134" i="7" s="1"/>
  <c r="E162" i="11"/>
  <c r="D162" i="11"/>
  <c r="G162" i="11" s="1"/>
  <c r="H162" i="11" s="1"/>
  <c r="C163" i="11"/>
  <c r="S141" i="6"/>
  <c r="K158" i="12"/>
  <c r="P144" i="6"/>
  <c r="L145" i="6" s="1"/>
  <c r="N174" i="7"/>
  <c r="O140" i="2"/>
  <c r="Q140" i="2" s="1"/>
  <c r="T140" i="2" s="1"/>
  <c r="N140" i="2"/>
  <c r="I141" i="2" s="1"/>
  <c r="J159" i="6"/>
  <c r="N159" i="6"/>
  <c r="H180" i="1"/>
  <c r="L180" i="1"/>
  <c r="K134" i="7"/>
  <c r="K135" i="7" s="1"/>
  <c r="E159" i="6"/>
  <c r="E159" i="7" s="1"/>
  <c r="J159" i="7" s="1"/>
  <c r="C182" i="1"/>
  <c r="E181" i="1"/>
  <c r="F181" i="1" s="1"/>
  <c r="D159" i="10"/>
  <c r="G159" i="10" s="1"/>
  <c r="H159" i="10" s="1"/>
  <c r="C160" i="10"/>
  <c r="K141" i="1"/>
  <c r="M141" i="1" s="1"/>
  <c r="J141" i="1"/>
  <c r="C161" i="6"/>
  <c r="E160" i="6"/>
  <c r="E160" i="7" s="1"/>
  <c r="J160" i="7" s="1"/>
  <c r="D160" i="6"/>
  <c r="G160" i="6" s="1"/>
  <c r="H160" i="6" s="1"/>
  <c r="D175" i="7"/>
  <c r="G175" i="7" s="1"/>
  <c r="H175" i="7" s="1"/>
  <c r="C176" i="7"/>
  <c r="Q136" i="5"/>
  <c r="K141" i="2"/>
  <c r="M141" i="2" s="1"/>
  <c r="J141" i="2"/>
  <c r="V134" i="5"/>
  <c r="W134" i="6"/>
  <c r="J161" i="11"/>
  <c r="K161" i="11" s="1"/>
  <c r="N161" i="11"/>
  <c r="N158" i="10"/>
  <c r="J158" i="10"/>
  <c r="C176" i="5"/>
  <c r="D175" i="5"/>
  <c r="G175" i="5" s="1"/>
  <c r="H175" i="5" s="1"/>
  <c r="S135" i="5"/>
  <c r="R135" i="5"/>
  <c r="X135" i="6" s="1"/>
  <c r="Z135" i="6"/>
  <c r="Y107" i="10"/>
  <c r="M107" i="10"/>
  <c r="O107" i="10" s="1"/>
  <c r="C160" i="12"/>
  <c r="D159" i="12"/>
  <c r="G159" i="12" s="1"/>
  <c r="H159" i="12" s="1"/>
  <c r="E159" i="12"/>
  <c r="Q107" i="12"/>
  <c r="P107" i="12"/>
  <c r="L108" i="12" s="1"/>
  <c r="L134" i="7"/>
  <c r="V106" i="12"/>
  <c r="W106" i="12"/>
  <c r="V132" i="7"/>
  <c r="AA132" i="7"/>
  <c r="S107" i="11"/>
  <c r="N140" i="1"/>
  <c r="I141" i="1" s="1"/>
  <c r="R143" i="6"/>
  <c r="Z106" i="12"/>
  <c r="R107" i="12"/>
  <c r="X107" i="12" s="1"/>
  <c r="E158" i="10"/>
  <c r="N174" i="5"/>
  <c r="J174" i="5"/>
  <c r="K137" i="5"/>
  <c r="S106" i="10"/>
  <c r="Q106" i="10"/>
  <c r="P137" i="5"/>
  <c r="L138" i="5" s="1"/>
  <c r="Q137" i="5"/>
  <c r="M139" i="5" l="1"/>
  <c r="O139" i="5" s="1"/>
  <c r="Y138" i="6"/>
  <c r="AB134" i="7"/>
  <c r="R134" i="7"/>
  <c r="Y134" i="7" s="1"/>
  <c r="Z134" i="7" s="1"/>
  <c r="S134" i="7"/>
  <c r="K162" i="11"/>
  <c r="M146" i="6"/>
  <c r="O146" i="6" s="1"/>
  <c r="V135" i="5"/>
  <c r="W135" i="6"/>
  <c r="C183" i="1"/>
  <c r="E182" i="1"/>
  <c r="F182" i="1" s="1"/>
  <c r="N162" i="11"/>
  <c r="J162" i="11"/>
  <c r="M108" i="11"/>
  <c r="O108" i="11" s="1"/>
  <c r="Y108" i="11"/>
  <c r="Z106" i="10"/>
  <c r="R107" i="10"/>
  <c r="X107" i="10" s="1"/>
  <c r="E160" i="12"/>
  <c r="C161" i="12"/>
  <c r="D160" i="12"/>
  <c r="G160" i="12" s="1"/>
  <c r="H160" i="12" s="1"/>
  <c r="R137" i="5"/>
  <c r="X137" i="6" s="1"/>
  <c r="Z137" i="6"/>
  <c r="D161" i="6"/>
  <c r="G161" i="6" s="1"/>
  <c r="H161" i="6" s="1"/>
  <c r="C162" i="6"/>
  <c r="R108" i="11"/>
  <c r="X108" i="11" s="1"/>
  <c r="S108" i="11"/>
  <c r="Z107" i="11"/>
  <c r="D160" i="10"/>
  <c r="G160" i="10" s="1"/>
  <c r="H160" i="10" s="1"/>
  <c r="C161" i="10"/>
  <c r="Q144" i="6"/>
  <c r="V131" i="7"/>
  <c r="AA131" i="7"/>
  <c r="P138" i="5"/>
  <c r="L139" i="5" s="1"/>
  <c r="W107" i="11"/>
  <c r="V107" i="11"/>
  <c r="N159" i="12"/>
  <c r="J159" i="12"/>
  <c r="C177" i="5"/>
  <c r="D176" i="5"/>
  <c r="G176" i="5" s="1"/>
  <c r="H176" i="5" s="1"/>
  <c r="N141" i="2"/>
  <c r="O141" i="2" s="1"/>
  <c r="Q141" i="2" s="1"/>
  <c r="T141" i="2" s="1"/>
  <c r="R136" i="5"/>
  <c r="X136" i="6" s="1"/>
  <c r="S136" i="5"/>
  <c r="Z136" i="6"/>
  <c r="S143" i="6"/>
  <c r="W134" i="7"/>
  <c r="X134" i="7" s="1"/>
  <c r="M135" i="7"/>
  <c r="O135" i="7" s="1"/>
  <c r="L135" i="7"/>
  <c r="C177" i="7"/>
  <c r="D176" i="7"/>
  <c r="G176" i="7" s="1"/>
  <c r="H176" i="7" s="1"/>
  <c r="N159" i="10"/>
  <c r="J159" i="10"/>
  <c r="K159" i="10" s="1"/>
  <c r="K159" i="12"/>
  <c r="J175" i="5"/>
  <c r="N175" i="5"/>
  <c r="K142" i="2"/>
  <c r="M142" i="2" s="1"/>
  <c r="J142" i="2"/>
  <c r="P107" i="10"/>
  <c r="L108" i="10" s="1"/>
  <c r="I142" i="1"/>
  <c r="M108" i="12"/>
  <c r="O108" i="12" s="1"/>
  <c r="Y108" i="12"/>
  <c r="N175" i="7"/>
  <c r="E159" i="10"/>
  <c r="V141" i="6"/>
  <c r="AA133" i="7"/>
  <c r="V133" i="7"/>
  <c r="S107" i="12"/>
  <c r="K142" i="1"/>
  <c r="M142" i="1" s="1"/>
  <c r="J142" i="1"/>
  <c r="W106" i="10"/>
  <c r="V106" i="10"/>
  <c r="N141" i="1"/>
  <c r="O141" i="1" s="1"/>
  <c r="Q141" i="1" s="1"/>
  <c r="T141" i="1" s="1"/>
  <c r="K138" i="5"/>
  <c r="O140" i="1"/>
  <c r="Q140" i="1" s="1"/>
  <c r="T140" i="1" s="1"/>
  <c r="Z107" i="12"/>
  <c r="R108" i="12"/>
  <c r="X108" i="12" s="1"/>
  <c r="J160" i="6"/>
  <c r="K160" i="6" s="1"/>
  <c r="N160" i="6"/>
  <c r="L181" i="1"/>
  <c r="H181" i="1"/>
  <c r="I142" i="2"/>
  <c r="D163" i="11"/>
  <c r="G163" i="11" s="1"/>
  <c r="H163" i="11" s="1"/>
  <c r="C164" i="11"/>
  <c r="P145" i="6"/>
  <c r="L146" i="6" s="1"/>
  <c r="M147" i="6" l="1"/>
  <c r="O147" i="6" s="1"/>
  <c r="M140" i="5"/>
  <c r="O140" i="5" s="1"/>
  <c r="Y139" i="6"/>
  <c r="V143" i="6"/>
  <c r="R144" i="6"/>
  <c r="E161" i="6"/>
  <c r="E161" i="7" s="1"/>
  <c r="J161" i="7" s="1"/>
  <c r="D161" i="12"/>
  <c r="G161" i="12" s="1"/>
  <c r="H161" i="12" s="1"/>
  <c r="C162" i="12"/>
  <c r="E161" i="12"/>
  <c r="P146" i="6"/>
  <c r="L147" i="6" s="1"/>
  <c r="V136" i="5"/>
  <c r="W136" i="6"/>
  <c r="D164" i="11"/>
  <c r="G164" i="11" s="1"/>
  <c r="H164" i="11" s="1"/>
  <c r="C165" i="11"/>
  <c r="D162" i="6"/>
  <c r="G162" i="6" s="1"/>
  <c r="H162" i="6" s="1"/>
  <c r="C163" i="6"/>
  <c r="H182" i="1"/>
  <c r="L182" i="1"/>
  <c r="E163" i="11"/>
  <c r="C178" i="7"/>
  <c r="D177" i="7"/>
  <c r="G177" i="7" s="1"/>
  <c r="H177" i="7" s="1"/>
  <c r="S107" i="10"/>
  <c r="J143" i="1"/>
  <c r="K143" i="1"/>
  <c r="M143" i="1" s="1"/>
  <c r="Q107" i="10"/>
  <c r="J161" i="6"/>
  <c r="K161" i="6" s="1"/>
  <c r="N161" i="6"/>
  <c r="N142" i="1"/>
  <c r="I143" i="1" s="1"/>
  <c r="O142" i="1"/>
  <c r="Q142" i="1" s="1"/>
  <c r="T142" i="1" s="1"/>
  <c r="E160" i="10"/>
  <c r="V107" i="12"/>
  <c r="W107" i="12"/>
  <c r="K143" i="2"/>
  <c r="M143" i="2" s="1"/>
  <c r="K139" i="5"/>
  <c r="N142" i="2"/>
  <c r="J143" i="2" s="1"/>
  <c r="M136" i="7"/>
  <c r="O136" i="7" s="1"/>
  <c r="L136" i="7"/>
  <c r="W135" i="7"/>
  <c r="X135" i="7" s="1"/>
  <c r="Q138" i="5"/>
  <c r="S137" i="5"/>
  <c r="N160" i="10"/>
  <c r="J160" i="10"/>
  <c r="K160" i="10" s="1"/>
  <c r="AA134" i="7"/>
  <c r="V134" i="7"/>
  <c r="S108" i="12"/>
  <c r="C184" i="1"/>
  <c r="E183" i="1"/>
  <c r="F183" i="1" s="1"/>
  <c r="P135" i="7"/>
  <c r="K136" i="7" s="1"/>
  <c r="Q135" i="7"/>
  <c r="J176" i="5"/>
  <c r="N176" i="5"/>
  <c r="V108" i="11"/>
  <c r="W108" i="11"/>
  <c r="P139" i="5"/>
  <c r="L140" i="5" s="1"/>
  <c r="Y108" i="10"/>
  <c r="M108" i="10"/>
  <c r="O108" i="10" s="1"/>
  <c r="D161" i="10"/>
  <c r="G161" i="10" s="1"/>
  <c r="H161" i="10" s="1"/>
  <c r="C162" i="10"/>
  <c r="N163" i="11"/>
  <c r="J163" i="11"/>
  <c r="K163" i="11" s="1"/>
  <c r="N176" i="7"/>
  <c r="Q145" i="6"/>
  <c r="P108" i="12"/>
  <c r="L109" i="12" s="1"/>
  <c r="C178" i="5"/>
  <c r="D177" i="5"/>
  <c r="G177" i="5" s="1"/>
  <c r="H177" i="5" s="1"/>
  <c r="J160" i="12"/>
  <c r="K160" i="12" s="1"/>
  <c r="N160" i="12"/>
  <c r="P108" i="11"/>
  <c r="L109" i="11" s="1"/>
  <c r="M141" i="5" l="1"/>
  <c r="O141" i="5" s="1"/>
  <c r="Y140" i="6"/>
  <c r="K144" i="2"/>
  <c r="M144" i="2" s="1"/>
  <c r="K162" i="6"/>
  <c r="I144" i="1"/>
  <c r="M148" i="6"/>
  <c r="O148" i="6" s="1"/>
  <c r="L148" i="6"/>
  <c r="N143" i="2"/>
  <c r="O143" i="2" s="1"/>
  <c r="Q143" i="2" s="1"/>
  <c r="T143" i="2" s="1"/>
  <c r="S108" i="10"/>
  <c r="Z107" i="10"/>
  <c r="R108" i="10"/>
  <c r="X108" i="10" s="1"/>
  <c r="L183" i="1"/>
  <c r="H183" i="1"/>
  <c r="Q139" i="5"/>
  <c r="E162" i="10"/>
  <c r="C163" i="10"/>
  <c r="D162" i="10"/>
  <c r="G162" i="10" s="1"/>
  <c r="H162" i="10" s="1"/>
  <c r="N162" i="6"/>
  <c r="J162" i="6"/>
  <c r="N143" i="1"/>
  <c r="O143" i="1" s="1"/>
  <c r="Q143" i="1" s="1"/>
  <c r="T143" i="1" s="1"/>
  <c r="P140" i="5"/>
  <c r="L141" i="5" s="1"/>
  <c r="W107" i="10"/>
  <c r="V107" i="10"/>
  <c r="N177" i="7"/>
  <c r="E162" i="6"/>
  <c r="E162" i="7" s="1"/>
  <c r="J162" i="7" s="1"/>
  <c r="Q146" i="6"/>
  <c r="N177" i="5"/>
  <c r="J177" i="5"/>
  <c r="V108" i="12"/>
  <c r="W108" i="12"/>
  <c r="D163" i="6"/>
  <c r="G163" i="6" s="1"/>
  <c r="H163" i="6" s="1"/>
  <c r="C164" i="6"/>
  <c r="M109" i="12"/>
  <c r="O109" i="12" s="1"/>
  <c r="Y109" i="12"/>
  <c r="P136" i="7"/>
  <c r="Q136" i="7" s="1"/>
  <c r="Q108" i="12"/>
  <c r="E161" i="10"/>
  <c r="Q108" i="11"/>
  <c r="R145" i="6"/>
  <c r="Q108" i="10"/>
  <c r="P108" i="10"/>
  <c r="L109" i="10" s="1"/>
  <c r="O142" i="2"/>
  <c r="Q142" i="2" s="1"/>
  <c r="T142" i="2" s="1"/>
  <c r="C179" i="7"/>
  <c r="D178" i="7"/>
  <c r="G178" i="7" s="1"/>
  <c r="H178" i="7" s="1"/>
  <c r="C166" i="11"/>
  <c r="D165" i="11"/>
  <c r="G165" i="11" s="1"/>
  <c r="H165" i="11" s="1"/>
  <c r="Q147" i="6"/>
  <c r="P147" i="6"/>
  <c r="D178" i="5"/>
  <c r="G178" i="5" s="1"/>
  <c r="H178" i="5" s="1"/>
  <c r="C179" i="5"/>
  <c r="K144" i="1"/>
  <c r="M144" i="1" s="1"/>
  <c r="J144" i="1"/>
  <c r="S144" i="6"/>
  <c r="M109" i="11"/>
  <c r="O109" i="11" s="1"/>
  <c r="Y109" i="11"/>
  <c r="AB135" i="7"/>
  <c r="R135" i="7"/>
  <c r="Y135" i="7" s="1"/>
  <c r="Z135" i="7" s="1"/>
  <c r="K140" i="5"/>
  <c r="I143" i="2"/>
  <c r="N164" i="11"/>
  <c r="J164" i="11"/>
  <c r="K164" i="11" s="1"/>
  <c r="C163" i="12"/>
  <c r="D162" i="12"/>
  <c r="G162" i="12" s="1"/>
  <c r="H162" i="12" s="1"/>
  <c r="R138" i="5"/>
  <c r="X138" i="6" s="1"/>
  <c r="Z138" i="6"/>
  <c r="E184" i="1"/>
  <c r="C186" i="1"/>
  <c r="W136" i="7"/>
  <c r="X136" i="7" s="1"/>
  <c r="M137" i="7"/>
  <c r="O137" i="7" s="1"/>
  <c r="N161" i="10"/>
  <c r="J161" i="10"/>
  <c r="K161" i="10" s="1"/>
  <c r="V137" i="5"/>
  <c r="W137" i="6"/>
  <c r="E164" i="11"/>
  <c r="N161" i="12"/>
  <c r="J161" i="12"/>
  <c r="K161" i="12" s="1"/>
  <c r="M142" i="5" l="1"/>
  <c r="O142" i="5" s="1"/>
  <c r="Y141" i="6"/>
  <c r="K165" i="11"/>
  <c r="K162" i="12"/>
  <c r="R136" i="7"/>
  <c r="Y136" i="7" s="1"/>
  <c r="Z136" i="7" s="1"/>
  <c r="AB136" i="7"/>
  <c r="R147" i="6"/>
  <c r="S147" i="6"/>
  <c r="Z108" i="10"/>
  <c r="R109" i="10"/>
  <c r="X109" i="10" s="1"/>
  <c r="J162" i="10"/>
  <c r="K162" i="10" s="1"/>
  <c r="N162" i="10"/>
  <c r="W108" i="10"/>
  <c r="V108" i="10"/>
  <c r="P109" i="11"/>
  <c r="L110" i="11" s="1"/>
  <c r="K163" i="6"/>
  <c r="V144" i="6"/>
  <c r="Q109" i="12"/>
  <c r="P109" i="12"/>
  <c r="L110" i="12" s="1"/>
  <c r="Q140" i="5"/>
  <c r="R139" i="5"/>
  <c r="X139" i="6" s="1"/>
  <c r="Z139" i="6"/>
  <c r="J144" i="2"/>
  <c r="N165" i="11"/>
  <c r="J165" i="11"/>
  <c r="I144" i="2"/>
  <c r="E165" i="11"/>
  <c r="S138" i="5"/>
  <c r="S109" i="11"/>
  <c r="Z108" i="11"/>
  <c r="R109" i="11"/>
  <c r="X109" i="11" s="1"/>
  <c r="D164" i="6"/>
  <c r="G164" i="6" s="1"/>
  <c r="H164" i="6" s="1"/>
  <c r="C165" i="6"/>
  <c r="R146" i="6"/>
  <c r="S146" i="6" s="1"/>
  <c r="L149" i="6"/>
  <c r="M149" i="6"/>
  <c r="O149" i="6" s="1"/>
  <c r="O144" i="2"/>
  <c r="Q144" i="2" s="1"/>
  <c r="T144" i="2" s="1"/>
  <c r="N144" i="2"/>
  <c r="C167" i="11"/>
  <c r="D166" i="11"/>
  <c r="G166" i="11" s="1"/>
  <c r="H166" i="11" s="1"/>
  <c r="K141" i="5"/>
  <c r="K142" i="5" s="1"/>
  <c r="N144" i="1"/>
  <c r="O144" i="1" s="1"/>
  <c r="Q144" i="1" s="1"/>
  <c r="T144" i="1" s="1"/>
  <c r="Q137" i="7"/>
  <c r="P137" i="7"/>
  <c r="N162" i="12"/>
  <c r="J162" i="12"/>
  <c r="C180" i="5"/>
  <c r="D179" i="5"/>
  <c r="G179" i="5" s="1"/>
  <c r="H179" i="5" s="1"/>
  <c r="C180" i="7"/>
  <c r="D179" i="7"/>
  <c r="G179" i="7" s="1"/>
  <c r="H179" i="7" s="1"/>
  <c r="N163" i="6"/>
  <c r="J163" i="6"/>
  <c r="P148" i="6"/>
  <c r="Q148" i="6"/>
  <c r="F184" i="1"/>
  <c r="E186" i="1"/>
  <c r="C164" i="10"/>
  <c r="E163" i="10"/>
  <c r="D163" i="10"/>
  <c r="G163" i="10" s="1"/>
  <c r="H163" i="10" s="1"/>
  <c r="K137" i="7"/>
  <c r="K138" i="7" s="1"/>
  <c r="S145" i="6"/>
  <c r="L137" i="7"/>
  <c r="S135" i="7"/>
  <c r="S109" i="12"/>
  <c r="R109" i="12"/>
  <c r="X109" i="12" s="1"/>
  <c r="Z108" i="12"/>
  <c r="E163" i="6"/>
  <c r="E163" i="7" s="1"/>
  <c r="J163" i="7" s="1"/>
  <c r="P141" i="5"/>
  <c r="L142" i="5" s="1"/>
  <c r="Q141" i="5"/>
  <c r="K145" i="1"/>
  <c r="M145" i="1" s="1"/>
  <c r="J145" i="1"/>
  <c r="N178" i="7"/>
  <c r="D163" i="12"/>
  <c r="G163" i="12" s="1"/>
  <c r="H163" i="12" s="1"/>
  <c r="C164" i="12"/>
  <c r="E163" i="12"/>
  <c r="N178" i="5"/>
  <c r="J178" i="5"/>
  <c r="E162" i="12"/>
  <c r="M109" i="10"/>
  <c r="O109" i="10" s="1"/>
  <c r="Y109" i="10"/>
  <c r="M143" i="5" l="1"/>
  <c r="O143" i="5" s="1"/>
  <c r="Y142" i="6"/>
  <c r="V146" i="6"/>
  <c r="P109" i="10"/>
  <c r="L110" i="10" s="1"/>
  <c r="W109" i="12"/>
  <c r="V109" i="12"/>
  <c r="C181" i="7"/>
  <c r="D180" i="7"/>
  <c r="G180" i="7" s="1"/>
  <c r="H180" i="7" s="1"/>
  <c r="P149" i="6"/>
  <c r="L150" i="6" s="1"/>
  <c r="K145" i="2"/>
  <c r="M145" i="2" s="1"/>
  <c r="J145" i="2"/>
  <c r="K146" i="1"/>
  <c r="M146" i="1" s="1"/>
  <c r="L184" i="1"/>
  <c r="H184" i="1"/>
  <c r="H186" i="1" s="1"/>
  <c r="W109" i="11"/>
  <c r="V109" i="11"/>
  <c r="V138" i="5"/>
  <c r="W138" i="6"/>
  <c r="Q109" i="11"/>
  <c r="S109" i="10"/>
  <c r="K166" i="11"/>
  <c r="N145" i="1"/>
  <c r="J146" i="1" s="1"/>
  <c r="M110" i="11"/>
  <c r="O110" i="11" s="1"/>
  <c r="Y110" i="11"/>
  <c r="R148" i="6"/>
  <c r="S148" i="6" s="1"/>
  <c r="C168" i="11"/>
  <c r="D167" i="11"/>
  <c r="G167" i="11" s="1"/>
  <c r="H167" i="11" s="1"/>
  <c r="R140" i="5"/>
  <c r="X140" i="6" s="1"/>
  <c r="S140" i="5"/>
  <c r="Z140" i="6"/>
  <c r="I145" i="1"/>
  <c r="V147" i="6"/>
  <c r="J179" i="5"/>
  <c r="N179" i="5"/>
  <c r="J166" i="11"/>
  <c r="N166" i="11"/>
  <c r="K163" i="12"/>
  <c r="V145" i="6"/>
  <c r="E166" i="11"/>
  <c r="E164" i="12"/>
  <c r="C165" i="12"/>
  <c r="D164" i="12"/>
  <c r="G164" i="12" s="1"/>
  <c r="H164" i="12" s="1"/>
  <c r="J163" i="10"/>
  <c r="K163" i="10" s="1"/>
  <c r="N163" i="10"/>
  <c r="D165" i="6"/>
  <c r="G165" i="6" s="1"/>
  <c r="H165" i="6" s="1"/>
  <c r="C166" i="6"/>
  <c r="I145" i="2"/>
  <c r="M110" i="12"/>
  <c r="O110" i="12" s="1"/>
  <c r="Y110" i="12"/>
  <c r="M138" i="7"/>
  <c r="O138" i="7" s="1"/>
  <c r="L138" i="7"/>
  <c r="W137" i="7"/>
  <c r="X137" i="7" s="1"/>
  <c r="N164" i="6"/>
  <c r="J164" i="6"/>
  <c r="K164" i="6" s="1"/>
  <c r="Z109" i="12"/>
  <c r="R110" i="12"/>
  <c r="X110" i="12" s="1"/>
  <c r="AA135" i="7"/>
  <c r="V135" i="7"/>
  <c r="M150" i="6"/>
  <c r="O150" i="6" s="1"/>
  <c r="C181" i="5"/>
  <c r="D180" i="5"/>
  <c r="G180" i="5" s="1"/>
  <c r="H180" i="5" s="1"/>
  <c r="R141" i="5"/>
  <c r="X141" i="6" s="1"/>
  <c r="Z141" i="6"/>
  <c r="S139" i="5"/>
  <c r="N163" i="12"/>
  <c r="J163" i="12"/>
  <c r="AB137" i="7"/>
  <c r="R137" i="7"/>
  <c r="Y137" i="7" s="1"/>
  <c r="Z137" i="7" s="1"/>
  <c r="C165" i="10"/>
  <c r="D164" i="10"/>
  <c r="G164" i="10" s="1"/>
  <c r="H164" i="10" s="1"/>
  <c r="N179" i="7"/>
  <c r="E164" i="6"/>
  <c r="E164" i="7" s="1"/>
  <c r="J164" i="7" s="1"/>
  <c r="S136" i="7"/>
  <c r="P142" i="5"/>
  <c r="L143" i="5" s="1"/>
  <c r="M144" i="5" l="1"/>
  <c r="O144" i="5" s="1"/>
  <c r="Y143" i="6"/>
  <c r="K147" i="1"/>
  <c r="M147" i="1" s="1"/>
  <c r="J147" i="1"/>
  <c r="V148" i="6"/>
  <c r="M151" i="6"/>
  <c r="O151" i="6" s="1"/>
  <c r="V139" i="5"/>
  <c r="W139" i="6"/>
  <c r="K146" i="2"/>
  <c r="M146" i="2" s="1"/>
  <c r="J146" i="2"/>
  <c r="Q109" i="10"/>
  <c r="M139" i="7"/>
  <c r="O139" i="7" s="1"/>
  <c r="W138" i="7"/>
  <c r="X138" i="7" s="1"/>
  <c r="P138" i="7"/>
  <c r="K139" i="7" s="1"/>
  <c r="Q138" i="7"/>
  <c r="K143" i="5"/>
  <c r="Q149" i="6"/>
  <c r="S137" i="7"/>
  <c r="N180" i="7"/>
  <c r="M110" i="10"/>
  <c r="O110" i="10" s="1"/>
  <c r="Y110" i="10"/>
  <c r="C169" i="11"/>
  <c r="D168" i="11"/>
  <c r="G168" i="11" s="1"/>
  <c r="H168" i="11" s="1"/>
  <c r="N145" i="2"/>
  <c r="O145" i="2" s="1"/>
  <c r="Q145" i="2" s="1"/>
  <c r="T145" i="2" s="1"/>
  <c r="D165" i="10"/>
  <c r="G165" i="10" s="1"/>
  <c r="H165" i="10" s="1"/>
  <c r="C166" i="10"/>
  <c r="E165" i="10"/>
  <c r="O145" i="1"/>
  <c r="Q145" i="1" s="1"/>
  <c r="T145" i="1" s="1"/>
  <c r="Q142" i="5"/>
  <c r="S141" i="5"/>
  <c r="I146" i="1"/>
  <c r="AA136" i="7"/>
  <c r="V136" i="7"/>
  <c r="C182" i="5"/>
  <c r="D181" i="5"/>
  <c r="G181" i="5" s="1"/>
  <c r="H181" i="5" s="1"/>
  <c r="S110" i="12"/>
  <c r="V140" i="5"/>
  <c r="W140" i="6"/>
  <c r="W109" i="10"/>
  <c r="V109" i="10"/>
  <c r="C182" i="7"/>
  <c r="D181" i="7"/>
  <c r="G181" i="7" s="1"/>
  <c r="H181" i="7" s="1"/>
  <c r="P143" i="5"/>
  <c r="L144" i="5" s="1"/>
  <c r="Q143" i="5"/>
  <c r="J164" i="10"/>
  <c r="K164" i="10" s="1"/>
  <c r="N164" i="10"/>
  <c r="J167" i="11"/>
  <c r="N167" i="11"/>
  <c r="E164" i="10"/>
  <c r="D166" i="6"/>
  <c r="G166" i="6" s="1"/>
  <c r="H166" i="6" s="1"/>
  <c r="E166" i="6"/>
  <c r="E166" i="7" s="1"/>
  <c r="J166" i="7" s="1"/>
  <c r="C167" i="6"/>
  <c r="N165" i="6"/>
  <c r="J165" i="6"/>
  <c r="K165" i="6" s="1"/>
  <c r="E165" i="6"/>
  <c r="E165" i="7" s="1"/>
  <c r="J165" i="7" s="1"/>
  <c r="J180" i="5"/>
  <c r="N180" i="5"/>
  <c r="K167" i="11"/>
  <c r="N164" i="12"/>
  <c r="J164" i="12"/>
  <c r="K164" i="12" s="1"/>
  <c r="R110" i="11"/>
  <c r="X110" i="11" s="1"/>
  <c r="S110" i="11"/>
  <c r="Z109" i="11"/>
  <c r="N146" i="1"/>
  <c r="O146" i="1" s="1"/>
  <c r="Q146" i="1" s="1"/>
  <c r="T146" i="1" s="1"/>
  <c r="I146" i="2"/>
  <c r="P110" i="11"/>
  <c r="L111" i="11" s="1"/>
  <c r="Q110" i="11"/>
  <c r="P150" i="6"/>
  <c r="Q150" i="6" s="1"/>
  <c r="P110" i="12"/>
  <c r="L111" i="12" s="1"/>
  <c r="Q110" i="12"/>
  <c r="D165" i="12"/>
  <c r="G165" i="12" s="1"/>
  <c r="H165" i="12" s="1"/>
  <c r="C166" i="12"/>
  <c r="E165" i="12"/>
  <c r="E167" i="11"/>
  <c r="R150" i="6" l="1"/>
  <c r="S150" i="6"/>
  <c r="K165" i="12"/>
  <c r="M145" i="5"/>
  <c r="O145" i="5" s="1"/>
  <c r="Y144" i="6"/>
  <c r="R111" i="11"/>
  <c r="X111" i="11" s="1"/>
  <c r="Z110" i="11"/>
  <c r="R143" i="5"/>
  <c r="X143" i="6" s="1"/>
  <c r="Z143" i="6"/>
  <c r="D169" i="11"/>
  <c r="G169" i="11" s="1"/>
  <c r="H169" i="11" s="1"/>
  <c r="C170" i="11"/>
  <c r="N165" i="12"/>
  <c r="J165" i="12"/>
  <c r="K168" i="11"/>
  <c r="D166" i="10"/>
  <c r="G166" i="10" s="1"/>
  <c r="H166" i="10" s="1"/>
  <c r="C167" i="10"/>
  <c r="AB138" i="7"/>
  <c r="R138" i="7"/>
  <c r="Y138" i="7" s="1"/>
  <c r="Z138" i="7" s="1"/>
  <c r="R111" i="12"/>
  <c r="X111" i="12" s="1"/>
  <c r="Z110" i="12"/>
  <c r="S111" i="12"/>
  <c r="C183" i="7"/>
  <c r="D182" i="7"/>
  <c r="G182" i="7" s="1"/>
  <c r="H182" i="7" s="1"/>
  <c r="P110" i="10"/>
  <c r="L111" i="10" s="1"/>
  <c r="W110" i="12"/>
  <c r="V110" i="12"/>
  <c r="Y111" i="11"/>
  <c r="M111" i="11"/>
  <c r="O111" i="11" s="1"/>
  <c r="K144" i="5"/>
  <c r="D182" i="5"/>
  <c r="G182" i="5" s="1"/>
  <c r="H182" i="5" s="1"/>
  <c r="C183" i="5"/>
  <c r="Y111" i="12"/>
  <c r="M111" i="12"/>
  <c r="O111" i="12" s="1"/>
  <c r="Q151" i="6"/>
  <c r="P151" i="6"/>
  <c r="C168" i="6"/>
  <c r="D167" i="6"/>
  <c r="G167" i="6" s="1"/>
  <c r="H167" i="6" s="1"/>
  <c r="R149" i="6"/>
  <c r="S149" i="6"/>
  <c r="E166" i="12"/>
  <c r="C167" i="12"/>
  <c r="D166" i="12"/>
  <c r="G166" i="12" s="1"/>
  <c r="H166" i="12" s="1"/>
  <c r="N181" i="5"/>
  <c r="J181" i="5"/>
  <c r="N146" i="2"/>
  <c r="I147" i="2" s="1"/>
  <c r="N181" i="7"/>
  <c r="N147" i="1"/>
  <c r="O147" i="1"/>
  <c r="Q147" i="1" s="1"/>
  <c r="T147" i="1" s="1"/>
  <c r="I147" i="1"/>
  <c r="I148" i="1" s="1"/>
  <c r="P139" i="7"/>
  <c r="K140" i="7" s="1"/>
  <c r="Q139" i="7"/>
  <c r="L151" i="6"/>
  <c r="P144" i="5"/>
  <c r="Q144" i="5" s="1"/>
  <c r="V141" i="5"/>
  <c r="W141" i="6"/>
  <c r="J168" i="11"/>
  <c r="N168" i="11"/>
  <c r="L139" i="7"/>
  <c r="K147" i="2"/>
  <c r="M147" i="2" s="1"/>
  <c r="J147" i="2"/>
  <c r="J148" i="1"/>
  <c r="K148" i="1"/>
  <c r="M148" i="1" s="1"/>
  <c r="J166" i="6"/>
  <c r="K166" i="6" s="1"/>
  <c r="N166" i="6"/>
  <c r="J165" i="10"/>
  <c r="K165" i="10" s="1"/>
  <c r="N165" i="10"/>
  <c r="W110" i="11"/>
  <c r="V110" i="11"/>
  <c r="R142" i="5"/>
  <c r="X142" i="6" s="1"/>
  <c r="Z142" i="6"/>
  <c r="E168" i="11"/>
  <c r="V137" i="7"/>
  <c r="AA137" i="7"/>
  <c r="Z109" i="10"/>
  <c r="R110" i="10"/>
  <c r="X110" i="10" s="1"/>
  <c r="R144" i="5" l="1"/>
  <c r="X144" i="6" s="1"/>
  <c r="Z144" i="6"/>
  <c r="K166" i="10"/>
  <c r="S151" i="6"/>
  <c r="R151" i="6"/>
  <c r="L145" i="5"/>
  <c r="D183" i="7"/>
  <c r="G183" i="7" s="1"/>
  <c r="H183" i="7" s="1"/>
  <c r="C184" i="7"/>
  <c r="S110" i="10"/>
  <c r="O146" i="2"/>
  <c r="Q146" i="2" s="1"/>
  <c r="T146" i="2" s="1"/>
  <c r="K169" i="11"/>
  <c r="S143" i="5"/>
  <c r="V150" i="6"/>
  <c r="N182" i="7"/>
  <c r="L152" i="6"/>
  <c r="M152" i="6"/>
  <c r="O152" i="6" s="1"/>
  <c r="W111" i="12"/>
  <c r="V111" i="12"/>
  <c r="W139" i="7"/>
  <c r="X139" i="7" s="1"/>
  <c r="M140" i="7"/>
  <c r="O140" i="7" s="1"/>
  <c r="L140" i="7"/>
  <c r="C184" i="5"/>
  <c r="D183" i="5"/>
  <c r="G183" i="5" s="1"/>
  <c r="H183" i="5" s="1"/>
  <c r="K149" i="1"/>
  <c r="M149" i="1" s="1"/>
  <c r="J169" i="11"/>
  <c r="N169" i="11"/>
  <c r="N166" i="10"/>
  <c r="J166" i="10"/>
  <c r="N147" i="2"/>
  <c r="O147" i="2" s="1"/>
  <c r="Q147" i="2" s="1"/>
  <c r="T147" i="2" s="1"/>
  <c r="J167" i="6"/>
  <c r="K167" i="6" s="1"/>
  <c r="N167" i="6"/>
  <c r="E167" i="6"/>
  <c r="E167" i="7" s="1"/>
  <c r="J167" i="7" s="1"/>
  <c r="N182" i="5"/>
  <c r="J182" i="5"/>
  <c r="E167" i="10"/>
  <c r="D167" i="10"/>
  <c r="G167" i="10" s="1"/>
  <c r="H167" i="10" s="1"/>
  <c r="C168" i="10"/>
  <c r="K148" i="2"/>
  <c r="M148" i="2" s="1"/>
  <c r="V149" i="6"/>
  <c r="P111" i="12"/>
  <c r="L112" i="12" s="1"/>
  <c r="E166" i="10"/>
  <c r="C169" i="6"/>
  <c r="D168" i="6"/>
  <c r="G168" i="6" s="1"/>
  <c r="H168" i="6" s="1"/>
  <c r="M111" i="10"/>
  <c r="O111" i="10" s="1"/>
  <c r="Y111" i="10"/>
  <c r="E169" i="11"/>
  <c r="S111" i="11"/>
  <c r="Q111" i="11"/>
  <c r="P111" i="11"/>
  <c r="L112" i="11" s="1"/>
  <c r="P145" i="5"/>
  <c r="Q145" i="5"/>
  <c r="K166" i="12"/>
  <c r="AB139" i="7"/>
  <c r="R139" i="7"/>
  <c r="Y139" i="7" s="1"/>
  <c r="Z139" i="7" s="1"/>
  <c r="J166" i="12"/>
  <c r="N166" i="12"/>
  <c r="S142" i="5"/>
  <c r="N148" i="1"/>
  <c r="I149" i="1" s="1"/>
  <c r="C168" i="12"/>
  <c r="D167" i="12"/>
  <c r="G167" i="12" s="1"/>
  <c r="H167" i="12" s="1"/>
  <c r="K145" i="5"/>
  <c r="Q110" i="10"/>
  <c r="S138" i="7"/>
  <c r="D170" i="11"/>
  <c r="G170" i="11" s="1"/>
  <c r="H170" i="11" s="1"/>
  <c r="C171" i="11"/>
  <c r="D171" i="11" l="1"/>
  <c r="G171" i="11" s="1"/>
  <c r="H171" i="11" s="1"/>
  <c r="C172" i="11"/>
  <c r="J183" i="5"/>
  <c r="N183" i="5"/>
  <c r="K167" i="12"/>
  <c r="M153" i="6"/>
  <c r="O153" i="6" s="1"/>
  <c r="E170" i="11"/>
  <c r="I148" i="2"/>
  <c r="I149" i="2" s="1"/>
  <c r="Y112" i="12"/>
  <c r="M112" i="12"/>
  <c r="O112" i="12" s="1"/>
  <c r="Q111" i="12"/>
  <c r="R145" i="5"/>
  <c r="X145" i="6" s="1"/>
  <c r="Z145" i="6"/>
  <c r="J168" i="6"/>
  <c r="K168" i="6" s="1"/>
  <c r="N168" i="6"/>
  <c r="P140" i="7"/>
  <c r="K141" i="7" s="1"/>
  <c r="N183" i="7"/>
  <c r="V110" i="10"/>
  <c r="W110" i="10"/>
  <c r="P111" i="10"/>
  <c r="L112" i="10" s="1"/>
  <c r="V142" i="5"/>
  <c r="W142" i="6"/>
  <c r="J148" i="2"/>
  <c r="Z110" i="10"/>
  <c r="R111" i="10"/>
  <c r="X111" i="10" s="1"/>
  <c r="Y112" i="11"/>
  <c r="M112" i="11"/>
  <c r="O112" i="11" s="1"/>
  <c r="E168" i="6"/>
  <c r="E168" i="7" s="1"/>
  <c r="J168" i="7" s="1"/>
  <c r="N148" i="2"/>
  <c r="O148" i="2" s="1"/>
  <c r="Q148" i="2" s="1"/>
  <c r="T148" i="2" s="1"/>
  <c r="M146" i="5"/>
  <c r="O146" i="5" s="1"/>
  <c r="L146" i="5"/>
  <c r="Y145" i="6"/>
  <c r="S144" i="5"/>
  <c r="N167" i="12"/>
  <c r="J167" i="12"/>
  <c r="P152" i="6"/>
  <c r="L153" i="6" s="1"/>
  <c r="C169" i="12"/>
  <c r="D168" i="12"/>
  <c r="G168" i="12" s="1"/>
  <c r="H168" i="12" s="1"/>
  <c r="D184" i="5"/>
  <c r="G184" i="5" s="1"/>
  <c r="C186" i="5"/>
  <c r="O148" i="1"/>
  <c r="Q148" i="1" s="1"/>
  <c r="T148" i="1" s="1"/>
  <c r="M141" i="7"/>
  <c r="O141" i="7" s="1"/>
  <c r="L141" i="7"/>
  <c r="W140" i="7"/>
  <c r="X140" i="7" s="1"/>
  <c r="AA138" i="7"/>
  <c r="V138" i="7"/>
  <c r="E168" i="10"/>
  <c r="D168" i="10"/>
  <c r="G168" i="10" s="1"/>
  <c r="H168" i="10" s="1"/>
  <c r="C169" i="10"/>
  <c r="J149" i="1"/>
  <c r="V151" i="6"/>
  <c r="N170" i="11"/>
  <c r="J170" i="11"/>
  <c r="K170" i="11" s="1"/>
  <c r="D184" i="7"/>
  <c r="G184" i="7" s="1"/>
  <c r="C186" i="7"/>
  <c r="K146" i="5"/>
  <c r="R112" i="11"/>
  <c r="X112" i="11" s="1"/>
  <c r="Z111" i="11"/>
  <c r="S112" i="11"/>
  <c r="D169" i="6"/>
  <c r="G169" i="6" s="1"/>
  <c r="H169" i="6" s="1"/>
  <c r="C170" i="6"/>
  <c r="E167" i="12"/>
  <c r="S139" i="7"/>
  <c r="W111" i="11"/>
  <c r="V111" i="11"/>
  <c r="N167" i="10"/>
  <c r="J167" i="10"/>
  <c r="K167" i="10" s="1"/>
  <c r="O149" i="1"/>
  <c r="Q149" i="1" s="1"/>
  <c r="T149" i="1" s="1"/>
  <c r="N149" i="1"/>
  <c r="I150" i="1" s="1"/>
  <c r="V143" i="5"/>
  <c r="W143" i="6"/>
  <c r="M154" i="6" l="1"/>
  <c r="O154" i="6" s="1"/>
  <c r="Q112" i="11"/>
  <c r="P112" i="11"/>
  <c r="L113" i="11" s="1"/>
  <c r="J169" i="6"/>
  <c r="K169" i="6" s="1"/>
  <c r="N169" i="6"/>
  <c r="Q111" i="10"/>
  <c r="D169" i="12"/>
  <c r="G169" i="12" s="1"/>
  <c r="H169" i="12" s="1"/>
  <c r="C170" i="12"/>
  <c r="E169" i="12"/>
  <c r="H184" i="5"/>
  <c r="G186" i="5"/>
  <c r="D172" i="11"/>
  <c r="G172" i="11" s="1"/>
  <c r="H172" i="11" s="1"/>
  <c r="C173" i="11"/>
  <c r="D170" i="6"/>
  <c r="G170" i="6" s="1"/>
  <c r="H170" i="6" s="1"/>
  <c r="C171" i="6"/>
  <c r="M112" i="10"/>
  <c r="O112" i="10" s="1"/>
  <c r="Y112" i="10"/>
  <c r="J168" i="12"/>
  <c r="K168" i="12" s="1"/>
  <c r="N168" i="12"/>
  <c r="L147" i="5"/>
  <c r="M147" i="5"/>
  <c r="O147" i="5" s="1"/>
  <c r="Y146" i="6"/>
  <c r="Q146" i="5"/>
  <c r="P146" i="5"/>
  <c r="S111" i="10"/>
  <c r="S145" i="5"/>
  <c r="N171" i="11"/>
  <c r="J171" i="11"/>
  <c r="K171" i="11" s="1"/>
  <c r="P112" i="12"/>
  <c r="L113" i="12" s="1"/>
  <c r="V112" i="11"/>
  <c r="W112" i="11"/>
  <c r="E168" i="12"/>
  <c r="M142" i="7"/>
  <c r="O142" i="7" s="1"/>
  <c r="W141" i="7"/>
  <c r="X141" i="7" s="1"/>
  <c r="AA139" i="7"/>
  <c r="V139" i="7"/>
  <c r="K147" i="5"/>
  <c r="K150" i="1"/>
  <c r="M150" i="1" s="1"/>
  <c r="J150" i="1"/>
  <c r="P141" i="7"/>
  <c r="L142" i="7" s="1"/>
  <c r="Q141" i="7"/>
  <c r="Q152" i="6"/>
  <c r="K149" i="2"/>
  <c r="M149" i="2" s="1"/>
  <c r="J149" i="2"/>
  <c r="E171" i="11"/>
  <c r="D169" i="10"/>
  <c r="G169" i="10" s="1"/>
  <c r="H169" i="10" s="1"/>
  <c r="C170" i="10"/>
  <c r="K142" i="7"/>
  <c r="R112" i="12"/>
  <c r="X112" i="12" s="1"/>
  <c r="S112" i="12"/>
  <c r="Z111" i="12"/>
  <c r="V144" i="5"/>
  <c r="W144" i="6"/>
  <c r="E169" i="6"/>
  <c r="E169" i="7" s="1"/>
  <c r="J169" i="7" s="1"/>
  <c r="H184" i="7"/>
  <c r="G186" i="7"/>
  <c r="N168" i="10"/>
  <c r="J168" i="10"/>
  <c r="K168" i="10" s="1"/>
  <c r="Q140" i="7"/>
  <c r="P153" i="6"/>
  <c r="Q153" i="6" s="1"/>
  <c r="W142" i="7" l="1"/>
  <c r="X142" i="7" s="1"/>
  <c r="M143" i="7"/>
  <c r="O143" i="7" s="1"/>
  <c r="R153" i="6"/>
  <c r="S153" i="6" s="1"/>
  <c r="K169" i="12"/>
  <c r="P142" i="7"/>
  <c r="L143" i="7" s="1"/>
  <c r="C171" i="12"/>
  <c r="D170" i="12"/>
  <c r="G170" i="12" s="1"/>
  <c r="H170" i="12" s="1"/>
  <c r="E170" i="10"/>
  <c r="C171" i="10"/>
  <c r="D170" i="10"/>
  <c r="G170" i="10" s="1"/>
  <c r="H170" i="10" s="1"/>
  <c r="C174" i="11"/>
  <c r="D173" i="11"/>
  <c r="G173" i="11" s="1"/>
  <c r="H173" i="11" s="1"/>
  <c r="N172" i="11"/>
  <c r="J172" i="11"/>
  <c r="K172" i="11" s="1"/>
  <c r="Q154" i="6"/>
  <c r="P154" i="6"/>
  <c r="W112" i="12"/>
  <c r="V112" i="12"/>
  <c r="N149" i="2"/>
  <c r="I150" i="2" s="1"/>
  <c r="J184" i="5"/>
  <c r="N184" i="5"/>
  <c r="S152" i="6"/>
  <c r="R152" i="6"/>
  <c r="P147" i="5"/>
  <c r="Q147" i="5" s="1"/>
  <c r="K143" i="7"/>
  <c r="M148" i="5"/>
  <c r="O148" i="5" s="1"/>
  <c r="L148" i="5"/>
  <c r="Y147" i="6"/>
  <c r="N169" i="12"/>
  <c r="J169" i="12"/>
  <c r="L154" i="6"/>
  <c r="N169" i="10"/>
  <c r="J169" i="10"/>
  <c r="K169" i="10" s="1"/>
  <c r="K151" i="1"/>
  <c r="M151" i="1" s="1"/>
  <c r="V145" i="5"/>
  <c r="W145" i="6"/>
  <c r="S112" i="10"/>
  <c r="R112" i="10"/>
  <c r="X112" i="10" s="1"/>
  <c r="Z111" i="10"/>
  <c r="E169" i="10"/>
  <c r="N150" i="1"/>
  <c r="I151" i="1" s="1"/>
  <c r="O150" i="1"/>
  <c r="Q150" i="1" s="1"/>
  <c r="T150" i="1" s="1"/>
  <c r="W111" i="10"/>
  <c r="V111" i="10"/>
  <c r="E172" i="11"/>
  <c r="Y113" i="12"/>
  <c r="M113" i="12"/>
  <c r="O113" i="12" s="1"/>
  <c r="K148" i="5"/>
  <c r="E171" i="6"/>
  <c r="E171" i="7" s="1"/>
  <c r="J171" i="7" s="1"/>
  <c r="D171" i="6"/>
  <c r="G171" i="6" s="1"/>
  <c r="H171" i="6" s="1"/>
  <c r="C172" i="6"/>
  <c r="Z112" i="11"/>
  <c r="R113" i="11"/>
  <c r="X113" i="11" s="1"/>
  <c r="Q112" i="12"/>
  <c r="N170" i="6"/>
  <c r="J170" i="6"/>
  <c r="K170" i="6" s="1"/>
  <c r="R141" i="7"/>
  <c r="Y141" i="7" s="1"/>
  <c r="Z141" i="7" s="1"/>
  <c r="AB141" i="7"/>
  <c r="E170" i="6"/>
  <c r="E170" i="7" s="1"/>
  <c r="J170" i="7" s="1"/>
  <c r="N184" i="7"/>
  <c r="AB140" i="7"/>
  <c r="R140" i="7"/>
  <c r="Y140" i="7" s="1"/>
  <c r="Z140" i="7" s="1"/>
  <c r="K150" i="2"/>
  <c r="M150" i="2" s="1"/>
  <c r="R146" i="5"/>
  <c r="X146" i="6" s="1"/>
  <c r="Z146" i="6"/>
  <c r="P112" i="10"/>
  <c r="L113" i="10" s="1"/>
  <c r="Q112" i="10"/>
  <c r="Y113" i="11"/>
  <c r="M113" i="11"/>
  <c r="O113" i="11" s="1"/>
  <c r="V153" i="6" l="1"/>
  <c r="M144" i="7"/>
  <c r="O144" i="7" s="1"/>
  <c r="W143" i="7"/>
  <c r="X143" i="7" s="1"/>
  <c r="S147" i="5"/>
  <c r="R147" i="5"/>
  <c r="X147" i="6" s="1"/>
  <c r="Z147" i="6"/>
  <c r="N171" i="6"/>
  <c r="J171" i="6"/>
  <c r="K171" i="6" s="1"/>
  <c r="V152" i="6"/>
  <c r="S154" i="6"/>
  <c r="R154" i="6"/>
  <c r="E170" i="12"/>
  <c r="P113" i="12"/>
  <c r="L114" i="12" s="1"/>
  <c r="O149" i="2"/>
  <c r="Q149" i="2" s="1"/>
  <c r="T149" i="2" s="1"/>
  <c r="D174" i="11"/>
  <c r="G174" i="11" s="1"/>
  <c r="H174" i="11" s="1"/>
  <c r="C175" i="11"/>
  <c r="E174" i="11"/>
  <c r="M149" i="5"/>
  <c r="O149" i="5" s="1"/>
  <c r="Y148" i="6"/>
  <c r="Y113" i="10"/>
  <c r="M113" i="10"/>
  <c r="O113" i="10" s="1"/>
  <c r="J151" i="1"/>
  <c r="D171" i="12"/>
  <c r="G171" i="12" s="1"/>
  <c r="H171" i="12" s="1"/>
  <c r="C172" i="12"/>
  <c r="E171" i="12"/>
  <c r="I151" i="2"/>
  <c r="S146" i="5"/>
  <c r="M155" i="6"/>
  <c r="O155" i="6" s="1"/>
  <c r="L155" i="6"/>
  <c r="E173" i="11"/>
  <c r="Q142" i="7"/>
  <c r="R113" i="10"/>
  <c r="X113" i="10" s="1"/>
  <c r="S113" i="10"/>
  <c r="Z112" i="10"/>
  <c r="O151" i="1"/>
  <c r="Q151" i="1" s="1"/>
  <c r="T151" i="1" s="1"/>
  <c r="N151" i="1"/>
  <c r="N170" i="12"/>
  <c r="J170" i="12"/>
  <c r="K170" i="12" s="1"/>
  <c r="S140" i="7"/>
  <c r="P148" i="5"/>
  <c r="K149" i="5" s="1"/>
  <c r="N173" i="11"/>
  <c r="J173" i="11"/>
  <c r="K173" i="11" s="1"/>
  <c r="P113" i="11"/>
  <c r="L114" i="11" s="1"/>
  <c r="J170" i="10"/>
  <c r="K170" i="10" s="1"/>
  <c r="N170" i="10"/>
  <c r="P143" i="7"/>
  <c r="L144" i="7" s="1"/>
  <c r="Q143" i="7"/>
  <c r="I152" i="1"/>
  <c r="Z112" i="12"/>
  <c r="R113" i="12"/>
  <c r="X113" i="12" s="1"/>
  <c r="J150" i="2"/>
  <c r="S141" i="7"/>
  <c r="S113" i="11"/>
  <c r="W112" i="10"/>
  <c r="V112" i="10"/>
  <c r="N150" i="2"/>
  <c r="O150" i="2" s="1"/>
  <c r="Q150" i="2" s="1"/>
  <c r="T150" i="2" s="1"/>
  <c r="C173" i="6"/>
  <c r="D172" i="6"/>
  <c r="G172" i="6" s="1"/>
  <c r="H172" i="6" s="1"/>
  <c r="C172" i="10"/>
  <c r="D171" i="10"/>
  <c r="G171" i="10" s="1"/>
  <c r="H171" i="10" s="1"/>
  <c r="W144" i="7" l="1"/>
  <c r="X144" i="7" s="1"/>
  <c r="M145" i="7"/>
  <c r="O145" i="7" s="1"/>
  <c r="K171" i="12"/>
  <c r="K172" i="6"/>
  <c r="W113" i="11"/>
  <c r="V113" i="11"/>
  <c r="P155" i="6"/>
  <c r="Q155" i="6"/>
  <c r="P113" i="10"/>
  <c r="L114" i="10" s="1"/>
  <c r="V154" i="6"/>
  <c r="V147" i="5"/>
  <c r="W147" i="6"/>
  <c r="AB143" i="7"/>
  <c r="R143" i="7"/>
  <c r="Y143" i="7" s="1"/>
  <c r="Z143" i="7" s="1"/>
  <c r="P144" i="7"/>
  <c r="L145" i="7" s="1"/>
  <c r="Q144" i="7"/>
  <c r="C173" i="10"/>
  <c r="D172" i="10"/>
  <c r="G172" i="10" s="1"/>
  <c r="H172" i="10" s="1"/>
  <c r="AA141" i="7"/>
  <c r="V141" i="7"/>
  <c r="V146" i="5"/>
  <c r="W146" i="6"/>
  <c r="K151" i="2"/>
  <c r="M151" i="2" s="1"/>
  <c r="J151" i="2"/>
  <c r="W113" i="10"/>
  <c r="V113" i="10"/>
  <c r="Q113" i="12"/>
  <c r="L149" i="5"/>
  <c r="V140" i="7"/>
  <c r="AA140" i="7"/>
  <c r="E172" i="12"/>
  <c r="C173" i="12"/>
  <c r="D172" i="12"/>
  <c r="G172" i="12" s="1"/>
  <c r="H172" i="12" s="1"/>
  <c r="P149" i="5"/>
  <c r="K150" i="5" s="1"/>
  <c r="E172" i="6"/>
  <c r="E172" i="7" s="1"/>
  <c r="J172" i="7" s="1"/>
  <c r="K144" i="7"/>
  <c r="Q148" i="5"/>
  <c r="AB142" i="7"/>
  <c r="R142" i="7"/>
  <c r="Y142" i="7" s="1"/>
  <c r="Z142" i="7" s="1"/>
  <c r="N171" i="12"/>
  <c r="J171" i="12"/>
  <c r="J172" i="6"/>
  <c r="N172" i="6"/>
  <c r="Y114" i="12"/>
  <c r="M114" i="12"/>
  <c r="O114" i="12" s="1"/>
  <c r="M114" i="11"/>
  <c r="O114" i="11" s="1"/>
  <c r="Y114" i="11"/>
  <c r="K152" i="1"/>
  <c r="M152" i="1" s="1"/>
  <c r="J152" i="1"/>
  <c r="C176" i="11"/>
  <c r="E175" i="11"/>
  <c r="D175" i="11"/>
  <c r="G175" i="11" s="1"/>
  <c r="H175" i="11" s="1"/>
  <c r="D173" i="6"/>
  <c r="G173" i="6" s="1"/>
  <c r="H173" i="6" s="1"/>
  <c r="E173" i="6"/>
  <c r="E173" i="7" s="1"/>
  <c r="J173" i="7" s="1"/>
  <c r="C174" i="6"/>
  <c r="J171" i="10"/>
  <c r="K171" i="10" s="1"/>
  <c r="N171" i="10"/>
  <c r="S113" i="12"/>
  <c r="E171" i="10"/>
  <c r="Q113" i="11"/>
  <c r="M156" i="6"/>
  <c r="O156" i="6" s="1"/>
  <c r="L156" i="6"/>
  <c r="J174" i="11"/>
  <c r="K174" i="11" s="1"/>
  <c r="N174" i="11"/>
  <c r="M146" i="7" l="1"/>
  <c r="O146" i="7" s="1"/>
  <c r="W145" i="7"/>
  <c r="X145" i="7" s="1"/>
  <c r="Q114" i="12"/>
  <c r="P114" i="12"/>
  <c r="L115" i="12" s="1"/>
  <c r="D173" i="12"/>
  <c r="G173" i="12" s="1"/>
  <c r="H173" i="12" s="1"/>
  <c r="C174" i="12"/>
  <c r="E173" i="12"/>
  <c r="K152" i="2"/>
  <c r="M152" i="2" s="1"/>
  <c r="D173" i="10"/>
  <c r="G173" i="10" s="1"/>
  <c r="H173" i="10" s="1"/>
  <c r="C174" i="10"/>
  <c r="R144" i="7"/>
  <c r="Y144" i="7" s="1"/>
  <c r="Z144" i="7" s="1"/>
  <c r="AB144" i="7"/>
  <c r="S144" i="7"/>
  <c r="K172" i="12"/>
  <c r="N151" i="2"/>
  <c r="I152" i="2" s="1"/>
  <c r="K153" i="1"/>
  <c r="M153" i="1" s="1"/>
  <c r="J153" i="1"/>
  <c r="N152" i="1"/>
  <c r="I153" i="1" s="1"/>
  <c r="O152" i="1"/>
  <c r="Q152" i="1" s="1"/>
  <c r="T152" i="1" s="1"/>
  <c r="R155" i="6"/>
  <c r="S155" i="6"/>
  <c r="P145" i="7"/>
  <c r="Q145" i="7" s="1"/>
  <c r="C177" i="11"/>
  <c r="D176" i="11"/>
  <c r="G176" i="11" s="1"/>
  <c r="H176" i="11" s="1"/>
  <c r="R148" i="5"/>
  <c r="X148" i="6" s="1"/>
  <c r="S148" i="5"/>
  <c r="Z148" i="6"/>
  <c r="M150" i="5"/>
  <c r="O150" i="5" s="1"/>
  <c r="L150" i="5"/>
  <c r="Y149" i="6"/>
  <c r="P156" i="6"/>
  <c r="Q156" i="6"/>
  <c r="J173" i="6"/>
  <c r="N173" i="6"/>
  <c r="P114" i="11"/>
  <c r="L115" i="11" s="1"/>
  <c r="Q114" i="11"/>
  <c r="Q149" i="5"/>
  <c r="S114" i="12"/>
  <c r="Z113" i="12"/>
  <c r="R114" i="12"/>
  <c r="X114" i="12" s="1"/>
  <c r="S143" i="7"/>
  <c r="K173" i="6"/>
  <c r="K145" i="7"/>
  <c r="Q113" i="10"/>
  <c r="S114" i="11"/>
  <c r="Z113" i="11"/>
  <c r="R114" i="11"/>
  <c r="X114" i="11" s="1"/>
  <c r="J172" i="10"/>
  <c r="K172" i="10" s="1"/>
  <c r="N172" i="10"/>
  <c r="V113" i="12"/>
  <c r="W113" i="12"/>
  <c r="Y114" i="10"/>
  <c r="M114" i="10"/>
  <c r="O114" i="10" s="1"/>
  <c r="D174" i="6"/>
  <c r="G174" i="6" s="1"/>
  <c r="H174" i="6" s="1"/>
  <c r="C175" i="6"/>
  <c r="L157" i="6"/>
  <c r="M157" i="6"/>
  <c r="O157" i="6" s="1"/>
  <c r="J175" i="11"/>
  <c r="K175" i="11" s="1"/>
  <c r="N175" i="11"/>
  <c r="S142" i="7"/>
  <c r="N172" i="12"/>
  <c r="J172" i="12"/>
  <c r="E172" i="10"/>
  <c r="AB145" i="7" l="1"/>
  <c r="R145" i="7"/>
  <c r="Y145" i="7" s="1"/>
  <c r="Z145" i="7" s="1"/>
  <c r="W114" i="12"/>
  <c r="V114" i="12"/>
  <c r="D177" i="11"/>
  <c r="G177" i="11" s="1"/>
  <c r="H177" i="11" s="1"/>
  <c r="C178" i="11"/>
  <c r="K154" i="1"/>
  <c r="M154" i="1" s="1"/>
  <c r="E173" i="10"/>
  <c r="M115" i="12"/>
  <c r="O115" i="12" s="1"/>
  <c r="Y115" i="12"/>
  <c r="R114" i="10"/>
  <c r="X114" i="10" s="1"/>
  <c r="Z113" i="10"/>
  <c r="S114" i="10"/>
  <c r="N153" i="1"/>
  <c r="J154" i="1" s="1"/>
  <c r="P150" i="5"/>
  <c r="K151" i="5" s="1"/>
  <c r="O151" i="2"/>
  <c r="Q151" i="2" s="1"/>
  <c r="T151" i="2" s="1"/>
  <c r="N152" i="2"/>
  <c r="O152" i="2" s="1"/>
  <c r="Q152" i="2" s="1"/>
  <c r="T152" i="2" s="1"/>
  <c r="R149" i="5"/>
  <c r="X149" i="6" s="1"/>
  <c r="Z149" i="6"/>
  <c r="Q157" i="6"/>
  <c r="P157" i="6"/>
  <c r="J173" i="10"/>
  <c r="K173" i="10" s="1"/>
  <c r="N173" i="10"/>
  <c r="K146" i="7"/>
  <c r="K147" i="7" s="1"/>
  <c r="J152" i="2"/>
  <c r="V148" i="5"/>
  <c r="W148" i="6"/>
  <c r="K173" i="12"/>
  <c r="E174" i="6"/>
  <c r="E174" i="7" s="1"/>
  <c r="J174" i="7" s="1"/>
  <c r="AA143" i="7"/>
  <c r="V143" i="7"/>
  <c r="AA144" i="7"/>
  <c r="V144" i="7"/>
  <c r="P114" i="10"/>
  <c r="L115" i="10" s="1"/>
  <c r="L151" i="5"/>
  <c r="M151" i="5"/>
  <c r="O151" i="5" s="1"/>
  <c r="Y150" i="6"/>
  <c r="D174" i="10"/>
  <c r="G174" i="10" s="1"/>
  <c r="H174" i="10" s="1"/>
  <c r="C175" i="10"/>
  <c r="I153" i="2"/>
  <c r="M115" i="11"/>
  <c r="O115" i="11" s="1"/>
  <c r="Y115" i="11"/>
  <c r="R156" i="6"/>
  <c r="J176" i="11"/>
  <c r="K176" i="11" s="1"/>
  <c r="N176" i="11"/>
  <c r="E174" i="12"/>
  <c r="C175" i="12"/>
  <c r="D174" i="12"/>
  <c r="G174" i="12" s="1"/>
  <c r="H174" i="12" s="1"/>
  <c r="L146" i="7"/>
  <c r="W114" i="11"/>
  <c r="V114" i="11"/>
  <c r="Z114" i="12"/>
  <c r="R115" i="12"/>
  <c r="X115" i="12" s="1"/>
  <c r="S115" i="11"/>
  <c r="Z114" i="11"/>
  <c r="R115" i="11"/>
  <c r="X115" i="11" s="1"/>
  <c r="V155" i="6"/>
  <c r="M158" i="6"/>
  <c r="O158" i="6" s="1"/>
  <c r="L158" i="6"/>
  <c r="E175" i="6"/>
  <c r="E175" i="7" s="1"/>
  <c r="J175" i="7" s="1"/>
  <c r="C176" i="6"/>
  <c r="D175" i="6"/>
  <c r="G175" i="6" s="1"/>
  <c r="H175" i="6" s="1"/>
  <c r="AA142" i="7"/>
  <c r="V142" i="7"/>
  <c r="J174" i="6"/>
  <c r="K174" i="6" s="1"/>
  <c r="N174" i="6"/>
  <c r="E176" i="11"/>
  <c r="I154" i="1"/>
  <c r="N173" i="12"/>
  <c r="J173" i="12"/>
  <c r="P146" i="7"/>
  <c r="Q146" i="7"/>
  <c r="K155" i="1" l="1"/>
  <c r="M155" i="1" s="1"/>
  <c r="W115" i="11"/>
  <c r="V115" i="11"/>
  <c r="C176" i="12"/>
  <c r="D175" i="12"/>
  <c r="G175" i="12" s="1"/>
  <c r="H175" i="12" s="1"/>
  <c r="E175" i="12"/>
  <c r="M152" i="5"/>
  <c r="O152" i="5" s="1"/>
  <c r="Y151" i="6"/>
  <c r="K174" i="12"/>
  <c r="S157" i="6"/>
  <c r="R157" i="6"/>
  <c r="J177" i="11"/>
  <c r="K177" i="11" s="1"/>
  <c r="N177" i="11"/>
  <c r="Q114" i="10"/>
  <c r="D175" i="10"/>
  <c r="G175" i="10" s="1"/>
  <c r="H175" i="10" s="1"/>
  <c r="C176" i="10"/>
  <c r="P115" i="11"/>
  <c r="L116" i="11" s="1"/>
  <c r="S115" i="12"/>
  <c r="O153" i="1"/>
  <c r="Q153" i="1" s="1"/>
  <c r="T153" i="1" s="1"/>
  <c r="N154" i="1"/>
  <c r="J155" i="1" s="1"/>
  <c r="Q158" i="6"/>
  <c r="P158" i="6"/>
  <c r="Q150" i="5"/>
  <c r="S149" i="5"/>
  <c r="E174" i="10"/>
  <c r="W114" i="10"/>
  <c r="V114" i="10"/>
  <c r="S145" i="7"/>
  <c r="Y115" i="10"/>
  <c r="M115" i="10"/>
  <c r="O115" i="10" s="1"/>
  <c r="AB146" i="7"/>
  <c r="R146" i="7"/>
  <c r="Y146" i="7" s="1"/>
  <c r="Z146" i="7" s="1"/>
  <c r="M147" i="7"/>
  <c r="O147" i="7" s="1"/>
  <c r="L147" i="7"/>
  <c r="W146" i="7"/>
  <c r="X146" i="7" s="1"/>
  <c r="S156" i="6"/>
  <c r="E177" i="11"/>
  <c r="M159" i="6"/>
  <c r="O159" i="6" s="1"/>
  <c r="L159" i="6"/>
  <c r="P115" i="12"/>
  <c r="L116" i="12" s="1"/>
  <c r="Q115" i="12"/>
  <c r="K153" i="2"/>
  <c r="M153" i="2" s="1"/>
  <c r="J153" i="2"/>
  <c r="N174" i="10"/>
  <c r="J174" i="10"/>
  <c r="K174" i="10" s="1"/>
  <c r="N175" i="6"/>
  <c r="J175" i="6"/>
  <c r="K175" i="6" s="1"/>
  <c r="C177" i="6"/>
  <c r="D176" i="6"/>
  <c r="G176" i="6" s="1"/>
  <c r="H176" i="6" s="1"/>
  <c r="J174" i="12"/>
  <c r="N174" i="12"/>
  <c r="P151" i="5"/>
  <c r="Q151" i="5" s="1"/>
  <c r="E178" i="11"/>
  <c r="D178" i="11"/>
  <c r="G178" i="11" s="1"/>
  <c r="H178" i="11" s="1"/>
  <c r="C179" i="11"/>
  <c r="K156" i="1" l="1"/>
  <c r="M156" i="1" s="1"/>
  <c r="R151" i="5"/>
  <c r="X151" i="6" s="1"/>
  <c r="Z151" i="6"/>
  <c r="K178" i="11"/>
  <c r="W147" i="7"/>
  <c r="X147" i="7" s="1"/>
  <c r="M148" i="7"/>
  <c r="O148" i="7" s="1"/>
  <c r="R158" i="6"/>
  <c r="S158" i="6"/>
  <c r="E176" i="10"/>
  <c r="D176" i="10"/>
  <c r="G176" i="10" s="1"/>
  <c r="H176" i="10" s="1"/>
  <c r="C177" i="10"/>
  <c r="V157" i="6"/>
  <c r="C177" i="12"/>
  <c r="D176" i="12"/>
  <c r="G176" i="12" s="1"/>
  <c r="H176" i="12" s="1"/>
  <c r="K152" i="5"/>
  <c r="K153" i="5" s="1"/>
  <c r="Q159" i="6"/>
  <c r="P159" i="6"/>
  <c r="K154" i="2"/>
  <c r="M154" i="2" s="1"/>
  <c r="I155" i="1"/>
  <c r="L152" i="5"/>
  <c r="V145" i="7"/>
  <c r="AA145" i="7"/>
  <c r="E175" i="10"/>
  <c r="Z114" i="10"/>
  <c r="R115" i="10"/>
  <c r="X115" i="10" s="1"/>
  <c r="E176" i="6"/>
  <c r="E176" i="7" s="1"/>
  <c r="J176" i="7" s="1"/>
  <c r="N153" i="2"/>
  <c r="I154" i="2" s="1"/>
  <c r="S146" i="7"/>
  <c r="V149" i="5"/>
  <c r="W149" i="6"/>
  <c r="W115" i="12"/>
  <c r="V115" i="12"/>
  <c r="P152" i="5"/>
  <c r="Q152" i="5" s="1"/>
  <c r="N175" i="10"/>
  <c r="J175" i="10"/>
  <c r="K175" i="10" s="1"/>
  <c r="L160" i="6"/>
  <c r="M160" i="6"/>
  <c r="O160" i="6" s="1"/>
  <c r="O154" i="1"/>
  <c r="Q154" i="1" s="1"/>
  <c r="T154" i="1" s="1"/>
  <c r="N176" i="6"/>
  <c r="J176" i="6"/>
  <c r="K176" i="6" s="1"/>
  <c r="Z115" i="12"/>
  <c r="R116" i="12"/>
  <c r="X116" i="12" s="1"/>
  <c r="V156" i="6"/>
  <c r="P115" i="10"/>
  <c r="L116" i="10" s="1"/>
  <c r="R150" i="5"/>
  <c r="X150" i="6" s="1"/>
  <c r="Z150" i="6"/>
  <c r="M116" i="11"/>
  <c r="O116" i="11" s="1"/>
  <c r="Y116" i="11"/>
  <c r="P147" i="7"/>
  <c r="K148" i="7" s="1"/>
  <c r="K175" i="12"/>
  <c r="D179" i="11"/>
  <c r="G179" i="11" s="1"/>
  <c r="H179" i="11" s="1"/>
  <c r="C180" i="11"/>
  <c r="N178" i="11"/>
  <c r="J178" i="11"/>
  <c r="C178" i="6"/>
  <c r="D177" i="6"/>
  <c r="G177" i="6" s="1"/>
  <c r="H177" i="6" s="1"/>
  <c r="M116" i="12"/>
  <c r="O116" i="12" s="1"/>
  <c r="Y116" i="12"/>
  <c r="Q115" i="11"/>
  <c r="N175" i="12"/>
  <c r="J175" i="12"/>
  <c r="N155" i="1"/>
  <c r="J156" i="1" s="1"/>
  <c r="O155" i="1"/>
  <c r="Q155" i="1" s="1"/>
  <c r="T155" i="1" s="1"/>
  <c r="K157" i="1" l="1"/>
  <c r="M157" i="1" s="1"/>
  <c r="R152" i="5"/>
  <c r="X152" i="6" s="1"/>
  <c r="S152" i="5"/>
  <c r="Z152" i="6"/>
  <c r="M161" i="6"/>
  <c r="O161" i="6" s="1"/>
  <c r="R159" i="6"/>
  <c r="S159" i="6" s="1"/>
  <c r="N176" i="10"/>
  <c r="J176" i="10"/>
  <c r="K176" i="10" s="1"/>
  <c r="P116" i="11"/>
  <c r="L117" i="11" s="1"/>
  <c r="Q116" i="11"/>
  <c r="S116" i="12"/>
  <c r="S151" i="5"/>
  <c r="M153" i="5"/>
  <c r="O153" i="5" s="1"/>
  <c r="L153" i="5"/>
  <c r="Y152" i="6"/>
  <c r="Y116" i="10"/>
  <c r="M116" i="10"/>
  <c r="O116" i="10" s="1"/>
  <c r="I156" i="1"/>
  <c r="E176" i="12"/>
  <c r="N179" i="11"/>
  <c r="J179" i="11"/>
  <c r="K179" i="11" s="1"/>
  <c r="V158" i="6"/>
  <c r="S150" i="5"/>
  <c r="D177" i="12"/>
  <c r="G177" i="12" s="1"/>
  <c r="H177" i="12" s="1"/>
  <c r="C178" i="12"/>
  <c r="E177" i="12"/>
  <c r="K149" i="7"/>
  <c r="E177" i="6"/>
  <c r="E177" i="7" s="1"/>
  <c r="J177" i="7" s="1"/>
  <c r="Q147" i="7"/>
  <c r="Q115" i="10"/>
  <c r="J154" i="2"/>
  <c r="L148" i="7"/>
  <c r="N156" i="1"/>
  <c r="J157" i="1" s="1"/>
  <c r="Q116" i="12"/>
  <c r="P116" i="12"/>
  <c r="L117" i="12" s="1"/>
  <c r="J176" i="12"/>
  <c r="N176" i="12"/>
  <c r="K176" i="12"/>
  <c r="O153" i="2"/>
  <c r="Q153" i="2" s="1"/>
  <c r="T153" i="2" s="1"/>
  <c r="D178" i="6"/>
  <c r="G178" i="6" s="1"/>
  <c r="H178" i="6" s="1"/>
  <c r="C179" i="6"/>
  <c r="Q160" i="6"/>
  <c r="P160" i="6"/>
  <c r="L161" i="6" s="1"/>
  <c r="N154" i="2"/>
  <c r="I155" i="2" s="1"/>
  <c r="P148" i="7"/>
  <c r="Q148" i="7" s="1"/>
  <c r="D180" i="11"/>
  <c r="G180" i="11" s="1"/>
  <c r="H180" i="11" s="1"/>
  <c r="C181" i="11"/>
  <c r="AA146" i="7"/>
  <c r="V146" i="7"/>
  <c r="E179" i="11"/>
  <c r="N177" i="6"/>
  <c r="J177" i="6"/>
  <c r="K177" i="6" s="1"/>
  <c r="R116" i="11"/>
  <c r="X116" i="11" s="1"/>
  <c r="Z115" i="11"/>
  <c r="S115" i="10"/>
  <c r="D177" i="10"/>
  <c r="G177" i="10" s="1"/>
  <c r="H177" i="10" s="1"/>
  <c r="C178" i="10"/>
  <c r="V159" i="6" l="1"/>
  <c r="M162" i="6"/>
  <c r="O162" i="6" s="1"/>
  <c r="AB148" i="7"/>
  <c r="S148" i="7"/>
  <c r="R148" i="7"/>
  <c r="Y148" i="7" s="1"/>
  <c r="Z148" i="7" s="1"/>
  <c r="K158" i="1"/>
  <c r="M158" i="1" s="1"/>
  <c r="J158" i="1"/>
  <c r="S117" i="12"/>
  <c r="Z116" i="12"/>
  <c r="R117" i="12"/>
  <c r="X117" i="12" s="1"/>
  <c r="M154" i="5"/>
  <c r="O154" i="5" s="1"/>
  <c r="Y153" i="6"/>
  <c r="P161" i="6"/>
  <c r="L162" i="6" s="1"/>
  <c r="Q161" i="6"/>
  <c r="E179" i="6"/>
  <c r="E179" i="7" s="1"/>
  <c r="J179" i="7" s="1"/>
  <c r="C180" i="6"/>
  <c r="D179" i="6"/>
  <c r="G179" i="6" s="1"/>
  <c r="H179" i="6" s="1"/>
  <c r="E180" i="11"/>
  <c r="P153" i="5"/>
  <c r="K154" i="5" s="1"/>
  <c r="Q153" i="5"/>
  <c r="C179" i="12"/>
  <c r="D178" i="12"/>
  <c r="G178" i="12" s="1"/>
  <c r="H178" i="12" s="1"/>
  <c r="M149" i="7"/>
  <c r="O149" i="7" s="1"/>
  <c r="L149" i="7"/>
  <c r="W148" i="7"/>
  <c r="X148" i="7" s="1"/>
  <c r="V151" i="5"/>
  <c r="W151" i="6"/>
  <c r="V150" i="5"/>
  <c r="W150" i="6"/>
  <c r="S116" i="11"/>
  <c r="O156" i="1"/>
  <c r="Q156" i="1" s="1"/>
  <c r="T156" i="1" s="1"/>
  <c r="C179" i="10"/>
  <c r="D178" i="10"/>
  <c r="G178" i="10" s="1"/>
  <c r="H178" i="10" s="1"/>
  <c r="N177" i="12"/>
  <c r="J177" i="12"/>
  <c r="K177" i="12" s="1"/>
  <c r="N177" i="10"/>
  <c r="J177" i="10"/>
  <c r="K177" i="10" s="1"/>
  <c r="K155" i="2"/>
  <c r="M155" i="2" s="1"/>
  <c r="J155" i="2"/>
  <c r="P116" i="10"/>
  <c r="L117" i="10" s="1"/>
  <c r="E177" i="10"/>
  <c r="O154" i="2"/>
  <c r="Q154" i="2" s="1"/>
  <c r="T154" i="2" s="1"/>
  <c r="S116" i="10"/>
  <c r="Z115" i="10"/>
  <c r="R116" i="10"/>
  <c r="X116" i="10" s="1"/>
  <c r="V116" i="12"/>
  <c r="W116" i="12"/>
  <c r="N178" i="6"/>
  <c r="J178" i="6"/>
  <c r="K178" i="6" s="1"/>
  <c r="W115" i="10"/>
  <c r="V115" i="10"/>
  <c r="AB147" i="7"/>
  <c r="R147" i="7"/>
  <c r="Y147" i="7" s="1"/>
  <c r="Z147" i="7" s="1"/>
  <c r="S147" i="7"/>
  <c r="Z116" i="11"/>
  <c r="R117" i="11"/>
  <c r="X117" i="11" s="1"/>
  <c r="N180" i="11"/>
  <c r="J180" i="11"/>
  <c r="K180" i="11" s="1"/>
  <c r="E178" i="6"/>
  <c r="E178" i="7" s="1"/>
  <c r="J178" i="7" s="1"/>
  <c r="V152" i="5"/>
  <c r="W152" i="6"/>
  <c r="I157" i="1"/>
  <c r="I158" i="1" s="1"/>
  <c r="C182" i="11"/>
  <c r="D181" i="11"/>
  <c r="G181" i="11" s="1"/>
  <c r="H181" i="11" s="1"/>
  <c r="R160" i="6"/>
  <c r="Y117" i="12"/>
  <c r="M117" i="12"/>
  <c r="O117" i="12" s="1"/>
  <c r="M117" i="11"/>
  <c r="O117" i="11" s="1"/>
  <c r="Y117" i="11"/>
  <c r="O157" i="1"/>
  <c r="Q157" i="1" s="1"/>
  <c r="T157" i="1" s="1"/>
  <c r="N157" i="1"/>
  <c r="M163" i="6" l="1"/>
  <c r="O163" i="6" s="1"/>
  <c r="K178" i="12"/>
  <c r="N178" i="12"/>
  <c r="J178" i="12"/>
  <c r="V148" i="7"/>
  <c r="AA148" i="7"/>
  <c r="P117" i="11"/>
  <c r="L118" i="11" s="1"/>
  <c r="R161" i="6"/>
  <c r="D182" i="11"/>
  <c r="G182" i="11" s="1"/>
  <c r="H182" i="11" s="1"/>
  <c r="C183" i="11"/>
  <c r="E182" i="11"/>
  <c r="S117" i="11"/>
  <c r="R153" i="5"/>
  <c r="X153" i="6" s="1"/>
  <c r="Z153" i="6"/>
  <c r="N158" i="1"/>
  <c r="O158" i="1" s="1"/>
  <c r="Q158" i="1" s="1"/>
  <c r="T158" i="1" s="1"/>
  <c r="E181" i="11"/>
  <c r="P117" i="12"/>
  <c r="L118" i="12" s="1"/>
  <c r="Q117" i="12"/>
  <c r="Q116" i="10"/>
  <c r="C180" i="10"/>
  <c r="D179" i="10"/>
  <c r="G179" i="10" s="1"/>
  <c r="H179" i="10" s="1"/>
  <c r="L154" i="5"/>
  <c r="P162" i="6"/>
  <c r="L163" i="6" s="1"/>
  <c r="J181" i="11"/>
  <c r="K181" i="11" s="1"/>
  <c r="N181" i="11"/>
  <c r="W116" i="10"/>
  <c r="V116" i="10"/>
  <c r="D179" i="12"/>
  <c r="G179" i="12" s="1"/>
  <c r="H179" i="12" s="1"/>
  <c r="C180" i="12"/>
  <c r="E179" i="12"/>
  <c r="K159" i="1"/>
  <c r="M159" i="1" s="1"/>
  <c r="J178" i="10"/>
  <c r="K178" i="10" s="1"/>
  <c r="N178" i="10"/>
  <c r="V147" i="7"/>
  <c r="AA147" i="7"/>
  <c r="K156" i="2"/>
  <c r="M156" i="2" s="1"/>
  <c r="J156" i="2"/>
  <c r="E178" i="10"/>
  <c r="P154" i="5"/>
  <c r="Q154" i="5" s="1"/>
  <c r="W117" i="12"/>
  <c r="V117" i="12"/>
  <c r="N155" i="2"/>
  <c r="I156" i="2" s="1"/>
  <c r="L150" i="7"/>
  <c r="W149" i="7"/>
  <c r="X149" i="7" s="1"/>
  <c r="M150" i="7"/>
  <c r="O150" i="7" s="1"/>
  <c r="J179" i="6"/>
  <c r="K179" i="6" s="1"/>
  <c r="N179" i="6"/>
  <c r="E178" i="12"/>
  <c r="M117" i="10"/>
  <c r="O117" i="10" s="1"/>
  <c r="Y117" i="10"/>
  <c r="S160" i="6"/>
  <c r="V116" i="11"/>
  <c r="W116" i="11"/>
  <c r="P149" i="7"/>
  <c r="K150" i="7" s="1"/>
  <c r="Q149" i="7"/>
  <c r="C181" i="6"/>
  <c r="D180" i="6"/>
  <c r="G180" i="6" s="1"/>
  <c r="H180" i="6" s="1"/>
  <c r="R154" i="5" l="1"/>
  <c r="X154" i="6" s="1"/>
  <c r="Z154" i="6"/>
  <c r="M164" i="6"/>
  <c r="O164" i="6" s="1"/>
  <c r="J179" i="10"/>
  <c r="K179" i="10" s="1"/>
  <c r="N179" i="10"/>
  <c r="K179" i="12"/>
  <c r="V160" i="6"/>
  <c r="S117" i="10"/>
  <c r="Z116" i="10"/>
  <c r="R117" i="10"/>
  <c r="X117" i="10" s="1"/>
  <c r="N180" i="6"/>
  <c r="J180" i="6"/>
  <c r="K180" i="6" s="1"/>
  <c r="J159" i="1"/>
  <c r="Q162" i="6"/>
  <c r="Z117" i="12"/>
  <c r="R118" i="12"/>
  <c r="X118" i="12" s="1"/>
  <c r="S118" i="12"/>
  <c r="W117" i="11"/>
  <c r="V117" i="11"/>
  <c r="Q117" i="11"/>
  <c r="P150" i="7"/>
  <c r="K151" i="7" s="1"/>
  <c r="C181" i="10"/>
  <c r="D180" i="10"/>
  <c r="G180" i="10" s="1"/>
  <c r="H180" i="10" s="1"/>
  <c r="S161" i="6"/>
  <c r="K157" i="2"/>
  <c r="M157" i="2" s="1"/>
  <c r="I159" i="1"/>
  <c r="I160" i="1" s="1"/>
  <c r="E180" i="6"/>
  <c r="E180" i="7" s="1"/>
  <c r="J180" i="7" s="1"/>
  <c r="E181" i="6"/>
  <c r="E181" i="7" s="1"/>
  <c r="J181" i="7" s="1"/>
  <c r="D181" i="6"/>
  <c r="G181" i="6" s="1"/>
  <c r="H181" i="6" s="1"/>
  <c r="C182" i="6"/>
  <c r="P117" i="10"/>
  <c r="L118" i="10" s="1"/>
  <c r="O155" i="2"/>
  <c r="Q155" i="2" s="1"/>
  <c r="T155" i="2" s="1"/>
  <c r="C181" i="12"/>
  <c r="D180" i="12"/>
  <c r="G180" i="12" s="1"/>
  <c r="H180" i="12" s="1"/>
  <c r="L155" i="5"/>
  <c r="M155" i="5"/>
  <c r="O155" i="5" s="1"/>
  <c r="Y154" i="6"/>
  <c r="M118" i="12"/>
  <c r="O118" i="12" s="1"/>
  <c r="Y118" i="12"/>
  <c r="M118" i="11"/>
  <c r="O118" i="11" s="1"/>
  <c r="Y118" i="11"/>
  <c r="J179" i="12"/>
  <c r="N179" i="12"/>
  <c r="K155" i="5"/>
  <c r="D183" i="11"/>
  <c r="G183" i="11" s="1"/>
  <c r="H183" i="11" s="1"/>
  <c r="C184" i="11"/>
  <c r="O159" i="1"/>
  <c r="Q159" i="1" s="1"/>
  <c r="T159" i="1" s="1"/>
  <c r="N159" i="1"/>
  <c r="W150" i="7"/>
  <c r="X150" i="7" s="1"/>
  <c r="M151" i="7"/>
  <c r="O151" i="7" s="1"/>
  <c r="S153" i="5"/>
  <c r="N156" i="2"/>
  <c r="I157" i="2" s="1"/>
  <c r="AB149" i="7"/>
  <c r="R149" i="7"/>
  <c r="Y149" i="7" s="1"/>
  <c r="Z149" i="7" s="1"/>
  <c r="E179" i="10"/>
  <c r="J182" i="11"/>
  <c r="K182" i="11" s="1"/>
  <c r="N182" i="11"/>
  <c r="P163" i="6"/>
  <c r="Q163" i="6" s="1"/>
  <c r="K181" i="6" l="1"/>
  <c r="R163" i="6"/>
  <c r="S163" i="6" s="1"/>
  <c r="N180" i="12"/>
  <c r="J180" i="12"/>
  <c r="D181" i="10"/>
  <c r="G181" i="10" s="1"/>
  <c r="H181" i="10" s="1"/>
  <c r="C182" i="10"/>
  <c r="E181" i="10"/>
  <c r="V117" i="10"/>
  <c r="W117" i="10"/>
  <c r="L164" i="6"/>
  <c r="O156" i="2"/>
  <c r="Q156" i="2" s="1"/>
  <c r="T156" i="2" s="1"/>
  <c r="K160" i="1"/>
  <c r="M160" i="1" s="1"/>
  <c r="J160" i="1"/>
  <c r="E184" i="11"/>
  <c r="D184" i="11"/>
  <c r="G184" i="11" s="1"/>
  <c r="C186" i="11"/>
  <c r="S162" i="6"/>
  <c r="R162" i="6"/>
  <c r="E180" i="12"/>
  <c r="P164" i="6"/>
  <c r="Q164" i="6"/>
  <c r="V153" i="5"/>
  <c r="W153" i="6"/>
  <c r="E183" i="11"/>
  <c r="J157" i="2"/>
  <c r="D181" i="12"/>
  <c r="G181" i="12" s="1"/>
  <c r="H181" i="12" s="1"/>
  <c r="C182" i="12"/>
  <c r="E181" i="12"/>
  <c r="P118" i="12"/>
  <c r="L119" i="12" s="1"/>
  <c r="Q118" i="12"/>
  <c r="Q151" i="7"/>
  <c r="P151" i="7"/>
  <c r="K152" i="7" s="1"/>
  <c r="Q117" i="10"/>
  <c r="V161" i="6"/>
  <c r="P118" i="11"/>
  <c r="L119" i="11" s="1"/>
  <c r="Q118" i="11"/>
  <c r="R118" i="11"/>
  <c r="X118" i="11" s="1"/>
  <c r="Z117" i="11"/>
  <c r="M118" i="10"/>
  <c r="O118" i="10" s="1"/>
  <c r="Y118" i="10"/>
  <c r="D182" i="6"/>
  <c r="G182" i="6" s="1"/>
  <c r="H182" i="6" s="1"/>
  <c r="E182" i="6"/>
  <c r="E182" i="7" s="1"/>
  <c r="J182" i="7" s="1"/>
  <c r="C183" i="6"/>
  <c r="J180" i="10"/>
  <c r="K180" i="10" s="1"/>
  <c r="N180" i="10"/>
  <c r="V118" i="12"/>
  <c r="W118" i="12"/>
  <c r="S154" i="5"/>
  <c r="N183" i="11"/>
  <c r="J183" i="11"/>
  <c r="K183" i="11" s="1"/>
  <c r="Q150" i="7"/>
  <c r="K180" i="12"/>
  <c r="L151" i="7"/>
  <c r="O157" i="2"/>
  <c r="Q157" i="2" s="1"/>
  <c r="T157" i="2" s="1"/>
  <c r="N157" i="2"/>
  <c r="I158" i="2" s="1"/>
  <c r="P155" i="5"/>
  <c r="K156" i="5" s="1"/>
  <c r="S149" i="7"/>
  <c r="M156" i="5"/>
  <c r="O156" i="5" s="1"/>
  <c r="L156" i="5"/>
  <c r="Y155" i="6"/>
  <c r="N181" i="6"/>
  <c r="J181" i="6"/>
  <c r="E180" i="10"/>
  <c r="V163" i="6" l="1"/>
  <c r="M157" i="5"/>
  <c r="O157" i="5" s="1"/>
  <c r="Y156" i="6"/>
  <c r="S118" i="11"/>
  <c r="R151" i="7"/>
  <c r="Y151" i="7" s="1"/>
  <c r="Z151" i="7" s="1"/>
  <c r="AB151" i="7"/>
  <c r="K158" i="2"/>
  <c r="M158" i="2" s="1"/>
  <c r="J158" i="2"/>
  <c r="L165" i="6"/>
  <c r="M165" i="6"/>
  <c r="O165" i="6" s="1"/>
  <c r="V162" i="6"/>
  <c r="AA149" i="7"/>
  <c r="V149" i="7"/>
  <c r="S119" i="11"/>
  <c r="R119" i="11"/>
  <c r="X119" i="11" s="1"/>
  <c r="Z118" i="11"/>
  <c r="Y119" i="11"/>
  <c r="M119" i="11"/>
  <c r="O119" i="11" s="1"/>
  <c r="E183" i="6"/>
  <c r="E183" i="7" s="1"/>
  <c r="J183" i="7" s="1"/>
  <c r="C184" i="6"/>
  <c r="D183" i="6"/>
  <c r="G183" i="6" s="1"/>
  <c r="H183" i="6" s="1"/>
  <c r="C183" i="10"/>
  <c r="D182" i="10"/>
  <c r="G182" i="10" s="1"/>
  <c r="H182" i="10" s="1"/>
  <c r="J182" i="6"/>
  <c r="K182" i="6" s="1"/>
  <c r="N182" i="6"/>
  <c r="H184" i="11"/>
  <c r="G186" i="11"/>
  <c r="Q155" i="5"/>
  <c r="V154" i="5"/>
  <c r="W154" i="6"/>
  <c r="R164" i="6"/>
  <c r="D182" i="12"/>
  <c r="G182" i="12" s="1"/>
  <c r="H182" i="12" s="1"/>
  <c r="C183" i="12"/>
  <c r="K161" i="1"/>
  <c r="M161" i="1" s="1"/>
  <c r="J181" i="10"/>
  <c r="K181" i="10" s="1"/>
  <c r="N181" i="10"/>
  <c r="AB150" i="7"/>
  <c r="R150" i="7"/>
  <c r="Y150" i="7" s="1"/>
  <c r="Z150" i="7" s="1"/>
  <c r="P118" i="10"/>
  <c r="L119" i="10" s="1"/>
  <c r="Z117" i="10"/>
  <c r="R118" i="10"/>
  <c r="X118" i="10" s="1"/>
  <c r="N181" i="12"/>
  <c r="J181" i="12"/>
  <c r="K181" i="12" s="1"/>
  <c r="N160" i="1"/>
  <c r="I161" i="1" s="1"/>
  <c r="P156" i="5"/>
  <c r="Q156" i="5" s="1"/>
  <c r="Z118" i="12"/>
  <c r="R119" i="12"/>
  <c r="X119" i="12" s="1"/>
  <c r="Y119" i="12"/>
  <c r="M119" i="12"/>
  <c r="O119" i="12" s="1"/>
  <c r="M152" i="7"/>
  <c r="O152" i="7" s="1"/>
  <c r="L152" i="7"/>
  <c r="W151" i="7"/>
  <c r="X151" i="7" s="1"/>
  <c r="R156" i="5" l="1"/>
  <c r="X156" i="6" s="1"/>
  <c r="S156" i="5"/>
  <c r="Z156" i="6"/>
  <c r="K182" i="10"/>
  <c r="O158" i="2"/>
  <c r="Q158" i="2" s="1"/>
  <c r="T158" i="2" s="1"/>
  <c r="N158" i="2"/>
  <c r="I159" i="2" s="1"/>
  <c r="L157" i="5"/>
  <c r="S119" i="12"/>
  <c r="E182" i="10"/>
  <c r="K157" i="5"/>
  <c r="K158" i="5" s="1"/>
  <c r="S164" i="6"/>
  <c r="W152" i="7"/>
  <c r="X152" i="7" s="1"/>
  <c r="L153" i="7"/>
  <c r="M153" i="7"/>
  <c r="O153" i="7" s="1"/>
  <c r="S118" i="10"/>
  <c r="J161" i="1"/>
  <c r="P119" i="11"/>
  <c r="L120" i="11" s="1"/>
  <c r="S151" i="7"/>
  <c r="N161" i="1"/>
  <c r="O161" i="1" s="1"/>
  <c r="Q161" i="1" s="1"/>
  <c r="T161" i="1" s="1"/>
  <c r="W118" i="11"/>
  <c r="V118" i="11"/>
  <c r="J182" i="10"/>
  <c r="N182" i="10"/>
  <c r="P152" i="7"/>
  <c r="K153" i="7" s="1"/>
  <c r="M119" i="10"/>
  <c r="O119" i="10" s="1"/>
  <c r="Y119" i="10"/>
  <c r="C184" i="10"/>
  <c r="D183" i="10"/>
  <c r="G183" i="10" s="1"/>
  <c r="H183" i="10" s="1"/>
  <c r="P165" i="6"/>
  <c r="Q165" i="6" s="1"/>
  <c r="O160" i="1"/>
  <c r="Q160" i="1" s="1"/>
  <c r="T160" i="1" s="1"/>
  <c r="Q118" i="10"/>
  <c r="C184" i="12"/>
  <c r="D183" i="12"/>
  <c r="G183" i="12" s="1"/>
  <c r="H183" i="12" s="1"/>
  <c r="R155" i="5"/>
  <c r="X155" i="6" s="1"/>
  <c r="Z155" i="6"/>
  <c r="N183" i="6"/>
  <c r="J183" i="6"/>
  <c r="K183" i="6" s="1"/>
  <c r="M166" i="6"/>
  <c r="O166" i="6" s="1"/>
  <c r="P119" i="12"/>
  <c r="L120" i="12" s="1"/>
  <c r="J182" i="12"/>
  <c r="K182" i="12" s="1"/>
  <c r="N182" i="12"/>
  <c r="S150" i="7"/>
  <c r="E182" i="12"/>
  <c r="N184" i="11"/>
  <c r="J184" i="11"/>
  <c r="K184" i="11" s="1"/>
  <c r="D184" i="6"/>
  <c r="G184" i="6" s="1"/>
  <c r="C186" i="6"/>
  <c r="W119" i="11"/>
  <c r="V119" i="11"/>
  <c r="K159" i="2"/>
  <c r="M159" i="2" s="1"/>
  <c r="J159" i="2"/>
  <c r="P157" i="5"/>
  <c r="Q157" i="5"/>
  <c r="R165" i="6" l="1"/>
  <c r="W153" i="7"/>
  <c r="X153" i="7" s="1"/>
  <c r="M154" i="7"/>
  <c r="O154" i="7" s="1"/>
  <c r="I162" i="1"/>
  <c r="Y120" i="11"/>
  <c r="M120" i="11"/>
  <c r="O120" i="11" s="1"/>
  <c r="Z118" i="10"/>
  <c r="R119" i="10"/>
  <c r="X119" i="10" s="1"/>
  <c r="Q119" i="10"/>
  <c r="P119" i="10"/>
  <c r="L120" i="10" s="1"/>
  <c r="V164" i="6"/>
  <c r="L166" i="6"/>
  <c r="V156" i="5"/>
  <c r="W156" i="6"/>
  <c r="H184" i="6"/>
  <c r="G186" i="6"/>
  <c r="AA151" i="7"/>
  <c r="V151" i="7"/>
  <c r="R157" i="5"/>
  <c r="X157" i="6" s="1"/>
  <c r="Z157" i="6"/>
  <c r="E184" i="6"/>
  <c r="E184" i="7" s="1"/>
  <c r="J184" i="7" s="1"/>
  <c r="Q152" i="7"/>
  <c r="S155" i="5"/>
  <c r="Q119" i="11"/>
  <c r="P166" i="6"/>
  <c r="Q166" i="6" s="1"/>
  <c r="J183" i="12"/>
  <c r="K183" i="12" s="1"/>
  <c r="N183" i="12"/>
  <c r="E183" i="10"/>
  <c r="J162" i="1"/>
  <c r="K162" i="1"/>
  <c r="M162" i="1" s="1"/>
  <c r="W119" i="12"/>
  <c r="V119" i="12"/>
  <c r="M120" i="12"/>
  <c r="O120" i="12" s="1"/>
  <c r="Y120" i="12"/>
  <c r="O159" i="2"/>
  <c r="Q159" i="2" s="1"/>
  <c r="T159" i="2" s="1"/>
  <c r="N159" i="2"/>
  <c r="J160" i="2" s="1"/>
  <c r="E183" i="12"/>
  <c r="V118" i="10"/>
  <c r="W118" i="10"/>
  <c r="M158" i="5"/>
  <c r="O158" i="5" s="1"/>
  <c r="L158" i="5"/>
  <c r="Y157" i="6"/>
  <c r="K183" i="10"/>
  <c r="Q119" i="12"/>
  <c r="J183" i="10"/>
  <c r="N183" i="10"/>
  <c r="K160" i="2"/>
  <c r="M160" i="2" s="1"/>
  <c r="D184" i="10"/>
  <c r="G184" i="10" s="1"/>
  <c r="E184" i="10"/>
  <c r="C186" i="10"/>
  <c r="AA150" i="7"/>
  <c r="V150" i="7"/>
  <c r="D184" i="12"/>
  <c r="G184" i="12" s="1"/>
  <c r="C186" i="12"/>
  <c r="P153" i="7"/>
  <c r="K154" i="7" s="1"/>
  <c r="I160" i="2"/>
  <c r="K161" i="2" l="1"/>
  <c r="M161" i="2" s="1"/>
  <c r="R166" i="6"/>
  <c r="S166" i="6"/>
  <c r="K163" i="1"/>
  <c r="M163" i="1" s="1"/>
  <c r="R152" i="7"/>
  <c r="Y152" i="7" s="1"/>
  <c r="Z152" i="7" s="1"/>
  <c r="AB152" i="7"/>
  <c r="S152" i="7"/>
  <c r="N184" i="6"/>
  <c r="J184" i="6"/>
  <c r="K184" i="6" s="1"/>
  <c r="S120" i="10"/>
  <c r="R120" i="10"/>
  <c r="X120" i="10" s="1"/>
  <c r="Z119" i="10"/>
  <c r="L154" i="7"/>
  <c r="S119" i="10"/>
  <c r="H184" i="10"/>
  <c r="G186" i="10"/>
  <c r="M167" i="6"/>
  <c r="O167" i="6" s="1"/>
  <c r="L167" i="6"/>
  <c r="H184" i="12"/>
  <c r="G186" i="12"/>
  <c r="P158" i="5"/>
  <c r="K159" i="5" s="1"/>
  <c r="P120" i="12"/>
  <c r="L121" i="12" s="1"/>
  <c r="Q120" i="12"/>
  <c r="S157" i="5"/>
  <c r="E184" i="12"/>
  <c r="P120" i="11"/>
  <c r="L121" i="11" s="1"/>
  <c r="S165" i="6"/>
  <c r="Q153" i="7"/>
  <c r="L159" i="5"/>
  <c r="M159" i="5"/>
  <c r="O159" i="5" s="1"/>
  <c r="Y158" i="6"/>
  <c r="N160" i="2"/>
  <c r="O160" i="2" s="1"/>
  <c r="Q160" i="2" s="1"/>
  <c r="T160" i="2" s="1"/>
  <c r="R120" i="11"/>
  <c r="X120" i="11" s="1"/>
  <c r="Z119" i="11"/>
  <c r="S120" i="11"/>
  <c r="I161" i="2"/>
  <c r="P154" i="7"/>
  <c r="K155" i="7" s="1"/>
  <c r="R120" i="12"/>
  <c r="X120" i="12" s="1"/>
  <c r="Z119" i="12"/>
  <c r="S120" i="12"/>
  <c r="N162" i="1"/>
  <c r="J163" i="1" s="1"/>
  <c r="V155" i="5"/>
  <c r="W155" i="6"/>
  <c r="M120" i="10"/>
  <c r="O120" i="10" s="1"/>
  <c r="Y120" i="10"/>
  <c r="K164" i="1" l="1"/>
  <c r="M164" i="1" s="1"/>
  <c r="P159" i="5"/>
  <c r="L160" i="5" s="1"/>
  <c r="Q159" i="5"/>
  <c r="Z120" i="12"/>
  <c r="R121" i="12"/>
  <c r="X121" i="12" s="1"/>
  <c r="W120" i="10"/>
  <c r="V120" i="10"/>
  <c r="V166" i="6"/>
  <c r="K160" i="5"/>
  <c r="N184" i="10"/>
  <c r="J184" i="10"/>
  <c r="K184" i="10" s="1"/>
  <c r="Q120" i="11"/>
  <c r="J184" i="12"/>
  <c r="K184" i="12" s="1"/>
  <c r="N184" i="12"/>
  <c r="W154" i="7"/>
  <c r="X154" i="7" s="1"/>
  <c r="M155" i="7"/>
  <c r="O155" i="7" s="1"/>
  <c r="L155" i="7"/>
  <c r="J161" i="2"/>
  <c r="M160" i="5"/>
  <c r="O160" i="5" s="1"/>
  <c r="Y159" i="6"/>
  <c r="V120" i="11"/>
  <c r="W120" i="11"/>
  <c r="O162" i="1"/>
  <c r="Q162" i="1" s="1"/>
  <c r="T162" i="1" s="1"/>
  <c r="AA152" i="7"/>
  <c r="V152" i="7"/>
  <c r="I163" i="1"/>
  <c r="I164" i="1" s="1"/>
  <c r="W120" i="12"/>
  <c r="V120" i="12"/>
  <c r="M168" i="6"/>
  <c r="O168" i="6" s="1"/>
  <c r="N161" i="2"/>
  <c r="O161" i="2" s="1"/>
  <c r="Q161" i="2" s="1"/>
  <c r="T161" i="2" s="1"/>
  <c r="Y121" i="12"/>
  <c r="M121" i="12"/>
  <c r="O121" i="12" s="1"/>
  <c r="AB153" i="7"/>
  <c r="R153" i="7"/>
  <c r="Y153" i="7" s="1"/>
  <c r="Z153" i="7" s="1"/>
  <c r="V165" i="6"/>
  <c r="Q158" i="5"/>
  <c r="Y121" i="11"/>
  <c r="M121" i="11"/>
  <c r="O121" i="11" s="1"/>
  <c r="W119" i="10"/>
  <c r="V119" i="10"/>
  <c r="P120" i="10"/>
  <c r="L121" i="10" s="1"/>
  <c r="Q120" i="10"/>
  <c r="Q154" i="7"/>
  <c r="V157" i="5"/>
  <c r="W157" i="6"/>
  <c r="P167" i="6"/>
  <c r="Q167" i="6" s="1"/>
  <c r="N163" i="1"/>
  <c r="J164" i="1" s="1"/>
  <c r="O163" i="1"/>
  <c r="Q163" i="1" s="1"/>
  <c r="T163" i="1" s="1"/>
  <c r="K165" i="1" l="1"/>
  <c r="M165" i="1" s="1"/>
  <c r="R167" i="6"/>
  <c r="S167" i="6" s="1"/>
  <c r="M161" i="5"/>
  <c r="O161" i="5" s="1"/>
  <c r="L161" i="5"/>
  <c r="Y160" i="6"/>
  <c r="P160" i="5"/>
  <c r="Q160" i="5" s="1"/>
  <c r="R121" i="10"/>
  <c r="X121" i="10" s="1"/>
  <c r="Z120" i="10"/>
  <c r="K161" i="5"/>
  <c r="S121" i="12"/>
  <c r="P168" i="6"/>
  <c r="Q168" i="6" s="1"/>
  <c r="P121" i="11"/>
  <c r="L122" i="11" s="1"/>
  <c r="Y121" i="10"/>
  <c r="M121" i="10"/>
  <c r="O121" i="10" s="1"/>
  <c r="W155" i="7"/>
  <c r="X155" i="7" s="1"/>
  <c r="M156" i="7"/>
  <c r="O156" i="7" s="1"/>
  <c r="P155" i="7"/>
  <c r="K156" i="7" s="1"/>
  <c r="L168" i="6"/>
  <c r="I162" i="2"/>
  <c r="N164" i="1"/>
  <c r="I165" i="1" s="1"/>
  <c r="R159" i="5"/>
  <c r="X159" i="6" s="1"/>
  <c r="Z159" i="6"/>
  <c r="P121" i="12"/>
  <c r="L122" i="12" s="1"/>
  <c r="K162" i="2"/>
  <c r="M162" i="2" s="1"/>
  <c r="J162" i="2"/>
  <c r="S153" i="7"/>
  <c r="R154" i="7"/>
  <c r="Y154" i="7" s="1"/>
  <c r="Z154" i="7" s="1"/>
  <c r="AB154" i="7"/>
  <c r="R158" i="5"/>
  <c r="X158" i="6" s="1"/>
  <c r="S158" i="5"/>
  <c r="Z158" i="6"/>
  <c r="S121" i="11"/>
  <c r="Z120" i="11"/>
  <c r="R121" i="11"/>
  <c r="X121" i="11" s="1"/>
  <c r="R160" i="5" l="1"/>
  <c r="X160" i="6" s="1"/>
  <c r="S160" i="5"/>
  <c r="Z160" i="6"/>
  <c r="R168" i="6"/>
  <c r="S168" i="6" s="1"/>
  <c r="V167" i="6"/>
  <c r="V153" i="7"/>
  <c r="AA153" i="7"/>
  <c r="W121" i="11"/>
  <c r="V121" i="11"/>
  <c r="O164" i="1"/>
  <c r="Q164" i="1" s="1"/>
  <c r="T164" i="1" s="1"/>
  <c r="N162" i="2"/>
  <c r="O162" i="2" s="1"/>
  <c r="Q162" i="2" s="1"/>
  <c r="T162" i="2" s="1"/>
  <c r="P161" i="5"/>
  <c r="Q161" i="5"/>
  <c r="V121" i="12"/>
  <c r="W121" i="12"/>
  <c r="K163" i="2"/>
  <c r="M163" i="2" s="1"/>
  <c r="M169" i="6"/>
  <c r="O169" i="6" s="1"/>
  <c r="L169" i="6"/>
  <c r="M122" i="11"/>
  <c r="O122" i="11" s="1"/>
  <c r="Y122" i="11"/>
  <c r="S121" i="10"/>
  <c r="Q155" i="7"/>
  <c r="Q121" i="11"/>
  <c r="M162" i="5"/>
  <c r="O162" i="5" s="1"/>
  <c r="L162" i="5"/>
  <c r="Y161" i="6"/>
  <c r="Y122" i="12"/>
  <c r="M122" i="12"/>
  <c r="O122" i="12" s="1"/>
  <c r="K157" i="7"/>
  <c r="L156" i="7"/>
  <c r="J165" i="1"/>
  <c r="K162" i="5"/>
  <c r="P121" i="10"/>
  <c r="L122" i="10" s="1"/>
  <c r="V158" i="5"/>
  <c r="W158" i="6"/>
  <c r="Q121" i="12"/>
  <c r="S154" i="7"/>
  <c r="S159" i="5"/>
  <c r="P156" i="7"/>
  <c r="Q156" i="7" s="1"/>
  <c r="N165" i="1"/>
  <c r="I166" i="1" s="1"/>
  <c r="AB156" i="7" l="1"/>
  <c r="R156" i="7"/>
  <c r="Y156" i="7" s="1"/>
  <c r="Z156" i="7" s="1"/>
  <c r="V168" i="6"/>
  <c r="S122" i="12"/>
  <c r="Z121" i="12"/>
  <c r="R122" i="12"/>
  <c r="X122" i="12" s="1"/>
  <c r="I163" i="2"/>
  <c r="Z121" i="11"/>
  <c r="R122" i="11"/>
  <c r="X122" i="11" s="1"/>
  <c r="J163" i="2"/>
  <c r="O165" i="1"/>
  <c r="Q165" i="1" s="1"/>
  <c r="T165" i="1" s="1"/>
  <c r="Q121" i="10"/>
  <c r="P122" i="11"/>
  <c r="L123" i="11" s="1"/>
  <c r="Q122" i="11"/>
  <c r="V160" i="5"/>
  <c r="W160" i="6"/>
  <c r="M157" i="7"/>
  <c r="O157" i="7" s="1"/>
  <c r="L157" i="7"/>
  <c r="W156" i="7"/>
  <c r="X156" i="7" s="1"/>
  <c r="P122" i="12"/>
  <c r="L123" i="12" s="1"/>
  <c r="Y122" i="10"/>
  <c r="M122" i="10"/>
  <c r="O122" i="10" s="1"/>
  <c r="V159" i="5"/>
  <c r="W159" i="6"/>
  <c r="M163" i="5"/>
  <c r="O163" i="5" s="1"/>
  <c r="Y162" i="6"/>
  <c r="R161" i="5"/>
  <c r="X161" i="6" s="1"/>
  <c r="Z161" i="6"/>
  <c r="P169" i="6"/>
  <c r="Q169" i="6"/>
  <c r="AB155" i="7"/>
  <c r="R155" i="7"/>
  <c r="Y155" i="7" s="1"/>
  <c r="Z155" i="7" s="1"/>
  <c r="S155" i="7"/>
  <c r="W121" i="10"/>
  <c r="V121" i="10"/>
  <c r="N163" i="2"/>
  <c r="O163" i="2" s="1"/>
  <c r="Q163" i="2" s="1"/>
  <c r="T163" i="2" s="1"/>
  <c r="K163" i="5"/>
  <c r="V154" i="7"/>
  <c r="AA154" i="7"/>
  <c r="K166" i="1"/>
  <c r="M166" i="1" s="1"/>
  <c r="J166" i="1"/>
  <c r="P162" i="5"/>
  <c r="L163" i="5" s="1"/>
  <c r="M170" i="6"/>
  <c r="O170" i="6" s="1"/>
  <c r="L170" i="6"/>
  <c r="M164" i="5" l="1"/>
  <c r="O164" i="5" s="1"/>
  <c r="Y163" i="6"/>
  <c r="P170" i="6"/>
  <c r="L171" i="6" s="1"/>
  <c r="W157" i="7"/>
  <c r="X157" i="7" s="1"/>
  <c r="M158" i="7"/>
  <c r="O158" i="7" s="1"/>
  <c r="M171" i="6"/>
  <c r="O171" i="6" s="1"/>
  <c r="W122" i="12"/>
  <c r="V122" i="12"/>
  <c r="P157" i="7"/>
  <c r="K158" i="7" s="1"/>
  <c r="Q157" i="7"/>
  <c r="S161" i="5"/>
  <c r="N166" i="1"/>
  <c r="I167" i="1" s="1"/>
  <c r="V155" i="7"/>
  <c r="AA155" i="7"/>
  <c r="M123" i="12"/>
  <c r="O123" i="12" s="1"/>
  <c r="Y123" i="12"/>
  <c r="S123" i="11"/>
  <c r="Z122" i="11"/>
  <c r="R123" i="11"/>
  <c r="X123" i="11" s="1"/>
  <c r="S122" i="11"/>
  <c r="K164" i="5"/>
  <c r="Q122" i="12"/>
  <c r="I164" i="2"/>
  <c r="S156" i="7"/>
  <c r="S169" i="6"/>
  <c r="R169" i="6"/>
  <c r="K164" i="2"/>
  <c r="M164" i="2" s="1"/>
  <c r="J164" i="2"/>
  <c r="P122" i="10"/>
  <c r="L123" i="10" s="1"/>
  <c r="Q162" i="5"/>
  <c r="J167" i="1"/>
  <c r="K167" i="1"/>
  <c r="M167" i="1" s="1"/>
  <c r="P163" i="5"/>
  <c r="L164" i="5" s="1"/>
  <c r="M123" i="11"/>
  <c r="O123" i="11" s="1"/>
  <c r="Y123" i="11"/>
  <c r="R122" i="10"/>
  <c r="X122" i="10" s="1"/>
  <c r="Z121" i="10"/>
  <c r="S122" i="10"/>
  <c r="M172" i="6" l="1"/>
  <c r="O172" i="6" s="1"/>
  <c r="M165" i="5"/>
  <c r="O165" i="5" s="1"/>
  <c r="L165" i="5"/>
  <c r="Y164" i="6"/>
  <c r="V169" i="6"/>
  <c r="V161" i="5"/>
  <c r="W161" i="6"/>
  <c r="P158" i="7"/>
  <c r="Q158" i="7" s="1"/>
  <c r="N167" i="1"/>
  <c r="J168" i="1" s="1"/>
  <c r="AB157" i="7"/>
  <c r="S157" i="7"/>
  <c r="R157" i="7"/>
  <c r="Y157" i="7" s="1"/>
  <c r="Z157" i="7" s="1"/>
  <c r="Q122" i="10"/>
  <c r="W122" i="10"/>
  <c r="V122" i="10"/>
  <c r="V123" i="11"/>
  <c r="W123" i="11"/>
  <c r="I165" i="2"/>
  <c r="P123" i="12"/>
  <c r="L124" i="12" s="1"/>
  <c r="V156" i="7"/>
  <c r="AA156" i="7"/>
  <c r="K159" i="7"/>
  <c r="Z122" i="12"/>
  <c r="R123" i="12"/>
  <c r="X123" i="12" s="1"/>
  <c r="Q123" i="11"/>
  <c r="P123" i="11"/>
  <c r="L124" i="11" s="1"/>
  <c r="K165" i="2"/>
  <c r="M165" i="2" s="1"/>
  <c r="N164" i="2"/>
  <c r="J165" i="2" s="1"/>
  <c r="W122" i="11"/>
  <c r="V122" i="11"/>
  <c r="K168" i="1"/>
  <c r="M168" i="1" s="1"/>
  <c r="R162" i="5"/>
  <c r="X162" i="6" s="1"/>
  <c r="Z162" i="6"/>
  <c r="Y123" i="10"/>
  <c r="M123" i="10"/>
  <c r="O123" i="10" s="1"/>
  <c r="L158" i="7"/>
  <c r="Q170" i="6"/>
  <c r="Q163" i="5"/>
  <c r="O166" i="1"/>
  <c r="Q166" i="1" s="1"/>
  <c r="T166" i="1" s="1"/>
  <c r="I168" i="1"/>
  <c r="P171" i="6"/>
  <c r="L172" i="6" s="1"/>
  <c r="Q164" i="5"/>
  <c r="P164" i="5"/>
  <c r="K165" i="5" s="1"/>
  <c r="AB158" i="7" l="1"/>
  <c r="R158" i="7"/>
  <c r="Y158" i="7" s="1"/>
  <c r="Z158" i="7" s="1"/>
  <c r="K166" i="2"/>
  <c r="M166" i="2" s="1"/>
  <c r="L173" i="6"/>
  <c r="M173" i="6"/>
  <c r="O173" i="6" s="1"/>
  <c r="K169" i="1"/>
  <c r="M169" i="1" s="1"/>
  <c r="M124" i="12"/>
  <c r="O124" i="12" s="1"/>
  <c r="Y124" i="12"/>
  <c r="Q171" i="6"/>
  <c r="P165" i="5"/>
  <c r="Q165" i="5" s="1"/>
  <c r="P123" i="10"/>
  <c r="L124" i="10" s="1"/>
  <c r="S123" i="12"/>
  <c r="M166" i="5"/>
  <c r="O166" i="5" s="1"/>
  <c r="Y165" i="6"/>
  <c r="AA157" i="7"/>
  <c r="V157" i="7"/>
  <c r="O164" i="2"/>
  <c r="Q164" i="2" s="1"/>
  <c r="T164" i="2" s="1"/>
  <c r="O167" i="1"/>
  <c r="Q167" i="1" s="1"/>
  <c r="T167" i="1" s="1"/>
  <c r="S162" i="5"/>
  <c r="N165" i="2"/>
  <c r="I166" i="2" s="1"/>
  <c r="S170" i="6"/>
  <c r="R170" i="6"/>
  <c r="M124" i="11"/>
  <c r="O124" i="11" s="1"/>
  <c r="Y124" i="11"/>
  <c r="Z122" i="10"/>
  <c r="R123" i="10"/>
  <c r="X123" i="10" s="1"/>
  <c r="R163" i="5"/>
  <c r="X163" i="6" s="1"/>
  <c r="Z163" i="6"/>
  <c r="R164" i="5"/>
  <c r="X164" i="6" s="1"/>
  <c r="S164" i="5"/>
  <c r="Z164" i="6"/>
  <c r="W158" i="7"/>
  <c r="X158" i="7" s="1"/>
  <c r="M159" i="7"/>
  <c r="O159" i="7" s="1"/>
  <c r="L159" i="7"/>
  <c r="N168" i="1"/>
  <c r="I169" i="1" s="1"/>
  <c r="O168" i="1"/>
  <c r="Q168" i="1" s="1"/>
  <c r="T168" i="1" s="1"/>
  <c r="R124" i="11"/>
  <c r="X124" i="11" s="1"/>
  <c r="Z123" i="11"/>
  <c r="S124" i="11"/>
  <c r="Q123" i="12"/>
  <c r="P172" i="6"/>
  <c r="Q172" i="6" s="1"/>
  <c r="R165" i="5" l="1"/>
  <c r="X165" i="6" s="1"/>
  <c r="Z165" i="6"/>
  <c r="R172" i="6"/>
  <c r="V162" i="5"/>
  <c r="W162" i="6"/>
  <c r="P166" i="5"/>
  <c r="Q166" i="5" s="1"/>
  <c r="J166" i="2"/>
  <c r="R171" i="6"/>
  <c r="S171" i="6"/>
  <c r="S123" i="10"/>
  <c r="V123" i="12"/>
  <c r="W123" i="12"/>
  <c r="P124" i="12"/>
  <c r="L125" i="12" s="1"/>
  <c r="N166" i="2"/>
  <c r="I167" i="2" s="1"/>
  <c r="V170" i="6"/>
  <c r="M174" i="6"/>
  <c r="O174" i="6" s="1"/>
  <c r="P124" i="11"/>
  <c r="L125" i="11" s="1"/>
  <c r="J169" i="1"/>
  <c r="V164" i="5"/>
  <c r="W164" i="6"/>
  <c r="O165" i="2"/>
  <c r="Q165" i="2" s="1"/>
  <c r="T165" i="2" s="1"/>
  <c r="K166" i="5"/>
  <c r="M160" i="7"/>
  <c r="O160" i="7" s="1"/>
  <c r="L160" i="7"/>
  <c r="W159" i="7"/>
  <c r="X159" i="7" s="1"/>
  <c r="S163" i="5"/>
  <c r="Y124" i="10"/>
  <c r="M124" i="10"/>
  <c r="O124" i="10" s="1"/>
  <c r="P159" i="7"/>
  <c r="K160" i="7" s="1"/>
  <c r="Q123" i="10"/>
  <c r="N169" i="1"/>
  <c r="O169" i="1" s="1"/>
  <c r="Q169" i="1" s="1"/>
  <c r="T169" i="1" s="1"/>
  <c r="S158" i="7"/>
  <c r="W124" i="11"/>
  <c r="V124" i="11"/>
  <c r="L166" i="5"/>
  <c r="Z123" i="12"/>
  <c r="R124" i="12"/>
  <c r="X124" i="12" s="1"/>
  <c r="P173" i="6"/>
  <c r="Q173" i="6" s="1"/>
  <c r="R173" i="6" l="1"/>
  <c r="R166" i="5"/>
  <c r="X166" i="6" s="1"/>
  <c r="Z166" i="6"/>
  <c r="Z123" i="10"/>
  <c r="R124" i="10"/>
  <c r="X124" i="10" s="1"/>
  <c r="V163" i="5"/>
  <c r="W163" i="6"/>
  <c r="M125" i="11"/>
  <c r="O125" i="11" s="1"/>
  <c r="Y125" i="11"/>
  <c r="M125" i="12"/>
  <c r="O125" i="12" s="1"/>
  <c r="Y125" i="12"/>
  <c r="L167" i="5"/>
  <c r="M167" i="5"/>
  <c r="O167" i="5" s="1"/>
  <c r="Y166" i="6"/>
  <c r="O166" i="2"/>
  <c r="Q166" i="2" s="1"/>
  <c r="T166" i="2" s="1"/>
  <c r="S172" i="6"/>
  <c r="Q124" i="11"/>
  <c r="K161" i="7"/>
  <c r="Q124" i="12"/>
  <c r="Q159" i="7"/>
  <c r="K167" i="5"/>
  <c r="L174" i="6"/>
  <c r="S165" i="5"/>
  <c r="J170" i="1"/>
  <c r="K170" i="1"/>
  <c r="M170" i="1" s="1"/>
  <c r="W160" i="7"/>
  <c r="X160" i="7" s="1"/>
  <c r="L161" i="7"/>
  <c r="M161" i="7"/>
  <c r="O161" i="7" s="1"/>
  <c r="P124" i="10"/>
  <c r="L125" i="10" s="1"/>
  <c r="Q174" i="6"/>
  <c r="P174" i="6"/>
  <c r="I170" i="1"/>
  <c r="V171" i="6"/>
  <c r="S124" i="12"/>
  <c r="K167" i="2"/>
  <c r="M167" i="2" s="1"/>
  <c r="J167" i="2"/>
  <c r="Q160" i="7"/>
  <c r="P160" i="7"/>
  <c r="AA158" i="7"/>
  <c r="V158" i="7"/>
  <c r="W123" i="10"/>
  <c r="V123" i="10"/>
  <c r="R160" i="7" l="1"/>
  <c r="Y160" i="7" s="1"/>
  <c r="Z160" i="7" s="1"/>
  <c r="AB160" i="7"/>
  <c r="S160" i="7"/>
  <c r="N167" i="2"/>
  <c r="I168" i="2" s="1"/>
  <c r="R174" i="6"/>
  <c r="K168" i="2"/>
  <c r="M168" i="2" s="1"/>
  <c r="P125" i="11"/>
  <c r="L126" i="11" s="1"/>
  <c r="Q125" i="11"/>
  <c r="V124" i="12"/>
  <c r="W124" i="12"/>
  <c r="P167" i="5"/>
  <c r="L168" i="5" s="1"/>
  <c r="W161" i="7"/>
  <c r="X161" i="7" s="1"/>
  <c r="M162" i="7"/>
  <c r="O162" i="7" s="1"/>
  <c r="M125" i="10"/>
  <c r="O125" i="10" s="1"/>
  <c r="Y125" i="10"/>
  <c r="Q124" i="10"/>
  <c r="S159" i="7"/>
  <c r="R159" i="7"/>
  <c r="Y159" i="7" s="1"/>
  <c r="Z159" i="7" s="1"/>
  <c r="AB159" i="7"/>
  <c r="M168" i="5"/>
  <c r="O168" i="5" s="1"/>
  <c r="Y167" i="6"/>
  <c r="V165" i="5"/>
  <c r="W165" i="6"/>
  <c r="M175" i="6"/>
  <c r="O175" i="6" s="1"/>
  <c r="L175" i="6"/>
  <c r="P161" i="7"/>
  <c r="K162" i="7" s="1"/>
  <c r="S166" i="5"/>
  <c r="I171" i="1"/>
  <c r="N170" i="1"/>
  <c r="O170" i="1" s="1"/>
  <c r="Q170" i="1" s="1"/>
  <c r="T170" i="1" s="1"/>
  <c r="S173" i="6"/>
  <c r="R125" i="12"/>
  <c r="X125" i="12" s="1"/>
  <c r="Z124" i="12"/>
  <c r="S125" i="12"/>
  <c r="S125" i="11"/>
  <c r="Z124" i="11"/>
  <c r="R125" i="11"/>
  <c r="X125" i="11" s="1"/>
  <c r="K171" i="1"/>
  <c r="M171" i="1" s="1"/>
  <c r="J171" i="1"/>
  <c r="V172" i="6"/>
  <c r="P125" i="12"/>
  <c r="L126" i="12" s="1"/>
  <c r="Q125" i="12"/>
  <c r="S124" i="10"/>
  <c r="M169" i="5" l="1"/>
  <c r="O169" i="5" s="1"/>
  <c r="Y168" i="6"/>
  <c r="M126" i="12"/>
  <c r="O126" i="12" s="1"/>
  <c r="Y126" i="12"/>
  <c r="Z124" i="10"/>
  <c r="R125" i="10"/>
  <c r="X125" i="10" s="1"/>
  <c r="Q167" i="5"/>
  <c r="K168" i="5"/>
  <c r="K169" i="5" s="1"/>
  <c r="O167" i="2"/>
  <c r="Q167" i="2" s="1"/>
  <c r="T167" i="2" s="1"/>
  <c r="S126" i="12"/>
  <c r="Z125" i="12"/>
  <c r="R126" i="12"/>
  <c r="X126" i="12" s="1"/>
  <c r="AA159" i="7"/>
  <c r="V159" i="7"/>
  <c r="W125" i="12"/>
  <c r="V125" i="12"/>
  <c r="S174" i="6"/>
  <c r="Q161" i="7"/>
  <c r="K172" i="1"/>
  <c r="M172" i="1" s="1"/>
  <c r="P125" i="10"/>
  <c r="L126" i="10" s="1"/>
  <c r="N171" i="1"/>
  <c r="J172" i="1" s="1"/>
  <c r="O171" i="1"/>
  <c r="Q171" i="1" s="1"/>
  <c r="T171" i="1" s="1"/>
  <c r="V173" i="6"/>
  <c r="P175" i="6"/>
  <c r="Q175" i="6" s="1"/>
  <c r="P168" i="5"/>
  <c r="L169" i="5" s="1"/>
  <c r="L162" i="7"/>
  <c r="Y126" i="11"/>
  <c r="M126" i="11"/>
  <c r="O126" i="11" s="1"/>
  <c r="AA160" i="7"/>
  <c r="V160" i="7"/>
  <c r="V166" i="5"/>
  <c r="W166" i="6"/>
  <c r="I169" i="2"/>
  <c r="P162" i="7"/>
  <c r="K163" i="7" s="1"/>
  <c r="Q162" i="7"/>
  <c r="J168" i="2"/>
  <c r="W125" i="11"/>
  <c r="V125" i="11"/>
  <c r="M176" i="6"/>
  <c r="O176" i="6" s="1"/>
  <c r="L176" i="6"/>
  <c r="Z125" i="11"/>
  <c r="R126" i="11"/>
  <c r="X126" i="11" s="1"/>
  <c r="W124" i="10"/>
  <c r="V124" i="10"/>
  <c r="N168" i="2"/>
  <c r="O168" i="2" s="1"/>
  <c r="Q168" i="2" s="1"/>
  <c r="T168" i="2" s="1"/>
  <c r="R175" i="6" l="1"/>
  <c r="S175" i="6"/>
  <c r="K173" i="1"/>
  <c r="M173" i="1" s="1"/>
  <c r="M170" i="5"/>
  <c r="O170" i="5" s="1"/>
  <c r="L170" i="5"/>
  <c r="Y169" i="6"/>
  <c r="P126" i="11"/>
  <c r="L127" i="11" s="1"/>
  <c r="W126" i="12"/>
  <c r="V126" i="12"/>
  <c r="K169" i="2"/>
  <c r="M169" i="2" s="1"/>
  <c r="J169" i="2"/>
  <c r="S126" i="11"/>
  <c r="AB161" i="7"/>
  <c r="R161" i="7"/>
  <c r="Y161" i="7" s="1"/>
  <c r="Z161" i="7" s="1"/>
  <c r="M177" i="6"/>
  <c r="O177" i="6" s="1"/>
  <c r="M126" i="10"/>
  <c r="O126" i="10" s="1"/>
  <c r="Y126" i="10"/>
  <c r="P126" i="12"/>
  <c r="L127" i="12" s="1"/>
  <c r="Q126" i="12"/>
  <c r="R167" i="5"/>
  <c r="X167" i="6" s="1"/>
  <c r="Z167" i="6"/>
  <c r="P176" i="6"/>
  <c r="Q176" i="6" s="1"/>
  <c r="Q168" i="5"/>
  <c r="Q125" i="10"/>
  <c r="N172" i="1"/>
  <c r="O172" i="1" s="1"/>
  <c r="Q172" i="1" s="1"/>
  <c r="T172" i="1" s="1"/>
  <c r="S125" i="10"/>
  <c r="R162" i="7"/>
  <c r="Y162" i="7" s="1"/>
  <c r="Z162" i="7" s="1"/>
  <c r="AB162" i="7"/>
  <c r="V174" i="6"/>
  <c r="K170" i="5"/>
  <c r="W162" i="7"/>
  <c r="X162" i="7" s="1"/>
  <c r="M163" i="7"/>
  <c r="O163" i="7" s="1"/>
  <c r="L163" i="7"/>
  <c r="I172" i="1"/>
  <c r="I173" i="1" s="1"/>
  <c r="P169" i="5"/>
  <c r="Q169" i="5"/>
  <c r="R176" i="6" l="1"/>
  <c r="P126" i="10"/>
  <c r="L127" i="10" s="1"/>
  <c r="W163" i="7"/>
  <c r="X163" i="7" s="1"/>
  <c r="M164" i="7"/>
  <c r="O164" i="7" s="1"/>
  <c r="P170" i="5"/>
  <c r="L171" i="5" s="1"/>
  <c r="P177" i="6"/>
  <c r="Q177" i="6"/>
  <c r="S167" i="5"/>
  <c r="N173" i="1"/>
  <c r="O173" i="1" s="1"/>
  <c r="Q173" i="1" s="1"/>
  <c r="T173" i="1" s="1"/>
  <c r="M171" i="5"/>
  <c r="O171" i="5" s="1"/>
  <c r="Y170" i="6"/>
  <c r="S162" i="7"/>
  <c r="P163" i="7"/>
  <c r="K164" i="7" s="1"/>
  <c r="N169" i="2"/>
  <c r="I170" i="2" s="1"/>
  <c r="J173" i="1"/>
  <c r="Z126" i="12"/>
  <c r="R127" i="12"/>
  <c r="X127" i="12" s="1"/>
  <c r="Z125" i="10"/>
  <c r="R126" i="10"/>
  <c r="X126" i="10" s="1"/>
  <c r="Y127" i="12"/>
  <c r="M127" i="12"/>
  <c r="O127" i="12" s="1"/>
  <c r="S161" i="7"/>
  <c r="Y127" i="11"/>
  <c r="M127" i="11"/>
  <c r="O127" i="11" s="1"/>
  <c r="V175" i="6"/>
  <c r="R168" i="5"/>
  <c r="X168" i="6" s="1"/>
  <c r="S168" i="5"/>
  <c r="Z168" i="6"/>
  <c r="Q126" i="11"/>
  <c r="W126" i="11"/>
  <c r="V126" i="11"/>
  <c r="K170" i="2"/>
  <c r="M170" i="2" s="1"/>
  <c r="W125" i="10"/>
  <c r="V125" i="10"/>
  <c r="L177" i="6"/>
  <c r="R169" i="5"/>
  <c r="X169" i="6" s="1"/>
  <c r="Z169" i="6"/>
  <c r="M172" i="5" l="1"/>
  <c r="O172" i="5" s="1"/>
  <c r="Y171" i="6"/>
  <c r="P164" i="7"/>
  <c r="K165" i="7" s="1"/>
  <c r="P127" i="11"/>
  <c r="L128" i="11" s="1"/>
  <c r="O169" i="2"/>
  <c r="Q169" i="2" s="1"/>
  <c r="T169" i="2" s="1"/>
  <c r="M178" i="6"/>
  <c r="O178" i="6" s="1"/>
  <c r="L178" i="6"/>
  <c r="R177" i="6"/>
  <c r="S177" i="6"/>
  <c r="Q126" i="10"/>
  <c r="V162" i="7"/>
  <c r="AA162" i="7"/>
  <c r="V161" i="7"/>
  <c r="AA161" i="7"/>
  <c r="I171" i="2"/>
  <c r="M127" i="10"/>
  <c r="O127" i="10" s="1"/>
  <c r="Y127" i="10"/>
  <c r="S126" i="10"/>
  <c r="I174" i="1"/>
  <c r="V168" i="5"/>
  <c r="W168" i="6"/>
  <c r="J170" i="2"/>
  <c r="Q170" i="5"/>
  <c r="S169" i="5"/>
  <c r="V167" i="5"/>
  <c r="W167" i="6"/>
  <c r="R127" i="11"/>
  <c r="X127" i="11" s="1"/>
  <c r="Z126" i="11"/>
  <c r="S127" i="11"/>
  <c r="Q163" i="7"/>
  <c r="S127" i="12"/>
  <c r="Q127" i="12"/>
  <c r="P127" i="12"/>
  <c r="L128" i="12" s="1"/>
  <c r="P171" i="5"/>
  <c r="Q171" i="5" s="1"/>
  <c r="N170" i="2"/>
  <c r="O170" i="2" s="1"/>
  <c r="Q170" i="2" s="1"/>
  <c r="T170" i="2" s="1"/>
  <c r="K171" i="5"/>
  <c r="K172" i="5" s="1"/>
  <c r="K174" i="1"/>
  <c r="M174" i="1" s="1"/>
  <c r="J174" i="1"/>
  <c r="L164" i="7"/>
  <c r="S176" i="6"/>
  <c r="R171" i="5" l="1"/>
  <c r="X171" i="6" s="1"/>
  <c r="Z171" i="6"/>
  <c r="Z126" i="10"/>
  <c r="R127" i="10"/>
  <c r="X127" i="10" s="1"/>
  <c r="V169" i="5"/>
  <c r="W169" i="6"/>
  <c r="K175" i="1"/>
  <c r="M175" i="1" s="1"/>
  <c r="Y128" i="11"/>
  <c r="M128" i="11"/>
  <c r="O128" i="11" s="1"/>
  <c r="N174" i="1"/>
  <c r="O174" i="1" s="1"/>
  <c r="Q174" i="1" s="1"/>
  <c r="T174" i="1" s="1"/>
  <c r="P127" i="10"/>
  <c r="L128" i="10" s="1"/>
  <c r="Q127" i="10"/>
  <c r="V177" i="6"/>
  <c r="K171" i="2"/>
  <c r="M171" i="2" s="1"/>
  <c r="J171" i="2"/>
  <c r="M179" i="6"/>
  <c r="O179" i="6" s="1"/>
  <c r="L179" i="6"/>
  <c r="R128" i="12"/>
  <c r="X128" i="12" s="1"/>
  <c r="S128" i="12"/>
  <c r="Z127" i="12"/>
  <c r="R170" i="5"/>
  <c r="X170" i="6" s="1"/>
  <c r="Z170" i="6"/>
  <c r="AB163" i="7"/>
  <c r="R163" i="7"/>
  <c r="Y163" i="7" s="1"/>
  <c r="Z163" i="7" s="1"/>
  <c r="S163" i="7"/>
  <c r="Q127" i="11"/>
  <c r="Q164" i="7"/>
  <c r="V176" i="6"/>
  <c r="Q178" i="6"/>
  <c r="P178" i="6"/>
  <c r="L172" i="5"/>
  <c r="W127" i="12"/>
  <c r="V127" i="12"/>
  <c r="K173" i="5"/>
  <c r="W127" i="11"/>
  <c r="V127" i="11"/>
  <c r="V126" i="10"/>
  <c r="W126" i="10"/>
  <c r="M165" i="7"/>
  <c r="O165" i="7" s="1"/>
  <c r="L165" i="7"/>
  <c r="W164" i="7"/>
  <c r="X164" i="7" s="1"/>
  <c r="Y128" i="12"/>
  <c r="M128" i="12"/>
  <c r="O128" i="12" s="1"/>
  <c r="P172" i="5"/>
  <c r="Q172" i="5" s="1"/>
  <c r="R172" i="5" l="1"/>
  <c r="X172" i="6" s="1"/>
  <c r="S172" i="5"/>
  <c r="Z172" i="6"/>
  <c r="R178" i="6"/>
  <c r="S128" i="11"/>
  <c r="Z127" i="11"/>
  <c r="R128" i="11"/>
  <c r="X128" i="11" s="1"/>
  <c r="N171" i="2"/>
  <c r="I172" i="2" s="1"/>
  <c r="W165" i="7"/>
  <c r="X165" i="7" s="1"/>
  <c r="M166" i="7"/>
  <c r="O166" i="7" s="1"/>
  <c r="P165" i="7"/>
  <c r="K166" i="7" s="1"/>
  <c r="Q165" i="7"/>
  <c r="W128" i="12"/>
  <c r="V128" i="12"/>
  <c r="V163" i="7"/>
  <c r="AA163" i="7"/>
  <c r="Z127" i="10"/>
  <c r="R128" i="10"/>
  <c r="X128" i="10" s="1"/>
  <c r="S128" i="10"/>
  <c r="J175" i="1"/>
  <c r="K172" i="2"/>
  <c r="M172" i="2" s="1"/>
  <c r="J172" i="2"/>
  <c r="P128" i="11"/>
  <c r="L129" i="11" s="1"/>
  <c r="AB164" i="7"/>
  <c r="R164" i="7"/>
  <c r="Y164" i="7" s="1"/>
  <c r="Z164" i="7" s="1"/>
  <c r="M180" i="6"/>
  <c r="O180" i="6" s="1"/>
  <c r="N175" i="1"/>
  <c r="O175" i="1" s="1"/>
  <c r="Q175" i="1" s="1"/>
  <c r="T175" i="1" s="1"/>
  <c r="S171" i="5"/>
  <c r="P128" i="12"/>
  <c r="L129" i="12" s="1"/>
  <c r="S170" i="5"/>
  <c r="S127" i="10"/>
  <c r="L173" i="5"/>
  <c r="M173" i="5"/>
  <c r="O173" i="5" s="1"/>
  <c r="Y172" i="6"/>
  <c r="M128" i="10"/>
  <c r="O128" i="10" s="1"/>
  <c r="Y128" i="10"/>
  <c r="I175" i="1"/>
  <c r="P179" i="6"/>
  <c r="L180" i="6" s="1"/>
  <c r="M181" i="6" l="1"/>
  <c r="O181" i="6" s="1"/>
  <c r="K176" i="1"/>
  <c r="M176" i="1" s="1"/>
  <c r="J176" i="1"/>
  <c r="AB165" i="7"/>
  <c r="R165" i="7"/>
  <c r="Y165" i="7" s="1"/>
  <c r="Z165" i="7" s="1"/>
  <c r="P128" i="10"/>
  <c r="L129" i="10" s="1"/>
  <c r="Q128" i="10"/>
  <c r="P166" i="7"/>
  <c r="Q166" i="7" s="1"/>
  <c r="P173" i="5"/>
  <c r="K174" i="5" s="1"/>
  <c r="Q173" i="5"/>
  <c r="L166" i="7"/>
  <c r="V170" i="5"/>
  <c r="W170" i="6"/>
  <c r="W128" i="10"/>
  <c r="V128" i="10"/>
  <c r="V171" i="5"/>
  <c r="W171" i="6"/>
  <c r="M174" i="5"/>
  <c r="O174" i="5" s="1"/>
  <c r="L174" i="5"/>
  <c r="Y173" i="6"/>
  <c r="Q128" i="11"/>
  <c r="Q128" i="12"/>
  <c r="Y129" i="11"/>
  <c r="M129" i="11"/>
  <c r="O129" i="11" s="1"/>
  <c r="Q179" i="6"/>
  <c r="W127" i="10"/>
  <c r="V127" i="10"/>
  <c r="P180" i="6"/>
  <c r="L181" i="6" s="1"/>
  <c r="Q180" i="6"/>
  <c r="K173" i="2"/>
  <c r="M173" i="2" s="1"/>
  <c r="J173" i="2"/>
  <c r="O171" i="2"/>
  <c r="Q171" i="2" s="1"/>
  <c r="T171" i="2" s="1"/>
  <c r="V172" i="5"/>
  <c r="W172" i="6"/>
  <c r="Y129" i="12"/>
  <c r="M129" i="12"/>
  <c r="O129" i="12" s="1"/>
  <c r="V128" i="11"/>
  <c r="W128" i="11"/>
  <c r="S164" i="7"/>
  <c r="S178" i="6"/>
  <c r="I176" i="1"/>
  <c r="N172" i="2"/>
  <c r="I173" i="2" s="1"/>
  <c r="AB166" i="7" l="1"/>
  <c r="R166" i="7"/>
  <c r="Y166" i="7" s="1"/>
  <c r="Z166" i="7" s="1"/>
  <c r="M182" i="6"/>
  <c r="O182" i="6" s="1"/>
  <c r="L182" i="6"/>
  <c r="I174" i="2"/>
  <c r="V164" i="7"/>
  <c r="AA164" i="7"/>
  <c r="S165" i="7"/>
  <c r="R173" i="5"/>
  <c r="X173" i="6" s="1"/>
  <c r="Z173" i="6"/>
  <c r="K175" i="5"/>
  <c r="P129" i="11"/>
  <c r="L130" i="11" s="1"/>
  <c r="W166" i="7"/>
  <c r="X166" i="7" s="1"/>
  <c r="M167" i="7"/>
  <c r="O167" i="7" s="1"/>
  <c r="L167" i="7"/>
  <c r="N173" i="2"/>
  <c r="O173" i="2" s="1"/>
  <c r="Q173" i="2" s="1"/>
  <c r="T173" i="2" s="1"/>
  <c r="K177" i="1"/>
  <c r="M177" i="1" s="1"/>
  <c r="J177" i="1"/>
  <c r="Q129" i="12"/>
  <c r="P129" i="12"/>
  <c r="L130" i="12" s="1"/>
  <c r="N176" i="1"/>
  <c r="O176" i="1"/>
  <c r="Q176" i="1" s="1"/>
  <c r="T176" i="1" s="1"/>
  <c r="O172" i="2"/>
  <c r="Q172" i="2" s="1"/>
  <c r="T172" i="2" s="1"/>
  <c r="K167" i="7"/>
  <c r="R179" i="6"/>
  <c r="S179" i="6"/>
  <c r="M175" i="5"/>
  <c r="O175" i="5" s="1"/>
  <c r="Y174" i="6"/>
  <c r="P174" i="5"/>
  <c r="L175" i="5" s="1"/>
  <c r="Z128" i="12"/>
  <c r="R129" i="12"/>
  <c r="X129" i="12" s="1"/>
  <c r="Z128" i="10"/>
  <c r="R129" i="10"/>
  <c r="X129" i="10" s="1"/>
  <c r="P181" i="6"/>
  <c r="Q181" i="6" s="1"/>
  <c r="K174" i="2"/>
  <c r="M174" i="2" s="1"/>
  <c r="J174" i="2"/>
  <c r="S180" i="6"/>
  <c r="R180" i="6"/>
  <c r="I177" i="1"/>
  <c r="V178" i="6"/>
  <c r="Z128" i="11"/>
  <c r="R129" i="11"/>
  <c r="X129" i="11" s="1"/>
  <c r="Y129" i="10"/>
  <c r="M129" i="10"/>
  <c r="O129" i="10" s="1"/>
  <c r="M176" i="5" l="1"/>
  <c r="O176" i="5" s="1"/>
  <c r="Y175" i="6"/>
  <c r="R181" i="6"/>
  <c r="M130" i="11"/>
  <c r="O130" i="11" s="1"/>
  <c r="Y130" i="11"/>
  <c r="V180" i="6"/>
  <c r="V179" i="6"/>
  <c r="N174" i="2"/>
  <c r="I175" i="2" s="1"/>
  <c r="P182" i="6"/>
  <c r="Q182" i="6" s="1"/>
  <c r="K178" i="1"/>
  <c r="M178" i="1" s="1"/>
  <c r="S129" i="12"/>
  <c r="N177" i="1"/>
  <c r="I178" i="1" s="1"/>
  <c r="M168" i="7"/>
  <c r="O168" i="7" s="1"/>
  <c r="W167" i="7"/>
  <c r="X167" i="7" s="1"/>
  <c r="S173" i="5"/>
  <c r="K175" i="2"/>
  <c r="M175" i="2" s="1"/>
  <c r="Q129" i="11"/>
  <c r="S129" i="10"/>
  <c r="P175" i="5"/>
  <c r="K176" i="5" s="1"/>
  <c r="Q175" i="5"/>
  <c r="P167" i="7"/>
  <c r="K168" i="7" s="1"/>
  <c r="AA165" i="7"/>
  <c r="V165" i="7"/>
  <c r="S166" i="7"/>
  <c r="Z129" i="12"/>
  <c r="R130" i="12"/>
  <c r="X130" i="12" s="1"/>
  <c r="S129" i="11"/>
  <c r="L183" i="6"/>
  <c r="M183" i="6"/>
  <c r="O183" i="6" s="1"/>
  <c r="Q174" i="5"/>
  <c r="P129" i="10"/>
  <c r="L130" i="10" s="1"/>
  <c r="Y130" i="12"/>
  <c r="M130" i="12"/>
  <c r="O130" i="12" s="1"/>
  <c r="K177" i="5" l="1"/>
  <c r="R182" i="6"/>
  <c r="S182" i="6"/>
  <c r="M184" i="6"/>
  <c r="O184" i="6" s="1"/>
  <c r="P130" i="11"/>
  <c r="L131" i="11" s="1"/>
  <c r="Q130" i="11"/>
  <c r="P130" i="12"/>
  <c r="L131" i="12" s="1"/>
  <c r="O177" i="1"/>
  <c r="Q177" i="1" s="1"/>
  <c r="T177" i="1" s="1"/>
  <c r="O175" i="2"/>
  <c r="Q175" i="2" s="1"/>
  <c r="T175" i="2" s="1"/>
  <c r="N175" i="2"/>
  <c r="I176" i="2" s="1"/>
  <c r="Q167" i="7"/>
  <c r="J178" i="1"/>
  <c r="O174" i="2"/>
  <c r="Q174" i="2" s="1"/>
  <c r="T174" i="2" s="1"/>
  <c r="W129" i="11"/>
  <c r="V129" i="11"/>
  <c r="Y130" i="10"/>
  <c r="M130" i="10"/>
  <c r="O130" i="10" s="1"/>
  <c r="R175" i="5"/>
  <c r="X175" i="6" s="1"/>
  <c r="Z175" i="6"/>
  <c r="S181" i="6"/>
  <c r="Q129" i="10"/>
  <c r="L168" i="7"/>
  <c r="Z129" i="11"/>
  <c r="R130" i="11"/>
  <c r="X130" i="11" s="1"/>
  <c r="J175" i="2"/>
  <c r="N178" i="1"/>
  <c r="I179" i="1" s="1"/>
  <c r="R174" i="5"/>
  <c r="X174" i="6" s="1"/>
  <c r="S174" i="5"/>
  <c r="Z174" i="6"/>
  <c r="W129" i="10"/>
  <c r="V129" i="10"/>
  <c r="L176" i="5"/>
  <c r="V129" i="12"/>
  <c r="W129" i="12"/>
  <c r="V173" i="5"/>
  <c r="W173" i="6"/>
  <c r="S130" i="12"/>
  <c r="P168" i="7"/>
  <c r="Q168" i="7" s="1"/>
  <c r="P183" i="6"/>
  <c r="L184" i="6" s="1"/>
  <c r="Q183" i="6"/>
  <c r="AA166" i="7"/>
  <c r="V166" i="7"/>
  <c r="Q176" i="5"/>
  <c r="P176" i="5"/>
  <c r="R168" i="7" l="1"/>
  <c r="Y168" i="7" s="1"/>
  <c r="Z168" i="7" s="1"/>
  <c r="AB168" i="7"/>
  <c r="S168" i="7"/>
  <c r="P184" i="6"/>
  <c r="Q184" i="6" s="1"/>
  <c r="W168" i="7"/>
  <c r="X168" i="7" s="1"/>
  <c r="L169" i="7"/>
  <c r="M169" i="7"/>
  <c r="O169" i="7" s="1"/>
  <c r="V182" i="6"/>
  <c r="V174" i="5"/>
  <c r="W174" i="6"/>
  <c r="K176" i="2"/>
  <c r="M176" i="2" s="1"/>
  <c r="J176" i="2"/>
  <c r="R176" i="5"/>
  <c r="X176" i="6" s="1"/>
  <c r="S176" i="5"/>
  <c r="Z176" i="6"/>
  <c r="R183" i="6"/>
  <c r="K179" i="1"/>
  <c r="M179" i="1" s="1"/>
  <c r="J179" i="1"/>
  <c r="S175" i="5"/>
  <c r="M131" i="11"/>
  <c r="O131" i="11" s="1"/>
  <c r="Y131" i="11"/>
  <c r="K169" i="7"/>
  <c r="V181" i="6"/>
  <c r="O178" i="1"/>
  <c r="Q178" i="1" s="1"/>
  <c r="T178" i="1" s="1"/>
  <c r="R167" i="7"/>
  <c r="Y167" i="7" s="1"/>
  <c r="Z167" i="7" s="1"/>
  <c r="AB167" i="7"/>
  <c r="R130" i="10"/>
  <c r="X130" i="10" s="1"/>
  <c r="Z129" i="10"/>
  <c r="M131" i="12"/>
  <c r="O131" i="12" s="1"/>
  <c r="Y131" i="12"/>
  <c r="Q130" i="12"/>
  <c r="M177" i="5"/>
  <c r="O177" i="5" s="1"/>
  <c r="L177" i="5"/>
  <c r="Y176" i="6"/>
  <c r="R131" i="11"/>
  <c r="X131" i="11" s="1"/>
  <c r="Z130" i="11"/>
  <c r="S131" i="11"/>
  <c r="P130" i="10"/>
  <c r="L131" i="10" s="1"/>
  <c r="W130" i="12"/>
  <c r="V130" i="12"/>
  <c r="S130" i="11"/>
  <c r="R184" i="6" l="1"/>
  <c r="Q186" i="6"/>
  <c r="N176" i="2"/>
  <c r="I177" i="2" s="1"/>
  <c r="V176" i="5"/>
  <c r="W176" i="6"/>
  <c r="V130" i="11"/>
  <c r="W130" i="11"/>
  <c r="M178" i="5"/>
  <c r="O178" i="5" s="1"/>
  <c r="L178" i="5"/>
  <c r="Y177" i="6"/>
  <c r="Q130" i="10"/>
  <c r="S167" i="7"/>
  <c r="V131" i="11"/>
  <c r="W131" i="11"/>
  <c r="V175" i="5"/>
  <c r="W175" i="6"/>
  <c r="P169" i="7"/>
  <c r="L170" i="7" s="1"/>
  <c r="AA168" i="7"/>
  <c r="V168" i="7"/>
  <c r="Y131" i="10"/>
  <c r="M131" i="10"/>
  <c r="O131" i="10" s="1"/>
  <c r="P131" i="12"/>
  <c r="L132" i="12" s="1"/>
  <c r="Q131" i="12"/>
  <c r="J180" i="1"/>
  <c r="K180" i="1"/>
  <c r="M180" i="1" s="1"/>
  <c r="W169" i="7"/>
  <c r="X169" i="7" s="1"/>
  <c r="M170" i="7"/>
  <c r="O170" i="7" s="1"/>
  <c r="P177" i="5"/>
  <c r="K178" i="5" s="1"/>
  <c r="Q177" i="5"/>
  <c r="S183" i="6"/>
  <c r="S131" i="12"/>
  <c r="Z130" i="12"/>
  <c r="R131" i="12"/>
  <c r="X131" i="12" s="1"/>
  <c r="P131" i="11"/>
  <c r="L132" i="11" s="1"/>
  <c r="S130" i="10"/>
  <c r="N179" i="1"/>
  <c r="I180" i="1" s="1"/>
  <c r="K177" i="2"/>
  <c r="M177" i="2" s="1"/>
  <c r="J177" i="2"/>
  <c r="W170" i="7" l="1"/>
  <c r="X170" i="7" s="1"/>
  <c r="M171" i="7"/>
  <c r="O171" i="7" s="1"/>
  <c r="N180" i="1"/>
  <c r="J181" i="1" s="1"/>
  <c r="R131" i="10"/>
  <c r="X131" i="10" s="1"/>
  <c r="S131" i="10"/>
  <c r="Z130" i="10"/>
  <c r="K170" i="7"/>
  <c r="O177" i="2"/>
  <c r="Q177" i="2" s="1"/>
  <c r="T177" i="2" s="1"/>
  <c r="N177" i="2"/>
  <c r="V183" i="6"/>
  <c r="S132" i="12"/>
  <c r="Z131" i="12"/>
  <c r="R132" i="12"/>
  <c r="X132" i="12" s="1"/>
  <c r="Q169" i="7"/>
  <c r="O179" i="1"/>
  <c r="Q179" i="1" s="1"/>
  <c r="T179" i="1" s="1"/>
  <c r="R177" i="5"/>
  <c r="X177" i="6" s="1"/>
  <c r="Z177" i="6"/>
  <c r="P178" i="5"/>
  <c r="K179" i="5" s="1"/>
  <c r="M132" i="11"/>
  <c r="O132" i="11" s="1"/>
  <c r="Y132" i="11"/>
  <c r="P131" i="10"/>
  <c r="L132" i="10" s="1"/>
  <c r="W131" i="12"/>
  <c r="V131" i="12"/>
  <c r="M179" i="5"/>
  <c r="O179" i="5" s="1"/>
  <c r="Y178" i="6"/>
  <c r="P170" i="7"/>
  <c r="L171" i="7" s="1"/>
  <c r="Q170" i="7"/>
  <c r="K178" i="2"/>
  <c r="M178" i="2" s="1"/>
  <c r="J178" i="2"/>
  <c r="K181" i="1"/>
  <c r="M181" i="1" s="1"/>
  <c r="I178" i="2"/>
  <c r="M132" i="12"/>
  <c r="O132" i="12" s="1"/>
  <c r="Y132" i="12"/>
  <c r="O176" i="2"/>
  <c r="Q176" i="2" s="1"/>
  <c r="T176" i="2" s="1"/>
  <c r="V130" i="10"/>
  <c r="W130" i="10"/>
  <c r="Q131" i="11"/>
  <c r="AA167" i="7"/>
  <c r="V167" i="7"/>
  <c r="S184" i="6"/>
  <c r="K182" i="1" l="1"/>
  <c r="M182" i="1" s="1"/>
  <c r="W171" i="7"/>
  <c r="X171" i="7" s="1"/>
  <c r="M172" i="7"/>
  <c r="O172" i="7" s="1"/>
  <c r="K179" i="2"/>
  <c r="M179" i="2" s="1"/>
  <c r="J179" i="2"/>
  <c r="N178" i="2"/>
  <c r="O178" i="2" s="1"/>
  <c r="Q178" i="2" s="1"/>
  <c r="T178" i="2" s="1"/>
  <c r="Q178" i="5"/>
  <c r="P132" i="12"/>
  <c r="L133" i="12" s="1"/>
  <c r="S177" i="5"/>
  <c r="I181" i="1"/>
  <c r="I182" i="1" s="1"/>
  <c r="O180" i="1"/>
  <c r="Q180" i="1" s="1"/>
  <c r="T180" i="1" s="1"/>
  <c r="W131" i="10"/>
  <c r="V131" i="10"/>
  <c r="Y132" i="10"/>
  <c r="M132" i="10"/>
  <c r="O132" i="10" s="1"/>
  <c r="I179" i="2"/>
  <c r="P179" i="5"/>
  <c r="Q179" i="5" s="1"/>
  <c r="P132" i="11"/>
  <c r="L133" i="11" s="1"/>
  <c r="Q132" i="11"/>
  <c r="AB169" i="7"/>
  <c r="R169" i="7"/>
  <c r="Y169" i="7" s="1"/>
  <c r="Z169" i="7" s="1"/>
  <c r="P171" i="7"/>
  <c r="L172" i="7" s="1"/>
  <c r="V132" i="12"/>
  <c r="W132" i="12"/>
  <c r="R170" i="7"/>
  <c r="Y170" i="7" s="1"/>
  <c r="Z170" i="7" s="1"/>
  <c r="AB170" i="7"/>
  <c r="V184" i="6"/>
  <c r="Q131" i="10"/>
  <c r="S132" i="11"/>
  <c r="R132" i="11"/>
  <c r="X132" i="11" s="1"/>
  <c r="Z131" i="11"/>
  <c r="L179" i="5"/>
  <c r="N181" i="1"/>
  <c r="O181" i="1" s="1"/>
  <c r="Q181" i="1" s="1"/>
  <c r="T181" i="1" s="1"/>
  <c r="K171" i="7"/>
  <c r="M173" i="7" l="1"/>
  <c r="O173" i="7" s="1"/>
  <c r="W172" i="7"/>
  <c r="X172" i="7" s="1"/>
  <c r="R179" i="5"/>
  <c r="X179" i="6" s="1"/>
  <c r="Z179" i="6"/>
  <c r="N179" i="2"/>
  <c r="O179" i="2" s="1"/>
  <c r="Q179" i="2" s="1"/>
  <c r="T179" i="2" s="1"/>
  <c r="Q171" i="7"/>
  <c r="K180" i="5"/>
  <c r="S169" i="7"/>
  <c r="Z131" i="10"/>
  <c r="R132" i="10"/>
  <c r="X132" i="10" s="1"/>
  <c r="K172" i="7"/>
  <c r="K173" i="7" s="1"/>
  <c r="V177" i="5"/>
  <c r="W177" i="6"/>
  <c r="P132" i="10"/>
  <c r="L133" i="10" s="1"/>
  <c r="P172" i="7"/>
  <c r="L173" i="7" s="1"/>
  <c r="R178" i="5"/>
  <c r="X178" i="6" s="1"/>
  <c r="Z178" i="6"/>
  <c r="K180" i="2"/>
  <c r="M180" i="2" s="1"/>
  <c r="M180" i="5"/>
  <c r="O180" i="5" s="1"/>
  <c r="L180" i="5"/>
  <c r="Y179" i="6"/>
  <c r="S170" i="7"/>
  <c r="J182" i="1"/>
  <c r="W132" i="11"/>
  <c r="V132" i="11"/>
  <c r="M133" i="12"/>
  <c r="O133" i="12" s="1"/>
  <c r="Y133" i="12"/>
  <c r="Q132" i="12"/>
  <c r="Z132" i="11"/>
  <c r="R133" i="11"/>
  <c r="X133" i="11" s="1"/>
  <c r="Y133" i="11"/>
  <c r="M133" i="11"/>
  <c r="O133" i="11" s="1"/>
  <c r="N182" i="1"/>
  <c r="I183" i="1" s="1"/>
  <c r="O182" i="1"/>
  <c r="Q182" i="1" s="1"/>
  <c r="T182" i="1" s="1"/>
  <c r="W173" i="7" l="1"/>
  <c r="X173" i="7" s="1"/>
  <c r="M174" i="7"/>
  <c r="O174" i="7" s="1"/>
  <c r="P133" i="11"/>
  <c r="L134" i="11" s="1"/>
  <c r="Q172" i="7"/>
  <c r="S179" i="5"/>
  <c r="K183" i="1"/>
  <c r="M183" i="1" s="1"/>
  <c r="J183" i="1"/>
  <c r="K174" i="7"/>
  <c r="P180" i="5"/>
  <c r="K181" i="5" s="1"/>
  <c r="I180" i="2"/>
  <c r="I181" i="2" s="1"/>
  <c r="Y133" i="10"/>
  <c r="M133" i="10"/>
  <c r="O133" i="10" s="1"/>
  <c r="V169" i="7"/>
  <c r="AA169" i="7"/>
  <c r="R133" i="12"/>
  <c r="X133" i="12" s="1"/>
  <c r="S133" i="12"/>
  <c r="Z132" i="12"/>
  <c r="S178" i="5"/>
  <c r="J180" i="2"/>
  <c r="Q132" i="10"/>
  <c r="V170" i="7"/>
  <c r="AA170" i="7"/>
  <c r="M181" i="5"/>
  <c r="O181" i="5" s="1"/>
  <c r="L181" i="5"/>
  <c r="Y180" i="6"/>
  <c r="Q133" i="12"/>
  <c r="P133" i="12"/>
  <c r="L134" i="12" s="1"/>
  <c r="S132" i="10"/>
  <c r="S133" i="11"/>
  <c r="N180" i="2"/>
  <c r="O180" i="2" s="1"/>
  <c r="Q180" i="2" s="1"/>
  <c r="T180" i="2" s="1"/>
  <c r="AB171" i="7"/>
  <c r="R171" i="7"/>
  <c r="Y171" i="7" s="1"/>
  <c r="Z171" i="7" s="1"/>
  <c r="S171" i="7"/>
  <c r="P173" i="7"/>
  <c r="L174" i="7" s="1"/>
  <c r="Q173" i="7"/>
  <c r="W174" i="7" l="1"/>
  <c r="X174" i="7" s="1"/>
  <c r="M175" i="7"/>
  <c r="O175" i="7" s="1"/>
  <c r="M182" i="5"/>
  <c r="O182" i="5" s="1"/>
  <c r="Y181" i="6"/>
  <c r="W133" i="12"/>
  <c r="V133" i="12"/>
  <c r="V171" i="7"/>
  <c r="AA171" i="7"/>
  <c r="AB172" i="7"/>
  <c r="R172" i="7"/>
  <c r="Y172" i="7" s="1"/>
  <c r="Z172" i="7" s="1"/>
  <c r="P181" i="5"/>
  <c r="L182" i="5" s="1"/>
  <c r="Q181" i="5"/>
  <c r="Q180" i="5"/>
  <c r="W133" i="11"/>
  <c r="V133" i="11"/>
  <c r="P174" i="7"/>
  <c r="K175" i="7" s="1"/>
  <c r="K181" i="2"/>
  <c r="M181" i="2" s="1"/>
  <c r="J181" i="2"/>
  <c r="Y134" i="11"/>
  <c r="M134" i="11"/>
  <c r="O134" i="11" s="1"/>
  <c r="Q133" i="11"/>
  <c r="K184" i="1"/>
  <c r="M184" i="1" s="1"/>
  <c r="J184" i="1"/>
  <c r="S134" i="12"/>
  <c r="Z133" i="12"/>
  <c r="R134" i="12"/>
  <c r="X134" i="12" s="1"/>
  <c r="V179" i="5"/>
  <c r="W179" i="6"/>
  <c r="V178" i="5"/>
  <c r="W178" i="6"/>
  <c r="AB173" i="7"/>
  <c r="S173" i="7"/>
  <c r="R173" i="7"/>
  <c r="Y173" i="7" s="1"/>
  <c r="Z173" i="7" s="1"/>
  <c r="W132" i="10"/>
  <c r="V132" i="10"/>
  <c r="M134" i="12"/>
  <c r="O134" i="12" s="1"/>
  <c r="Y134" i="12"/>
  <c r="S133" i="10"/>
  <c r="Z132" i="10"/>
  <c r="R133" i="10"/>
  <c r="X133" i="10" s="1"/>
  <c r="P133" i="10"/>
  <c r="L134" i="10" s="1"/>
  <c r="N183" i="1"/>
  <c r="I184" i="1" s="1"/>
  <c r="M183" i="5" l="1"/>
  <c r="O183" i="5" s="1"/>
  <c r="Y182" i="6"/>
  <c r="W134" i="12"/>
  <c r="V134" i="12"/>
  <c r="AA173" i="7"/>
  <c r="V173" i="7"/>
  <c r="N181" i="2"/>
  <c r="I182" i="2" s="1"/>
  <c r="P182" i="5"/>
  <c r="L183" i="5" s="1"/>
  <c r="R134" i="11"/>
  <c r="X134" i="11" s="1"/>
  <c r="S134" i="11"/>
  <c r="Z133" i="11"/>
  <c r="K182" i="5"/>
  <c r="K183" i="5" s="1"/>
  <c r="Q174" i="7"/>
  <c r="O183" i="1"/>
  <c r="Q183" i="1" s="1"/>
  <c r="T183" i="1" s="1"/>
  <c r="M134" i="10"/>
  <c r="O134" i="10" s="1"/>
  <c r="Y134" i="10"/>
  <c r="P134" i="11"/>
  <c r="L135" i="11" s="1"/>
  <c r="L175" i="7"/>
  <c r="K182" i="2"/>
  <c r="M182" i="2" s="1"/>
  <c r="J182" i="2"/>
  <c r="W133" i="10"/>
  <c r="V133" i="10"/>
  <c r="S172" i="7"/>
  <c r="Q133" i="10"/>
  <c r="P175" i="7"/>
  <c r="K176" i="7" s="1"/>
  <c r="R181" i="5"/>
  <c r="X181" i="6" s="1"/>
  <c r="Z181" i="6"/>
  <c r="N184" i="1"/>
  <c r="O184" i="1"/>
  <c r="P134" i="12"/>
  <c r="L135" i="12" s="1"/>
  <c r="Q134" i="12"/>
  <c r="R180" i="5"/>
  <c r="X180" i="6" s="1"/>
  <c r="Z180" i="6"/>
  <c r="M184" i="5" l="1"/>
  <c r="O184" i="5" s="1"/>
  <c r="Y183" i="6"/>
  <c r="R135" i="12"/>
  <c r="X135" i="12" s="1"/>
  <c r="S135" i="12"/>
  <c r="Z134" i="12"/>
  <c r="Q184" i="1"/>
  <c r="T184" i="1" s="1"/>
  <c r="O186" i="1"/>
  <c r="M176" i="7"/>
  <c r="O176" i="7" s="1"/>
  <c r="L176" i="7"/>
  <c r="W175" i="7"/>
  <c r="X175" i="7" s="1"/>
  <c r="Y135" i="11"/>
  <c r="M135" i="11"/>
  <c r="O135" i="11" s="1"/>
  <c r="S134" i="10"/>
  <c r="Z133" i="10"/>
  <c r="R134" i="10"/>
  <c r="X134" i="10" s="1"/>
  <c r="P134" i="10"/>
  <c r="L135" i="10" s="1"/>
  <c r="Q182" i="5"/>
  <c r="P183" i="5"/>
  <c r="L184" i="5" s="1"/>
  <c r="Y184" i="6" s="1"/>
  <c r="W134" i="11"/>
  <c r="V134" i="11"/>
  <c r="V172" i="7"/>
  <c r="AA172" i="7"/>
  <c r="K183" i="2"/>
  <c r="M183" i="2" s="1"/>
  <c r="Q175" i="7"/>
  <c r="Y135" i="12"/>
  <c r="M135" i="12"/>
  <c r="O135" i="12" s="1"/>
  <c r="Q134" i="11"/>
  <c r="S180" i="5"/>
  <c r="S181" i="5"/>
  <c r="N182" i="2"/>
  <c r="I183" i="2" s="1"/>
  <c r="AB174" i="7"/>
  <c r="R174" i="7"/>
  <c r="Y174" i="7" s="1"/>
  <c r="Z174" i="7" s="1"/>
  <c r="O181" i="2"/>
  <c r="Q181" i="2" s="1"/>
  <c r="T181" i="2" s="1"/>
  <c r="R175" i="7" l="1"/>
  <c r="Y175" i="7" s="1"/>
  <c r="Z175" i="7" s="1"/>
  <c r="AB175" i="7"/>
  <c r="O182" i="2"/>
  <c r="Q182" i="2" s="1"/>
  <c r="T182" i="2" s="1"/>
  <c r="J183" i="2"/>
  <c r="V180" i="5"/>
  <c r="W180" i="6"/>
  <c r="P135" i="11"/>
  <c r="L136" i="11" s="1"/>
  <c r="V181" i="5"/>
  <c r="W181" i="6"/>
  <c r="Q183" i="5"/>
  <c r="R182" i="5"/>
  <c r="X182" i="6" s="1"/>
  <c r="Z182" i="6"/>
  <c r="Z134" i="11"/>
  <c r="R135" i="11"/>
  <c r="X135" i="11" s="1"/>
  <c r="M135" i="10"/>
  <c r="O135" i="10" s="1"/>
  <c r="Y135" i="10"/>
  <c r="P135" i="12"/>
  <c r="L136" i="12" s="1"/>
  <c r="Q134" i="10"/>
  <c r="W176" i="7"/>
  <c r="X176" i="7" s="1"/>
  <c r="M177" i="7"/>
  <c r="O177" i="7" s="1"/>
  <c r="W134" i="10"/>
  <c r="V134" i="10"/>
  <c r="K184" i="5"/>
  <c r="W135" i="12"/>
  <c r="V135" i="12"/>
  <c r="N183" i="2"/>
  <c r="I184" i="2" s="1"/>
  <c r="S174" i="7"/>
  <c r="P176" i="7"/>
  <c r="K177" i="7" s="1"/>
  <c r="P184" i="5"/>
  <c r="Q184" i="5" s="1"/>
  <c r="R184" i="5" l="1"/>
  <c r="X184" i="6" s="1"/>
  <c r="S184" i="5"/>
  <c r="Q186" i="5"/>
  <c r="Z184" i="6"/>
  <c r="K184" i="2"/>
  <c r="M184" i="2" s="1"/>
  <c r="J184" i="2"/>
  <c r="Q176" i="7"/>
  <c r="Y136" i="12"/>
  <c r="M136" i="12"/>
  <c r="O136" i="12" s="1"/>
  <c r="AA174" i="7"/>
  <c r="V174" i="7"/>
  <c r="P135" i="10"/>
  <c r="L136" i="10" s="1"/>
  <c r="Q135" i="12"/>
  <c r="S182" i="5"/>
  <c r="R183" i="5"/>
  <c r="X183" i="6" s="1"/>
  <c r="Z183" i="6"/>
  <c r="P177" i="7"/>
  <c r="Q177" i="7" s="1"/>
  <c r="L177" i="7"/>
  <c r="Y136" i="11"/>
  <c r="M136" i="11"/>
  <c r="O136" i="11" s="1"/>
  <c r="S175" i="7"/>
  <c r="O183" i="2"/>
  <c r="Q183" i="2" s="1"/>
  <c r="T183" i="2" s="1"/>
  <c r="Z134" i="10"/>
  <c r="R135" i="10"/>
  <c r="X135" i="10" s="1"/>
  <c r="S135" i="11"/>
  <c r="Q135" i="11"/>
  <c r="AB177" i="7" l="1"/>
  <c r="R177" i="7"/>
  <c r="Y177" i="7" s="1"/>
  <c r="Z177" i="7" s="1"/>
  <c r="V182" i="5"/>
  <c r="W182" i="6"/>
  <c r="R136" i="12"/>
  <c r="X136" i="12" s="1"/>
  <c r="Z135" i="12"/>
  <c r="S136" i="12"/>
  <c r="W177" i="7"/>
  <c r="X177" i="7" s="1"/>
  <c r="M178" i="7"/>
  <c r="O178" i="7" s="1"/>
  <c r="L178" i="7"/>
  <c r="R176" i="7"/>
  <c r="Y176" i="7" s="1"/>
  <c r="Z176" i="7" s="1"/>
  <c r="AB176" i="7"/>
  <c r="S176" i="7"/>
  <c r="Q135" i="10"/>
  <c r="K178" i="7"/>
  <c r="V184" i="5"/>
  <c r="W184" i="6"/>
  <c r="W135" i="11"/>
  <c r="V135" i="11"/>
  <c r="M136" i="10"/>
  <c r="O136" i="10" s="1"/>
  <c r="Y136" i="10"/>
  <c r="S135" i="10"/>
  <c r="N184" i="2"/>
  <c r="O184" i="2" s="1"/>
  <c r="AA175" i="7"/>
  <c r="V175" i="7"/>
  <c r="Z135" i="11"/>
  <c r="R136" i="11"/>
  <c r="X136" i="11" s="1"/>
  <c r="Q136" i="11"/>
  <c r="P136" i="11"/>
  <c r="L137" i="11" s="1"/>
  <c r="S183" i="5"/>
  <c r="P136" i="12"/>
  <c r="L137" i="12" s="1"/>
  <c r="Q184" i="2" l="1"/>
  <c r="T184" i="2" s="1"/>
  <c r="O186" i="2"/>
  <c r="W135" i="10"/>
  <c r="V135" i="10"/>
  <c r="K179" i="7"/>
  <c r="AA176" i="7"/>
  <c r="V176" i="7"/>
  <c r="Q136" i="12"/>
  <c r="W178" i="7"/>
  <c r="X178" i="7" s="1"/>
  <c r="M179" i="7"/>
  <c r="O179" i="7" s="1"/>
  <c r="Z136" i="11"/>
  <c r="R137" i="11"/>
  <c r="X137" i="11" s="1"/>
  <c r="R136" i="10"/>
  <c r="X136" i="10" s="1"/>
  <c r="Z135" i="10"/>
  <c r="P136" i="10"/>
  <c r="L137" i="10" s="1"/>
  <c r="P178" i="7"/>
  <c r="L179" i="7" s="1"/>
  <c r="Q178" i="7"/>
  <c r="S177" i="7"/>
  <c r="W136" i="12"/>
  <c r="V136" i="12"/>
  <c r="S136" i="11"/>
  <c r="Y137" i="12"/>
  <c r="M137" i="12"/>
  <c r="O137" i="12" s="1"/>
  <c r="V183" i="5"/>
  <c r="W183" i="6"/>
  <c r="M137" i="11"/>
  <c r="O137" i="11" s="1"/>
  <c r="Y137" i="11"/>
  <c r="W179" i="7" l="1"/>
  <c r="X179" i="7" s="1"/>
  <c r="M180" i="7"/>
  <c r="O180" i="7" s="1"/>
  <c r="P137" i="11"/>
  <c r="L138" i="11" s="1"/>
  <c r="V177" i="7"/>
  <c r="AA177" i="7"/>
  <c r="S136" i="10"/>
  <c r="R178" i="7"/>
  <c r="Y178" i="7" s="1"/>
  <c r="Z178" i="7" s="1"/>
  <c r="AB178" i="7"/>
  <c r="P137" i="12"/>
  <c r="L138" i="12" s="1"/>
  <c r="S137" i="11"/>
  <c r="Q136" i="10"/>
  <c r="Z136" i="12"/>
  <c r="R137" i="12"/>
  <c r="X137" i="12" s="1"/>
  <c r="Y137" i="10"/>
  <c r="M137" i="10"/>
  <c r="O137" i="10" s="1"/>
  <c r="P179" i="7"/>
  <c r="K180" i="7" s="1"/>
  <c r="W136" i="11"/>
  <c r="V136" i="11"/>
  <c r="R137" i="10" l="1"/>
  <c r="X137" i="10" s="1"/>
  <c r="S137" i="10"/>
  <c r="Z136" i="10"/>
  <c r="W136" i="10"/>
  <c r="V136" i="10"/>
  <c r="Y138" i="12"/>
  <c r="M138" i="12"/>
  <c r="O138" i="12" s="1"/>
  <c r="M138" i="11"/>
  <c r="O138" i="11" s="1"/>
  <c r="Y138" i="11"/>
  <c r="L180" i="7"/>
  <c r="W137" i="11"/>
  <c r="V137" i="11"/>
  <c r="Q180" i="7"/>
  <c r="P180" i="7"/>
  <c r="K181" i="7" s="1"/>
  <c r="Q179" i="7"/>
  <c r="P137" i="10"/>
  <c r="L138" i="10" s="1"/>
  <c r="Q137" i="12"/>
  <c r="Q137" i="11"/>
  <c r="S137" i="12"/>
  <c r="S178" i="7"/>
  <c r="V178" i="7" l="1"/>
  <c r="AA178" i="7"/>
  <c r="V137" i="12"/>
  <c r="W137" i="12"/>
  <c r="P138" i="12"/>
  <c r="L139" i="12" s="1"/>
  <c r="Q138" i="12"/>
  <c r="Z137" i="12"/>
  <c r="R138" i="12"/>
  <c r="X138" i="12" s="1"/>
  <c r="M181" i="7"/>
  <c r="O181" i="7" s="1"/>
  <c r="L181" i="7"/>
  <c r="W180" i="7"/>
  <c r="X180" i="7" s="1"/>
  <c r="Y138" i="10"/>
  <c r="M138" i="10"/>
  <c r="O138" i="10" s="1"/>
  <c r="Q137" i="10"/>
  <c r="W137" i="10"/>
  <c r="V137" i="10"/>
  <c r="Z137" i="11"/>
  <c r="R138" i="11"/>
  <c r="X138" i="11" s="1"/>
  <c r="P138" i="11"/>
  <c r="L139" i="11" s="1"/>
  <c r="AB180" i="7"/>
  <c r="R180" i="7"/>
  <c r="Y180" i="7" s="1"/>
  <c r="Z180" i="7" s="1"/>
  <c r="AB179" i="7"/>
  <c r="R179" i="7"/>
  <c r="Y179" i="7" s="1"/>
  <c r="Z179" i="7" s="1"/>
  <c r="S179" i="7"/>
  <c r="M139" i="11" l="1"/>
  <c r="O139" i="11" s="1"/>
  <c r="Y139" i="11"/>
  <c r="V179" i="7"/>
  <c r="AA179" i="7"/>
  <c r="Y139" i="12"/>
  <c r="M139" i="12"/>
  <c r="O139" i="12" s="1"/>
  <c r="W181" i="7"/>
  <c r="X181" i="7" s="1"/>
  <c r="M182" i="7"/>
  <c r="O182" i="7" s="1"/>
  <c r="Z138" i="12"/>
  <c r="R139" i="12"/>
  <c r="X139" i="12" s="1"/>
  <c r="S138" i="11"/>
  <c r="Q138" i="10"/>
  <c r="P138" i="10"/>
  <c r="L139" i="10" s="1"/>
  <c r="Q138" i="11"/>
  <c r="P181" i="7"/>
  <c r="K182" i="7" s="1"/>
  <c r="Q181" i="7"/>
  <c r="S180" i="7"/>
  <c r="R138" i="10"/>
  <c r="X138" i="10" s="1"/>
  <c r="Z137" i="10"/>
  <c r="S138" i="10"/>
  <c r="S138" i="12"/>
  <c r="W138" i="10" l="1"/>
  <c r="V138" i="10"/>
  <c r="Z138" i="10"/>
  <c r="R139" i="10"/>
  <c r="X139" i="10" s="1"/>
  <c r="V138" i="11"/>
  <c r="W138" i="11"/>
  <c r="V180" i="7"/>
  <c r="AA180" i="7"/>
  <c r="AB181" i="7"/>
  <c r="R181" i="7"/>
  <c r="Y181" i="7" s="1"/>
  <c r="Z181" i="7" s="1"/>
  <c r="S139" i="12"/>
  <c r="P182" i="7"/>
  <c r="K183" i="7" s="1"/>
  <c r="S139" i="11"/>
  <c r="Z138" i="11"/>
  <c r="R139" i="11"/>
  <c r="X139" i="11" s="1"/>
  <c r="P139" i="12"/>
  <c r="L140" i="12" s="1"/>
  <c r="W138" i="12"/>
  <c r="V138" i="12"/>
  <c r="Y139" i="10"/>
  <c r="M139" i="10"/>
  <c r="O139" i="10" s="1"/>
  <c r="L182" i="7"/>
  <c r="P139" i="11"/>
  <c r="L140" i="11" s="1"/>
  <c r="Q139" i="11"/>
  <c r="Z139" i="11" l="1"/>
  <c r="R140" i="11"/>
  <c r="X140" i="11" s="1"/>
  <c r="W182" i="7"/>
  <c r="X182" i="7" s="1"/>
  <c r="M183" i="7"/>
  <c r="O183" i="7" s="1"/>
  <c r="L183" i="7"/>
  <c r="Q182" i="7"/>
  <c r="Y140" i="12"/>
  <c r="M140" i="12"/>
  <c r="O140" i="12" s="1"/>
  <c r="S181" i="7"/>
  <c r="W139" i="11"/>
  <c r="V139" i="11"/>
  <c r="W139" i="12"/>
  <c r="V139" i="12"/>
  <c r="M140" i="11"/>
  <c r="O140" i="11" s="1"/>
  <c r="Y140" i="11"/>
  <c r="Q139" i="12"/>
  <c r="S139" i="10"/>
  <c r="P139" i="10"/>
  <c r="L140" i="10" s="1"/>
  <c r="AB182" i="7" l="1"/>
  <c r="R182" i="7"/>
  <c r="Y182" i="7" s="1"/>
  <c r="Z182" i="7" s="1"/>
  <c r="Y140" i="10"/>
  <c r="M140" i="10"/>
  <c r="O140" i="10" s="1"/>
  <c r="M184" i="7"/>
  <c r="O184" i="7" s="1"/>
  <c r="L184" i="7"/>
  <c r="W184" i="7" s="1"/>
  <c r="X184" i="7" s="1"/>
  <c r="W183" i="7"/>
  <c r="X183" i="7" s="1"/>
  <c r="Q139" i="10"/>
  <c r="P183" i="7"/>
  <c r="K184" i="7" s="1"/>
  <c r="R140" i="12"/>
  <c r="X140" i="12" s="1"/>
  <c r="Z139" i="12"/>
  <c r="S140" i="12"/>
  <c r="W139" i="10"/>
  <c r="V139" i="10"/>
  <c r="AA181" i="7"/>
  <c r="V181" i="7"/>
  <c r="P140" i="12"/>
  <c r="L141" i="12" s="1"/>
  <c r="S140" i="11"/>
  <c r="P140" i="11"/>
  <c r="L141" i="11" s="1"/>
  <c r="Q140" i="11"/>
  <c r="R141" i="11" l="1"/>
  <c r="X141" i="11" s="1"/>
  <c r="Z140" i="11"/>
  <c r="Y141" i="11"/>
  <c r="M141" i="11"/>
  <c r="O141" i="11" s="1"/>
  <c r="W140" i="12"/>
  <c r="V140" i="12"/>
  <c r="W140" i="11"/>
  <c r="V140" i="11"/>
  <c r="Y141" i="12"/>
  <c r="M141" i="12"/>
  <c r="O141" i="12" s="1"/>
  <c r="P184" i="7"/>
  <c r="Q184" i="7" s="1"/>
  <c r="Q140" i="12"/>
  <c r="Q183" i="7"/>
  <c r="S182" i="7"/>
  <c r="P140" i="10"/>
  <c r="L141" i="10" s="1"/>
  <c r="Z139" i="10"/>
  <c r="R140" i="10"/>
  <c r="X140" i="10" s="1"/>
  <c r="R184" i="7" l="1"/>
  <c r="Y184" i="7" s="1"/>
  <c r="Z184" i="7" s="1"/>
  <c r="AB184" i="7"/>
  <c r="S184" i="7"/>
  <c r="Q186" i="7"/>
  <c r="Z140" i="12"/>
  <c r="R141" i="12"/>
  <c r="X141" i="12" s="1"/>
  <c r="S140" i="10"/>
  <c r="P141" i="11"/>
  <c r="L142" i="11" s="1"/>
  <c r="Q140" i="10"/>
  <c r="M141" i="10"/>
  <c r="O141" i="10" s="1"/>
  <c r="Y141" i="10"/>
  <c r="P141" i="12"/>
  <c r="L142" i="12" s="1"/>
  <c r="AA182" i="7"/>
  <c r="V182" i="7"/>
  <c r="R183" i="7"/>
  <c r="Y183" i="7" s="1"/>
  <c r="Z183" i="7" s="1"/>
  <c r="AB183" i="7"/>
  <c r="S141" i="11"/>
  <c r="Y142" i="12" l="1"/>
  <c r="M142" i="12"/>
  <c r="O142" i="12" s="1"/>
  <c r="W141" i="11"/>
  <c r="V141" i="11"/>
  <c r="P141" i="10"/>
  <c r="L142" i="10" s="1"/>
  <c r="S141" i="10"/>
  <c r="Z140" i="10"/>
  <c r="R141" i="10"/>
  <c r="X141" i="10" s="1"/>
  <c r="AA184" i="7"/>
  <c r="V184" i="7"/>
  <c r="W140" i="10"/>
  <c r="V140" i="10"/>
  <c r="Q141" i="12"/>
  <c r="S141" i="12"/>
  <c r="S183" i="7"/>
  <c r="Y142" i="11"/>
  <c r="M142" i="11"/>
  <c r="O142" i="11" s="1"/>
  <c r="Q141" i="11"/>
  <c r="V141" i="12" l="1"/>
  <c r="W141" i="12"/>
  <c r="V141" i="10"/>
  <c r="W141" i="10"/>
  <c r="Z141" i="12"/>
  <c r="R142" i="12"/>
  <c r="X142" i="12" s="1"/>
  <c r="Q141" i="10"/>
  <c r="M142" i="10"/>
  <c r="O142" i="10" s="1"/>
  <c r="Y142" i="10"/>
  <c r="R142" i="11"/>
  <c r="X142" i="11" s="1"/>
  <c r="S142" i="11"/>
  <c r="Z141" i="11"/>
  <c r="P142" i="11"/>
  <c r="L143" i="11" s="1"/>
  <c r="P142" i="12"/>
  <c r="L143" i="12" s="1"/>
  <c r="AA183" i="7"/>
  <c r="V183" i="7"/>
  <c r="Y143" i="11" l="1"/>
  <c r="M143" i="11"/>
  <c r="O143" i="11" s="1"/>
  <c r="W142" i="11"/>
  <c r="V142" i="11"/>
  <c r="Q142" i="11"/>
  <c r="S142" i="10"/>
  <c r="Z141" i="10"/>
  <c r="R142" i="10"/>
  <c r="X142" i="10" s="1"/>
  <c r="S142" i="12"/>
  <c r="M143" i="12"/>
  <c r="O143" i="12" s="1"/>
  <c r="Y143" i="12"/>
  <c r="Q142" i="12"/>
  <c r="P142" i="10"/>
  <c r="L143" i="10" s="1"/>
  <c r="M143" i="10" l="1"/>
  <c r="O143" i="10" s="1"/>
  <c r="Y143" i="10"/>
  <c r="V142" i="10"/>
  <c r="W142" i="10"/>
  <c r="Z142" i="12"/>
  <c r="R143" i="12"/>
  <c r="X143" i="12" s="1"/>
  <c r="Q142" i="10"/>
  <c r="Z142" i="11"/>
  <c r="R143" i="11"/>
  <c r="X143" i="11" s="1"/>
  <c r="P143" i="12"/>
  <c r="L144" i="12" s="1"/>
  <c r="P143" i="11"/>
  <c r="L144" i="11" s="1"/>
  <c r="W142" i="12"/>
  <c r="V142" i="12"/>
  <c r="Y144" i="11" l="1"/>
  <c r="M144" i="11"/>
  <c r="O144" i="11" s="1"/>
  <c r="M144" i="12"/>
  <c r="O144" i="12" s="1"/>
  <c r="Y144" i="12"/>
  <c r="Q143" i="12"/>
  <c r="Q143" i="11"/>
  <c r="S143" i="12"/>
  <c r="S143" i="11"/>
  <c r="Z142" i="10"/>
  <c r="R143" i="10"/>
  <c r="X143" i="10" s="1"/>
  <c r="P143" i="10"/>
  <c r="L144" i="10" s="1"/>
  <c r="Z143" i="11" l="1"/>
  <c r="R144" i="11"/>
  <c r="X144" i="11" s="1"/>
  <c r="S143" i="10"/>
  <c r="M144" i="10"/>
  <c r="O144" i="10" s="1"/>
  <c r="Y144" i="10"/>
  <c r="S144" i="12"/>
  <c r="Z143" i="12"/>
  <c r="R144" i="12"/>
  <c r="X144" i="12" s="1"/>
  <c r="Q143" i="10"/>
  <c r="P144" i="12"/>
  <c r="L145" i="12" s="1"/>
  <c r="Q144" i="12"/>
  <c r="P144" i="11"/>
  <c r="L145" i="11" s="1"/>
  <c r="W143" i="11"/>
  <c r="V143" i="11"/>
  <c r="W143" i="12"/>
  <c r="V143" i="12"/>
  <c r="V144" i="12" l="1"/>
  <c r="W144" i="12"/>
  <c r="P144" i="10"/>
  <c r="L145" i="10" s="1"/>
  <c r="Q144" i="10"/>
  <c r="M145" i="11"/>
  <c r="O145" i="11" s="1"/>
  <c r="Y145" i="11"/>
  <c r="S145" i="12"/>
  <c r="Z144" i="12"/>
  <c r="R145" i="12"/>
  <c r="X145" i="12" s="1"/>
  <c r="Q144" i="11"/>
  <c r="M145" i="12"/>
  <c r="O145" i="12" s="1"/>
  <c r="Y145" i="12"/>
  <c r="W143" i="10"/>
  <c r="V143" i="10"/>
  <c r="Z143" i="10"/>
  <c r="R144" i="10"/>
  <c r="X144" i="10" s="1"/>
  <c r="S144" i="10"/>
  <c r="S144" i="11"/>
  <c r="W144" i="11" l="1"/>
  <c r="V144" i="11"/>
  <c r="Z144" i="11"/>
  <c r="R145" i="11"/>
  <c r="X145" i="11" s="1"/>
  <c r="W145" i="12"/>
  <c r="V145" i="12"/>
  <c r="Q145" i="11"/>
  <c r="P145" i="11"/>
  <c r="L146" i="11" s="1"/>
  <c r="P145" i="12"/>
  <c r="L146" i="12" s="1"/>
  <c r="Q145" i="12"/>
  <c r="Z144" i="10"/>
  <c r="R145" i="10"/>
  <c r="X145" i="10" s="1"/>
  <c r="W144" i="10"/>
  <c r="V144" i="10"/>
  <c r="Y145" i="10"/>
  <c r="M145" i="10"/>
  <c r="O145" i="10" s="1"/>
  <c r="S145" i="11" l="1"/>
  <c r="Z145" i="11"/>
  <c r="R146" i="11"/>
  <c r="X146" i="11" s="1"/>
  <c r="S145" i="10"/>
  <c r="R146" i="12"/>
  <c r="X146" i="12" s="1"/>
  <c r="S146" i="12"/>
  <c r="Z145" i="12"/>
  <c r="P145" i="10"/>
  <c r="L146" i="10" s="1"/>
  <c r="M146" i="12"/>
  <c r="O146" i="12" s="1"/>
  <c r="Y146" i="12"/>
  <c r="M146" i="11"/>
  <c r="O146" i="11" s="1"/>
  <c r="Y146" i="11"/>
  <c r="W146" i="12" l="1"/>
  <c r="V146" i="12"/>
  <c r="P146" i="11"/>
  <c r="L147" i="11" s="1"/>
  <c r="W145" i="10"/>
  <c r="V145" i="10"/>
  <c r="P146" i="12"/>
  <c r="L147" i="12" s="1"/>
  <c r="Q146" i="12"/>
  <c r="Y146" i="10"/>
  <c r="M146" i="10"/>
  <c r="O146" i="10" s="1"/>
  <c r="S146" i="11"/>
  <c r="Q145" i="10"/>
  <c r="W145" i="11"/>
  <c r="V145" i="11"/>
  <c r="R147" i="12" l="1"/>
  <c r="X147" i="12" s="1"/>
  <c r="Z146" i="12"/>
  <c r="Y147" i="12"/>
  <c r="M147" i="12"/>
  <c r="O147" i="12" s="1"/>
  <c r="M147" i="11"/>
  <c r="O147" i="11" s="1"/>
  <c r="Y147" i="11"/>
  <c r="R146" i="10"/>
  <c r="X146" i="10" s="1"/>
  <c r="Z145" i="10"/>
  <c r="S146" i="10"/>
  <c r="V146" i="11"/>
  <c r="W146" i="11"/>
  <c r="P146" i="10"/>
  <c r="L147" i="10" s="1"/>
  <c r="Q146" i="11"/>
  <c r="Y147" i="10" l="1"/>
  <c r="M147" i="10"/>
  <c r="O147" i="10" s="1"/>
  <c r="Q146" i="10"/>
  <c r="P147" i="12"/>
  <c r="L148" i="12" s="1"/>
  <c r="W146" i="10"/>
  <c r="V146" i="10"/>
  <c r="P147" i="11"/>
  <c r="L148" i="11" s="1"/>
  <c r="Q147" i="11"/>
  <c r="Z146" i="11"/>
  <c r="R147" i="11"/>
  <c r="X147" i="11" s="1"/>
  <c r="S147" i="12"/>
  <c r="W147" i="12" l="1"/>
  <c r="V147" i="12"/>
  <c r="Z147" i="11"/>
  <c r="R148" i="11"/>
  <c r="X148" i="11" s="1"/>
  <c r="Y148" i="12"/>
  <c r="M148" i="12"/>
  <c r="O148" i="12" s="1"/>
  <c r="Q147" i="12"/>
  <c r="Z146" i="10"/>
  <c r="R147" i="10"/>
  <c r="X147" i="10" s="1"/>
  <c r="S147" i="11"/>
  <c r="P147" i="10"/>
  <c r="L148" i="10" s="1"/>
  <c r="M148" i="11"/>
  <c r="O148" i="11" s="1"/>
  <c r="Y148" i="11"/>
  <c r="P148" i="11" l="1"/>
  <c r="L149" i="11" s="1"/>
  <c r="Q148" i="11"/>
  <c r="Y148" i="10"/>
  <c r="M148" i="10"/>
  <c r="O148" i="10" s="1"/>
  <c r="P148" i="12"/>
  <c r="L149" i="12" s="1"/>
  <c r="Q147" i="10"/>
  <c r="W147" i="11"/>
  <c r="V147" i="11"/>
  <c r="S148" i="11"/>
  <c r="S147" i="10"/>
  <c r="R148" i="12"/>
  <c r="X148" i="12" s="1"/>
  <c r="S148" i="12"/>
  <c r="Z147" i="12"/>
  <c r="Z147" i="10" l="1"/>
  <c r="R148" i="10"/>
  <c r="X148" i="10" s="1"/>
  <c r="W148" i="12"/>
  <c r="V148" i="12"/>
  <c r="Q148" i="12"/>
  <c r="W147" i="10"/>
  <c r="V147" i="10"/>
  <c r="R149" i="11"/>
  <c r="X149" i="11" s="1"/>
  <c r="Z148" i="11"/>
  <c r="Y149" i="12"/>
  <c r="M149" i="12"/>
  <c r="O149" i="12" s="1"/>
  <c r="P148" i="10"/>
  <c r="L149" i="10" s="1"/>
  <c r="W148" i="11"/>
  <c r="V148" i="11"/>
  <c r="Y149" i="11"/>
  <c r="M149" i="11"/>
  <c r="O149" i="11" s="1"/>
  <c r="P149" i="12" l="1"/>
  <c r="L150" i="12" s="1"/>
  <c r="P149" i="11"/>
  <c r="L150" i="11" s="1"/>
  <c r="M149" i="10"/>
  <c r="O149" i="10" s="1"/>
  <c r="Y149" i="10"/>
  <c r="Q148" i="10"/>
  <c r="Z148" i="12"/>
  <c r="R149" i="12"/>
  <c r="X149" i="12" s="1"/>
  <c r="S149" i="11"/>
  <c r="S148" i="10"/>
  <c r="Z148" i="10" l="1"/>
  <c r="R149" i="10"/>
  <c r="X149" i="10" s="1"/>
  <c r="V148" i="10"/>
  <c r="W148" i="10"/>
  <c r="Y150" i="11"/>
  <c r="M150" i="11"/>
  <c r="O150" i="11" s="1"/>
  <c r="P149" i="10"/>
  <c r="L150" i="10" s="1"/>
  <c r="W149" i="11"/>
  <c r="V149" i="11"/>
  <c r="Q149" i="11"/>
  <c r="Y150" i="12"/>
  <c r="M150" i="12"/>
  <c r="O150" i="12" s="1"/>
  <c r="S149" i="12"/>
  <c r="Q149" i="12"/>
  <c r="P150" i="12" l="1"/>
  <c r="L151" i="12" s="1"/>
  <c r="R150" i="11"/>
  <c r="X150" i="11" s="1"/>
  <c r="S150" i="11"/>
  <c r="Z149" i="11"/>
  <c r="M150" i="10"/>
  <c r="O150" i="10" s="1"/>
  <c r="Y150" i="10"/>
  <c r="P150" i="11"/>
  <c r="L151" i="11" s="1"/>
  <c r="Z149" i="12"/>
  <c r="R150" i="12"/>
  <c r="X150" i="12" s="1"/>
  <c r="V149" i="12"/>
  <c r="W149" i="12"/>
  <c r="Q149" i="10"/>
  <c r="S149" i="10"/>
  <c r="P150" i="10" l="1"/>
  <c r="L151" i="10" s="1"/>
  <c r="W150" i="11"/>
  <c r="V150" i="11"/>
  <c r="Z149" i="10"/>
  <c r="R150" i="10"/>
  <c r="X150" i="10" s="1"/>
  <c r="S150" i="12"/>
  <c r="Y151" i="11"/>
  <c r="M151" i="11"/>
  <c r="O151" i="11" s="1"/>
  <c r="M151" i="12"/>
  <c r="O151" i="12" s="1"/>
  <c r="Y151" i="12"/>
  <c r="W149" i="10"/>
  <c r="V149" i="10"/>
  <c r="Q150" i="11"/>
  <c r="Q150" i="12"/>
  <c r="S150" i="10" l="1"/>
  <c r="P151" i="11"/>
  <c r="L152" i="11" s="1"/>
  <c r="W150" i="12"/>
  <c r="V150" i="12"/>
  <c r="M151" i="10"/>
  <c r="O151" i="10" s="1"/>
  <c r="Y151" i="10"/>
  <c r="P151" i="12"/>
  <c r="L152" i="12" s="1"/>
  <c r="Q151" i="12"/>
  <c r="Z150" i="12"/>
  <c r="R151" i="12"/>
  <c r="X151" i="12" s="1"/>
  <c r="Z150" i="11"/>
  <c r="R151" i="11"/>
  <c r="X151" i="11" s="1"/>
  <c r="Q150" i="10"/>
  <c r="S151" i="12" l="1"/>
  <c r="P151" i="10"/>
  <c r="L152" i="10" s="1"/>
  <c r="Z151" i="12"/>
  <c r="R152" i="12"/>
  <c r="X152" i="12" s="1"/>
  <c r="S151" i="11"/>
  <c r="Y152" i="11"/>
  <c r="M152" i="11"/>
  <c r="O152" i="11" s="1"/>
  <c r="Q151" i="11"/>
  <c r="Z150" i="10"/>
  <c r="R151" i="10"/>
  <c r="X151" i="10" s="1"/>
  <c r="M152" i="12"/>
  <c r="O152" i="12" s="1"/>
  <c r="Y152" i="12"/>
  <c r="V150" i="10"/>
  <c r="W150" i="10"/>
  <c r="P152" i="12" l="1"/>
  <c r="L153" i="12" s="1"/>
  <c r="W151" i="11"/>
  <c r="V151" i="11"/>
  <c r="Z151" i="11"/>
  <c r="R152" i="11"/>
  <c r="X152" i="11" s="1"/>
  <c r="Q152" i="11"/>
  <c r="P152" i="11"/>
  <c r="L153" i="11" s="1"/>
  <c r="S151" i="10"/>
  <c r="S152" i="12"/>
  <c r="M152" i="10"/>
  <c r="O152" i="10" s="1"/>
  <c r="Y152" i="10"/>
  <c r="Q151" i="10"/>
  <c r="W151" i="12"/>
  <c r="V151" i="12"/>
  <c r="S152" i="11" l="1"/>
  <c r="V152" i="12"/>
  <c r="W152" i="12"/>
  <c r="Z152" i="11"/>
  <c r="R153" i="11"/>
  <c r="X153" i="11" s="1"/>
  <c r="P152" i="10"/>
  <c r="L153" i="10" s="1"/>
  <c r="Q152" i="10"/>
  <c r="M153" i="12"/>
  <c r="O153" i="12" s="1"/>
  <c r="Y153" i="12"/>
  <c r="Z151" i="10"/>
  <c r="R152" i="10"/>
  <c r="X152" i="10" s="1"/>
  <c r="W151" i="10"/>
  <c r="V151" i="10"/>
  <c r="M153" i="11"/>
  <c r="O153" i="11" s="1"/>
  <c r="Y153" i="11"/>
  <c r="Q152" i="12"/>
  <c r="Y153" i="10" l="1"/>
  <c r="M153" i="10"/>
  <c r="O153" i="10" s="1"/>
  <c r="R153" i="12"/>
  <c r="X153" i="12" s="1"/>
  <c r="S153" i="12"/>
  <c r="Z152" i="12"/>
  <c r="S153" i="11"/>
  <c r="Z152" i="10"/>
  <c r="R153" i="10"/>
  <c r="X153" i="10" s="1"/>
  <c r="S152" i="10"/>
  <c r="P153" i="11"/>
  <c r="L154" i="11" s="1"/>
  <c r="P153" i="12"/>
  <c r="L154" i="12" s="1"/>
  <c r="W152" i="11"/>
  <c r="V152" i="11"/>
  <c r="W153" i="12" l="1"/>
  <c r="V153" i="12"/>
  <c r="W153" i="11"/>
  <c r="V153" i="11"/>
  <c r="Q153" i="12"/>
  <c r="P153" i="10"/>
  <c r="L154" i="10" s="1"/>
  <c r="M154" i="12"/>
  <c r="O154" i="12" s="1"/>
  <c r="Y154" i="12"/>
  <c r="M154" i="11"/>
  <c r="O154" i="11" s="1"/>
  <c r="Y154" i="11"/>
  <c r="Q153" i="11"/>
  <c r="W152" i="10"/>
  <c r="V152" i="10"/>
  <c r="S153" i="10"/>
  <c r="Y154" i="10" l="1"/>
  <c r="M154" i="10"/>
  <c r="O154" i="10" s="1"/>
  <c r="R154" i="12"/>
  <c r="X154" i="12" s="1"/>
  <c r="Z153" i="12"/>
  <c r="S154" i="12"/>
  <c r="P154" i="11"/>
  <c r="L155" i="11" s="1"/>
  <c r="Q153" i="10"/>
  <c r="P154" i="12"/>
  <c r="L155" i="12" s="1"/>
  <c r="Z153" i="11"/>
  <c r="R154" i="11"/>
  <c r="X154" i="11" s="1"/>
  <c r="W153" i="10"/>
  <c r="V153" i="10"/>
  <c r="M155" i="11" l="1"/>
  <c r="O155" i="11" s="1"/>
  <c r="Y155" i="11"/>
  <c r="Q154" i="11"/>
  <c r="S154" i="11"/>
  <c r="P154" i="10"/>
  <c r="L155" i="10" s="1"/>
  <c r="V154" i="12"/>
  <c r="W154" i="12"/>
  <c r="M155" i="12"/>
  <c r="O155" i="12" s="1"/>
  <c r="Y155" i="12"/>
  <c r="Q154" i="12"/>
  <c r="R154" i="10"/>
  <c r="X154" i="10" s="1"/>
  <c r="Z153" i="10"/>
  <c r="S154" i="10"/>
  <c r="W154" i="10" l="1"/>
  <c r="V154" i="10"/>
  <c r="Q154" i="10"/>
  <c r="Z154" i="11"/>
  <c r="R155" i="11"/>
  <c r="X155" i="11" s="1"/>
  <c r="V154" i="11"/>
  <c r="W154" i="11"/>
  <c r="P155" i="12"/>
  <c r="L156" i="12" s="1"/>
  <c r="Y155" i="10"/>
  <c r="M155" i="10"/>
  <c r="O155" i="10" s="1"/>
  <c r="Z154" i="12"/>
  <c r="R155" i="12"/>
  <c r="X155" i="12" s="1"/>
  <c r="P155" i="11"/>
  <c r="L156" i="11" s="1"/>
  <c r="Q155" i="11"/>
  <c r="S155" i="11" l="1"/>
  <c r="Z154" i="10"/>
  <c r="R155" i="10"/>
  <c r="X155" i="10" s="1"/>
  <c r="S155" i="12"/>
  <c r="M156" i="12"/>
  <c r="O156" i="12" s="1"/>
  <c r="Y156" i="12"/>
  <c r="P155" i="10"/>
  <c r="L156" i="10" s="1"/>
  <c r="Z155" i="11"/>
  <c r="R156" i="11"/>
  <c r="X156" i="11" s="1"/>
  <c r="M156" i="11"/>
  <c r="O156" i="11" s="1"/>
  <c r="Y156" i="11"/>
  <c r="Q155" i="12"/>
  <c r="P156" i="11" l="1"/>
  <c r="L157" i="11" s="1"/>
  <c r="W155" i="12"/>
  <c r="V155" i="12"/>
  <c r="Y156" i="10"/>
  <c r="M156" i="10"/>
  <c r="O156" i="10" s="1"/>
  <c r="S155" i="10"/>
  <c r="P156" i="12"/>
  <c r="L157" i="12" s="1"/>
  <c r="S156" i="11"/>
  <c r="R156" i="12"/>
  <c r="X156" i="12" s="1"/>
  <c r="S156" i="12"/>
  <c r="Z155" i="12"/>
  <c r="Q155" i="10"/>
  <c r="W155" i="11"/>
  <c r="V155" i="11"/>
  <c r="Y157" i="12" l="1"/>
  <c r="M157" i="12"/>
  <c r="O157" i="12" s="1"/>
  <c r="P156" i="10"/>
  <c r="L157" i="10" s="1"/>
  <c r="Z155" i="10"/>
  <c r="R156" i="10"/>
  <c r="X156" i="10" s="1"/>
  <c r="Y157" i="11"/>
  <c r="M157" i="11"/>
  <c r="O157" i="11" s="1"/>
  <c r="W155" i="10"/>
  <c r="V155" i="10"/>
  <c r="V156" i="12"/>
  <c r="W156" i="12"/>
  <c r="W156" i="11"/>
  <c r="V156" i="11"/>
  <c r="Q156" i="12"/>
  <c r="Q156" i="11"/>
  <c r="S156" i="10" l="1"/>
  <c r="R157" i="11"/>
  <c r="X157" i="11" s="1"/>
  <c r="Z156" i="11"/>
  <c r="Z156" i="12"/>
  <c r="R157" i="12"/>
  <c r="X157" i="12" s="1"/>
  <c r="Q157" i="12"/>
  <c r="P157" i="12"/>
  <c r="L158" i="12" s="1"/>
  <c r="M157" i="10"/>
  <c r="O157" i="10" s="1"/>
  <c r="Y157" i="10"/>
  <c r="Q156" i="10"/>
  <c r="P157" i="11"/>
  <c r="L158" i="11" s="1"/>
  <c r="Y158" i="11" l="1"/>
  <c r="M158" i="11"/>
  <c r="O158" i="11" s="1"/>
  <c r="Q157" i="11"/>
  <c r="R158" i="12"/>
  <c r="X158" i="12" s="1"/>
  <c r="Z157" i="12"/>
  <c r="S158" i="12"/>
  <c r="S157" i="11"/>
  <c r="Z156" i="10"/>
  <c r="R157" i="10"/>
  <c r="X157" i="10" s="1"/>
  <c r="S157" i="12"/>
  <c r="P157" i="10"/>
  <c r="L158" i="10" s="1"/>
  <c r="M158" i="12"/>
  <c r="O158" i="12" s="1"/>
  <c r="Y158" i="12"/>
  <c r="W156" i="10"/>
  <c r="V156" i="10"/>
  <c r="P158" i="12" l="1"/>
  <c r="L159" i="12" s="1"/>
  <c r="Q158" i="12"/>
  <c r="Q157" i="10"/>
  <c r="M158" i="10"/>
  <c r="O158" i="10" s="1"/>
  <c r="Y158" i="10"/>
  <c r="R158" i="11"/>
  <c r="X158" i="11" s="1"/>
  <c r="S158" i="11"/>
  <c r="Z157" i="11"/>
  <c r="W157" i="12"/>
  <c r="V157" i="12"/>
  <c r="W157" i="11"/>
  <c r="V157" i="11"/>
  <c r="V158" i="12"/>
  <c r="W158" i="12"/>
  <c r="Q158" i="11"/>
  <c r="P158" i="11"/>
  <c r="L159" i="11" s="1"/>
  <c r="S157" i="10"/>
  <c r="W158" i="11" l="1"/>
  <c r="V158" i="11"/>
  <c r="Z158" i="11"/>
  <c r="R159" i="11"/>
  <c r="X159" i="11" s="1"/>
  <c r="P158" i="10"/>
  <c r="L159" i="10" s="1"/>
  <c r="S158" i="10"/>
  <c r="Z157" i="10"/>
  <c r="R158" i="10"/>
  <c r="X158" i="10" s="1"/>
  <c r="W157" i="10"/>
  <c r="V157" i="10"/>
  <c r="Z158" i="12"/>
  <c r="R159" i="12"/>
  <c r="X159" i="12" s="1"/>
  <c r="Y159" i="11"/>
  <c r="M159" i="11"/>
  <c r="O159" i="11" s="1"/>
  <c r="Y159" i="12"/>
  <c r="M159" i="12"/>
  <c r="O159" i="12" s="1"/>
  <c r="M159" i="10" l="1"/>
  <c r="O159" i="10" s="1"/>
  <c r="Y159" i="10"/>
  <c r="P159" i="12"/>
  <c r="L160" i="12" s="1"/>
  <c r="V158" i="10"/>
  <c r="W158" i="10"/>
  <c r="Q158" i="10"/>
  <c r="P159" i="11"/>
  <c r="L160" i="11" s="1"/>
  <c r="S159" i="12"/>
  <c r="S159" i="11"/>
  <c r="M160" i="12" l="1"/>
  <c r="O160" i="12" s="1"/>
  <c r="Y160" i="12"/>
  <c r="Z158" i="10"/>
  <c r="R159" i="10"/>
  <c r="X159" i="10" s="1"/>
  <c r="V159" i="11"/>
  <c r="W159" i="11"/>
  <c r="Q159" i="12"/>
  <c r="W159" i="12"/>
  <c r="V159" i="12"/>
  <c r="Y160" i="11"/>
  <c r="M160" i="11"/>
  <c r="O160" i="11" s="1"/>
  <c r="Q159" i="11"/>
  <c r="Q159" i="10"/>
  <c r="P159" i="10"/>
  <c r="L160" i="10" s="1"/>
  <c r="Z159" i="11" l="1"/>
  <c r="R160" i="11"/>
  <c r="X160" i="11" s="1"/>
  <c r="Z159" i="10"/>
  <c r="R160" i="10"/>
  <c r="X160" i="10" s="1"/>
  <c r="P160" i="11"/>
  <c r="L161" i="11" s="1"/>
  <c r="S159" i="10"/>
  <c r="M160" i="10"/>
  <c r="O160" i="10" s="1"/>
  <c r="Y160" i="10"/>
  <c r="R160" i="12"/>
  <c r="X160" i="12" s="1"/>
  <c r="Z159" i="12"/>
  <c r="S160" i="12"/>
  <c r="P160" i="12"/>
  <c r="L161" i="12" s="1"/>
  <c r="M161" i="11" l="1"/>
  <c r="O161" i="11" s="1"/>
  <c r="Y161" i="11"/>
  <c r="V160" i="12"/>
  <c r="W160" i="12"/>
  <c r="M161" i="12"/>
  <c r="O161" i="12" s="1"/>
  <c r="Y161" i="12"/>
  <c r="Q160" i="11"/>
  <c r="S160" i="10"/>
  <c r="P160" i="10"/>
  <c r="L161" i="10" s="1"/>
  <c r="Q160" i="10"/>
  <c r="Q160" i="12"/>
  <c r="W159" i="10"/>
  <c r="V159" i="10"/>
  <c r="S160" i="11"/>
  <c r="V160" i="11" l="1"/>
  <c r="W160" i="11"/>
  <c r="Z160" i="12"/>
  <c r="R161" i="12"/>
  <c r="X161" i="12" s="1"/>
  <c r="P161" i="12"/>
  <c r="L162" i="12" s="1"/>
  <c r="Y161" i="10"/>
  <c r="M161" i="10"/>
  <c r="O161" i="10" s="1"/>
  <c r="Z160" i="10"/>
  <c r="R161" i="10"/>
  <c r="X161" i="10" s="1"/>
  <c r="W160" i="10"/>
  <c r="V160" i="10"/>
  <c r="S161" i="11"/>
  <c r="Z160" i="11"/>
  <c r="R161" i="11"/>
  <c r="X161" i="11" s="1"/>
  <c r="P161" i="11"/>
  <c r="L162" i="11" s="1"/>
  <c r="Q161" i="11"/>
  <c r="W161" i="11" l="1"/>
  <c r="V161" i="11"/>
  <c r="Z161" i="11"/>
  <c r="R162" i="11"/>
  <c r="X162" i="11" s="1"/>
  <c r="M162" i="11"/>
  <c r="O162" i="11" s="1"/>
  <c r="Y162" i="11"/>
  <c r="S161" i="12"/>
  <c r="Q161" i="12"/>
  <c r="S161" i="10"/>
  <c r="M162" i="12"/>
  <c r="O162" i="12" s="1"/>
  <c r="Y162" i="12"/>
  <c r="P161" i="10"/>
  <c r="L162" i="10" s="1"/>
  <c r="Y162" i="10" l="1"/>
  <c r="M162" i="10"/>
  <c r="O162" i="10" s="1"/>
  <c r="W161" i="10"/>
  <c r="V161" i="10"/>
  <c r="P162" i="12"/>
  <c r="L163" i="12" s="1"/>
  <c r="Q162" i="12"/>
  <c r="Q161" i="10"/>
  <c r="P162" i="11"/>
  <c r="L163" i="11" s="1"/>
  <c r="Q162" i="11"/>
  <c r="S162" i="11"/>
  <c r="R162" i="12"/>
  <c r="X162" i="12" s="1"/>
  <c r="S162" i="12"/>
  <c r="Z161" i="12"/>
  <c r="W161" i="12"/>
  <c r="V161" i="12"/>
  <c r="Z162" i="12" l="1"/>
  <c r="R163" i="12"/>
  <c r="X163" i="12" s="1"/>
  <c r="M163" i="12"/>
  <c r="O163" i="12" s="1"/>
  <c r="Y163" i="12"/>
  <c r="V162" i="11"/>
  <c r="W162" i="11"/>
  <c r="P162" i="10"/>
  <c r="L163" i="10" s="1"/>
  <c r="Z162" i="11"/>
  <c r="R163" i="11"/>
  <c r="X163" i="11" s="1"/>
  <c r="R162" i="10"/>
  <c r="X162" i="10" s="1"/>
  <c r="S162" i="10"/>
  <c r="Z161" i="10"/>
  <c r="V162" i="12"/>
  <c r="W162" i="12"/>
  <c r="M163" i="11"/>
  <c r="O163" i="11" s="1"/>
  <c r="Y163" i="11"/>
  <c r="W162" i="10" l="1"/>
  <c r="V162" i="10"/>
  <c r="S163" i="11"/>
  <c r="P163" i="12"/>
  <c r="L164" i="12" s="1"/>
  <c r="P163" i="11"/>
  <c r="L164" i="11" s="1"/>
  <c r="Y163" i="10"/>
  <c r="M163" i="10"/>
  <c r="O163" i="10" s="1"/>
  <c r="Q162" i="10"/>
  <c r="S163" i="12"/>
  <c r="M164" i="11" l="1"/>
  <c r="O164" i="11" s="1"/>
  <c r="Y164" i="11"/>
  <c r="Q163" i="11"/>
  <c r="W163" i="12"/>
  <c r="V163" i="12"/>
  <c r="Q163" i="12"/>
  <c r="W163" i="11"/>
  <c r="V163" i="11"/>
  <c r="M164" i="12"/>
  <c r="O164" i="12" s="1"/>
  <c r="Y164" i="12"/>
  <c r="Z162" i="10"/>
  <c r="R163" i="10"/>
  <c r="X163" i="10" s="1"/>
  <c r="Q163" i="10"/>
  <c r="P163" i="10"/>
  <c r="L164" i="10" s="1"/>
  <c r="Z163" i="10" l="1"/>
  <c r="R164" i="10"/>
  <c r="X164" i="10" s="1"/>
  <c r="R164" i="12"/>
  <c r="X164" i="12" s="1"/>
  <c r="S164" i="12"/>
  <c r="Z163" i="12"/>
  <c r="S163" i="10"/>
  <c r="R164" i="11"/>
  <c r="X164" i="11" s="1"/>
  <c r="Z163" i="11"/>
  <c r="P164" i="12"/>
  <c r="L165" i="12" s="1"/>
  <c r="Q164" i="12"/>
  <c r="Y164" i="10"/>
  <c r="M164" i="10"/>
  <c r="O164" i="10" s="1"/>
  <c r="P164" i="11"/>
  <c r="L165" i="11" s="1"/>
  <c r="Y165" i="11" l="1"/>
  <c r="M165" i="11"/>
  <c r="O165" i="11" s="1"/>
  <c r="W163" i="10"/>
  <c r="V163" i="10"/>
  <c r="V164" i="12"/>
  <c r="W164" i="12"/>
  <c r="Y165" i="12"/>
  <c r="M165" i="12"/>
  <c r="O165" i="12" s="1"/>
  <c r="P164" i="10"/>
  <c r="L165" i="10" s="1"/>
  <c r="Z164" i="12"/>
  <c r="R165" i="12"/>
  <c r="X165" i="12" s="1"/>
  <c r="Q164" i="11"/>
  <c r="S164" i="11"/>
  <c r="S164" i="10"/>
  <c r="Z164" i="11" l="1"/>
  <c r="R165" i="11"/>
  <c r="X165" i="11" s="1"/>
  <c r="S165" i="12"/>
  <c r="M165" i="10"/>
  <c r="O165" i="10" s="1"/>
  <c r="Y165" i="10"/>
  <c r="Q164" i="10"/>
  <c r="P165" i="11"/>
  <c r="L166" i="11" s="1"/>
  <c r="W164" i="10"/>
  <c r="V164" i="10"/>
  <c r="W164" i="11"/>
  <c r="V164" i="11"/>
  <c r="P165" i="12"/>
  <c r="L166" i="12" s="1"/>
  <c r="M166" i="12" l="1"/>
  <c r="O166" i="12" s="1"/>
  <c r="Y166" i="12"/>
  <c r="Z164" i="10"/>
  <c r="R165" i="10"/>
  <c r="X165" i="10" s="1"/>
  <c r="Q165" i="12"/>
  <c r="Q165" i="10"/>
  <c r="P165" i="10"/>
  <c r="L166" i="10" s="1"/>
  <c r="W165" i="12"/>
  <c r="V165" i="12"/>
  <c r="Y166" i="11"/>
  <c r="M166" i="11"/>
  <c r="O166" i="11" s="1"/>
  <c r="Q165" i="11"/>
  <c r="S165" i="11"/>
  <c r="W165" i="11" l="1"/>
  <c r="V165" i="11"/>
  <c r="Z165" i="10"/>
  <c r="R166" i="10"/>
  <c r="X166" i="10" s="1"/>
  <c r="R166" i="12"/>
  <c r="X166" i="12" s="1"/>
  <c r="S166" i="12"/>
  <c r="Z165" i="12"/>
  <c r="P166" i="11"/>
  <c r="L167" i="11" s="1"/>
  <c r="S165" i="10"/>
  <c r="R166" i="11"/>
  <c r="X166" i="11" s="1"/>
  <c r="Z165" i="11"/>
  <c r="S166" i="11"/>
  <c r="M166" i="10"/>
  <c r="O166" i="10" s="1"/>
  <c r="Y166" i="10"/>
  <c r="P166" i="12"/>
  <c r="L167" i="12" s="1"/>
  <c r="Q166" i="12"/>
  <c r="P166" i="10" l="1"/>
  <c r="L167" i="10" s="1"/>
  <c r="W166" i="11"/>
  <c r="V166" i="11"/>
  <c r="W165" i="10"/>
  <c r="V165" i="10"/>
  <c r="Y167" i="12"/>
  <c r="M167" i="12"/>
  <c r="O167" i="12" s="1"/>
  <c r="Y167" i="11"/>
  <c r="M167" i="11"/>
  <c r="O167" i="11" s="1"/>
  <c r="V166" i="12"/>
  <c r="W166" i="12"/>
  <c r="S167" i="12"/>
  <c r="Z166" i="12"/>
  <c r="R167" i="12"/>
  <c r="X167" i="12" s="1"/>
  <c r="S166" i="10"/>
  <c r="Q166" i="11"/>
  <c r="W167" i="12" l="1"/>
  <c r="V167" i="12"/>
  <c r="P167" i="11"/>
  <c r="L168" i="11" s="1"/>
  <c r="M167" i="10"/>
  <c r="O167" i="10" s="1"/>
  <c r="Y167" i="10"/>
  <c r="S167" i="11"/>
  <c r="Z166" i="11"/>
  <c r="R167" i="11"/>
  <c r="X167" i="11" s="1"/>
  <c r="V166" i="10"/>
  <c r="W166" i="10"/>
  <c r="P167" i="12"/>
  <c r="L168" i="12" s="1"/>
  <c r="Q166" i="10"/>
  <c r="W167" i="11" l="1"/>
  <c r="V167" i="11"/>
  <c r="Z166" i="10"/>
  <c r="R167" i="10"/>
  <c r="X167" i="10" s="1"/>
  <c r="M168" i="12"/>
  <c r="O168" i="12" s="1"/>
  <c r="Y168" i="12"/>
  <c r="Q167" i="12"/>
  <c r="Y168" i="11"/>
  <c r="M168" i="11"/>
  <c r="O168" i="11" s="1"/>
  <c r="Q167" i="11"/>
  <c r="P167" i="10"/>
  <c r="L168" i="10" s="1"/>
  <c r="M168" i="10" l="1"/>
  <c r="O168" i="10" s="1"/>
  <c r="Y168" i="10"/>
  <c r="Q167" i="10"/>
  <c r="S167" i="10"/>
  <c r="P168" i="12"/>
  <c r="L169" i="12" s="1"/>
  <c r="Q168" i="12"/>
  <c r="S168" i="11"/>
  <c r="Z167" i="11"/>
  <c r="R168" i="11"/>
  <c r="X168" i="11" s="1"/>
  <c r="P168" i="11"/>
  <c r="L169" i="11" s="1"/>
  <c r="R168" i="12"/>
  <c r="X168" i="12" s="1"/>
  <c r="S168" i="12"/>
  <c r="Z167" i="12"/>
  <c r="W167" i="10" l="1"/>
  <c r="V167" i="10"/>
  <c r="V168" i="11"/>
  <c r="W168" i="11"/>
  <c r="V168" i="12"/>
  <c r="W168" i="12"/>
  <c r="S169" i="12"/>
  <c r="Z168" i="12"/>
  <c r="R169" i="12"/>
  <c r="X169" i="12" s="1"/>
  <c r="M169" i="12"/>
  <c r="O169" i="12" s="1"/>
  <c r="Y169" i="12"/>
  <c r="M169" i="11"/>
  <c r="O169" i="11" s="1"/>
  <c r="Y169" i="11"/>
  <c r="S168" i="10"/>
  <c r="R168" i="10"/>
  <c r="X168" i="10" s="1"/>
  <c r="Z167" i="10"/>
  <c r="Q168" i="11"/>
  <c r="P168" i="10"/>
  <c r="L169" i="10" s="1"/>
  <c r="Q168" i="10"/>
  <c r="Y169" i="10" l="1"/>
  <c r="M169" i="10"/>
  <c r="O169" i="10" s="1"/>
  <c r="Z168" i="11"/>
  <c r="R169" i="11"/>
  <c r="X169" i="11" s="1"/>
  <c r="W169" i="12"/>
  <c r="V169" i="12"/>
  <c r="P169" i="11"/>
  <c r="L170" i="11" s="1"/>
  <c r="Q169" i="11"/>
  <c r="P169" i="12"/>
  <c r="L170" i="12" s="1"/>
  <c r="W168" i="10"/>
  <c r="V168" i="10"/>
  <c r="R169" i="10"/>
  <c r="X169" i="10" s="1"/>
  <c r="S169" i="10"/>
  <c r="Z168" i="10"/>
  <c r="M170" i="12" l="1"/>
  <c r="O170" i="12" s="1"/>
  <c r="Y170" i="12"/>
  <c r="W169" i="10"/>
  <c r="V169" i="10"/>
  <c r="Z169" i="11"/>
  <c r="R170" i="11"/>
  <c r="X170" i="11" s="1"/>
  <c r="P169" i="10"/>
  <c r="L170" i="10" s="1"/>
  <c r="S169" i="11"/>
  <c r="Q169" i="12"/>
  <c r="M170" i="11"/>
  <c r="O170" i="11" s="1"/>
  <c r="Y170" i="11"/>
  <c r="P170" i="11" l="1"/>
  <c r="L171" i="11" s="1"/>
  <c r="S170" i="11"/>
  <c r="R170" i="12"/>
  <c r="X170" i="12" s="1"/>
  <c r="S170" i="12"/>
  <c r="Z169" i="12"/>
  <c r="W169" i="11"/>
  <c r="V169" i="11"/>
  <c r="Y170" i="10"/>
  <c r="M170" i="10"/>
  <c r="O170" i="10" s="1"/>
  <c r="Q169" i="10"/>
  <c r="P170" i="12"/>
  <c r="L171" i="12" s="1"/>
  <c r="Q170" i="12"/>
  <c r="M171" i="12" l="1"/>
  <c r="O171" i="12" s="1"/>
  <c r="Y171" i="12"/>
  <c r="R170" i="10"/>
  <c r="X170" i="10" s="1"/>
  <c r="Z169" i="10"/>
  <c r="S170" i="10"/>
  <c r="M171" i="11"/>
  <c r="O171" i="11" s="1"/>
  <c r="Y171" i="11"/>
  <c r="Z170" i="12"/>
  <c r="R171" i="12"/>
  <c r="X171" i="12" s="1"/>
  <c r="V170" i="12"/>
  <c r="W170" i="12"/>
  <c r="P170" i="10"/>
  <c r="L171" i="10" s="1"/>
  <c r="V170" i="11"/>
  <c r="W170" i="11"/>
  <c r="Q170" i="11"/>
  <c r="Y171" i="10" l="1"/>
  <c r="M171" i="10"/>
  <c r="O171" i="10" s="1"/>
  <c r="P171" i="11"/>
  <c r="L172" i="11" s="1"/>
  <c r="W170" i="10"/>
  <c r="V170" i="10"/>
  <c r="Q170" i="10"/>
  <c r="R171" i="11"/>
  <c r="X171" i="11" s="1"/>
  <c r="Z170" i="11"/>
  <c r="S171" i="11"/>
  <c r="S171" i="12"/>
  <c r="P171" i="12"/>
  <c r="L172" i="12" s="1"/>
  <c r="Z170" i="10" l="1"/>
  <c r="R171" i="10"/>
  <c r="X171" i="10" s="1"/>
  <c r="M172" i="12"/>
  <c r="O172" i="12" s="1"/>
  <c r="Y172" i="12"/>
  <c r="Q171" i="12"/>
  <c r="Q171" i="11"/>
  <c r="M172" i="11"/>
  <c r="O172" i="11" s="1"/>
  <c r="Y172" i="11"/>
  <c r="W171" i="12"/>
  <c r="V171" i="12"/>
  <c r="W171" i="11"/>
  <c r="V171" i="11"/>
  <c r="Q171" i="10"/>
  <c r="P171" i="10"/>
  <c r="L172" i="10" s="1"/>
  <c r="Z171" i="10" l="1"/>
  <c r="R172" i="10"/>
  <c r="X172" i="10" s="1"/>
  <c r="P172" i="12"/>
  <c r="L173" i="12" s="1"/>
  <c r="Q172" i="12"/>
  <c r="Z171" i="11"/>
  <c r="R172" i="11"/>
  <c r="X172" i="11" s="1"/>
  <c r="R172" i="12"/>
  <c r="X172" i="12" s="1"/>
  <c r="S172" i="12"/>
  <c r="Z171" i="12"/>
  <c r="Y172" i="10"/>
  <c r="M172" i="10"/>
  <c r="O172" i="10" s="1"/>
  <c r="P172" i="11"/>
  <c r="L173" i="11" s="1"/>
  <c r="Q172" i="11"/>
  <c r="S171" i="10"/>
  <c r="Y173" i="11" l="1"/>
  <c r="M173" i="11"/>
  <c r="O173" i="11" s="1"/>
  <c r="Z172" i="12"/>
  <c r="R173" i="12"/>
  <c r="X173" i="12" s="1"/>
  <c r="V172" i="12"/>
  <c r="W172" i="12"/>
  <c r="Z172" i="11"/>
  <c r="R173" i="11"/>
  <c r="X173" i="11" s="1"/>
  <c r="P172" i="10"/>
  <c r="L173" i="10" s="1"/>
  <c r="S172" i="11"/>
  <c r="Y173" i="12"/>
  <c r="M173" i="12"/>
  <c r="O173" i="12" s="1"/>
  <c r="W171" i="10"/>
  <c r="V171" i="10"/>
  <c r="S172" i="10"/>
  <c r="M173" i="10" l="1"/>
  <c r="O173" i="10" s="1"/>
  <c r="Y173" i="10"/>
  <c r="W172" i="10"/>
  <c r="V172" i="10"/>
  <c r="P173" i="11"/>
  <c r="L174" i="11" s="1"/>
  <c r="Q173" i="12"/>
  <c r="P173" i="12"/>
  <c r="L174" i="12" s="1"/>
  <c r="W172" i="11"/>
  <c r="V172" i="11"/>
  <c r="Q172" i="10"/>
  <c r="S173" i="12"/>
  <c r="S173" i="11"/>
  <c r="R174" i="12" l="1"/>
  <c r="X174" i="12" s="1"/>
  <c r="Z173" i="12"/>
  <c r="S174" i="12"/>
  <c r="W173" i="11"/>
  <c r="V173" i="11"/>
  <c r="Z172" i="10"/>
  <c r="R173" i="10"/>
  <c r="X173" i="10" s="1"/>
  <c r="W173" i="12"/>
  <c r="V173" i="12"/>
  <c r="Y174" i="11"/>
  <c r="M174" i="11"/>
  <c r="O174" i="11" s="1"/>
  <c r="Q173" i="11"/>
  <c r="M174" i="12"/>
  <c r="O174" i="12" s="1"/>
  <c r="Y174" i="12"/>
  <c r="Q173" i="10"/>
  <c r="P173" i="10"/>
  <c r="L174" i="10" s="1"/>
  <c r="S173" i="10" l="1"/>
  <c r="P174" i="12"/>
  <c r="L175" i="12" s="1"/>
  <c r="Q174" i="12"/>
  <c r="M174" i="10"/>
  <c r="O174" i="10" s="1"/>
  <c r="Y174" i="10"/>
  <c r="V174" i="12"/>
  <c r="W174" i="12"/>
  <c r="R174" i="11"/>
  <c r="X174" i="11" s="1"/>
  <c r="S174" i="11"/>
  <c r="Z173" i="11"/>
  <c r="Z173" i="10"/>
  <c r="R174" i="10"/>
  <c r="X174" i="10" s="1"/>
  <c r="P174" i="11"/>
  <c r="L175" i="11" s="1"/>
  <c r="Q174" i="11" l="1"/>
  <c r="P174" i="10"/>
  <c r="L175" i="10" s="1"/>
  <c r="W174" i="11"/>
  <c r="V174" i="11"/>
  <c r="Y175" i="11"/>
  <c r="M175" i="11"/>
  <c r="O175" i="11" s="1"/>
  <c r="S174" i="10"/>
  <c r="Z174" i="12"/>
  <c r="R175" i="12"/>
  <c r="X175" i="12" s="1"/>
  <c r="Y175" i="12"/>
  <c r="M175" i="12"/>
  <c r="O175" i="12" s="1"/>
  <c r="V173" i="10"/>
  <c r="W173" i="10"/>
  <c r="P175" i="12" l="1"/>
  <c r="L176" i="12" s="1"/>
  <c r="M175" i="10"/>
  <c r="O175" i="10" s="1"/>
  <c r="Y175" i="10"/>
  <c r="S175" i="12"/>
  <c r="Q174" i="10"/>
  <c r="Q175" i="11"/>
  <c r="P175" i="11"/>
  <c r="L176" i="11" s="1"/>
  <c r="V174" i="10"/>
  <c r="W174" i="10"/>
  <c r="Z174" i="11"/>
  <c r="R175" i="11"/>
  <c r="X175" i="11" s="1"/>
  <c r="Z174" i="10" l="1"/>
  <c r="R175" i="10"/>
  <c r="X175" i="10" s="1"/>
  <c r="W175" i="12"/>
  <c r="V175" i="12"/>
  <c r="P175" i="10"/>
  <c r="L176" i="10" s="1"/>
  <c r="S176" i="11"/>
  <c r="Z175" i="11"/>
  <c r="R176" i="11"/>
  <c r="X176" i="11" s="1"/>
  <c r="S175" i="11"/>
  <c r="M176" i="12"/>
  <c r="O176" i="12" s="1"/>
  <c r="Y176" i="12"/>
  <c r="Y176" i="11"/>
  <c r="M176" i="11"/>
  <c r="O176" i="11" s="1"/>
  <c r="Q175" i="12"/>
  <c r="W176" i="11" l="1"/>
  <c r="V176" i="11"/>
  <c r="M176" i="10"/>
  <c r="O176" i="10" s="1"/>
  <c r="Y176" i="10"/>
  <c r="Q175" i="10"/>
  <c r="P176" i="12"/>
  <c r="L177" i="12" s="1"/>
  <c r="Q176" i="12"/>
  <c r="V175" i="11"/>
  <c r="W175" i="11"/>
  <c r="R176" i="12"/>
  <c r="X176" i="12" s="1"/>
  <c r="Z175" i="12"/>
  <c r="S176" i="12"/>
  <c r="P176" i="11"/>
  <c r="L177" i="11" s="1"/>
  <c r="S175" i="10"/>
  <c r="Z176" i="12" l="1"/>
  <c r="R177" i="12"/>
  <c r="X177" i="12" s="1"/>
  <c r="M177" i="11"/>
  <c r="O177" i="11" s="1"/>
  <c r="Y177" i="11"/>
  <c r="Z175" i="10"/>
  <c r="S176" i="10"/>
  <c r="R176" i="10"/>
  <c r="X176" i="10" s="1"/>
  <c r="M177" i="12"/>
  <c r="O177" i="12" s="1"/>
  <c r="Y177" i="12"/>
  <c r="W175" i="10"/>
  <c r="V175" i="10"/>
  <c r="Q176" i="11"/>
  <c r="V176" i="12"/>
  <c r="W176" i="12"/>
  <c r="P176" i="10"/>
  <c r="L177" i="10" s="1"/>
  <c r="W176" i="10" l="1"/>
  <c r="V176" i="10"/>
  <c r="Z176" i="11"/>
  <c r="R177" i="11"/>
  <c r="X177" i="11" s="1"/>
  <c r="Y177" i="10"/>
  <c r="M177" i="10"/>
  <c r="O177" i="10" s="1"/>
  <c r="P177" i="11"/>
  <c r="L178" i="11" s="1"/>
  <c r="Q177" i="11"/>
  <c r="Q176" i="10"/>
  <c r="P177" i="12"/>
  <c r="L178" i="12" s="1"/>
  <c r="S177" i="12"/>
  <c r="P177" i="10" l="1"/>
  <c r="L178" i="10" s="1"/>
  <c r="S177" i="11"/>
  <c r="W177" i="12"/>
  <c r="V177" i="12"/>
  <c r="Y178" i="12"/>
  <c r="M178" i="12"/>
  <c r="O178" i="12" s="1"/>
  <c r="Q177" i="12"/>
  <c r="Z176" i="10"/>
  <c r="R177" i="10"/>
  <c r="X177" i="10" s="1"/>
  <c r="Z177" i="11"/>
  <c r="R178" i="11"/>
  <c r="X178" i="11" s="1"/>
  <c r="M178" i="11"/>
  <c r="O178" i="11" s="1"/>
  <c r="Y178" i="11"/>
  <c r="P178" i="11" l="1"/>
  <c r="L179" i="11" s="1"/>
  <c r="S177" i="10"/>
  <c r="P178" i="12"/>
  <c r="L179" i="12" s="1"/>
  <c r="S178" i="11"/>
  <c r="W177" i="11"/>
  <c r="V177" i="11"/>
  <c r="Y178" i="10"/>
  <c r="M178" i="10"/>
  <c r="O178" i="10" s="1"/>
  <c r="R178" i="12"/>
  <c r="X178" i="12" s="1"/>
  <c r="S178" i="12"/>
  <c r="Z177" i="12"/>
  <c r="Q177" i="10"/>
  <c r="R178" i="10" l="1"/>
  <c r="X178" i="10" s="1"/>
  <c r="Z177" i="10"/>
  <c r="S178" i="10"/>
  <c r="V178" i="11"/>
  <c r="W178" i="11"/>
  <c r="V178" i="12"/>
  <c r="W178" i="12"/>
  <c r="Q178" i="10"/>
  <c r="P178" i="10"/>
  <c r="L179" i="10" s="1"/>
  <c r="M179" i="12"/>
  <c r="O179" i="12" s="1"/>
  <c r="Y179" i="12"/>
  <c r="Q178" i="12"/>
  <c r="W177" i="10"/>
  <c r="V177" i="10"/>
  <c r="M179" i="11"/>
  <c r="O179" i="11" s="1"/>
  <c r="Y179" i="11"/>
  <c r="Q178" i="11"/>
  <c r="Z178" i="10" l="1"/>
  <c r="R179" i="10"/>
  <c r="X179" i="10" s="1"/>
  <c r="W178" i="10"/>
  <c r="V178" i="10"/>
  <c r="P179" i="11"/>
  <c r="L180" i="11" s="1"/>
  <c r="S179" i="12"/>
  <c r="Z178" i="12"/>
  <c r="R179" i="12"/>
  <c r="X179" i="12" s="1"/>
  <c r="R179" i="11"/>
  <c r="X179" i="11" s="1"/>
  <c r="S179" i="11"/>
  <c r="Z178" i="11"/>
  <c r="P179" i="12"/>
  <c r="L180" i="12" s="1"/>
  <c r="Y179" i="10"/>
  <c r="M179" i="10"/>
  <c r="O179" i="10" s="1"/>
  <c r="W179" i="12" l="1"/>
  <c r="V179" i="12"/>
  <c r="M180" i="11"/>
  <c r="O180" i="11" s="1"/>
  <c r="Y180" i="11"/>
  <c r="Q179" i="11"/>
  <c r="M180" i="12"/>
  <c r="O180" i="12" s="1"/>
  <c r="Y180" i="12"/>
  <c r="Q179" i="12"/>
  <c r="W179" i="11"/>
  <c r="V179" i="11"/>
  <c r="P179" i="10"/>
  <c r="L180" i="10" s="1"/>
  <c r="S179" i="10"/>
  <c r="W179" i="10" l="1"/>
  <c r="V179" i="10"/>
  <c r="Q179" i="10"/>
  <c r="P180" i="12"/>
  <c r="L181" i="12" s="1"/>
  <c r="Q180" i="12"/>
  <c r="Z179" i="11"/>
  <c r="R180" i="11"/>
  <c r="X180" i="11" s="1"/>
  <c r="P180" i="11"/>
  <c r="L181" i="11" s="1"/>
  <c r="Q180" i="11"/>
  <c r="Z179" i="12"/>
  <c r="R180" i="12"/>
  <c r="X180" i="12" s="1"/>
  <c r="Y180" i="10"/>
  <c r="M180" i="10"/>
  <c r="O180" i="10" s="1"/>
  <c r="Z180" i="12" l="1"/>
  <c r="R181" i="12"/>
  <c r="X181" i="12" s="1"/>
  <c r="S180" i="12"/>
  <c r="P180" i="10"/>
  <c r="L181" i="10" s="1"/>
  <c r="S180" i="11"/>
  <c r="R181" i="11"/>
  <c r="X181" i="11" s="1"/>
  <c r="Z180" i="11"/>
  <c r="Y181" i="12"/>
  <c r="M181" i="12"/>
  <c r="O181" i="12" s="1"/>
  <c r="Z179" i="10"/>
  <c r="R180" i="10"/>
  <c r="X180" i="10" s="1"/>
  <c r="Y181" i="11"/>
  <c r="M181" i="11"/>
  <c r="O181" i="11" s="1"/>
  <c r="M181" i="10" l="1"/>
  <c r="O181" i="10" s="1"/>
  <c r="Y181" i="10"/>
  <c r="V180" i="12"/>
  <c r="W180" i="12"/>
  <c r="P181" i="12"/>
  <c r="L182" i="12" s="1"/>
  <c r="S181" i="11"/>
  <c r="W180" i="11"/>
  <c r="V180" i="11"/>
  <c r="S180" i="10"/>
  <c r="Q180" i="10"/>
  <c r="P181" i="11"/>
  <c r="L182" i="11" s="1"/>
  <c r="S181" i="12"/>
  <c r="W181" i="12" l="1"/>
  <c r="V181" i="12"/>
  <c r="Y182" i="12"/>
  <c r="M182" i="12"/>
  <c r="O182" i="12" s="1"/>
  <c r="Z180" i="10"/>
  <c r="R181" i="10"/>
  <c r="X181" i="10" s="1"/>
  <c r="W181" i="11"/>
  <c r="V181" i="11"/>
  <c r="M182" i="11"/>
  <c r="O182" i="11" s="1"/>
  <c r="Y182" i="11"/>
  <c r="Q181" i="12"/>
  <c r="Q181" i="11"/>
  <c r="W180" i="10"/>
  <c r="V180" i="10"/>
  <c r="P181" i="10"/>
  <c r="L182" i="10" s="1"/>
  <c r="R182" i="11" l="1"/>
  <c r="X182" i="11" s="1"/>
  <c r="Z181" i="11"/>
  <c r="R182" i="12"/>
  <c r="X182" i="12" s="1"/>
  <c r="Z181" i="12"/>
  <c r="S182" i="12"/>
  <c r="Y182" i="10"/>
  <c r="M182" i="10"/>
  <c r="O182" i="10" s="1"/>
  <c r="P182" i="11"/>
  <c r="L183" i="11" s="1"/>
  <c r="S181" i="10"/>
  <c r="P182" i="12"/>
  <c r="L183" i="12" s="1"/>
  <c r="Q181" i="10"/>
  <c r="Q182" i="12" l="1"/>
  <c r="W181" i="10"/>
  <c r="V181" i="10"/>
  <c r="Y183" i="12"/>
  <c r="M183" i="12"/>
  <c r="O183" i="12" s="1"/>
  <c r="M183" i="11"/>
  <c r="O183" i="11" s="1"/>
  <c r="Y183" i="11"/>
  <c r="R182" i="10"/>
  <c r="X182" i="10" s="1"/>
  <c r="Z181" i="10"/>
  <c r="V182" i="12"/>
  <c r="W182" i="12"/>
  <c r="Q182" i="11"/>
  <c r="Q182" i="10"/>
  <c r="P182" i="10"/>
  <c r="L183" i="10" s="1"/>
  <c r="S182" i="11"/>
  <c r="Z182" i="10" l="1"/>
  <c r="R183" i="10"/>
  <c r="X183" i="10" s="1"/>
  <c r="P183" i="11"/>
  <c r="L184" i="11" s="1"/>
  <c r="P183" i="12"/>
  <c r="L184" i="12" s="1"/>
  <c r="R183" i="11"/>
  <c r="X183" i="11" s="1"/>
  <c r="Z182" i="11"/>
  <c r="S182" i="10"/>
  <c r="W182" i="11"/>
  <c r="V182" i="11"/>
  <c r="Y183" i="10"/>
  <c r="M183" i="10"/>
  <c r="O183" i="10" s="1"/>
  <c r="Z182" i="12"/>
  <c r="R183" i="12"/>
  <c r="X183" i="12" s="1"/>
  <c r="Y184" i="12" l="1"/>
  <c r="M184" i="12"/>
  <c r="O184" i="12" s="1"/>
  <c r="P183" i="10"/>
  <c r="L184" i="10" s="1"/>
  <c r="M184" i="11"/>
  <c r="O184" i="11" s="1"/>
  <c r="Y184" i="11"/>
  <c r="W182" i="10"/>
  <c r="V182" i="10"/>
  <c r="Q183" i="12"/>
  <c r="Q183" i="11"/>
  <c r="S183" i="12"/>
  <c r="S183" i="11"/>
  <c r="S183" i="10"/>
  <c r="W183" i="10" l="1"/>
  <c r="V183" i="10"/>
  <c r="P184" i="11"/>
  <c r="Q184" i="11" s="1"/>
  <c r="V183" i="11"/>
  <c r="W183" i="11"/>
  <c r="W183" i="12"/>
  <c r="V183" i="12"/>
  <c r="Q183" i="10"/>
  <c r="Z183" i="11"/>
  <c r="R184" i="11"/>
  <c r="X184" i="11" s="1"/>
  <c r="M184" i="10"/>
  <c r="O184" i="10" s="1"/>
  <c r="Y184" i="10"/>
  <c r="P184" i="12"/>
  <c r="Q184" i="12" s="1"/>
  <c r="Z183" i="12"/>
  <c r="R184" i="12"/>
  <c r="X184" i="12" s="1"/>
  <c r="Z184" i="12" l="1"/>
  <c r="Q186" i="12"/>
  <c r="Z184" i="11"/>
  <c r="Q186" i="11"/>
  <c r="S184" i="11"/>
  <c r="P184" i="10"/>
  <c r="Q184" i="10" s="1"/>
  <c r="S184" i="12"/>
  <c r="Z183" i="10"/>
  <c r="R184" i="10"/>
  <c r="X184" i="10" s="1"/>
  <c r="Z184" i="10" l="1"/>
  <c r="Q186" i="10"/>
  <c r="W184" i="12"/>
  <c r="V184" i="12"/>
  <c r="W184" i="11"/>
  <c r="V184" i="11"/>
  <c r="S184" i="10"/>
  <c r="W184" i="10" l="1"/>
  <c r="V184" i="10"/>
</calcChain>
</file>

<file path=xl/comments1.xml><?xml version="1.0" encoding="utf-8"?>
<comments xmlns="http://schemas.openxmlformats.org/spreadsheetml/2006/main">
  <authors>
    <author/>
  </authors>
  <commentList>
    <comment ref="C2" authorId="0" shapeId="0">
      <text>
        <r>
          <rPr>
            <sz val="10"/>
            <color rgb="FF000000"/>
            <rFont val="Arial"/>
            <scheme val="minor"/>
          </rPr>
          <t>Based on fossil CO2 emissions in 2024, from: 
https://globalcarbonbudget.org/fossil-fuel-co2-emissions-increase-again-in-2024/
======</t>
        </r>
      </text>
    </comment>
    <comment ref="K2" authorId="0" shapeId="0">
      <text>
        <r>
          <rPr>
            <sz val="10"/>
            <color rgb="FF000000"/>
            <rFont val="Arial"/>
            <scheme val="minor"/>
          </rPr>
          <t>Based on the average annual rate of return of Norway's Government Pension Fund Global, as shown in March 2025 here: https://www.nbim.no/en/investments/returns/ 
======</t>
        </r>
      </text>
    </comment>
    <comment ref="K7" authorId="0" shapeId="0">
      <text>
        <r>
          <rPr>
            <sz val="10"/>
            <color rgb="FF000000"/>
            <rFont val="Arial"/>
            <scheme val="minor"/>
          </rPr>
          <t>This column assumes there is a grace year at the start of cap and share, in which the fund's capital from the charge is accumulating and only beginning to be invested, so it does not deliver income in that first year. The income begins to be delivered from the second year based on the investment's of the first year's capital, and so it continues. 
======</t>
        </r>
      </text>
    </comment>
    <comment ref="R7" authorId="0" shapeId="0">
      <text>
        <r>
          <rPr>
            <sz val="10"/>
            <color rgb="FF000000"/>
            <rFont val="Arial"/>
            <scheme val="minor"/>
          </rPr>
          <t>From Worldometer, as of 26th March 2025.
https://www.worldometers.info/world-population/world-population-projections/
======</t>
        </r>
      </text>
    </comment>
  </commentList>
</comments>
</file>

<file path=xl/comments2.xml><?xml version="1.0" encoding="utf-8"?>
<comments xmlns="http://schemas.openxmlformats.org/spreadsheetml/2006/main">
  <authors>
    <author/>
  </authors>
  <commentList>
    <comment ref="C2" authorId="0" shapeId="0">
      <text>
        <r>
          <rPr>
            <sz val="10"/>
            <color rgb="FF000000"/>
            <rFont val="Arial"/>
            <scheme val="minor"/>
          </rPr>
          <t>Based on fossil CO2 emissions in 2024, from: 
https://globalcarbonbudget.org/fossil-fuel-co2-emissions-increase-again-in-2024/
======</t>
        </r>
      </text>
    </comment>
    <comment ref="K2" authorId="0" shapeId="0">
      <text>
        <r>
          <rPr>
            <sz val="10"/>
            <color rgb="FF000000"/>
            <rFont val="Arial"/>
            <scheme val="minor"/>
          </rPr>
          <t>Based on the average annual rate of return of Norway's Government Pension Fund Global, as shown in March 2025 here: https://www.nbim.no/en/investments/returns/ 
======</t>
        </r>
      </text>
    </comment>
    <comment ref="K7" authorId="0" shapeId="0">
      <text>
        <r>
          <rPr>
            <sz val="10"/>
            <color rgb="FF000000"/>
            <rFont val="Arial"/>
            <scheme val="minor"/>
          </rPr>
          <t>This column assumes there is a grace year at the start of cap and share, in which the fund's capital from the charge is accumulating and only beginning to be invested, so it does not deliver income in that first year. The income begins to be delivered from the second year based on the investment's of the first year's capital, and so it continues. 
======</t>
        </r>
      </text>
    </comment>
    <comment ref="R7" authorId="0" shapeId="0">
      <text>
        <r>
          <rPr>
            <sz val="10"/>
            <color rgb="FF000000"/>
            <rFont val="Arial"/>
            <scheme val="minor"/>
          </rPr>
          <t>From Worldometer, as of 26th March 2025.
https://www.worldometers.info/world-population/world-population-projections/
======</t>
        </r>
      </text>
    </comment>
  </commentList>
</comments>
</file>

<file path=xl/comments3.xml><?xml version="1.0" encoding="utf-8"?>
<comments xmlns="http://schemas.openxmlformats.org/spreadsheetml/2006/main">
  <authors>
    <author/>
  </authors>
  <commentList>
    <comment ref="C2" authorId="0" shapeId="0">
      <text>
        <r>
          <rPr>
            <sz val="10"/>
            <color rgb="FF000000"/>
            <rFont val="Arial"/>
            <scheme val="minor"/>
          </rPr>
          <t>From the University of Notre Dame Climate Vulnerability Index, accessed 1st April 2025.
https://gain-new.crc.nd.edu/ranking/vulnerability
======</t>
        </r>
      </text>
    </comment>
    <comment ref="E2" authorId="0" shapeId="0">
      <text>
        <r>
          <rPr>
            <sz val="10"/>
            <color rgb="FF000000"/>
            <rFont val="Arial"/>
            <scheme val="minor"/>
          </rPr>
          <t>Amended to reflect the latest World Bank data as per the below, accessed 1st April 2025.
https://datahelpdesk.worldbank.org/knowledgebase/articles/906519-world-bank-country-and-lending-groups 
======</t>
        </r>
      </text>
    </comment>
    <comment ref="F2" authorId="0" shapeId="0">
      <text>
        <r>
          <rPr>
            <sz val="10"/>
            <color rgb="FF000000"/>
            <rFont val="Arial"/>
            <scheme val="minor"/>
          </rPr>
          <t>Average GNI per capita for this group, as per:
https://data.worldbank.org/indicator/NY.GNP.PCAP.CD
======</t>
        </r>
      </text>
    </comment>
    <comment ref="G2" authorId="0" shapeId="0">
      <text>
        <r>
          <rPr>
            <sz val="10"/>
            <color rgb="FF000000"/>
            <rFont val="Arial"/>
            <scheme val="minor"/>
          </rPr>
          <t>This is a measure I have invented to make the different carbon charge rates proportional to the average GNI per capita of the different income groups.
======</t>
        </r>
      </text>
    </comment>
    <comment ref="J2" authorId="0" shapeId="0">
      <text>
        <r>
          <rPr>
            <sz val="10"/>
            <color rgb="FF000000"/>
            <rFont val="Arial"/>
            <scheme val="minor"/>
          </rPr>
          <t>World Bank data is used here rather than the more detailed 'Our World in Data' estimates, as WB data is available all in one table and it needs to give only a rough scale in order to create an aggregate global carbon charge revenue estimate.
https://data.worldbank.org/indicator/EN.GHG.CO2.MT.CE.AR5
======</t>
        </r>
      </text>
    </comment>
    <comment ref="J71" authorId="0" shapeId="0">
      <text>
        <r>
          <rPr>
            <sz val="10"/>
            <color rgb="FF000000"/>
            <rFont val="Arial"/>
            <scheme val="minor"/>
          </rPr>
          <t>No data available
======</t>
        </r>
      </text>
    </comment>
    <comment ref="J93" authorId="0" shapeId="0">
      <text>
        <r>
          <rPr>
            <sz val="10"/>
            <color rgb="FF000000"/>
            <rFont val="Arial"/>
            <scheme val="minor"/>
          </rPr>
          <t>No data provided
======</t>
        </r>
      </text>
    </comment>
    <comment ref="J190" authorId="0" shapeId="0">
      <text>
        <r>
          <rPr>
            <sz val="10"/>
            <color rgb="FF000000"/>
            <rFont val="Arial"/>
            <scheme val="minor"/>
          </rPr>
          <t>No value given
======</t>
        </r>
      </text>
    </comment>
    <comment ref="J191" authorId="0" shapeId="0">
      <text>
        <r>
          <rPr>
            <sz val="10"/>
            <color rgb="FF000000"/>
            <rFont val="Arial"/>
            <scheme val="minor"/>
          </rPr>
          <t>No value given
======</t>
        </r>
      </text>
    </comment>
    <comment ref="J192" authorId="0" shapeId="0">
      <text>
        <r>
          <rPr>
            <sz val="10"/>
            <color rgb="FF000000"/>
            <rFont val="Arial"/>
            <scheme val="minor"/>
          </rPr>
          <t>No value given
======</t>
        </r>
      </text>
    </comment>
    <comment ref="J193" authorId="0" shapeId="0">
      <text>
        <r>
          <rPr>
            <sz val="10"/>
            <color rgb="FF000000"/>
            <rFont val="Arial"/>
            <scheme val="minor"/>
          </rPr>
          <t>No value given
======</t>
        </r>
      </text>
    </comment>
  </commentList>
</comments>
</file>

<file path=xl/comments4.xml><?xml version="1.0" encoding="utf-8"?>
<comments xmlns="http://schemas.openxmlformats.org/spreadsheetml/2006/main">
  <authors>
    <author/>
  </authors>
  <commentList>
    <comment ref="A6" authorId="0" shapeId="0">
      <text>
        <r>
          <rPr>
            <sz val="10"/>
            <color rgb="FF000000"/>
            <rFont val="Arial"/>
            <scheme val="minor"/>
          </rPr>
          <t>https://africa-energy-portal.org/news/malawi-us-based-quantel-launches-65-million-solar-pv-project-bwengu#:~:text=The%20project%20will%20require%20an,the%20locality%20of%20Ulalo%20Nyirenda
======</t>
        </r>
      </text>
    </comment>
    <comment ref="A12" authorId="0" shapeId="0">
      <text>
        <r>
          <rPr>
            <sz val="10"/>
            <color rgb="FF000000"/>
            <rFont val="Arial"/>
            <scheme val="minor"/>
          </rPr>
          <t>https://africa-energy-portal.org/news/malawi-us-based-quantel-launches-65-million-solar-pv-project-bwengu#:~:text=The%20project%20will%20require%20an,the%20locality%20of%20Ulalo%20Nyirenda
======</t>
        </r>
      </text>
    </comment>
    <comment ref="A18" authorId="0" shapeId="0">
      <text>
        <r>
          <rPr>
            <sz val="10"/>
            <color rgb="FF000000"/>
            <rFont val="Arial"/>
            <scheme val="minor"/>
          </rPr>
          <t>https://africa-energy-portal.org/news/malawi-us-based-quantel-launches-65-million-solar-pv-project-bwengu#:~:text=The%20project%20will%20require%20an,the%20locality%20of%20Ulalo%20Nyirenda
======</t>
        </r>
      </text>
    </comment>
    <comment ref="A40" authorId="0" shapeId="0">
      <text>
        <r>
          <rPr>
            <sz val="10"/>
            <color rgb="FF000000"/>
            <rFont val="Arial"/>
            <scheme val="minor"/>
          </rPr>
          <t>https://africa-energy-portal.org/news/malawi-us-based-quantel-launches-65-million-solar-pv-project-bwengu#:~:text=The%20project%20will%20require%20an,the%20locality%20of%20Ulalo%20Nyirenda
======</t>
        </r>
      </text>
    </comment>
    <comment ref="A43" authorId="0" shapeId="0">
      <text>
        <r>
          <rPr>
            <sz val="10"/>
            <color rgb="FF000000"/>
            <rFont val="Arial"/>
            <scheme val="minor"/>
          </rPr>
          <t>https://africa-energy-portal.org/news/malawi-us-based-quantel-launches-65-million-solar-pv-project-bwengu#:~:text=The%20project%20will%20require%20an,the%20locality%20of%20Ulalo%20Nyirenda
======</t>
        </r>
      </text>
    </comment>
    <comment ref="A46" authorId="0" shapeId="0">
      <text>
        <r>
          <rPr>
            <sz val="10"/>
            <color rgb="FF000000"/>
            <rFont val="Arial"/>
            <scheme val="minor"/>
          </rPr>
          <t>https://africa-energy-portal.org/news/malawi-us-based-quantel-launches-65-million-solar-pv-project-bwengu#:~:text=The%20project%20will%20require%20an,the%20locality%20of%20Ulalo%20Nyirenda
======</t>
        </r>
      </text>
    </comment>
    <comment ref="A52" authorId="0" shapeId="0">
      <text>
        <r>
          <rPr>
            <sz val="10"/>
            <color rgb="FF000000"/>
            <rFont val="Arial"/>
            <scheme val="minor"/>
          </rPr>
          <t>https://africa-energy-portal.org/news/malawi-us-based-quantel-launches-65-million-solar-pv-project-bwengu#:~:text=The%20project%20will%20require%20an,the%20locality%20of%20Ulalo%20Nyirenda
======</t>
        </r>
      </text>
    </comment>
    <comment ref="A53" authorId="0" shapeId="0">
      <text>
        <r>
          <rPr>
            <sz val="10"/>
            <color rgb="FF000000"/>
            <rFont val="Arial"/>
            <scheme val="minor"/>
          </rPr>
          <t>This assumes total power generation for a 50MW solar plant in Malawi to just over 100GW per year, based on a capacity factor of 23%. See calculations and sources in the footnote of the main paper which are also pasted below this table
======</t>
        </r>
      </text>
    </comment>
    <comment ref="A56" authorId="0" shapeId="0">
      <text>
        <r>
          <rPr>
            <sz val="10"/>
            <color rgb="FF000000"/>
            <rFont val="Arial"/>
            <scheme val="minor"/>
          </rPr>
          <t>https://africa-energy-portal.org/news/malawi-us-based-quantel-launches-65-million-solar-pv-project-bwengu#:~:text=The%20project%20will%20require%20an,the%20locality%20of%20Ulalo%20Nyirenda
======</t>
        </r>
      </text>
    </comment>
    <comment ref="A60" authorId="0" shapeId="0">
      <text>
        <r>
          <rPr>
            <sz val="10"/>
            <color rgb="FF000000"/>
            <rFont val="Arial"/>
            <scheme val="minor"/>
          </rPr>
          <t>https://africa-energy-portal.org/news/malawi-us-based-quantel-launches-65-million-solar-pv-project-bwengu#:~:text=The%20project%20will%20require%20an,the%20locality%20of%20Ulalo%20Nyirenda
======</t>
        </r>
      </text>
    </comment>
  </commentList>
</comments>
</file>

<file path=xl/comments5.xml><?xml version="1.0" encoding="utf-8"?>
<comments xmlns="http://schemas.openxmlformats.org/spreadsheetml/2006/main">
  <authors>
    <author/>
  </authors>
  <commentList>
    <comment ref="A2" authorId="0" shapeId="0">
      <text>
        <r>
          <rPr>
            <sz val="10"/>
            <color rgb="FF000000"/>
            <rFont val="Arial"/>
            <scheme val="minor"/>
          </rPr>
          <t>As per Worldometer's estimates for mid-year 2025
https://www.worldometers.info/world-population/malawi-population/
======</t>
        </r>
      </text>
    </comment>
    <comment ref="B2" authorId="0" shapeId="0">
      <text>
        <r>
          <rPr>
            <sz val="10"/>
            <color rgb="FF000000"/>
            <rFont val="Arial"/>
            <scheme val="minor"/>
          </rPr>
          <t>From mid 2025 estimate:
https://www.worldometers.info/world-population/ 
======</t>
        </r>
      </text>
    </comment>
    <comment ref="C2" authorId="0" shapeId="0">
      <text>
        <r>
          <rPr>
            <sz val="10"/>
            <color rgb="FF000000"/>
            <rFont val="Arial"/>
            <scheme val="minor"/>
          </rPr>
          <t>Based on fossil CO2 emissions in 2024, from: 
https://globalcarbonbudget.org/fossil-fuel-co2-emissions-increase-again-in-2024/
======</t>
        </r>
      </text>
    </comment>
    <comment ref="J2" authorId="0" shapeId="0">
      <text>
        <r>
          <rPr>
            <sz val="10"/>
            <color rgb="FF000000"/>
            <rFont val="Arial"/>
            <scheme val="minor"/>
          </rPr>
          <t>As of 19th March 2025, shown here:
https://www.nbim.no/
======</t>
        </r>
      </text>
    </comment>
    <comment ref="K2" authorId="0" shapeId="0">
      <text>
        <r>
          <rPr>
            <sz val="10"/>
            <color rgb="FF000000"/>
            <rFont val="Arial"/>
            <scheme val="minor"/>
          </rPr>
          <t>Latest (2023) data from the below says 55890000 but I am zeroing this as we're making it optional. 
https://ourworldindata.org/co2/country/malawi
======</t>
        </r>
      </text>
    </comment>
    <comment ref="M2" authorId="0" shapeId="0">
      <text>
        <r>
          <rPr>
            <sz val="10"/>
            <color rgb="FF000000"/>
            <rFont val="Arial"/>
            <scheme val="minor"/>
          </rPr>
          <t>Based on the average annual rate of return of Norway's Government Pension Fund Global, as shown in March 2025 here: https://www.nbim.no/en/investments/returns/ 
======</t>
        </r>
      </text>
    </comment>
    <comment ref="D4" authorId="0" shapeId="0">
      <text>
        <r>
          <rPr>
            <sz val="10"/>
            <color rgb="FF000000"/>
            <rFont val="Arial"/>
            <scheme val="minor"/>
          </rPr>
          <t>From consumption-based emissions, as shown here:   https://ourworldindata.org/co2/country/malawi  
======</t>
        </r>
      </text>
    </comment>
    <comment ref="L4" authorId="0" shapeId="0">
      <text>
        <r>
          <rPr>
            <sz val="10"/>
            <color rgb="FF000000"/>
            <rFont val="Arial"/>
            <scheme val="minor"/>
          </rPr>
          <t>The table on p47 of the below paper gives baseline and best case estimates, and says the revenues are for '2025-2040' However a range of possible start dates for the projects are ventured, all of which are after 2025. By averaging the numbers in various ways, and dividing by various numbers of operational years, I reach a broad average approximation of annual mining revenues of around $2.5 billion. This calculation assumes an average rate of profit of 5% of these revenues, and assumes that all of that profit is placed in the fund.
https://documents1.worldbank.org/curated/en/099012625203049046/pdf/P509269-9af6a5f8-385d-4189-8805-de8491a1767d.pdf
======</t>
        </r>
      </text>
    </comment>
    <comment ref="D7" authorId="0" shapeId="0">
      <text>
        <r>
          <rPr>
            <sz val="10"/>
            <color rgb="FF000000"/>
            <rFont val="Arial"/>
            <scheme val="minor"/>
          </rPr>
          <t>Coming back to this in 2025, I have struggled to understand this column. However I have eventually worked out that:
At first, the column shows the actual carbon emissions of the country in gigatonnes of CO2e. For Denmark, this amount starts off as being above their permitted cap (so they would need to buy additional national allowance from a country that has some going spare - the cost of this is shown in the next column). 
However, after a few years this overshoot on the cap would no longer be permitted. Therefore this column assumes that they successfully scale down their overshoot over several years, and then consume carbon only at the level permitted by their national cap, which continues to fall year on year.
======</t>
        </r>
      </text>
    </comment>
    <comment ref="J7" authorId="0" shapeId="0">
      <text>
        <r>
          <rPr>
            <sz val="10"/>
            <color rgb="FF000000"/>
            <rFont val="Arial"/>
            <scheme val="minor"/>
          </rPr>
          <t>To make this the 'minimal Norway' scenario, add '+E9' to the calculation in cell G9, then copy and paste this formula down the whole column. It is VITAL to do the same to the same column on the Norway spreadsheet too.
To turn it back to 'Malawi-only', take away this '+E9' formula component and again copy and paste that formula down the whole column.  It is VITAL to do the same to the same column on the Norway spreadsheet too.
======</t>
        </r>
      </text>
    </comment>
    <comment ref="M7" authorId="0" shapeId="0">
      <text>
        <r>
          <rPr>
            <sz val="10"/>
            <color rgb="FF000000"/>
            <rFont val="Arial"/>
            <scheme val="minor"/>
          </rPr>
          <t>This column assumes there is a grace year at the start of cap and share, in which the fund's capital from the charge is accumulating and only beginning to be invested, so it does not deliver income in that first year. The income begins to be delivered from the second year based on the investment's of the first year's capital, and so it continues. 
======</t>
        </r>
      </text>
    </comment>
    <comment ref="D10" authorId="0" shapeId="0">
      <text>
        <r>
          <rPr>
            <sz val="10"/>
            <color rgb="FF000000"/>
            <rFont val="Arial"/>
            <scheme val="minor"/>
          </rPr>
          <t>The amount added is the amount needed in order to reach Malawi's expected 2040 fossil fuel consumption level by that date, according to their 2021 NDC (see graph on pX):
https://unfccc.int/sites/default/files/NDC/2022-06/Malawi%20Updated%20NDC%20July%202021%20submitted.pdf
======</t>
        </r>
      </text>
    </comment>
    <comment ref="D24" authorId="0" shapeId="0">
      <text>
        <r>
          <rPr>
            <sz val="10"/>
            <color rgb="FF000000"/>
            <rFont val="Arial"/>
            <scheme val="minor"/>
          </rPr>
          <t>Expected fossil CO2e emissions as per Malawi's 2021 NDC - see the graph on pX of:
https://unfccc.int/sites/default/files/NDC/2022-06/Malawi%20Updated%20NDC%20July%202021%20submitted.pdf
======</t>
        </r>
      </text>
    </comment>
  </commentList>
</comments>
</file>

<file path=xl/comments6.xml><?xml version="1.0" encoding="utf-8"?>
<comments xmlns="http://schemas.openxmlformats.org/spreadsheetml/2006/main">
  <authors>
    <author/>
  </authors>
  <commentList>
    <comment ref="A2" authorId="0" shapeId="0">
      <text>
        <r>
          <rPr>
            <sz val="10"/>
            <color rgb="FF000000"/>
            <rFont val="Arial"/>
            <scheme val="minor"/>
          </rPr>
          <t>As per Worldometer's estimates for mid-year 2025
https://www.worldometers.info/world-population/norway-population/
======</t>
        </r>
      </text>
    </comment>
    <comment ref="B2" authorId="0" shapeId="0">
      <text>
        <r>
          <rPr>
            <sz val="10"/>
            <color rgb="FF000000"/>
            <rFont val="Arial"/>
            <scheme val="minor"/>
          </rPr>
          <t>From https://www.worldometers.info/world-population/ 
Accessed 5th March 2025
======</t>
        </r>
      </text>
    </comment>
    <comment ref="F2" authorId="0" shapeId="0">
      <text>
        <r>
          <rPr>
            <sz val="10"/>
            <color rgb="FF000000"/>
            <rFont val="Arial"/>
            <scheme val="minor"/>
          </rPr>
          <t>From the highest carbon charge already applied in the world, which is Uruguay's.
https://openknowledge.worldbank.org/server/api/core/bitstreams/253e6cdd-9631-4db2-8cc5-1d013956de15/content
======</t>
        </r>
      </text>
    </comment>
    <comment ref="J2" authorId="0" shapeId="0">
      <text>
        <r>
          <rPr>
            <sz val="10"/>
            <color rgb="FF000000"/>
            <rFont val="Arial"/>
            <scheme val="minor"/>
          </rPr>
          <t>As of 19th March 2025, shown here:
https://www.nbim.no/
======</t>
        </r>
      </text>
    </comment>
    <comment ref="K2" authorId="0" shapeId="0">
      <text>
        <r>
          <rPr>
            <sz val="10"/>
            <color rgb="FF000000"/>
            <rFont val="Arial"/>
            <scheme val="minor"/>
          </rPr>
          <t>Latest (2023) data says 2750000000
from the below, but I have zeroed this as we've decided this would be an optional extra. 
https://ourworldindata.org/co2/country/norway 
======</t>
        </r>
      </text>
    </comment>
    <comment ref="M2" authorId="0" shapeId="0">
      <text>
        <r>
          <rPr>
            <sz val="10"/>
            <color rgb="FF000000"/>
            <rFont val="Arial"/>
            <scheme val="minor"/>
          </rPr>
          <t>Based on the average annual rate of return of Norway's Government Pension Fund Global, as shown in March 2025 here: https://www.nbim.no/en/investments/returns/ 
======</t>
        </r>
      </text>
    </comment>
    <comment ref="C3" authorId="0" shapeId="0">
      <text>
        <r>
          <rPr>
            <sz val="10"/>
            <color rgb="FF000000"/>
            <rFont val="Arial"/>
            <scheme val="minor"/>
          </rPr>
          <t>Based on fossil CO2 emissions in 2024, from: 
https://globalcarbonbudget.org/fossil-fuel-co2-emissions-increase-again-in-2024/
======</t>
        </r>
      </text>
    </comment>
    <comment ref="D4" authorId="0" shapeId="0">
      <text>
        <r>
          <rPr>
            <sz val="10"/>
            <color rgb="FF000000"/>
            <rFont val="Arial"/>
            <scheme val="minor"/>
          </rPr>
          <t>From consumption-based emissions, as shown here:   https://ourworldindata.org/co2/country/norway
======</t>
        </r>
      </text>
    </comment>
    <comment ref="M7" authorId="0" shapeId="0">
      <text>
        <r>
          <rPr>
            <sz val="10"/>
            <color rgb="FF000000"/>
            <rFont val="Arial"/>
            <scheme val="minor"/>
          </rPr>
          <t>This column assumes there is a grace year at the start of cap and share, in which the fund's capital from the charge is accumulating and only beginning to be invested, so it does not deliver income in that first year. The income begins to be delivered from the second year based on the investment's of the first year's capital, and so it continues. 
======</t>
        </r>
      </text>
    </comment>
  </commentList>
</comments>
</file>

<file path=xl/comments7.xml><?xml version="1.0" encoding="utf-8"?>
<comments xmlns="http://schemas.openxmlformats.org/spreadsheetml/2006/main">
  <authors>
    <author/>
  </authors>
  <commentList>
    <comment ref="A2" authorId="0" shapeId="0">
      <text>
        <r>
          <rPr>
            <sz val="10"/>
            <color rgb="FF000000"/>
            <rFont val="Arial"/>
            <scheme val="minor"/>
          </rPr>
          <t>As per Worldometer's estimates for mid-year 2025
https://www.worldometers.info/world-population/malawi-population/
======</t>
        </r>
      </text>
    </comment>
    <comment ref="B2" authorId="0" shapeId="0">
      <text>
        <r>
          <rPr>
            <sz val="10"/>
            <color rgb="FF000000"/>
            <rFont val="Arial"/>
            <scheme val="minor"/>
          </rPr>
          <t>From mid 2025 estimate:
https://www.worldometers.info/world-population/ 
======</t>
        </r>
      </text>
    </comment>
    <comment ref="C2" authorId="0" shapeId="0">
      <text>
        <r>
          <rPr>
            <sz val="10"/>
            <color rgb="FF000000"/>
            <rFont val="Arial"/>
            <scheme val="minor"/>
          </rPr>
          <t>Based on fossil CO2 emissions in 2024, from: 
https://globalcarbonbudget.org/fossil-fuel-co2-emissions-increase-again-in-2024/
======</t>
        </r>
      </text>
    </comment>
    <comment ref="J2" authorId="0" shapeId="0">
      <text>
        <r>
          <rPr>
            <sz val="10"/>
            <color rgb="FF000000"/>
            <rFont val="Arial"/>
            <scheme val="minor"/>
          </rPr>
          <t>As of 19th March 2025, shown here:
https://www.nbim.no/
======</t>
        </r>
      </text>
    </comment>
    <comment ref="K2" authorId="0" shapeId="0">
      <text>
        <r>
          <rPr>
            <sz val="10"/>
            <color rgb="FF000000"/>
            <rFont val="Arial"/>
            <scheme val="minor"/>
          </rPr>
          <t>Latest (2023) data from the below says 55890000 but I am zeroing this as we're making it optional. 
https://ourworldindata.org/co2/country/malawi
======</t>
        </r>
      </text>
    </comment>
    <comment ref="M2" authorId="0" shapeId="0">
      <text>
        <r>
          <rPr>
            <sz val="10"/>
            <color rgb="FF000000"/>
            <rFont val="Arial"/>
            <scheme val="minor"/>
          </rPr>
          <t>Based on the average annual rate of return of Norway's Government Pension Fund Global, as shown in March 2025 here: https://www.nbim.no/en/investments/returns/ 
======</t>
        </r>
      </text>
    </comment>
    <comment ref="D4" authorId="0" shapeId="0">
      <text>
        <r>
          <rPr>
            <sz val="10"/>
            <color rgb="FF000000"/>
            <rFont val="Arial"/>
            <scheme val="minor"/>
          </rPr>
          <t>From consumption-based emissions, as shown here:   https://ourworldindata.org/co2/country/malawi  
======</t>
        </r>
      </text>
    </comment>
    <comment ref="L4" authorId="0" shapeId="0">
      <text>
        <r>
          <rPr>
            <sz val="10"/>
            <color rgb="FF000000"/>
            <rFont val="Arial"/>
            <scheme val="minor"/>
          </rPr>
          <t>The table on p47 of the below paper gives baseline and best case estimates, and says the revenues are for '2025-2040' However a range of possible start dates for the projects are ventured, all of which are after 2025. By averaging the numbers in various ways, and dividing by various numbers of operational years, I reach a broad average approximation of annual mining revenues of around $2.5 billion. This calculation assumes an average rate of profit of 5% of these revenues, and assumes that all of that profit is placed in the fund.
https://documents1.worldbank.org/curated/en/099012625203049046/pdf/P509269-9af6a5f8-385d-4189-8805-de8491a1767d.pdf
======</t>
        </r>
      </text>
    </comment>
    <comment ref="D7" authorId="0" shapeId="0">
      <text>
        <r>
          <rPr>
            <sz val="10"/>
            <color rgb="FF000000"/>
            <rFont val="Arial"/>
            <scheme val="minor"/>
          </rPr>
          <t>Coming back to this in 2025, I have struggled to understand this column. However I have eventually worked out that:
At first, the column shows the actual carbon emissions of the country in gigatonnes of CO2e. For Denmark, this amount starts off as being above their permitted cap (so they would need to buy additional national allowance from a country that has some going spare - the cost of this is shown in the next column). 
However, after a few years this overshoot on the cap would no longer be permitted. Therefore this column assumes that they successfully scale down their overshoot over several years, and then consume carbon only at the level permitted by their national cap, which continues to fall year on year.
======</t>
        </r>
      </text>
    </comment>
    <comment ref="J7" authorId="0" shapeId="0">
      <text>
        <r>
          <rPr>
            <sz val="10"/>
            <color rgb="FF000000"/>
            <rFont val="Arial"/>
            <scheme val="minor"/>
          </rPr>
          <t>This includes the amount received from Norway via their purchase of some of Malawi's extra national allowance capacity. 
n.b. In Norway's model, this amount is exogenous to the model, i.e. it would need be paid by the Government of Norway, not taken out of carbon charge or fund money.
======</t>
        </r>
      </text>
    </comment>
    <comment ref="M7" authorId="0" shapeId="0">
      <text>
        <r>
          <rPr>
            <sz val="10"/>
            <color rgb="FF000000"/>
            <rFont val="Arial"/>
            <scheme val="minor"/>
          </rPr>
          <t>This column assumes there is a grace year at the start of cap and share, in which the fund's capital from the charge is accumulating and only beginning to be invested, so it does not deliver income in that first year. The income begins to be delivered from the second year based on the investment's of the first year's capital, and so it continues. 
======</t>
        </r>
      </text>
    </comment>
    <comment ref="D10" authorId="0" shapeId="0">
      <text>
        <r>
          <rPr>
            <sz val="10"/>
            <color rgb="FF000000"/>
            <rFont val="Arial"/>
            <scheme val="minor"/>
          </rPr>
          <t>The amount added is the amount needed in order to reach Malawi's expected 2040 fossil fuel consumption level by that date, according to their 2021 NDC (see graph on pX):
https://unfccc.int/sites/default/files/NDC/2022-06/Malawi%20Updated%20NDC%20July%202021%20submitted.pdf
======</t>
        </r>
      </text>
    </comment>
    <comment ref="D24" authorId="0" shapeId="0">
      <text>
        <r>
          <rPr>
            <sz val="10"/>
            <color rgb="FF000000"/>
            <rFont val="Arial"/>
            <scheme val="minor"/>
          </rPr>
          <t>Expected fossil CO2e emissions as per Malawi's 2021 NDC - see the graph on pX of:
https://unfccc.int/sites/default/files/NDC/2022-06/Malawi%20Updated%20NDC%20July%202021%20submitted.pdf
======</t>
        </r>
      </text>
    </comment>
  </commentList>
</comments>
</file>

<file path=xl/comments8.xml><?xml version="1.0" encoding="utf-8"?>
<comments xmlns="http://schemas.openxmlformats.org/spreadsheetml/2006/main">
  <authors>
    <author/>
  </authors>
  <commentList>
    <comment ref="I4" authorId="0" shapeId="0">
      <text>
        <r>
          <rPr>
            <sz val="10"/>
            <color rgb="FF000000"/>
            <rFont val="Arial"/>
            <scheme val="minor"/>
          </rPr>
          <t>From https://www.racfoundation.org/data/cost-of-filling-up-average-car-uk-chart 
======</t>
        </r>
      </text>
    </comment>
    <comment ref="H5" authorId="0" shapeId="0">
      <text>
        <r>
          <rPr>
            <sz val="10"/>
            <color rgb="FF000000"/>
            <rFont val="Arial"/>
            <scheme val="minor"/>
          </rPr>
          <t>From Fuels tab, cell D101:
https://www.gov.uk/government/publications/greenhouse-gas-reporting-conversion-factors-2024
======</t>
        </r>
      </text>
    </comment>
    <comment ref="H6" authorId="0" shapeId="0">
      <text>
        <r>
          <rPr>
            <sz val="10"/>
            <color rgb="FF000000"/>
            <rFont val="Arial"/>
            <scheme val="minor"/>
          </rPr>
          <t>From Fuels tab, cell D68:
https://www.gov.uk/government/publications/greenhouse-gas-reporting-conversion-factors-2024
======</t>
        </r>
      </text>
    </comment>
  </commentList>
</comments>
</file>

<file path=xl/comments9.xml><?xml version="1.0" encoding="utf-8"?>
<comments xmlns="http://schemas.openxmlformats.org/spreadsheetml/2006/main">
  <authors>
    <author/>
  </authors>
  <commentList>
    <comment ref="B4" authorId="0" shapeId="0">
      <text>
        <r>
          <rPr>
            <sz val="10"/>
            <color rgb="FF000000"/>
            <rFont val="Arial"/>
            <scheme val="minor"/>
          </rPr>
          <t>https://ourworldindata.org/co2/country/norway
======</t>
        </r>
      </text>
    </comment>
  </commentList>
</comments>
</file>

<file path=xl/comments10.xml><?xml version="1.0" encoding="utf-8"?>
<comments xmlns="http://schemas.openxmlformats.org/spreadsheetml/2006/main">
  <authors>
    <author/>
  </authors>
  <commentList>
    <comment ref="A2" authorId="0" shapeId="0">
      <text>
        <r>
          <rPr>
            <sz val="10"/>
            <color rgb="FF000000"/>
            <rFont val="Arial"/>
            <scheme val="minor"/>
          </rPr>
          <t>As per Worldometer's estimates for mid-year 2025
https://www.worldometers.info/world-population/brazil-population/
======</t>
        </r>
      </text>
    </comment>
    <comment ref="B2" authorId="0" shapeId="0">
      <text>
        <r>
          <rPr>
            <sz val="10"/>
            <color rgb="FF000000"/>
            <rFont val="Arial"/>
            <scheme val="minor"/>
          </rPr>
          <t>From https://www.worldometers.info/world-population/ 
Accessed 5th March 2025
======</t>
        </r>
      </text>
    </comment>
    <comment ref="F2" authorId="0" shapeId="0">
      <text>
        <r>
          <rPr>
            <sz val="10"/>
            <color rgb="FF000000"/>
            <rFont val="Arial"/>
            <scheme val="minor"/>
          </rPr>
          <t>From the highest carbon charge already applied in the world, which is Uruguay's.
https://openknowledge.worldbank.org/server/api/core/bitstreams/253e6cdd-9631-4db2-8cc5-1d013956de15/content
======</t>
        </r>
      </text>
    </comment>
    <comment ref="J2" authorId="0" shapeId="0">
      <text>
        <r>
          <rPr>
            <sz val="10"/>
            <color rgb="FF000000"/>
            <rFont val="Arial"/>
            <scheme val="minor"/>
          </rPr>
          <t>As of 19th March 2025, shown here:
https://www.nbim.no/
======</t>
        </r>
      </text>
    </comment>
    <comment ref="K2" authorId="0" shapeId="0">
      <text>
        <r>
          <rPr>
            <sz val="10"/>
            <color rgb="FF000000"/>
            <rFont val="Arial"/>
            <scheme val="minor"/>
          </rPr>
          <t>Latest (2023) data from https://ourworldindata.org/co2/country/norway 
======</t>
        </r>
      </text>
    </comment>
    <comment ref="M2" authorId="0" shapeId="0">
      <text>
        <r>
          <rPr>
            <sz val="10"/>
            <color rgb="FF000000"/>
            <rFont val="Arial"/>
            <scheme val="minor"/>
          </rPr>
          <t>Based on the average annual rate of return of Norway's Government Pension Fund Global, as shown in March 2025 here: https://www.nbim.no/en/investments/returns/ 
======</t>
        </r>
      </text>
    </comment>
    <comment ref="C3" authorId="0" shapeId="0">
      <text>
        <r>
          <rPr>
            <sz val="10"/>
            <color rgb="FF000000"/>
            <rFont val="Arial"/>
            <scheme val="minor"/>
          </rPr>
          <t>Based on fossil CO2 emissions in 2024, from: 
https://globalcarbonbudget.org/fossil-fuel-co2-emissions-increase-again-in-2024/
======</t>
        </r>
      </text>
    </comment>
    <comment ref="D4" authorId="0" shapeId="0">
      <text>
        <r>
          <rPr>
            <sz val="10"/>
            <color rgb="FF000000"/>
            <rFont val="Arial"/>
            <scheme val="minor"/>
          </rPr>
          <t>From consumption-based emissions, as shown here:   https://ourworldindata.org/co2/country/norway
======</t>
        </r>
      </text>
    </comment>
  </commentList>
</comments>
</file>

<file path=xl/comments11.xml><?xml version="1.0" encoding="utf-8"?>
<comments xmlns="http://schemas.openxmlformats.org/spreadsheetml/2006/main">
  <authors>
    <author/>
  </authors>
  <commentList>
    <comment ref="A2" authorId="0" shapeId="0">
      <text>
        <r>
          <rPr>
            <sz val="10"/>
            <color rgb="FF000000"/>
            <rFont val="Arial"/>
            <scheme val="minor"/>
          </rPr>
          <t>As per Worldometer's estimates for mid-year 2025
https://www.worldometers.info/world-population/brazil-population/
======</t>
        </r>
      </text>
    </comment>
    <comment ref="B2" authorId="0" shapeId="0">
      <text>
        <r>
          <rPr>
            <sz val="10"/>
            <color rgb="FF000000"/>
            <rFont val="Arial"/>
            <scheme val="minor"/>
          </rPr>
          <t>From https://www.worldometers.info/world-population/ 
Accessed 5th March 2025
======</t>
        </r>
      </text>
    </comment>
    <comment ref="F2" authorId="0" shapeId="0">
      <text>
        <r>
          <rPr>
            <sz val="10"/>
            <color rgb="FF000000"/>
            <rFont val="Arial"/>
            <scheme val="minor"/>
          </rPr>
          <t>From the highest carbon charge already applied in the world, which is Uruguay's.
https://openknowledge.worldbank.org/server/api/core/bitstreams/253e6cdd-9631-4db2-8cc5-1d013956de15/content
======</t>
        </r>
      </text>
    </comment>
    <comment ref="J2" authorId="0" shapeId="0">
      <text>
        <r>
          <rPr>
            <sz val="10"/>
            <color rgb="FF000000"/>
            <rFont val="Arial"/>
            <scheme val="minor"/>
          </rPr>
          <t>As of 19th March 2025, shown here:
https://www.nbim.no/
======</t>
        </r>
      </text>
    </comment>
    <comment ref="K2" authorId="0" shapeId="0">
      <text>
        <r>
          <rPr>
            <sz val="10"/>
            <color rgb="FF000000"/>
            <rFont val="Arial"/>
            <scheme val="minor"/>
          </rPr>
          <t>Latest (2023) data from https://ourworldindata.org/co2/country/norway 
======</t>
        </r>
      </text>
    </comment>
    <comment ref="M2" authorId="0" shapeId="0">
      <text>
        <r>
          <rPr>
            <sz val="10"/>
            <color rgb="FF000000"/>
            <rFont val="Arial"/>
            <scheme val="minor"/>
          </rPr>
          <t>Based on the average annual rate of return of Norway's Government Pension Fund Global, as shown in March 2025 here: https://www.nbim.no/en/investments/returns/ 
======</t>
        </r>
      </text>
    </comment>
    <comment ref="C3" authorId="0" shapeId="0">
      <text>
        <r>
          <rPr>
            <sz val="10"/>
            <color rgb="FF000000"/>
            <rFont val="Arial"/>
            <scheme val="minor"/>
          </rPr>
          <t>Based on fossil CO2 emissions in 2024, from: 
https://globalcarbonbudget.org/fossil-fuel-co2-emissions-increase-again-in-2024/
======</t>
        </r>
      </text>
    </comment>
    <comment ref="D4" authorId="0" shapeId="0">
      <text>
        <r>
          <rPr>
            <sz val="10"/>
            <color rgb="FF000000"/>
            <rFont val="Arial"/>
            <scheme val="minor"/>
          </rPr>
          <t>From consumption-based emissions, as shown here:   https://ourworldindata.org/co2/country/norway
======</t>
        </r>
      </text>
    </comment>
  </commentList>
</comments>
</file>

<file path=xl/comments12.xml><?xml version="1.0" encoding="utf-8"?>
<comments xmlns="http://schemas.openxmlformats.org/spreadsheetml/2006/main">
  <authors>
    <author/>
  </authors>
  <commentList>
    <comment ref="A2" authorId="0" shapeId="0">
      <text>
        <r>
          <rPr>
            <sz val="10"/>
            <color rgb="FF000000"/>
            <rFont val="Arial"/>
            <scheme val="minor"/>
          </rPr>
          <t>As per Worldometer's estimates for mid-year 2025
https://www.worldometers.info/world-population/brazil-population/
======</t>
        </r>
      </text>
    </comment>
    <comment ref="B2" authorId="0" shapeId="0">
      <text>
        <r>
          <rPr>
            <sz val="10"/>
            <color rgb="FF000000"/>
            <rFont val="Arial"/>
            <scheme val="minor"/>
          </rPr>
          <t>From https://www.worldometers.info/world-population/ 
Accessed 5th March 2025
======</t>
        </r>
      </text>
    </comment>
    <comment ref="F2" authorId="0" shapeId="0">
      <text>
        <r>
          <rPr>
            <sz val="10"/>
            <color rgb="FF000000"/>
            <rFont val="Arial"/>
            <scheme val="minor"/>
          </rPr>
          <t>From the highest carbon charge already applied in the world, which is Uruguay's.
https://openknowledge.worldbank.org/server/api/core/bitstreams/253e6cdd-9631-4db2-8cc5-1d013956de15/content
======</t>
        </r>
      </text>
    </comment>
    <comment ref="J2" authorId="0" shapeId="0">
      <text>
        <r>
          <rPr>
            <sz val="10"/>
            <color rgb="FF000000"/>
            <rFont val="Arial"/>
            <scheme val="minor"/>
          </rPr>
          <t>As of 19th March 2025, shown here:
https://www.nbim.no/
======</t>
        </r>
      </text>
    </comment>
    <comment ref="K2" authorId="0" shapeId="0">
      <text>
        <r>
          <rPr>
            <sz val="10"/>
            <color rgb="FF000000"/>
            <rFont val="Arial"/>
            <scheme val="minor"/>
          </rPr>
          <t>Latest (2023) data from https://ourworldindata.org/co2/country/norway 
======</t>
        </r>
      </text>
    </comment>
    <comment ref="M2" authorId="0" shapeId="0">
      <text>
        <r>
          <rPr>
            <sz val="10"/>
            <color rgb="FF000000"/>
            <rFont val="Arial"/>
            <scheme val="minor"/>
          </rPr>
          <t>Based on the average annual rate of return of Norway's Government Pension Fund Global, as shown in March 2025 here: https://www.nbim.no/en/investments/returns/ 
======</t>
        </r>
      </text>
    </comment>
    <comment ref="C3" authorId="0" shapeId="0">
      <text>
        <r>
          <rPr>
            <sz val="10"/>
            <color rgb="FF000000"/>
            <rFont val="Arial"/>
            <scheme val="minor"/>
          </rPr>
          <t>Based on fossil CO2 emissions in 2024, from: 
https://globalcarbonbudget.org/fossil-fuel-co2-emissions-increase-again-in-2024/
======</t>
        </r>
      </text>
    </comment>
    <comment ref="D4" authorId="0" shapeId="0">
      <text>
        <r>
          <rPr>
            <sz val="10"/>
            <color rgb="FF000000"/>
            <rFont val="Arial"/>
            <scheme val="minor"/>
          </rPr>
          <t>From consumption-based emissions, as shown here:   https://ourworldindata.org/co2/country/norway
======</t>
        </r>
      </text>
    </comment>
  </commentList>
</comments>
</file>

<file path=xl/sharedStrings.xml><?xml version="1.0" encoding="utf-8"?>
<sst xmlns="http://schemas.openxmlformats.org/spreadsheetml/2006/main" count="2364" uniqueCount="517">
  <si>
    <t>Scenario 1: Cut extraction by 10% per year, $1 trillion climate grants</t>
  </si>
  <si>
    <t>Parameters</t>
  </si>
  <si>
    <t>Initial  fossil fuel extraction cap (gigatonnes of CO2e)</t>
  </si>
  <si>
    <t>Initial carbon charge (per extracted tonne of CO2e)</t>
  </si>
  <si>
    <t>Running costs of Trust (% of charge money raised)</t>
  </si>
  <si>
    <t>Initial proportion of charge proceeds going into the Fund (% of total proceeds)</t>
  </si>
  <si>
    <t>Management costs of the Fund (% of total Fund capital expended)</t>
  </si>
  <si>
    <t>Assumed annual rate of return on Fund investments</t>
  </si>
  <si>
    <t>Year that money from distribution pot starts getting reinvested</t>
  </si>
  <si>
    <t>Distribution costs of the pot (% of total distributed)</t>
  </si>
  <si>
    <t>Amount of pot to be distributed as climate grants</t>
  </si>
  <si>
    <t>Initial global population expected in 2025</t>
  </si>
  <si>
    <t>Proportion of global population to receive dividends</t>
  </si>
  <si>
    <t>2075</t>
  </si>
  <si>
    <t>Annual shrinkage of cap</t>
  </si>
  <si>
    <t>Annual growth of charge</t>
  </si>
  <si>
    <t>Initial annual increase in proportion going into the Fund (% of total proceeds)</t>
  </si>
  <si>
    <t>After 2035 annual increase in proportion going into the Fund (% of total proceeds)</t>
  </si>
  <si>
    <t>Starting endowment of the fund</t>
  </si>
  <si>
    <t>Maximum proportion that gets reinvested</t>
  </si>
  <si>
    <t>Alternatively, proportion of pot to be distributed as climate grants</t>
  </si>
  <si>
    <t>Description of segment of population to receive dividends</t>
  </si>
  <si>
    <t>All adults and children worldwide</t>
  </si>
  <si>
    <t>From start</t>
  </si>
  <si>
    <t>Year</t>
  </si>
  <si>
    <t>Carbon cap (gigatonnes of CO2e)</t>
  </si>
  <si>
    <t>Carbon charge</t>
  </si>
  <si>
    <t>Amount raised</t>
  </si>
  <si>
    <t>Amount raised less 0.5% Trust costs</t>
  </si>
  <si>
    <t>Proportion of this amount going into the Fund</t>
  </si>
  <si>
    <t>Amount being placed in the Fund this year</t>
  </si>
  <si>
    <t>Total capital amount that would be in the Fund if there were no management costs</t>
  </si>
  <si>
    <t>Total capital amount in the Fund less cumulative 0.05% Fund management costs</t>
  </si>
  <si>
    <t>Investment income of the Fund this year</t>
  </si>
  <si>
    <t>Amount to be directly distributed (bypassing the Fund)</t>
  </si>
  <si>
    <t>Total amount in this year's pot for distribution</t>
  </si>
  <si>
    <t>Amount from distribution pot to go back into Fund for reinvestment</t>
  </si>
  <si>
    <t>Total distribution pot less 0.5% distribution costs, and less any amount going back to the Fund</t>
  </si>
  <si>
    <t>Amount to be distributed as climate grants</t>
  </si>
  <si>
    <t>Amount left in pot after climate grants distribution</t>
  </si>
  <si>
    <t>Global population (projected for 1st January each year)</t>
  </si>
  <si>
    <t>Monthly dividend per person</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</si>
  <si>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</si>
  <si>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</si>
  <si>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</si>
  <si>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</si>
  <si>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</si>
  <si>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</si>
  <si>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</si>
  <si>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</si>
  <si>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</si>
  <si>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</si>
  <si>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</si>
  <si>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</si>
  <si>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</si>
  <si>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</si>
  <si>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</si>
  <si>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</si>
  <si>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</si>
  <si>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</si>
  <si>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</si>
  <si>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</si>
  <si>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Year 21</t>
  </si>
  <si>
    <t>Year 22</t>
  </si>
  <si>
    <t>Year 23</t>
  </si>
  <si>
    <t>Year 24</t>
  </si>
  <si>
    <t>Year 25</t>
  </si>
  <si>
    <t>Year 26</t>
  </si>
  <si>
    <t>Year 27</t>
  </si>
  <si>
    <t>Year 28</t>
  </si>
  <si>
    <t>Year 29</t>
  </si>
  <si>
    <t>Year 30</t>
  </si>
  <si>
    <t>Year 31</t>
  </si>
  <si>
    <t>Year 32</t>
  </si>
  <si>
    <t>Year 33</t>
  </si>
  <si>
    <t>Year 34</t>
  </si>
  <si>
    <t>Year 35</t>
  </si>
  <si>
    <t>Year 36</t>
  </si>
  <si>
    <t>Year 37</t>
  </si>
  <si>
    <t>Year 38</t>
  </si>
  <si>
    <t>Year 39</t>
  </si>
  <si>
    <t>Year 40</t>
  </si>
  <si>
    <t>Year 41</t>
  </si>
  <si>
    <t>Year 42</t>
  </si>
  <si>
    <t>Year 43</t>
  </si>
  <si>
    <t>Year 44</t>
  </si>
  <si>
    <t>Year 45</t>
  </si>
  <si>
    <t>Year 46</t>
  </si>
  <si>
    <t>Year 47</t>
  </si>
  <si>
    <t>Year 48</t>
  </si>
  <si>
    <t>Year 49</t>
  </si>
  <si>
    <t>Year 50</t>
  </si>
  <si>
    <t>Year 51</t>
  </si>
  <si>
    <t>Year 52</t>
  </si>
  <si>
    <t>Year 53</t>
  </si>
  <si>
    <t>Year 54</t>
  </si>
  <si>
    <t>Year 55</t>
  </si>
  <si>
    <t>Year 56</t>
  </si>
  <si>
    <t>Year 57</t>
  </si>
  <si>
    <t>Year 58</t>
  </si>
  <si>
    <t>Year 59</t>
  </si>
  <si>
    <t>Year 60</t>
  </si>
  <si>
    <t>Year 61</t>
  </si>
  <si>
    <t>Year 62</t>
  </si>
  <si>
    <t>Year 63</t>
  </si>
  <si>
    <t>Year 64</t>
  </si>
  <si>
    <t>Year 65</t>
  </si>
  <si>
    <t>Year 66</t>
  </si>
  <si>
    <t>Year 67</t>
  </si>
  <si>
    <t>Year 68</t>
  </si>
  <si>
    <t>Year 69</t>
  </si>
  <si>
    <t>Year 70</t>
  </si>
  <si>
    <t>Year 71</t>
  </si>
  <si>
    <t>Year 72</t>
  </si>
  <si>
    <t>Year 73</t>
  </si>
  <si>
    <t>Year 74</t>
  </si>
  <si>
    <t>Year 75</t>
  </si>
  <si>
    <t>Year 76</t>
  </si>
  <si>
    <t>Year 77</t>
  </si>
  <si>
    <t>Year 78</t>
  </si>
  <si>
    <t>Year 79</t>
  </si>
  <si>
    <t>Year 80</t>
  </si>
  <si>
    <t>Year 81</t>
  </si>
  <si>
    <t>Year 82</t>
  </si>
  <si>
    <t>Year 83</t>
  </si>
  <si>
    <t>Year 84</t>
  </si>
  <si>
    <t>Year 85</t>
  </si>
  <si>
    <t>Year 86</t>
  </si>
  <si>
    <t>Year 87</t>
  </si>
  <si>
    <t>Year 88</t>
  </si>
  <si>
    <t>Year 89</t>
  </si>
  <si>
    <t>Year 90</t>
  </si>
  <si>
    <t>Year 91</t>
  </si>
  <si>
    <t>Year 92</t>
  </si>
  <si>
    <t>Year 93</t>
  </si>
  <si>
    <t>Year 94</t>
  </si>
  <si>
    <t>Year 95</t>
  </si>
  <si>
    <t>Year 96</t>
  </si>
  <si>
    <t>Year 97</t>
  </si>
  <si>
    <t>Year 98</t>
  </si>
  <si>
    <t>Year 99</t>
  </si>
  <si>
    <t>Year 100</t>
  </si>
  <si>
    <t>Year 101</t>
  </si>
  <si>
    <t>Year 102</t>
  </si>
  <si>
    <t>Year 103</t>
  </si>
  <si>
    <t>Year 104</t>
  </si>
  <si>
    <t>Year 105</t>
  </si>
  <si>
    <t>Year 106</t>
  </si>
  <si>
    <t>Year 107</t>
  </si>
  <si>
    <t>Year 108</t>
  </si>
  <si>
    <t>Year 109</t>
  </si>
  <si>
    <t>Year 110</t>
  </si>
  <si>
    <t>Year 111</t>
  </si>
  <si>
    <t>Year 112</t>
  </si>
  <si>
    <t>Year 113</t>
  </si>
  <si>
    <t>Year 114</t>
  </si>
  <si>
    <t>Year 115</t>
  </si>
  <si>
    <t>Year 116</t>
  </si>
  <si>
    <t>Year 117</t>
  </si>
  <si>
    <t>Year 118</t>
  </si>
  <si>
    <t>Year 119</t>
  </si>
  <si>
    <t>Year 120</t>
  </si>
  <si>
    <t>Year 121</t>
  </si>
  <si>
    <t>Year 122</t>
  </si>
  <si>
    <t>Year 123</t>
  </si>
  <si>
    <t>Year 124</t>
  </si>
  <si>
    <t>Year 125</t>
  </si>
  <si>
    <t>Year 126</t>
  </si>
  <si>
    <t>Year 127</t>
  </si>
  <si>
    <t>Year 128</t>
  </si>
  <si>
    <t>Year 129</t>
  </si>
  <si>
    <t>Year 130</t>
  </si>
  <si>
    <t>Year 131</t>
  </si>
  <si>
    <t>Year 132</t>
  </si>
  <si>
    <t>Year 133</t>
  </si>
  <si>
    <t>Year 134</t>
  </si>
  <si>
    <t>Year 135</t>
  </si>
  <si>
    <t>Year 136</t>
  </si>
  <si>
    <t>Year 137</t>
  </si>
  <si>
    <t>Year 138</t>
  </si>
  <si>
    <t>Year 139</t>
  </si>
  <si>
    <t>Year 140</t>
  </si>
  <si>
    <t>Year 141</t>
  </si>
  <si>
    <t>Year 142</t>
  </si>
  <si>
    <t>Year 143</t>
  </si>
  <si>
    <t>Year 144</t>
  </si>
  <si>
    <t>Year 145</t>
  </si>
  <si>
    <t>Year 146</t>
  </si>
  <si>
    <t>Year 147</t>
  </si>
  <si>
    <t>Year 148</t>
  </si>
  <si>
    <t>Year 149</t>
  </si>
  <si>
    <t>Year 150</t>
  </si>
  <si>
    <t>Year 151</t>
  </si>
  <si>
    <t>Year 152</t>
  </si>
  <si>
    <t>Year 153</t>
  </si>
  <si>
    <t>Year 154</t>
  </si>
  <si>
    <t>Year 155</t>
  </si>
  <si>
    <t>Year 156</t>
  </si>
  <si>
    <t>Year 157</t>
  </si>
  <si>
    <t>Year 158</t>
  </si>
  <si>
    <t>Year 159</t>
  </si>
  <si>
    <t>Year 160</t>
  </si>
  <si>
    <t>Year 161</t>
  </si>
  <si>
    <t>Year 162</t>
  </si>
  <si>
    <t>Year 163</t>
  </si>
  <si>
    <t>Year 164</t>
  </si>
  <si>
    <t>Year 165</t>
  </si>
  <si>
    <t>Year 166</t>
  </si>
  <si>
    <t>Year 167</t>
  </si>
  <si>
    <t>Year 168</t>
  </si>
  <si>
    <t>Year 169</t>
  </si>
  <si>
    <t>Year 170</t>
  </si>
  <si>
    <t>Year 171</t>
  </si>
  <si>
    <t>Year 172</t>
  </si>
  <si>
    <t>Year 173</t>
  </si>
  <si>
    <t>Year 174</t>
  </si>
  <si>
    <t>Year 175</t>
  </si>
  <si>
    <t>Year 176</t>
  </si>
  <si>
    <t>Total CO2e extraction permitted by 2200 (gigatonnes)</t>
  </si>
  <si>
    <t>Total captured for the people of the world and to climate work</t>
  </si>
  <si>
    <t>Total carbon charges placed in the Fund</t>
  </si>
  <si>
    <t>Total distributed to the people of the world and to climate work</t>
  </si>
  <si>
    <t>Charge based on country income group - smaller jumps</t>
  </si>
  <si>
    <t>CVI rank</t>
  </si>
  <si>
    <t>Country</t>
  </si>
  <si>
    <t>CVI index score</t>
  </si>
  <si>
    <t>Discount applied to carbon charge for CVI score</t>
  </si>
  <si>
    <t>Income group</t>
  </si>
  <si>
    <t>Average GNI per capita for this income group</t>
  </si>
  <si>
    <t>Income group index multiplier</t>
  </si>
  <si>
    <t>Carbon charge start point (no discounts)</t>
  </si>
  <si>
    <t>Carbon charge start point with CVI discounts</t>
  </si>
  <si>
    <t>Annual emissions (Mt CO2e)</t>
  </si>
  <si>
    <t>Carbon charge raised in Year 1</t>
  </si>
  <si>
    <r>
      <rPr>
        <b/>
        <i/>
        <u/>
        <sz val="11"/>
        <color rgb="FF1155CC"/>
        <rFont val="Arial"/>
        <scheme val="minor"/>
      </rPr>
      <t>Switzerland</t>
    </r>
  </si>
  <si>
    <t>High</t>
  </si>
  <si>
    <r>
      <rPr>
        <b/>
        <i/>
        <u/>
        <sz val="11"/>
        <color rgb="FF1155CC"/>
        <rFont val="Arial"/>
        <scheme val="minor"/>
      </rPr>
      <t>Czech Republic</t>
    </r>
  </si>
  <si>
    <r>
      <rPr>
        <b/>
        <i/>
        <u/>
        <sz val="11"/>
        <color rgb="FF1155CC"/>
        <rFont val="Arial"/>
        <scheme val="minor"/>
      </rPr>
      <t>Norway</t>
    </r>
  </si>
  <si>
    <r>
      <rPr>
        <b/>
        <i/>
        <u/>
        <sz val="11"/>
        <color rgb="FF1155CC"/>
        <rFont val="Arial"/>
        <scheme val="minor"/>
      </rPr>
      <t>Canada</t>
    </r>
  </si>
  <si>
    <r>
      <rPr>
        <b/>
        <i/>
        <u/>
        <sz val="11"/>
        <color rgb="FF1155CC"/>
        <rFont val="Arial"/>
        <scheme val="minor"/>
      </rPr>
      <t>United Kingdom</t>
    </r>
  </si>
  <si>
    <r>
      <rPr>
        <b/>
        <i/>
        <u/>
        <sz val="11"/>
        <color rgb="FF1155CC"/>
        <rFont val="Arial"/>
        <scheme val="minor"/>
      </rPr>
      <t>Spain</t>
    </r>
  </si>
  <si>
    <r>
      <rPr>
        <b/>
        <i/>
        <u/>
        <sz val="11"/>
        <color rgb="FF1155CC"/>
        <rFont val="Arial"/>
        <scheme val="minor"/>
      </rPr>
      <t>Israel</t>
    </r>
  </si>
  <si>
    <r>
      <rPr>
        <b/>
        <i/>
        <u/>
        <sz val="11"/>
        <color rgb="FF1155CC"/>
        <rFont val="Arial"/>
        <scheme val="minor"/>
      </rPr>
      <t>Finland</t>
    </r>
  </si>
  <si>
    <r>
      <rPr>
        <b/>
        <i/>
        <u/>
        <sz val="11"/>
        <color rgb="FF1155CC"/>
        <rFont val="Arial"/>
        <scheme val="minor"/>
      </rPr>
      <t>United States</t>
    </r>
  </si>
  <si>
    <r>
      <rPr>
        <b/>
        <i/>
        <u/>
        <sz val="11"/>
        <color rgb="FF1155CC"/>
        <rFont val="Arial"/>
        <scheme val="minor"/>
      </rPr>
      <t>Austria</t>
    </r>
  </si>
  <si>
    <r>
      <rPr>
        <b/>
        <i/>
        <u/>
        <sz val="11"/>
        <color rgb="FF1155CC"/>
        <rFont val="Arial"/>
        <scheme val="minor"/>
      </rPr>
      <t>Germany</t>
    </r>
  </si>
  <si>
    <r>
      <rPr>
        <b/>
        <i/>
        <u/>
        <sz val="11"/>
        <color rgb="FF1155CC"/>
        <rFont val="Arial"/>
        <scheme val="minor"/>
      </rPr>
      <t>France</t>
    </r>
  </si>
  <si>
    <r>
      <rPr>
        <b/>
        <i/>
        <u/>
        <sz val="11"/>
        <color rgb="FF1155CC"/>
        <rFont val="Arial"/>
        <scheme val="minor"/>
      </rPr>
      <t>Poland</t>
    </r>
  </si>
  <si>
    <r>
      <rPr>
        <b/>
        <i/>
        <u/>
        <sz val="11"/>
        <color rgb="FF1155CC"/>
        <rFont val="Arial"/>
        <scheme val="minor"/>
      </rPr>
      <t>Australia</t>
    </r>
  </si>
  <si>
    <r>
      <rPr>
        <b/>
        <i/>
        <u/>
        <sz val="11"/>
        <color rgb="FF1155CC"/>
        <rFont val="Arial"/>
        <scheme val="minor"/>
      </rPr>
      <t>Luxembourg</t>
    </r>
  </si>
  <si>
    <r>
      <rPr>
        <b/>
        <i/>
        <u/>
        <sz val="11"/>
        <color rgb="FF1155CC"/>
        <rFont val="Arial"/>
        <scheme val="minor"/>
      </rPr>
      <t>Ireland</t>
    </r>
  </si>
  <si>
    <r>
      <rPr>
        <b/>
        <i/>
        <u/>
        <sz val="11"/>
        <color rgb="FF1155CC"/>
        <rFont val="Arial"/>
        <scheme val="minor"/>
      </rPr>
      <t>Slovenia</t>
    </r>
  </si>
  <si>
    <r>
      <rPr>
        <b/>
        <i/>
        <u/>
        <sz val="11"/>
        <color rgb="FF1155CC"/>
        <rFont val="Arial"/>
        <scheme val="minor"/>
      </rPr>
      <t>Kazakhstan</t>
    </r>
  </si>
  <si>
    <t>Upper middle</t>
  </si>
  <si>
    <r>
      <rPr>
        <b/>
        <i/>
        <u/>
        <sz val="11"/>
        <color rgb="FF1155CC"/>
        <rFont val="Arial"/>
        <scheme val="minor"/>
      </rPr>
      <t>Malta</t>
    </r>
  </si>
  <si>
    <r>
      <rPr>
        <b/>
        <i/>
        <u/>
        <sz val="11"/>
        <color rgb="FF1155CC"/>
        <rFont val="Arial"/>
        <scheme val="minor"/>
      </rPr>
      <t>Portugal</t>
    </r>
  </si>
  <si>
    <r>
      <rPr>
        <b/>
        <i/>
        <u/>
        <sz val="11"/>
        <color rgb="FF1155CC"/>
        <rFont val="Arial"/>
        <scheme val="minor"/>
      </rPr>
      <t>New Zealand</t>
    </r>
  </si>
  <si>
    <r>
      <rPr>
        <b/>
        <i/>
        <u/>
        <sz val="11"/>
        <color rgb="FF1155CC"/>
        <rFont val="Arial"/>
        <scheme val="minor"/>
      </rPr>
      <t>Kyrgyzstan</t>
    </r>
  </si>
  <si>
    <t>Lower middle</t>
  </si>
  <si>
    <r>
      <rPr>
        <b/>
        <i/>
        <u/>
        <sz val="11"/>
        <color rgb="FF1155CC"/>
        <rFont val="Arial"/>
        <scheme val="minor"/>
      </rPr>
      <t>Russian Federation</t>
    </r>
  </si>
  <si>
    <r>
      <rPr>
        <b/>
        <i/>
        <u/>
        <sz val="11"/>
        <color rgb="FF1155CC"/>
        <rFont val="Arial"/>
        <scheme val="minor"/>
      </rPr>
      <t>Sweden</t>
    </r>
  </si>
  <si>
    <r>
      <rPr>
        <b/>
        <i/>
        <u/>
        <sz val="11"/>
        <color rgb="FF1155CC"/>
        <rFont val="Arial"/>
        <scheme val="minor"/>
      </rPr>
      <t>Belarus</t>
    </r>
  </si>
  <si>
    <r>
      <rPr>
        <b/>
        <i/>
        <u/>
        <sz val="11"/>
        <color rgb="FF1155CC"/>
        <rFont val="Arial"/>
        <scheme val="minor"/>
      </rPr>
      <t>Belgium</t>
    </r>
  </si>
  <si>
    <r>
      <rPr>
        <b/>
        <i/>
        <u/>
        <sz val="11"/>
        <color rgb="FF1155CC"/>
        <rFont val="Arial"/>
        <scheme val="minor"/>
      </rPr>
      <t>Estonia</t>
    </r>
  </si>
  <si>
    <r>
      <rPr>
        <b/>
        <i/>
        <u/>
        <sz val="11"/>
        <color rgb="FF1155CC"/>
        <rFont val="Arial"/>
        <scheme val="minor"/>
      </rPr>
      <t>Chile</t>
    </r>
  </si>
  <si>
    <r>
      <rPr>
        <b/>
        <i/>
        <u/>
        <sz val="11"/>
        <color rgb="FF1155CC"/>
        <rFont val="Arial"/>
        <scheme val="minor"/>
      </rPr>
      <t>Greece</t>
    </r>
  </si>
  <si>
    <r>
      <rPr>
        <b/>
        <i/>
        <u/>
        <sz val="11"/>
        <color rgb="FF1155CC"/>
        <rFont val="Arial"/>
        <scheme val="minor"/>
      </rPr>
      <t>Italy</t>
    </r>
  </si>
  <si>
    <r>
      <rPr>
        <b/>
        <i/>
        <u/>
        <sz val="11"/>
        <color rgb="FF1155CC"/>
        <rFont val="Arial"/>
        <scheme val="minor"/>
      </rPr>
      <t>Mongolia</t>
    </r>
  </si>
  <si>
    <r>
      <rPr>
        <b/>
        <i/>
        <u/>
        <sz val="11"/>
        <color rgb="FF1155CC"/>
        <rFont val="Arial"/>
        <scheme val="minor"/>
      </rPr>
      <t>Slovakia</t>
    </r>
  </si>
  <si>
    <r>
      <rPr>
        <b/>
        <i/>
        <u/>
        <sz val="11"/>
        <color rgb="FF1155CC"/>
        <rFont val="Arial"/>
        <scheme val="minor"/>
      </rPr>
      <t>Denmark</t>
    </r>
  </si>
  <si>
    <r>
      <rPr>
        <b/>
        <i/>
        <u/>
        <sz val="11"/>
        <color rgb="FF1155CC"/>
        <rFont val="Arial"/>
        <scheme val="minor"/>
      </rPr>
      <t>Iceland</t>
    </r>
  </si>
  <si>
    <r>
      <rPr>
        <b/>
        <i/>
        <u/>
        <sz val="11"/>
        <color rgb="FF1155CC"/>
        <rFont val="Arial"/>
        <scheme val="minor"/>
      </rPr>
      <t>Bosnia &amp; Herzegovina</t>
    </r>
  </si>
  <si>
    <r>
      <rPr>
        <b/>
        <i/>
        <u/>
        <sz val="11"/>
        <color rgb="FF1155CC"/>
        <rFont val="Arial"/>
        <scheme val="minor"/>
      </rPr>
      <t>Uzbekistan</t>
    </r>
  </si>
  <si>
    <r>
      <rPr>
        <b/>
        <i/>
        <u/>
        <sz val="11"/>
        <color rgb="FF1155CC"/>
        <rFont val="Arial"/>
        <scheme val="minor"/>
      </rPr>
      <t>Hungary</t>
    </r>
  </si>
  <si>
    <r>
      <rPr>
        <b/>
        <i/>
        <u/>
        <sz val="11"/>
        <color rgb="FF1155CC"/>
        <rFont val="Arial"/>
        <scheme val="minor"/>
      </rPr>
      <t>Qatar</t>
    </r>
  </si>
  <si>
    <r>
      <rPr>
        <b/>
        <i/>
        <u/>
        <sz val="11"/>
        <color rgb="FF1155CC"/>
        <rFont val="Arial"/>
        <scheme val="minor"/>
      </rPr>
      <t>China</t>
    </r>
  </si>
  <si>
    <r>
      <rPr>
        <b/>
        <i/>
        <u/>
        <sz val="11"/>
        <color rgb="FF1155CC"/>
        <rFont val="Arial"/>
        <scheme val="minor"/>
      </rPr>
      <t>Republic of Korea</t>
    </r>
  </si>
  <si>
    <r>
      <rPr>
        <b/>
        <i/>
        <u/>
        <sz val="11"/>
        <color rgb="FF1155CC"/>
        <rFont val="Arial"/>
        <scheme val="minor"/>
      </rPr>
      <t>Netherlands</t>
    </r>
  </si>
  <si>
    <r>
      <rPr>
        <b/>
        <i/>
        <u/>
        <sz val="11"/>
        <color rgb="FF1155CC"/>
        <rFont val="Arial"/>
        <scheme val="minor"/>
      </rPr>
      <t>Bulgaria</t>
    </r>
  </si>
  <si>
    <r>
      <rPr>
        <b/>
        <i/>
        <u/>
        <sz val="11"/>
        <color rgb="FF1155CC"/>
        <rFont val="Arial"/>
        <scheme val="minor"/>
      </rPr>
      <t>Turkey</t>
    </r>
  </si>
  <si>
    <r>
      <rPr>
        <b/>
        <i/>
        <u/>
        <sz val="11"/>
        <color rgb="FF1155CC"/>
        <rFont val="Arial"/>
        <scheme val="minor"/>
      </rPr>
      <t>Cyprus</t>
    </r>
  </si>
  <si>
    <r>
      <rPr>
        <b/>
        <i/>
        <u/>
        <sz val="11"/>
        <color rgb="FF1155CC"/>
        <rFont val="Arial"/>
        <scheme val="minor"/>
      </rPr>
      <t>Ukraine</t>
    </r>
  </si>
  <si>
    <r>
      <rPr>
        <b/>
        <i/>
        <u/>
        <sz val="11"/>
        <color rgb="FF1155CC"/>
        <rFont val="Arial"/>
        <scheme val="minor"/>
      </rPr>
      <t>Japan</t>
    </r>
  </si>
  <si>
    <r>
      <rPr>
        <b/>
        <i/>
        <u/>
        <sz val="11"/>
        <color rgb="FF1155CC"/>
        <rFont val="Arial"/>
        <scheme val="minor"/>
      </rPr>
      <t>Lithuania</t>
    </r>
  </si>
  <si>
    <r>
      <rPr>
        <b/>
        <i/>
        <u/>
        <sz val="11"/>
        <color rgb="FF1155CC"/>
        <rFont val="Arial"/>
        <scheme val="minor"/>
      </rPr>
      <t>Armenia</t>
    </r>
  </si>
  <si>
    <r>
      <rPr>
        <b/>
        <i/>
        <u/>
        <sz val="11"/>
        <color rgb="FF1155CC"/>
        <rFont val="Arial"/>
        <scheme val="minor"/>
      </rPr>
      <t>Brazil</t>
    </r>
  </si>
  <si>
    <r>
      <rPr>
        <b/>
        <i/>
        <u/>
        <sz val="11"/>
        <color rgb="FF1155CC"/>
        <rFont val="Arial"/>
        <scheme val="minor"/>
      </rPr>
      <t>Algeria</t>
    </r>
  </si>
  <si>
    <r>
      <rPr>
        <b/>
        <i/>
        <u/>
        <sz val="11"/>
        <color rgb="FF1155CC"/>
        <rFont val="Arial"/>
        <scheme val="minor"/>
      </rPr>
      <t>Kuwait</t>
    </r>
  </si>
  <si>
    <r>
      <rPr>
        <b/>
        <i/>
        <u/>
        <sz val="11"/>
        <color rgb="FF1155CC"/>
        <rFont val="Arial"/>
        <scheme val="minor"/>
      </rPr>
      <t>Latvia</t>
    </r>
  </si>
  <si>
    <r>
      <rPr>
        <b/>
        <i/>
        <u/>
        <sz val="11"/>
        <color rgb="FF1155CC"/>
        <rFont val="Arial"/>
        <scheme val="minor"/>
      </rPr>
      <t>Malaysia</t>
    </r>
  </si>
  <si>
    <r>
      <rPr>
        <b/>
        <i/>
        <u/>
        <sz val="11"/>
        <color rgb="FF1155CC"/>
        <rFont val="Arial"/>
        <scheme val="minor"/>
      </rPr>
      <t>Iran</t>
    </r>
  </si>
  <si>
    <r>
      <rPr>
        <b/>
        <i/>
        <u/>
        <sz val="11"/>
        <color rgb="FF1155CC"/>
        <rFont val="Arial"/>
        <scheme val="minor"/>
      </rPr>
      <t>Jordan</t>
    </r>
  </si>
  <si>
    <r>
      <rPr>
        <b/>
        <i/>
        <u/>
        <sz val="11"/>
        <color rgb="FF1155CC"/>
        <rFont val="Arial"/>
        <scheme val="minor"/>
      </rPr>
      <t>Morocco</t>
    </r>
  </si>
  <si>
    <r>
      <rPr>
        <b/>
        <i/>
        <u/>
        <sz val="11"/>
        <color rgb="FF1155CC"/>
        <rFont val="Arial"/>
        <scheme val="minor"/>
      </rPr>
      <t>Tajikistan</t>
    </r>
  </si>
  <si>
    <r>
      <rPr>
        <b/>
        <i/>
        <u/>
        <sz val="11"/>
        <color rgb="FF1155CC"/>
        <rFont val="Arial"/>
        <scheme val="minor"/>
      </rPr>
      <t>Mexico</t>
    </r>
  </si>
  <si>
    <r>
      <rPr>
        <b/>
        <i/>
        <u/>
        <sz val="11"/>
        <color rgb="FF1155CC"/>
        <rFont val="Arial"/>
        <scheme val="minor"/>
      </rPr>
      <t>Argentina</t>
    </r>
  </si>
  <si>
    <r>
      <rPr>
        <b/>
        <i/>
        <u/>
        <sz val="11"/>
        <color rgb="FF1155CC"/>
        <rFont val="Arial"/>
        <scheme val="minor"/>
      </rPr>
      <t>Barbados</t>
    </r>
  </si>
  <si>
    <r>
      <rPr>
        <b/>
        <i/>
        <u/>
        <sz val="11"/>
        <color rgb="FF1155CC"/>
        <rFont val="Arial"/>
        <scheme val="minor"/>
      </rPr>
      <t>Venezuela</t>
    </r>
  </si>
  <si>
    <r>
      <rPr>
        <b/>
        <i/>
        <u/>
        <sz val="11"/>
        <color rgb="FF1155CC"/>
        <rFont val="Arial"/>
        <scheme val="minor"/>
      </rPr>
      <t>Turkmenistan</t>
    </r>
  </si>
  <si>
    <r>
      <rPr>
        <b/>
        <i/>
        <u/>
        <sz val="11"/>
        <color rgb="FF1155CC"/>
        <rFont val="Arial"/>
        <scheme val="minor"/>
      </rPr>
      <t>Trinidad &amp; Tobago</t>
    </r>
  </si>
  <si>
    <r>
      <rPr>
        <b/>
        <i/>
        <u/>
        <sz val="11"/>
        <color rgb="FF1155CC"/>
        <rFont val="Arial"/>
        <scheme val="minor"/>
      </rPr>
      <t>Tunisia</t>
    </r>
  </si>
  <si>
    <r>
      <rPr>
        <b/>
        <i/>
        <u/>
        <sz val="11"/>
        <color rgb="FF1155CC"/>
        <rFont val="Arial"/>
        <scheme val="minor"/>
      </rPr>
      <t>Saint Lucia</t>
    </r>
  </si>
  <si>
    <r>
      <rPr>
        <b/>
        <i/>
        <u/>
        <sz val="11"/>
        <color rgb="FF1155CC"/>
        <rFont val="Arial"/>
        <scheme val="minor"/>
      </rPr>
      <t>Macedonia</t>
    </r>
  </si>
  <si>
    <r>
      <rPr>
        <b/>
        <i/>
        <u/>
        <sz val="11"/>
        <color rgb="FF1155CC"/>
        <rFont val="Arial"/>
        <scheme val="minor"/>
      </rPr>
      <t>Costa Rica</t>
    </r>
  </si>
  <si>
    <r>
      <rPr>
        <b/>
        <i/>
        <u/>
        <sz val="11"/>
        <color rgb="FF1155CC"/>
        <rFont val="Arial"/>
        <scheme val="minor"/>
      </rPr>
      <t>Croatia</t>
    </r>
  </si>
  <si>
    <r>
      <rPr>
        <b/>
        <i/>
        <u/>
        <sz val="11"/>
        <color rgb="FF1155CC"/>
        <rFont val="Arial"/>
        <scheme val="minor"/>
      </rPr>
      <t>Montenegro</t>
    </r>
  </si>
  <si>
    <r>
      <rPr>
        <b/>
        <i/>
        <u/>
        <sz val="11"/>
        <color rgb="FF1155CC"/>
        <rFont val="Arial"/>
        <scheme val="minor"/>
      </rPr>
      <t>United Arab Emirates</t>
    </r>
  </si>
  <si>
    <r>
      <rPr>
        <b/>
        <i/>
        <u/>
        <sz val="11"/>
        <color rgb="FF1155CC"/>
        <rFont val="Arial"/>
        <scheme val="minor"/>
      </rPr>
      <t>South Africa</t>
    </r>
  </si>
  <si>
    <r>
      <rPr>
        <b/>
        <i/>
        <u/>
        <sz val="11"/>
        <color rgb="FF1155CC"/>
        <rFont val="Arial"/>
        <scheme val="minor"/>
      </rPr>
      <t>Albania</t>
    </r>
  </si>
  <si>
    <r>
      <rPr>
        <b/>
        <i/>
        <u/>
        <sz val="11"/>
        <color rgb="FF1155CC"/>
        <rFont val="Arial"/>
        <scheme val="minor"/>
      </rPr>
      <t>Grenada</t>
    </r>
  </si>
  <si>
    <r>
      <rPr>
        <b/>
        <i/>
        <u/>
        <sz val="11"/>
        <color rgb="FF1155CC"/>
        <rFont val="Arial"/>
        <scheme val="minor"/>
      </rPr>
      <t>Singapore</t>
    </r>
  </si>
  <si>
    <r>
      <rPr>
        <b/>
        <i/>
        <u/>
        <sz val="11"/>
        <color rgb="FF1155CC"/>
        <rFont val="Arial"/>
        <scheme val="minor"/>
      </rPr>
      <t>Paraguay</t>
    </r>
  </si>
  <si>
    <r>
      <rPr>
        <b/>
        <i/>
        <u/>
        <sz val="11"/>
        <color rgb="FF1155CC"/>
        <rFont val="Arial"/>
        <scheme val="minor"/>
      </rPr>
      <t>Uruguay</t>
    </r>
  </si>
  <si>
    <r>
      <rPr>
        <b/>
        <i/>
        <u/>
        <sz val="11"/>
        <color rgb="FF1155CC"/>
        <rFont val="Arial"/>
        <scheme val="minor"/>
      </rPr>
      <t>Moldova</t>
    </r>
  </si>
  <si>
    <r>
      <rPr>
        <b/>
        <i/>
        <u/>
        <sz val="11"/>
        <color rgb="FF1155CC"/>
        <rFont val="Arial"/>
        <scheme val="minor"/>
      </rPr>
      <t>Egypt</t>
    </r>
  </si>
  <si>
    <r>
      <rPr>
        <b/>
        <i/>
        <u/>
        <sz val="11"/>
        <color rgb="FF1155CC"/>
        <rFont val="Arial"/>
        <scheme val="minor"/>
      </rPr>
      <t>Georgia</t>
    </r>
  </si>
  <si>
    <r>
      <rPr>
        <b/>
        <i/>
        <u/>
        <sz val="11"/>
        <color rgb="FF1155CC"/>
        <rFont val="Arial"/>
        <scheme val="minor"/>
      </rPr>
      <t>Lebanon</t>
    </r>
  </si>
  <si>
    <r>
      <rPr>
        <b/>
        <i/>
        <u/>
        <sz val="11"/>
        <color rgb="FF1155CC"/>
        <rFont val="Arial"/>
        <scheme val="minor"/>
      </rPr>
      <t>Colombia</t>
    </r>
  </si>
  <si>
    <r>
      <rPr>
        <b/>
        <i/>
        <u/>
        <sz val="11"/>
        <color rgb="FF1155CC"/>
        <rFont val="Arial"/>
        <scheme val="minor"/>
      </rPr>
      <t>Brunei Darussalam</t>
    </r>
  </si>
  <si>
    <r>
      <rPr>
        <b/>
        <i/>
        <u/>
        <sz val="11"/>
        <color rgb="FF1155CC"/>
        <rFont val="Arial"/>
        <scheme val="minor"/>
      </rPr>
      <t>Peru</t>
    </r>
  </si>
  <si>
    <r>
      <rPr>
        <b/>
        <i/>
        <u/>
        <sz val="11"/>
        <color rgb="FF1155CC"/>
        <rFont val="Arial"/>
        <scheme val="minor"/>
      </rPr>
      <t>Azerbaijan</t>
    </r>
  </si>
  <si>
    <r>
      <rPr>
        <b/>
        <i/>
        <u/>
        <sz val="11"/>
        <color rgb="FF1155CC"/>
        <rFont val="Arial"/>
        <scheme val="minor"/>
      </rPr>
      <t>Mauritius</t>
    </r>
  </si>
  <si>
    <r>
      <rPr>
        <b/>
        <i/>
        <u/>
        <sz val="11"/>
        <color rgb="FF1155CC"/>
        <rFont val="Arial"/>
        <scheme val="minor"/>
      </rPr>
      <t>Equatorial Guinea</t>
    </r>
  </si>
  <si>
    <r>
      <rPr>
        <b/>
        <i/>
        <u/>
        <sz val="11"/>
        <color rgb="FF1155CC"/>
        <rFont val="Arial"/>
        <scheme val="minor"/>
      </rPr>
      <t>Saudi Arabia</t>
    </r>
  </si>
  <si>
    <r>
      <rPr>
        <b/>
        <i/>
        <u/>
        <sz val="11"/>
        <color rgb="FF1155CC"/>
        <rFont val="Arial"/>
        <scheme val="minor"/>
      </rPr>
      <t>Thailand</t>
    </r>
  </si>
  <si>
    <r>
      <rPr>
        <b/>
        <i/>
        <u/>
        <sz val="11"/>
        <color rgb="FF1155CC"/>
        <rFont val="Arial"/>
        <scheme val="minor"/>
      </rPr>
      <t>Romania</t>
    </r>
  </si>
  <si>
    <r>
      <rPr>
        <b/>
        <i/>
        <u/>
        <sz val="11"/>
        <color rgb="FF1155CC"/>
        <rFont val="Arial"/>
        <scheme val="minor"/>
      </rPr>
      <t>El Salvador</t>
    </r>
  </si>
  <si>
    <r>
      <rPr>
        <b/>
        <i/>
        <u/>
        <sz val="11"/>
        <color rgb="FF1155CC"/>
        <rFont val="Arial"/>
        <scheme val="minor"/>
      </rPr>
      <t>Serbia</t>
    </r>
  </si>
  <si>
    <r>
      <rPr>
        <b/>
        <i/>
        <u/>
        <sz val="11"/>
        <color rgb="FF1155CC"/>
        <rFont val="Arial"/>
        <scheme val="minor"/>
      </rPr>
      <t>Jamaica</t>
    </r>
  </si>
  <si>
    <r>
      <rPr>
        <b/>
        <i/>
        <u/>
        <sz val="11"/>
        <color rgb="FF1155CC"/>
        <rFont val="Arial"/>
        <scheme val="minor"/>
      </rPr>
      <t>Oman</t>
    </r>
  </si>
  <si>
    <r>
      <rPr>
        <b/>
        <i/>
        <u/>
        <sz val="11"/>
        <color rgb="FF1155CC"/>
        <rFont val="Arial"/>
        <scheme val="minor"/>
      </rPr>
      <t>Panama</t>
    </r>
  </si>
  <si>
    <r>
      <rPr>
        <b/>
        <i/>
        <u/>
        <sz val="11"/>
        <color rgb="FF1155CC"/>
        <rFont val="Arial"/>
        <scheme val="minor"/>
      </rPr>
      <t>Libya</t>
    </r>
  </si>
  <si>
    <r>
      <rPr>
        <b/>
        <i/>
        <u/>
        <sz val="11"/>
        <color rgb="FF1155CC"/>
        <rFont val="Arial"/>
        <scheme val="minor"/>
      </rPr>
      <t>Suriname</t>
    </r>
  </si>
  <si>
    <r>
      <rPr>
        <b/>
        <i/>
        <u/>
        <sz val="11"/>
        <color rgb="FF1155CC"/>
        <rFont val="Arial"/>
        <scheme val="minor"/>
      </rPr>
      <t>Indonesia</t>
    </r>
  </si>
  <si>
    <r>
      <rPr>
        <b/>
        <i/>
        <u/>
        <sz val="11"/>
        <color rgb="FF1155CC"/>
        <rFont val="Arial"/>
        <scheme val="minor"/>
      </rPr>
      <t>Cape Verde</t>
    </r>
  </si>
  <si>
    <r>
      <rPr>
        <b/>
        <i/>
        <u/>
        <sz val="11"/>
        <color rgb="FF1155CC"/>
        <rFont val="Arial"/>
        <scheme val="minor"/>
      </rPr>
      <t>Dominican Republic</t>
    </r>
  </si>
  <si>
    <r>
      <rPr>
        <b/>
        <i/>
        <u/>
        <sz val="11"/>
        <color rgb="FF1155CC"/>
        <rFont val="Arial"/>
        <scheme val="minor"/>
      </rPr>
      <t>Iraq</t>
    </r>
  </si>
  <si>
    <r>
      <rPr>
        <b/>
        <i/>
        <u/>
        <sz val="11"/>
        <color rgb="FF1155CC"/>
        <rFont val="Arial"/>
        <scheme val="minor"/>
      </rPr>
      <t>Botswana</t>
    </r>
  </si>
  <si>
    <r>
      <rPr>
        <b/>
        <i/>
        <u/>
        <sz val="11"/>
        <color rgb="FF1155CC"/>
        <rFont val="Arial"/>
        <scheme val="minor"/>
      </rPr>
      <t>Bahrain</t>
    </r>
  </si>
  <si>
    <r>
      <rPr>
        <b/>
        <i/>
        <u/>
        <sz val="11"/>
        <color rgb="FF1155CC"/>
        <rFont val="Arial"/>
        <scheme val="minor"/>
      </rPr>
      <t>Guatemala</t>
    </r>
  </si>
  <si>
    <r>
      <rPr>
        <b/>
        <i/>
        <u/>
        <sz val="11"/>
        <color rgb="FF1155CC"/>
        <rFont val="Arial"/>
        <scheme val="minor"/>
      </rPr>
      <t>Guyana</t>
    </r>
  </si>
  <si>
    <r>
      <rPr>
        <b/>
        <i/>
        <u/>
        <sz val="11"/>
        <color rgb="FF1155CC"/>
        <rFont val="Arial"/>
        <scheme val="minor"/>
      </rPr>
      <t>Seychelles</t>
    </r>
  </si>
  <si>
    <r>
      <rPr>
        <b/>
        <i/>
        <u/>
        <sz val="11"/>
        <color rgb="FF1155CC"/>
        <rFont val="Arial"/>
        <scheme val="minor"/>
      </rPr>
      <t>Cuba</t>
    </r>
  </si>
  <si>
    <r>
      <rPr>
        <b/>
        <i/>
        <u/>
        <sz val="11"/>
        <color rgb="FF1155CC"/>
        <rFont val="Arial"/>
        <scheme val="minor"/>
      </rPr>
      <t>Gabon</t>
    </r>
  </si>
  <si>
    <r>
      <rPr>
        <b/>
        <i/>
        <u/>
        <sz val="11"/>
        <color rgb="FF1155CC"/>
        <rFont val="Arial"/>
        <scheme val="minor"/>
      </rPr>
      <t>St Vincent &amp; Grenadines</t>
    </r>
  </si>
  <si>
    <r>
      <rPr>
        <b/>
        <i/>
        <u/>
        <sz val="11"/>
        <color rgb="FF1155CC"/>
        <rFont val="Arial"/>
        <scheme val="minor"/>
      </rPr>
      <t>Ghana</t>
    </r>
  </si>
  <si>
    <r>
      <rPr>
        <b/>
        <i/>
        <u/>
        <sz val="11"/>
        <color rgb="FF1155CC"/>
        <rFont val="Arial"/>
        <scheme val="minor"/>
      </rPr>
      <t>Philippines</t>
    </r>
  </si>
  <si>
    <r>
      <rPr>
        <b/>
        <i/>
        <u/>
        <sz val="11"/>
        <color rgb="FF1155CC"/>
        <rFont val="Arial"/>
        <scheme val="minor"/>
      </rPr>
      <t>Bolivia</t>
    </r>
  </si>
  <si>
    <r>
      <rPr>
        <b/>
        <i/>
        <u/>
        <sz val="11"/>
        <color rgb="FF1155CC"/>
        <rFont val="Arial"/>
        <scheme val="minor"/>
      </rPr>
      <t>Honduras</t>
    </r>
  </si>
  <si>
    <r>
      <rPr>
        <b/>
        <i/>
        <u/>
        <sz val="11"/>
        <color rgb="FF1155CC"/>
        <rFont val="Arial"/>
        <scheme val="minor"/>
      </rPr>
      <t>India</t>
    </r>
  </si>
  <si>
    <r>
      <rPr>
        <b/>
        <i/>
        <u/>
        <sz val="11"/>
        <color rgb="FF1155CC"/>
        <rFont val="Arial"/>
        <scheme val="minor"/>
      </rPr>
      <t>Syria</t>
    </r>
  </si>
  <si>
    <t>Low</t>
  </si>
  <si>
    <r>
      <rPr>
        <b/>
        <i/>
        <u/>
        <sz val="11"/>
        <color rgb="FF1155CC"/>
        <rFont val="Arial"/>
        <scheme val="minor"/>
      </rPr>
      <t>Bahamas</t>
    </r>
  </si>
  <si>
    <r>
      <rPr>
        <b/>
        <i/>
        <u/>
        <sz val="11"/>
        <color rgb="FF1155CC"/>
        <rFont val="Arial"/>
        <scheme val="minor"/>
      </rPr>
      <t>Fiji</t>
    </r>
  </si>
  <si>
    <r>
      <rPr>
        <b/>
        <i/>
        <u/>
        <sz val="11"/>
        <color rgb="FF1155CC"/>
        <rFont val="Arial"/>
        <scheme val="minor"/>
      </rPr>
      <t>Swaziland</t>
    </r>
  </si>
  <si>
    <r>
      <rPr>
        <b/>
        <i/>
        <u/>
        <sz val="11"/>
        <color rgb="FF1155CC"/>
        <rFont val="Arial"/>
        <scheme val="minor"/>
      </rPr>
      <t>Viet Nam</t>
    </r>
  </si>
  <si>
    <r>
      <rPr>
        <b/>
        <i/>
        <u/>
        <sz val="11"/>
        <color rgb="FF1155CC"/>
        <rFont val="Arial"/>
        <scheme val="minor"/>
      </rPr>
      <t>Dem. People's Rep. of Korea</t>
    </r>
  </si>
  <si>
    <r>
      <rPr>
        <b/>
        <i/>
        <u/>
        <sz val="11"/>
        <color rgb="FF1155CC"/>
        <rFont val="Arial"/>
        <scheme val="minor"/>
      </rPr>
      <t>Dominica</t>
    </r>
  </si>
  <si>
    <r>
      <rPr>
        <b/>
        <i/>
        <u/>
        <sz val="11"/>
        <color rgb="FF1155CC"/>
        <rFont val="Arial"/>
        <scheme val="minor"/>
      </rPr>
      <t>Namibia</t>
    </r>
  </si>
  <si>
    <r>
      <rPr>
        <b/>
        <i/>
        <u/>
        <sz val="11"/>
        <color rgb="FF1155CC"/>
        <rFont val="Arial"/>
        <scheme val="minor"/>
      </rPr>
      <t>Nicaragua</t>
    </r>
  </si>
  <si>
    <r>
      <rPr>
        <b/>
        <i/>
        <u/>
        <sz val="11"/>
        <color rgb="FF1155CC"/>
        <rFont val="Arial"/>
        <scheme val="minor"/>
      </rPr>
      <t>Belize</t>
    </r>
  </si>
  <si>
    <r>
      <rPr>
        <b/>
        <i/>
        <u/>
        <sz val="11"/>
        <color rgb="FF1155CC"/>
        <rFont val="Arial"/>
        <scheme val="minor"/>
      </rPr>
      <t>Nigeria</t>
    </r>
  </si>
  <si>
    <r>
      <rPr>
        <b/>
        <i/>
        <u/>
        <sz val="11"/>
        <color rgb="FF1155CC"/>
        <rFont val="Arial"/>
        <scheme val="minor"/>
      </rPr>
      <t>Ecuador</t>
    </r>
  </si>
  <si>
    <r>
      <rPr>
        <b/>
        <i/>
        <u/>
        <sz val="11"/>
        <color rgb="FF1155CC"/>
        <rFont val="Arial"/>
        <scheme val="minor"/>
      </rPr>
      <t>Sri Lanka</t>
    </r>
  </si>
  <si>
    <r>
      <rPr>
        <b/>
        <i/>
        <u/>
        <sz val="11"/>
        <color rgb="FF1155CC"/>
        <rFont val="Arial"/>
        <scheme val="minor"/>
      </rPr>
      <t>Antigua and Barbuda</t>
    </r>
  </si>
  <si>
    <r>
      <rPr>
        <b/>
        <i/>
        <u/>
        <sz val="11"/>
        <color rgb="FF1155CC"/>
        <rFont val="Arial"/>
        <scheme val="minor"/>
      </rPr>
      <t>Mozambique</t>
    </r>
  </si>
  <si>
    <r>
      <rPr>
        <b/>
        <i/>
        <u/>
        <sz val="11"/>
        <color rgb="FF1155CC"/>
        <rFont val="Arial"/>
        <scheme val="minor"/>
      </rPr>
      <t>Lesotho</t>
    </r>
  </si>
  <si>
    <r>
      <rPr>
        <b/>
        <i/>
        <u/>
        <sz val="11"/>
        <color rgb="FF1155CC"/>
        <rFont val="Arial"/>
        <scheme val="minor"/>
      </rPr>
      <t>Cambodia</t>
    </r>
  </si>
  <si>
    <r>
      <rPr>
        <b/>
        <i/>
        <u/>
        <sz val="11"/>
        <color rgb="FF1155CC"/>
        <rFont val="Arial"/>
        <scheme val="minor"/>
      </rPr>
      <t>Côte d'Ivoire</t>
    </r>
  </si>
  <si>
    <r>
      <rPr>
        <b/>
        <i/>
        <u/>
        <sz val="11"/>
        <color rgb="FF1155CC"/>
        <rFont val="Arial"/>
        <scheme val="minor"/>
      </rPr>
      <t>Zambia</t>
    </r>
  </si>
  <si>
    <r>
      <rPr>
        <b/>
        <i/>
        <u/>
        <sz val="11"/>
        <color rgb="FF1155CC"/>
        <rFont val="Arial"/>
        <scheme val="minor"/>
      </rPr>
      <t>Cameroon</t>
    </r>
  </si>
  <si>
    <r>
      <rPr>
        <b/>
        <i/>
        <u/>
        <sz val="11"/>
        <color rgb="FF1155CC"/>
        <rFont val="Arial"/>
        <scheme val="minor"/>
      </rPr>
      <t>Laos</t>
    </r>
  </si>
  <si>
    <r>
      <rPr>
        <b/>
        <i/>
        <u/>
        <sz val="11"/>
        <color rgb="FF1155CC"/>
        <rFont val="Arial"/>
        <scheme val="minor"/>
      </rPr>
      <t>Kenya</t>
    </r>
  </si>
  <si>
    <r>
      <rPr>
        <b/>
        <i/>
        <u/>
        <sz val="11"/>
        <color rgb="FF1155CC"/>
        <rFont val="Arial"/>
        <scheme val="minor"/>
      </rPr>
      <t>Nepal</t>
    </r>
  </si>
  <si>
    <r>
      <rPr>
        <b/>
        <i/>
        <u/>
        <sz val="11"/>
        <color rgb="FF1155CC"/>
        <rFont val="Arial"/>
        <scheme val="minor"/>
      </rPr>
      <t>Zimbabwe</t>
    </r>
  </si>
  <si>
    <r>
      <rPr>
        <b/>
        <i/>
        <u/>
        <sz val="11"/>
        <color rgb="FF1155CC"/>
        <rFont val="Arial"/>
        <scheme val="minor"/>
      </rPr>
      <t>Togo</t>
    </r>
  </si>
  <si>
    <r>
      <rPr>
        <b/>
        <i/>
        <u/>
        <sz val="11"/>
        <color rgb="FF1155CC"/>
        <rFont val="Arial"/>
        <scheme val="minor"/>
      </rPr>
      <t>Djibouti</t>
    </r>
  </si>
  <si>
    <r>
      <rPr>
        <b/>
        <i/>
        <u/>
        <sz val="11"/>
        <color rgb="FF1155CC"/>
        <rFont val="Arial"/>
        <scheme val="minor"/>
      </rPr>
      <t>Pakistan</t>
    </r>
  </si>
  <si>
    <r>
      <rPr>
        <b/>
        <i/>
        <u/>
        <sz val="11"/>
        <color rgb="FF1155CC"/>
        <rFont val="Arial"/>
        <scheme val="minor"/>
      </rPr>
      <t>Tanzania</t>
    </r>
  </si>
  <si>
    <r>
      <rPr>
        <b/>
        <i/>
        <u/>
        <sz val="11"/>
        <color rgb="FF1155CC"/>
        <rFont val="Arial"/>
        <scheme val="minor"/>
      </rPr>
      <t>Nauru</t>
    </r>
  </si>
  <si>
    <r>
      <rPr>
        <b/>
        <i/>
        <u/>
        <sz val="11"/>
        <color rgb="FF1155CC"/>
        <rFont val="Arial"/>
        <scheme val="minor"/>
      </rPr>
      <t>Angola</t>
    </r>
  </si>
  <si>
    <r>
      <rPr>
        <b/>
        <i/>
        <u/>
        <sz val="11"/>
        <color rgb="FF1155CC"/>
        <rFont val="Arial"/>
        <scheme val="minor"/>
      </rPr>
      <t>Haiti</t>
    </r>
  </si>
  <si>
    <r>
      <rPr>
        <b/>
        <i/>
        <u/>
        <sz val="11"/>
        <color rgb="FF1155CC"/>
        <rFont val="Arial"/>
        <scheme val="minor"/>
      </rPr>
      <t>Myanmar</t>
    </r>
  </si>
  <si>
    <r>
      <rPr>
        <b/>
        <i/>
        <u/>
        <sz val="11"/>
        <color rgb="FF1155CC"/>
        <rFont val="Arial"/>
        <scheme val="minor"/>
      </rPr>
      <t>Palau</t>
    </r>
  </si>
  <si>
    <r>
      <rPr>
        <b/>
        <i/>
        <u/>
        <sz val="11"/>
        <color rgb="FF1155CC"/>
        <rFont val="Arial"/>
        <scheme val="minor"/>
      </rPr>
      <t>Congo</t>
    </r>
  </si>
  <si>
    <r>
      <rPr>
        <b/>
        <i/>
        <u/>
        <sz val="11"/>
        <color rgb="FF1155CC"/>
        <rFont val="Arial"/>
        <scheme val="minor"/>
      </rPr>
      <t>Samoa</t>
    </r>
  </si>
  <si>
    <r>
      <rPr>
        <b/>
        <i/>
        <u/>
        <sz val="11"/>
        <color rgb="FF1155CC"/>
        <rFont val="Arial"/>
        <scheme val="minor"/>
      </rPr>
      <t>Yemen</t>
    </r>
  </si>
  <si>
    <r>
      <rPr>
        <b/>
        <i/>
        <u/>
        <sz val="11"/>
        <color rgb="FF1155CC"/>
        <rFont val="Arial"/>
        <scheme val="minor"/>
      </rPr>
      <t>Ethiopia</t>
    </r>
  </si>
  <si>
    <r>
      <rPr>
        <b/>
        <i/>
        <u/>
        <sz val="11"/>
        <color rgb="FF1155CC"/>
        <rFont val="Arial"/>
        <scheme val="minor"/>
      </rPr>
      <t>Burkina Faso</t>
    </r>
  </si>
  <si>
    <r>
      <rPr>
        <b/>
        <i/>
        <u/>
        <sz val="11"/>
        <color rgb="FF1155CC"/>
        <rFont val="Arial"/>
        <scheme val="minor"/>
      </rPr>
      <t>Uganda</t>
    </r>
  </si>
  <si>
    <r>
      <rPr>
        <b/>
        <i/>
        <u/>
        <sz val="11"/>
        <color rgb="FF1155CC"/>
        <rFont val="Arial"/>
        <scheme val="minor"/>
      </rPr>
      <t>Bhutan</t>
    </r>
  </si>
  <si>
    <r>
      <rPr>
        <b/>
        <i/>
        <u/>
        <sz val="11"/>
        <color rgb="FF1155CC"/>
        <rFont val="Arial"/>
        <scheme val="minor"/>
      </rPr>
      <t>Gambia</t>
    </r>
  </si>
  <si>
    <r>
      <rPr>
        <b/>
        <i/>
        <u/>
        <sz val="11"/>
        <color rgb="FF1155CC"/>
        <rFont val="Arial"/>
        <scheme val="minor"/>
      </rPr>
      <t>Guinea</t>
    </r>
  </si>
  <si>
    <r>
      <rPr>
        <b/>
        <i/>
        <u/>
        <sz val="11"/>
        <color rgb="FF1155CC"/>
        <rFont val="Arial"/>
        <scheme val="minor"/>
      </rPr>
      <t>Senegal</t>
    </r>
  </si>
  <si>
    <r>
      <rPr>
        <b/>
        <i/>
        <u/>
        <sz val="11"/>
        <color rgb="FF1155CC"/>
        <rFont val="Arial"/>
        <scheme val="minor"/>
      </rPr>
      <t>Sao Tome &amp; Principe</t>
    </r>
  </si>
  <si>
    <r>
      <rPr>
        <b/>
        <i/>
        <u/>
        <sz val="11"/>
        <color rgb="FF1155CC"/>
        <rFont val="Arial"/>
        <scheme val="minor"/>
      </rPr>
      <t>Liberia</t>
    </r>
  </si>
  <si>
    <r>
      <rPr>
        <b/>
        <i/>
        <u/>
        <sz val="11"/>
        <color rgb="FF1155CC"/>
        <rFont val="Arial"/>
        <scheme val="minor"/>
      </rPr>
      <t>Comoros</t>
    </r>
  </si>
  <si>
    <r>
      <rPr>
        <b/>
        <i/>
        <u/>
        <sz val="11"/>
        <color rgb="FF1155CC"/>
        <rFont val="Arial"/>
        <scheme val="minor"/>
      </rPr>
      <t>Timor-Leste</t>
    </r>
  </si>
  <si>
    <r>
      <rPr>
        <b/>
        <i/>
        <u/>
        <sz val="11"/>
        <color rgb="FF1155CC"/>
        <rFont val="Arial"/>
        <scheme val="minor"/>
      </rPr>
      <t>Malawi</t>
    </r>
  </si>
  <si>
    <r>
      <rPr>
        <b/>
        <i/>
        <u/>
        <sz val="11"/>
        <color rgb="FF1155CC"/>
        <rFont val="Arial"/>
        <scheme val="minor"/>
      </rPr>
      <t>Papua New Guinea</t>
    </r>
  </si>
  <si>
    <r>
      <rPr>
        <b/>
        <i/>
        <u/>
        <sz val="11"/>
        <color rgb="FF1155CC"/>
        <rFont val="Arial"/>
        <scheme val="minor"/>
      </rPr>
      <t>Burundi</t>
    </r>
  </si>
  <si>
    <r>
      <rPr>
        <b/>
        <i/>
        <u/>
        <sz val="11"/>
        <color rgb="FF1155CC"/>
        <rFont val="Arial"/>
        <scheme val="minor"/>
      </rPr>
      <t>Bangladesh</t>
    </r>
  </si>
  <si>
    <r>
      <rPr>
        <b/>
        <i/>
        <u/>
        <sz val="11"/>
        <color rgb="FF1155CC"/>
        <rFont val="Arial"/>
        <scheme val="minor"/>
      </rPr>
      <t>Madagascar</t>
    </r>
  </si>
  <si>
    <r>
      <rPr>
        <b/>
        <i/>
        <u/>
        <sz val="11"/>
        <color rgb="FF1155CC"/>
        <rFont val="Arial"/>
        <scheme val="minor"/>
      </rPr>
      <t>Vanuatu</t>
    </r>
  </si>
  <si>
    <r>
      <rPr>
        <b/>
        <i/>
        <u/>
        <sz val="11"/>
        <color rgb="FF1155CC"/>
        <rFont val="Arial"/>
        <scheme val="minor"/>
      </rPr>
      <t>Dem. Rep. of the Congo</t>
    </r>
  </si>
  <si>
    <r>
      <rPr>
        <b/>
        <i/>
        <u/>
        <sz val="11"/>
        <color rgb="FF1155CC"/>
        <rFont val="Arial"/>
        <scheme val="minor"/>
      </rPr>
      <t>Maldives</t>
    </r>
  </si>
  <si>
    <r>
      <rPr>
        <b/>
        <i/>
        <u/>
        <sz val="11"/>
        <color rgb="FF1155CC"/>
        <rFont val="Arial"/>
        <scheme val="minor"/>
      </rPr>
      <t>Rwanda</t>
    </r>
  </si>
  <si>
    <r>
      <rPr>
        <b/>
        <i/>
        <u/>
        <sz val="11"/>
        <color rgb="FF1155CC"/>
        <rFont val="Arial"/>
        <scheme val="minor"/>
      </rPr>
      <t>Benin</t>
    </r>
  </si>
  <si>
    <r>
      <rPr>
        <b/>
        <i/>
        <u/>
        <sz val="11"/>
        <color rgb="FF1155CC"/>
        <rFont val="Arial"/>
        <scheme val="minor"/>
      </rPr>
      <t>Kiribati</t>
    </r>
  </si>
  <si>
    <r>
      <rPr>
        <b/>
        <i/>
        <u/>
        <sz val="11"/>
        <color rgb="FF1155CC"/>
        <rFont val="Arial"/>
        <scheme val="minor"/>
      </rPr>
      <t>Central African Rep.</t>
    </r>
  </si>
  <si>
    <r>
      <rPr>
        <b/>
        <i/>
        <u/>
        <sz val="11"/>
        <color rgb="FF1155CC"/>
        <rFont val="Arial"/>
        <scheme val="minor"/>
      </rPr>
      <t>Tuvalu</t>
    </r>
  </si>
  <si>
    <r>
      <rPr>
        <b/>
        <i/>
        <u/>
        <sz val="11"/>
        <color rgb="FF1155CC"/>
        <rFont val="Arial"/>
        <scheme val="minor"/>
      </rPr>
      <t>Afghanistan</t>
    </r>
  </si>
  <si>
    <r>
      <rPr>
        <b/>
        <i/>
        <u/>
        <sz val="11"/>
        <color rgb="FF1155CC"/>
        <rFont val="Arial"/>
        <scheme val="minor"/>
      </rPr>
      <t>Marshall Islands</t>
    </r>
  </si>
  <si>
    <r>
      <rPr>
        <b/>
        <i/>
        <u/>
        <sz val="11"/>
        <color rgb="FF1155CC"/>
        <rFont val="Arial"/>
        <scheme val="minor"/>
      </rPr>
      <t>Mauritania</t>
    </r>
  </si>
  <si>
    <r>
      <rPr>
        <b/>
        <i/>
        <u/>
        <sz val="11"/>
        <color rgb="FF1155CC"/>
        <rFont val="Arial"/>
        <scheme val="minor"/>
      </rPr>
      <t>Sierra Leone</t>
    </r>
  </si>
  <si>
    <r>
      <rPr>
        <b/>
        <i/>
        <u/>
        <sz val="11"/>
        <color rgb="FF1155CC"/>
        <rFont val="Arial"/>
        <scheme val="minor"/>
      </rPr>
      <t>Mali</t>
    </r>
  </si>
  <si>
    <r>
      <rPr>
        <b/>
        <i/>
        <u/>
        <sz val="11"/>
        <color rgb="FF1155CC"/>
        <rFont val="Arial"/>
        <scheme val="minor"/>
      </rPr>
      <t>Sudan</t>
    </r>
  </si>
  <si>
    <r>
      <rPr>
        <b/>
        <i/>
        <u/>
        <sz val="11"/>
        <color rgb="FF1155CC"/>
        <rFont val="Arial"/>
        <scheme val="minor"/>
      </rPr>
      <t>Eritrea</t>
    </r>
  </si>
  <si>
    <r>
      <rPr>
        <b/>
        <i/>
        <u/>
        <sz val="11"/>
        <color rgb="FF1155CC"/>
        <rFont val="Arial"/>
        <scheme val="minor"/>
      </rPr>
      <t>Tonga</t>
    </r>
  </si>
  <si>
    <r>
      <rPr>
        <b/>
        <i/>
        <u/>
        <sz val="11"/>
        <color rgb="FF1155CC"/>
        <rFont val="Arial"/>
        <scheme val="minor"/>
      </rPr>
      <t>Somalia</t>
    </r>
  </si>
  <si>
    <r>
      <rPr>
        <b/>
        <i/>
        <u/>
        <sz val="11"/>
        <color rgb="FF1155CC"/>
        <rFont val="Arial"/>
        <scheme val="minor"/>
      </rPr>
      <t>Guinea-Bissau</t>
    </r>
  </si>
  <si>
    <r>
      <rPr>
        <b/>
        <i/>
        <u/>
        <sz val="11"/>
        <color rgb="FF1155CC"/>
        <rFont val="Arial"/>
        <scheme val="minor"/>
      </rPr>
      <t>Micronesia</t>
    </r>
  </si>
  <si>
    <r>
      <rPr>
        <b/>
        <i/>
        <u/>
        <sz val="11"/>
        <color rgb="FF1155CC"/>
        <rFont val="Arial"/>
        <scheme val="minor"/>
      </rPr>
      <t>Niger</t>
    </r>
  </si>
  <si>
    <r>
      <rPr>
        <b/>
        <i/>
        <u/>
        <sz val="11"/>
        <color rgb="FF1155CC"/>
        <rFont val="Arial"/>
        <scheme val="minor"/>
      </rPr>
      <t>Solomon Islands</t>
    </r>
  </si>
  <si>
    <r>
      <rPr>
        <b/>
        <i/>
        <u/>
        <sz val="11"/>
        <color rgb="FF1155CC"/>
        <rFont val="Arial"/>
        <scheme val="minor"/>
      </rPr>
      <t>Chad</t>
    </r>
  </si>
  <si>
    <r>
      <rPr>
        <b/>
        <i/>
        <u/>
        <sz val="11"/>
        <color rgb="FF1155CC"/>
        <rFont val="Arial"/>
        <scheme val="minor"/>
      </rPr>
      <t>Monaco*</t>
    </r>
  </si>
  <si>
    <t>-</t>
  </si>
  <si>
    <r>
      <rPr>
        <b/>
        <i/>
        <u/>
        <sz val="11"/>
        <color rgb="FF1155CC"/>
        <rFont val="Arial"/>
        <scheme val="minor"/>
      </rPr>
      <t>Liechtenstein*</t>
    </r>
  </si>
  <si>
    <r>
      <rPr>
        <b/>
        <i/>
        <u/>
        <sz val="11"/>
        <color rgb="FF1155CC"/>
        <rFont val="Arial"/>
        <scheme val="minor"/>
      </rPr>
      <t>San Marino*</t>
    </r>
  </si>
  <si>
    <r>
      <rPr>
        <b/>
        <i/>
        <u/>
        <sz val="11"/>
        <color rgb="FF1155CC"/>
        <rFont val="Arial"/>
        <scheme val="minor"/>
      </rPr>
      <t>Andorra*</t>
    </r>
  </si>
  <si>
    <r>
      <rPr>
        <b/>
        <i/>
        <u/>
        <sz val="11"/>
        <color rgb="FF1155CC"/>
        <rFont val="Arial"/>
        <scheme val="minor"/>
      </rPr>
      <t>Saint Kitts and Nevis*</t>
    </r>
  </si>
  <si>
    <t>Mean carbon charge</t>
  </si>
  <si>
    <t>MALAWI ONLY</t>
  </si>
  <si>
    <t>Fund capital available for Malawi</t>
  </si>
  <si>
    <t>Number of solar farms it would fund</t>
  </si>
  <si>
    <t>Climate grants this year in Malawi</t>
  </si>
  <si>
    <t>Monthly cash transfer per person</t>
  </si>
  <si>
    <t>Monthly cash per four-person household</t>
  </si>
  <si>
    <t>MALAWI and MINIMAL NORWAY</t>
  </si>
  <si>
    <t>MALAWI and FULL NORWAY</t>
  </si>
  <si>
    <t>Resulting KWh per Malawian per year</t>
  </si>
  <si>
    <t xml:space="preserve"> This is based on data that shows that 250KWh per person per year would be needed to provide basic electricity (enough to power two lightbulbs per person) for each Malawian, whereas 1260KWh would be needed to power lights, a few devices and an electric stove each - see  https://www.cgdev.org/blog/how-much-power-does-power-africa-really-need#:~:text=The%20figures%20show%20the%20various,and%20one%20AC%20window%20unit.&amp;text=%5B2%5DTackling%20Investment%20Challenges%20in,freepublications/publication/tackling_i%E2%80%A6. Basic electricity for all 21.1 million Malawians would therefore require 5,275 GWh of power, whereas fuller provision would require 26,586 GWh.  A 50MW power plant would generate 100.74GWh per year, assuming a capacity factor of 23% (https://www.sciencedirect.com/science/article/pii/S254243512200304X#:~:text=For%20projects%20used%20as%20input,%2C%20across%202013%E2%80%932020).) Alternative estimates for capacity factors are provided here: https://africa-eu-energy-partnership.org/wp-content/uploads/2023/08/Solar-SSS-Summary-UPDATED-CLEAN-1.pdf 
</t>
  </si>
  <si>
    <t>National scenarios, adapted from Scenario 1 - Malawi</t>
  </si>
  <si>
    <t>Population of Malawi (in 2025)</t>
  </si>
  <si>
    <t>Global population in 2025</t>
  </si>
  <si>
    <t>Expected national allowance price per tonne of CO2</t>
  </si>
  <si>
    <t>Assumed starting rate of compensation for extra national allowances per gigatonne of CO2</t>
  </si>
  <si>
    <t>Malawi's cumulative carbon emissions</t>
  </si>
  <si>
    <t>Initial proportion of charge proceeds directly distributed as dividends that year (% of total proceeds)</t>
  </si>
  <si>
    <t>Same as carbon charge</t>
  </si>
  <si>
    <t>Proportion of global population</t>
  </si>
  <si>
    <t>National carbon cap in Year 1</t>
  </si>
  <si>
    <t>Actual carbon consumption in 2025 (gigatonnes of CO2e)</t>
  </si>
  <si>
    <t>Annual growth of compensation amount for extra national allowances</t>
  </si>
  <si>
    <t>Starting endowment of the Fund if a charge on historic carbon emissions</t>
  </si>
  <si>
    <t>Malawi's expected mining revenues per year by 2029</t>
  </si>
  <si>
    <t>Annual decrease in proportion of direct dividends (% of total proceeds)</t>
  </si>
  <si>
    <t>Proportion of pot to be distributed as climate grants</t>
  </si>
  <si>
    <t>All adults and children in participating countries</t>
  </si>
  <si>
    <t>Per capita carbon cap (gigatonnes of CO2e)</t>
  </si>
  <si>
    <t>Amount of carbon actually used</t>
  </si>
  <si>
    <t>Amount received/paid out (from govt budget, not from carbon charge proceeds) as a result of sale/purchase of spare national allowances</t>
  </si>
  <si>
    <t>Total amount in the distribution pot by the end of the year</t>
  </si>
  <si>
    <t>Total amount in distribution pot less 0.5% distribution costs, and less any amount going back to the Fund</t>
  </si>
  <si>
    <t>Amount to be distributed as climate grants (This will be pooled with the amounts raised in other participating countries then distributed mainly to MAPA communities)</t>
  </si>
  <si>
    <t>Proportion of global population to receive dividends if going only to this country</t>
  </si>
  <si>
    <t>National scenarios, adapted from Scenario 1 - Norway</t>
  </si>
  <si>
    <t>Population of Norway (in 2025)</t>
  </si>
  <si>
    <t>Norway's cumulative carbon emissions</t>
  </si>
  <si>
    <t>2080</t>
  </si>
  <si>
    <t>Initial annual decrease in proportion of direct dividends (% of total proceeds)</t>
  </si>
  <si>
    <t>After 2035 annual decrease in proportion of direct dividends (% of total proceeds)</t>
  </si>
  <si>
    <t>Expected compensation received/paid out (from govt budget, not from carbon charge proceeds) for high-consuming countries' extra national allowances</t>
  </si>
  <si>
    <t>Total amount in this year's pot for distribution less 0.5% distribution costs, and less any amount going back to the Fund</t>
  </si>
  <si>
    <t>Monthly dividend per person if kept nationally</t>
  </si>
  <si>
    <t>Monthly dividend per person if pooled with Malawi</t>
  </si>
  <si>
    <t>Total amount to be distributed as climate grants between both countries</t>
  </si>
  <si>
    <r>
      <rPr>
        <b/>
        <sz val="12"/>
        <color theme="1"/>
        <rFont val="Josefin Sans"/>
      </rPr>
      <t xml:space="preserve">Total capital amount in the Fund if pooled between both countries
</t>
    </r>
    <r>
      <rPr>
        <b/>
        <sz val="8"/>
        <color theme="1"/>
        <rFont val="Josefin Sans"/>
      </rPr>
      <t>(less cumulative 0.05% Fund management costs)</t>
    </r>
  </si>
  <si>
    <t>Total amount in distribution pot at end of year for both grants and dividends between both countries</t>
  </si>
  <si>
    <t>Monthly dividend per person if it were minimal-Norway</t>
  </si>
  <si>
    <r>
      <rPr>
        <b/>
        <sz val="12"/>
        <color theme="1"/>
        <rFont val="Josefin Sans"/>
      </rPr>
      <t xml:space="preserve">Total capital amount in the Fund if pooled between both countries
</t>
    </r>
    <r>
      <rPr>
        <b/>
        <sz val="8"/>
        <color theme="1"/>
        <rFont val="Josefin Sans"/>
      </rPr>
      <t>(less cumulative 0.05% Fund management costs)</t>
    </r>
  </si>
  <si>
    <t>Capital amount in Malawi's Fund if 50% of shared fund</t>
  </si>
  <si>
    <t>Total amount to be distributed as climate grants between in both countries</t>
  </si>
  <si>
    <t>Amount of climate grants in Malawi if 50% of shared pot</t>
  </si>
  <si>
    <t>Monthly dividend per person if pooled with Norway</t>
  </si>
  <si>
    <t>FYI Total amount in distribution pot for both grants and dividends between both countries</t>
  </si>
  <si>
    <t>Malawi</t>
  </si>
  <si>
    <t>Norway</t>
  </si>
  <si>
    <t>Expected price changes</t>
  </si>
  <si>
    <t>Carbon charge level that year</t>
  </si>
  <si>
    <t>Carbon charge of $240</t>
  </si>
  <si>
    <t>Kg of CO2 per litre burned</t>
  </si>
  <si>
    <t>Average fuel tank size (litres)</t>
  </si>
  <si>
    <t>Multiplication factor for carbon charge</t>
  </si>
  <si>
    <t>Petrol (extra cost for average car's tank full)</t>
  </si>
  <si>
    <t>Kerosene (extra cost per 5 litre can)</t>
  </si>
  <si>
    <t>Household of four, buying only five litres of kerosene per month</t>
  </si>
  <si>
    <t>Extra cost per month</t>
  </si>
  <si>
    <t>Malawi-only:  Net loss/gain</t>
  </si>
  <si>
    <t>Malawi and minimal Norway:  Net loss/gain</t>
  </si>
  <si>
    <t>Malawi and full Norway:  Net loss/gain</t>
  </si>
  <si>
    <t>Household of four, buying fifteen litres of kerosene per month</t>
  </si>
  <si>
    <t>Household of four, buying fifteen litres of kerosene and one tank of petrol per month</t>
  </si>
  <si>
    <t>Cumulative carbon emissions</t>
  </si>
  <si>
    <t>Initial fund contribution requested</t>
  </si>
  <si>
    <t xml:space="preserve">The logic of this calculation is that countries with high historic fossil fuel emissions should be required to make an initial contribution to the fund in respect of those historic emissions. Of course the cost of those historic emissions can be whatever we want to set it at. It is likely that most participating countries would not be able or willing to make a capital contribution of this kind so this would need to be negotiable, perhaps with exemptions for countries with constrained budgets or limited national wealth (especially lower income countries). </t>
  </si>
  <si>
    <t>India</t>
  </si>
  <si>
    <t>Palau</t>
  </si>
  <si>
    <t>National scenarios, adapted from Scenario 1 - Brazil</t>
  </si>
  <si>
    <t>Population of Brazil (in 2025)</t>
  </si>
  <si>
    <t>Brazil's cumulative carbon emissions</t>
  </si>
  <si>
    <r>
      <rPr>
        <b/>
        <sz val="12"/>
        <color theme="1"/>
        <rFont val="Josefin Sans"/>
      </rPr>
      <t xml:space="preserve">Total capital amount in the Fund if pooled between both countries
</t>
    </r>
    <r>
      <rPr>
        <b/>
        <sz val="8"/>
        <color theme="1"/>
        <rFont val="Josefin Sans"/>
      </rPr>
      <t>(less cumulative 0.05% Fund management costs)</t>
    </r>
  </si>
  <si>
    <t>Population of UK (in 2025)</t>
  </si>
  <si>
    <r>
      <rPr>
        <b/>
        <sz val="12"/>
        <color theme="1"/>
        <rFont val="Josefin Sans"/>
      </rPr>
      <t xml:space="preserve">Total capital amount in the Fund if pooled between both countries
</t>
    </r>
    <r>
      <rPr>
        <b/>
        <sz val="8"/>
        <color theme="1"/>
        <rFont val="Josefin Sans"/>
      </rPr>
      <t>(less cumulative 0.05% Fund management costs)</t>
    </r>
  </si>
  <si>
    <t>National scenarios, adapted from Scenario 1 - Palau</t>
  </si>
  <si>
    <t>Population of Palau (in 2025)</t>
  </si>
  <si>
    <r>
      <rPr>
        <b/>
        <sz val="12"/>
        <color theme="1"/>
        <rFont val="Josefin Sans"/>
      </rPr>
      <t xml:space="preserve">Total capital amount in the Fund if pooled between both countries
</t>
    </r>
    <r>
      <rPr>
        <b/>
        <sz val="8"/>
        <color theme="1"/>
        <rFont val="Josefin Sans"/>
      </rPr>
      <t>(less cumulative 0.05% Fund management costs)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</si>
</sst>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4" formatCode="&quot;$&quot;#,##0"/>
    <numFmt numFmtId="165" formatCode="0.0%"/>
    <numFmt numFmtId="166" formatCode="0.0"/>
    <numFmt numFmtId="167" formatCode="&quot;$&quot;#,##0.00"/>
    <numFmt numFmtId="168" formatCode="0.000"/>
    <numFmt numFmtId="169" formatCode="0.0000000"/>
    <numFmt numFmtId="170" formatCode="&quot;$&quot;0.0,,,,_1&quot;trillion&quot;"/>
    <numFmt numFmtId="171" formatCode="#,##0.0"/>
    <numFmt numFmtId="172" formatCode="&quot;$&quot;0.000,,,\ &quot;billion&quot;"/>
    <numFmt numFmtId="173" formatCode="&quot;$&quot;0.00,,,\ &quot;billion&quot;"/>
    <numFmt numFmtId="174" formatCode="&quot;$&quot;0.0,,,\ &quot;billion&quot;"/>
    <numFmt numFmtId="175" formatCode="&quot;$&quot;0,,,\ &quot;billion&quot;"/>
    <numFmt numFmtId="176" formatCode="0.000%"/>
    <numFmt numFmtId="177" formatCode="#,##0.0000"/>
    <numFmt numFmtId="178" formatCode="0.00000"/>
    <numFmt numFmtId="179" formatCode="0.0000000000"/>
    <numFmt numFmtId="180" formatCode="#,##0.000"/>
    <numFmt numFmtId="181" formatCode="0.00000000"/>
    <numFmt numFmtId="182" formatCode="0.0000%"/>
    <numFmt numFmtId="183" formatCode="#,##0.00000"/>
  </numFmts>
  <fonts count="31">
    <font>
      <sz val="10"/>
      <color rgb="FF000000"/>
      <name val="Arial"/>
      <scheme val="minor"/>
    </font>
    <font>
      <b/>
      <sz val="24"/>
      <color theme="1"/>
      <name val="Josefin Sans"/>
    </font>
    <font>
      <sz val="10"/>
      <color theme="1"/>
      <name val="Arial"/>
    </font>
    <font>
      <b/>
      <sz val="14"/>
      <color theme="1"/>
      <name val="Josefin Sans"/>
    </font>
    <font>
      <sz val="10"/>
      <name val="Arial"/>
    </font>
    <font>
      <b/>
      <sz val="8"/>
      <color theme="1"/>
      <name val="Josefin Sans"/>
    </font>
    <font>
      <sz val="8"/>
      <color theme="1"/>
      <name val="Josefin Sans"/>
    </font>
    <font>
      <sz val="7"/>
      <color theme="1"/>
      <name val="Josefin Sans"/>
    </font>
    <font>
      <b/>
      <sz val="12"/>
      <color theme="1"/>
      <name val="Josefin Sans"/>
    </font>
    <font>
      <b/>
      <sz val="10"/>
      <color theme="1"/>
      <name val="Josefin Sans"/>
    </font>
    <font>
      <sz val="10"/>
      <color theme="1"/>
      <name val="Josefin Sans"/>
    </font>
    <font>
      <sz val="9"/>
      <color theme="1"/>
      <name val="Candara"/>
    </font>
    <font>
      <b/>
      <sz val="10"/>
      <color theme="1"/>
      <name val="Arial"/>
      <scheme val="minor"/>
    </font>
    <font>
      <b/>
      <sz val="18"/>
      <color theme="1"/>
      <name val="Arial"/>
      <scheme val="minor"/>
    </font>
    <font>
      <sz val="10"/>
      <color theme="1"/>
      <name val="Arial"/>
      <scheme val="minor"/>
    </font>
    <font>
      <i/>
      <sz val="10"/>
      <color rgb="FF000000"/>
      <name val="HelveticaNeue"/>
    </font>
    <font>
      <b/>
      <i/>
      <u/>
      <sz val="11"/>
      <color rgb="FF0000FF"/>
      <name val="HelveticaNeue"/>
    </font>
    <font>
      <i/>
      <sz val="10"/>
      <color rgb="FF363636"/>
      <name val="HelveticaNeue"/>
    </font>
    <font>
      <sz val="10"/>
      <color theme="1"/>
      <name val="Arial"/>
      <scheme val="minor"/>
    </font>
    <font>
      <i/>
      <sz val="10"/>
      <color rgb="FF363636"/>
      <name val="Arial"/>
    </font>
    <font>
      <sz val="12"/>
      <color theme="1"/>
      <name val="Josefin Sans"/>
    </font>
    <font>
      <sz val="11"/>
      <color theme="1"/>
      <name val="Josefin Sans"/>
    </font>
    <font>
      <b/>
      <sz val="12"/>
      <color theme="1"/>
      <name val="Arial"/>
      <scheme val="minor"/>
    </font>
    <font>
      <b/>
      <sz val="10"/>
      <color theme="1"/>
      <name val="Arial"/>
      <scheme val="minor"/>
    </font>
    <font>
      <b/>
      <sz val="17"/>
      <color theme="1"/>
      <name val="Arial"/>
      <scheme val="minor"/>
    </font>
    <font>
      <b/>
      <sz val="16"/>
      <color theme="1"/>
      <name val="Josefin Sans"/>
    </font>
    <font>
      <b/>
      <sz val="8"/>
      <color theme="1"/>
      <name val="Arial"/>
    </font>
    <font>
      <b/>
      <sz val="10"/>
      <color theme="1"/>
      <name val="Josefin Sans"/>
    </font>
    <font>
      <b/>
      <sz val="18"/>
      <color theme="1"/>
      <name val="Josefin Sans"/>
    </font>
    <font>
      <b/>
      <sz val="7"/>
      <color theme="1"/>
      <name val="Josefin Sans"/>
    </font>
    <font>
      <b/>
      <i/>
      <u/>
      <sz val="11"/>
      <color rgb="FF1155CC"/>
      <name val="Arial"/>
      <scheme val="minor"/>
    </font>
  </fonts>
  <fills count="168">
    <fill>
      <patternFill patternType="none"/>
    </fill>
    <fill>
      <patternFill patternType="gray125"/>
    </fill>
    <fill>
      <patternFill patternType="solid">
        <fgColor rgb="FF4A86E8"/>
        <bgColor rgb="FF4A86E8"/>
      </patternFill>
    </fill>
    <fill>
      <patternFill patternType="solid">
        <fgColor rgb="FFB7B7B7"/>
        <bgColor rgb="FFB7B7B7"/>
      </patternFill>
    </fill>
    <fill>
      <patternFill patternType="solid">
        <fgColor rgb="FFD9D9D9"/>
        <bgColor rgb="FFD9D9D9"/>
      </patternFill>
    </fill>
    <fill>
      <patternFill patternType="solid">
        <fgColor rgb="FFF3F3F3"/>
        <bgColor rgb="FFF3F3F3"/>
      </patternFill>
    </fill>
    <fill>
      <patternFill patternType="solid">
        <fgColor rgb="FFEFEFEF"/>
        <bgColor rgb="FFEFEFEF"/>
      </patternFill>
    </fill>
    <fill>
      <patternFill patternType="solid">
        <fgColor rgb="FFC9DAF8"/>
        <bgColor rgb="FFC9DAF8"/>
      </patternFill>
    </fill>
    <fill>
      <patternFill patternType="solid">
        <fgColor rgb="FFFFF2CC"/>
        <bgColor rgb="FFFFF2CC"/>
      </patternFill>
    </fill>
    <fill>
      <patternFill patternType="solid">
        <fgColor rgb="FFFFE599"/>
        <bgColor rgb="FFFFE599"/>
      </patternFill>
    </fill>
    <fill>
      <patternFill patternType="solid">
        <fgColor rgb="FFFFD966"/>
        <bgColor rgb="FFFFD966"/>
      </patternFill>
    </fill>
    <fill>
      <patternFill patternType="solid">
        <fgColor rgb="FF9EDCC6"/>
        <bgColor rgb="FF9EDCC6"/>
      </patternFill>
    </fill>
    <fill>
      <patternFill patternType="solid">
        <fgColor rgb="FFFFBEE2"/>
        <bgColor rgb="FFFFBEE2"/>
      </patternFill>
    </fill>
    <fill>
      <patternFill patternType="solid">
        <fgColor rgb="FFD9EAD3"/>
        <bgColor rgb="FFD9EAD3"/>
      </patternFill>
    </fill>
    <fill>
      <patternFill patternType="solid">
        <fgColor rgb="FF00FFFF"/>
        <bgColor rgb="FF00FFFF"/>
      </patternFill>
    </fill>
    <fill>
      <patternFill patternType="solid">
        <fgColor rgb="FF28EE8B"/>
        <bgColor rgb="FF28EE8B"/>
      </patternFill>
    </fill>
    <fill>
      <patternFill patternType="solid">
        <fgColor rgb="FF7ABA50"/>
        <bgColor rgb="FF7ABA50"/>
      </patternFill>
    </fill>
    <fill>
      <patternFill patternType="solid">
        <fgColor rgb="FF7BBA50"/>
        <bgColor rgb="FF7BBA50"/>
      </patternFill>
    </fill>
    <fill>
      <patternFill patternType="solid">
        <fgColor rgb="FF7CBA50"/>
        <bgColor rgb="FF7CBA50"/>
      </patternFill>
    </fill>
    <fill>
      <patternFill patternType="solid">
        <fgColor rgb="FF7DBB50"/>
        <bgColor rgb="FF7DBB50"/>
      </patternFill>
    </fill>
    <fill>
      <patternFill patternType="solid">
        <fgColor rgb="FF7EBB50"/>
        <bgColor rgb="FF7EBB50"/>
      </patternFill>
    </fill>
    <fill>
      <patternFill patternType="solid">
        <fgColor rgb="FF7FBB50"/>
        <bgColor rgb="FF7FBB50"/>
      </patternFill>
    </fill>
    <fill>
      <patternFill patternType="solid">
        <fgColor rgb="FF81BC50"/>
        <bgColor rgb="FF81BC50"/>
      </patternFill>
    </fill>
    <fill>
      <patternFill patternType="solid">
        <fgColor rgb="FF82BC50"/>
        <bgColor rgb="FF82BC50"/>
      </patternFill>
    </fill>
    <fill>
      <patternFill patternType="solid">
        <fgColor rgb="FF83BC50"/>
        <bgColor rgb="FF83BC50"/>
      </patternFill>
    </fill>
    <fill>
      <patternFill patternType="solid">
        <fgColor rgb="FF85BD50"/>
        <bgColor rgb="FF85BD50"/>
      </patternFill>
    </fill>
    <fill>
      <patternFill patternType="solid">
        <fgColor rgb="FF86BD50"/>
        <bgColor rgb="FF86BD50"/>
      </patternFill>
    </fill>
    <fill>
      <patternFill patternType="solid">
        <fgColor rgb="FF87BE50"/>
        <bgColor rgb="FF87BE50"/>
      </patternFill>
    </fill>
    <fill>
      <patternFill patternType="solid">
        <fgColor rgb="FF88BE50"/>
        <bgColor rgb="FF88BE50"/>
      </patternFill>
    </fill>
    <fill>
      <patternFill patternType="solid">
        <fgColor rgb="FF89BE50"/>
        <bgColor rgb="FF89BE50"/>
      </patternFill>
    </fill>
    <fill>
      <patternFill patternType="solid">
        <fgColor rgb="FF8ABF50"/>
        <bgColor rgb="FF8ABF50"/>
      </patternFill>
    </fill>
    <fill>
      <patternFill patternType="solid">
        <fgColor rgb="FF8BBF50"/>
        <bgColor rgb="FF8BBF50"/>
      </patternFill>
    </fill>
    <fill>
      <patternFill patternType="solid">
        <fgColor rgb="FF8CBF50"/>
        <bgColor rgb="FF8CBF50"/>
      </patternFill>
    </fill>
    <fill>
      <patternFill patternType="solid">
        <fgColor rgb="FF8DBF50"/>
        <bgColor rgb="FF8DBF50"/>
      </patternFill>
    </fill>
    <fill>
      <patternFill patternType="solid">
        <fgColor rgb="FF8EC050"/>
        <bgColor rgb="FF8EC050"/>
      </patternFill>
    </fill>
    <fill>
      <patternFill patternType="solid">
        <fgColor rgb="FF8FC050"/>
        <bgColor rgb="FF8FC050"/>
      </patternFill>
    </fill>
    <fill>
      <patternFill patternType="solid">
        <fgColor rgb="FF91C150"/>
        <bgColor rgb="FF91C150"/>
      </patternFill>
    </fill>
    <fill>
      <patternFill patternType="solid">
        <fgColor rgb="FF92C150"/>
        <bgColor rgb="FF92C150"/>
      </patternFill>
    </fill>
    <fill>
      <patternFill patternType="solid">
        <fgColor rgb="FF93C150"/>
        <bgColor rgb="FF93C150"/>
      </patternFill>
    </fill>
    <fill>
      <patternFill patternType="solid">
        <fgColor rgb="FF94C24F"/>
        <bgColor rgb="FF94C24F"/>
      </patternFill>
    </fill>
    <fill>
      <patternFill patternType="solid">
        <fgColor rgb="FF95C24F"/>
        <bgColor rgb="FF95C24F"/>
      </patternFill>
    </fill>
    <fill>
      <patternFill patternType="solid">
        <fgColor rgb="FF96C24F"/>
        <bgColor rgb="FF96C24F"/>
      </patternFill>
    </fill>
    <fill>
      <patternFill patternType="solid">
        <fgColor rgb="FF97C34E"/>
        <bgColor rgb="FF97C34E"/>
      </patternFill>
    </fill>
    <fill>
      <patternFill patternType="solid">
        <fgColor rgb="FF99C44D"/>
        <bgColor rgb="FF99C44D"/>
      </patternFill>
    </fill>
    <fill>
      <patternFill patternType="solid">
        <fgColor rgb="FF9BC44D"/>
        <bgColor rgb="FF9BC44D"/>
      </patternFill>
    </fill>
    <fill>
      <patternFill patternType="solid">
        <fgColor rgb="FF9DC54C"/>
        <bgColor rgb="FF9DC54C"/>
      </patternFill>
    </fill>
    <fill>
      <patternFill patternType="solid">
        <fgColor rgb="FF9FC64B"/>
        <bgColor rgb="FF9FC64B"/>
      </patternFill>
    </fill>
    <fill>
      <patternFill patternType="solid">
        <fgColor rgb="FFA2C74A"/>
        <bgColor rgb="FFA2C74A"/>
      </patternFill>
    </fill>
    <fill>
      <patternFill patternType="solid">
        <fgColor rgb="FFA4C849"/>
        <bgColor rgb="FFA4C849"/>
      </patternFill>
    </fill>
    <fill>
      <patternFill patternType="solid">
        <fgColor rgb="FFA5C849"/>
        <bgColor rgb="FFA5C849"/>
      </patternFill>
    </fill>
    <fill>
      <patternFill patternType="solid">
        <fgColor rgb="FFA8C948"/>
        <bgColor rgb="FFA8C948"/>
      </patternFill>
    </fill>
    <fill>
      <patternFill patternType="solid">
        <fgColor rgb="FFAACA47"/>
        <bgColor rgb="FFAACA47"/>
      </patternFill>
    </fill>
    <fill>
      <patternFill patternType="solid">
        <fgColor rgb="FFABCB47"/>
        <bgColor rgb="FFABCB47"/>
      </patternFill>
    </fill>
    <fill>
      <patternFill patternType="solid">
        <fgColor rgb="FFACCB46"/>
        <bgColor rgb="FFACCB46"/>
      </patternFill>
    </fill>
    <fill>
      <patternFill patternType="solid">
        <fgColor rgb="FFADCB46"/>
        <bgColor rgb="FFADCB46"/>
      </patternFill>
    </fill>
    <fill>
      <patternFill patternType="solid">
        <fgColor rgb="FFAFCC45"/>
        <bgColor rgb="FFAFCC45"/>
      </patternFill>
    </fill>
    <fill>
      <patternFill patternType="solid">
        <fgColor rgb="FFB3CE43"/>
        <bgColor rgb="FFB3CE43"/>
      </patternFill>
    </fill>
    <fill>
      <patternFill patternType="solid">
        <fgColor rgb="FFB5CE43"/>
        <bgColor rgb="FFB5CE43"/>
      </patternFill>
    </fill>
    <fill>
      <patternFill patternType="solid">
        <fgColor rgb="FFB8CF43"/>
        <bgColor rgb="FFB8CF43"/>
      </patternFill>
    </fill>
    <fill>
      <patternFill patternType="solid">
        <fgColor rgb="FFB9CF43"/>
        <bgColor rgb="FFB9CF43"/>
      </patternFill>
    </fill>
    <fill>
      <patternFill patternType="solid">
        <fgColor rgb="FFBBD043"/>
        <bgColor rgb="FFBBD043"/>
      </patternFill>
    </fill>
    <fill>
      <patternFill patternType="solid">
        <fgColor rgb="FFBED043"/>
        <bgColor rgb="FFBED043"/>
      </patternFill>
    </fill>
    <fill>
      <patternFill patternType="solid">
        <fgColor rgb="FFC0D143"/>
        <bgColor rgb="FFC0D143"/>
      </patternFill>
    </fill>
    <fill>
      <patternFill patternType="solid">
        <fgColor rgb="FFC3D243"/>
        <bgColor rgb="FFC3D243"/>
      </patternFill>
    </fill>
    <fill>
      <patternFill patternType="solid">
        <fgColor rgb="FFC5D243"/>
        <bgColor rgb="FFC5D243"/>
      </patternFill>
    </fill>
    <fill>
      <patternFill patternType="solid">
        <fgColor rgb="FFC8D343"/>
        <bgColor rgb="FFC8D343"/>
      </patternFill>
    </fill>
    <fill>
      <patternFill patternType="solid">
        <fgColor rgb="FFCBD443"/>
        <bgColor rgb="FFCBD443"/>
      </patternFill>
    </fill>
    <fill>
      <patternFill patternType="solid">
        <fgColor rgb="FFCDD443"/>
        <bgColor rgb="FFCDD443"/>
      </patternFill>
    </fill>
    <fill>
      <patternFill patternType="solid">
        <fgColor rgb="FFCED543"/>
        <bgColor rgb="FFCED543"/>
      </patternFill>
    </fill>
    <fill>
      <patternFill patternType="solid">
        <fgColor rgb="FFD0D543"/>
        <bgColor rgb="FFD0D543"/>
      </patternFill>
    </fill>
    <fill>
      <patternFill patternType="solid">
        <fgColor rgb="FFD1D543"/>
        <bgColor rgb="FFD1D543"/>
      </patternFill>
    </fill>
    <fill>
      <patternFill patternType="solid">
        <fgColor rgb="FFD3D643"/>
        <bgColor rgb="FFD3D643"/>
      </patternFill>
    </fill>
    <fill>
      <patternFill patternType="solid">
        <fgColor rgb="FFD5D643"/>
        <bgColor rgb="FFD5D643"/>
      </patternFill>
    </fill>
    <fill>
      <patternFill patternType="solid">
        <fgColor rgb="FFD8D743"/>
        <bgColor rgb="FFD8D743"/>
      </patternFill>
    </fill>
    <fill>
      <patternFill patternType="solid">
        <fgColor rgb="FFD9D743"/>
        <bgColor rgb="FFD9D743"/>
      </patternFill>
    </fill>
    <fill>
      <patternFill patternType="solid">
        <fgColor rgb="FFDBD843"/>
        <bgColor rgb="FFDBD843"/>
      </patternFill>
    </fill>
    <fill>
      <patternFill patternType="solid">
        <fgColor rgb="FFDDD843"/>
        <bgColor rgb="FFDDD843"/>
      </patternFill>
    </fill>
    <fill>
      <patternFill patternType="solid">
        <fgColor rgb="FFDED843"/>
        <bgColor rgb="FFDED843"/>
      </patternFill>
    </fill>
    <fill>
      <patternFill patternType="solid">
        <fgColor rgb="FFDED643"/>
        <bgColor rgb="FFDED643"/>
      </patternFill>
    </fill>
    <fill>
      <patternFill patternType="solid">
        <fgColor rgb="FFDED543"/>
        <bgColor rgb="FFDED543"/>
      </patternFill>
    </fill>
    <fill>
      <patternFill patternType="solid">
        <fgColor rgb="FFDED443"/>
        <bgColor rgb="FFDED443"/>
      </patternFill>
    </fill>
    <fill>
      <patternFill patternType="solid">
        <fgColor rgb="FFDED243"/>
        <bgColor rgb="FFDED243"/>
      </patternFill>
    </fill>
    <fill>
      <patternFill patternType="solid">
        <fgColor rgb="FFDED043"/>
        <bgColor rgb="FFDED043"/>
      </patternFill>
    </fill>
    <fill>
      <patternFill patternType="solid">
        <fgColor rgb="FFDFCD43"/>
        <bgColor rgb="FFDFCD43"/>
      </patternFill>
    </fill>
    <fill>
      <patternFill patternType="solid">
        <fgColor rgb="FFDFCB43"/>
        <bgColor rgb="FFDFCB43"/>
      </patternFill>
    </fill>
    <fill>
      <patternFill patternType="solid">
        <fgColor rgb="FFDFCA43"/>
        <bgColor rgb="FFDFCA43"/>
      </patternFill>
    </fill>
    <fill>
      <patternFill patternType="solid">
        <fgColor rgb="FFDFC743"/>
        <bgColor rgb="FFDFC743"/>
      </patternFill>
    </fill>
    <fill>
      <patternFill patternType="solid">
        <fgColor rgb="FFE0C443"/>
        <bgColor rgb="FFE0C443"/>
      </patternFill>
    </fill>
    <fill>
      <patternFill patternType="solid">
        <fgColor rgb="FFE0C343"/>
        <bgColor rgb="FFE0C343"/>
      </patternFill>
    </fill>
    <fill>
      <patternFill patternType="solid">
        <fgColor rgb="FFE0C143"/>
        <bgColor rgb="FFE0C143"/>
      </patternFill>
    </fill>
    <fill>
      <patternFill patternType="solid">
        <fgColor rgb="FFE0C043"/>
        <bgColor rgb="FFE0C043"/>
      </patternFill>
    </fill>
    <fill>
      <patternFill patternType="solid">
        <fgColor rgb="FFE0BE43"/>
        <bgColor rgb="FFE0BE43"/>
      </patternFill>
    </fill>
    <fill>
      <patternFill patternType="solid">
        <fgColor rgb="FFE0BD43"/>
        <bgColor rgb="FFE0BD43"/>
      </patternFill>
    </fill>
    <fill>
      <patternFill patternType="solid">
        <fgColor rgb="FFE1BC43"/>
        <bgColor rgb="FFE1BC43"/>
      </patternFill>
    </fill>
    <fill>
      <patternFill patternType="solid">
        <fgColor rgb="FFE1B943"/>
        <bgColor rgb="FFE1B943"/>
      </patternFill>
    </fill>
    <fill>
      <patternFill patternType="solid">
        <fgColor rgb="FFE1B743"/>
        <bgColor rgb="FFE1B743"/>
      </patternFill>
    </fill>
    <fill>
      <patternFill patternType="solid">
        <fgColor rgb="FFE1B543"/>
        <bgColor rgb="FFE1B543"/>
      </patternFill>
    </fill>
    <fill>
      <patternFill patternType="solid">
        <fgColor rgb="FFE2B243"/>
        <bgColor rgb="FFE2B243"/>
      </patternFill>
    </fill>
    <fill>
      <patternFill patternType="solid">
        <fgColor rgb="FFE2B043"/>
        <bgColor rgb="FFE2B043"/>
      </patternFill>
    </fill>
    <fill>
      <patternFill patternType="solid">
        <fgColor rgb="FFE3AE44"/>
        <bgColor rgb="FFE3AE44"/>
      </patternFill>
    </fill>
    <fill>
      <patternFill patternType="solid">
        <fgColor rgb="FFE3AC45"/>
        <bgColor rgb="FFE3AC45"/>
      </patternFill>
    </fill>
    <fill>
      <patternFill patternType="solid">
        <fgColor rgb="FFE4AB45"/>
        <bgColor rgb="FFE4AB45"/>
      </patternFill>
    </fill>
    <fill>
      <patternFill patternType="solid">
        <fgColor rgb="FFE4A946"/>
        <bgColor rgb="FFE4A946"/>
      </patternFill>
    </fill>
    <fill>
      <patternFill patternType="solid">
        <fgColor rgb="FFE5A747"/>
        <bgColor rgb="FFE5A747"/>
      </patternFill>
    </fill>
    <fill>
      <patternFill patternType="solid">
        <fgColor rgb="FFE5A547"/>
        <bgColor rgb="FFE5A547"/>
      </patternFill>
    </fill>
    <fill>
      <patternFill patternType="solid">
        <fgColor rgb="FFE6A348"/>
        <bgColor rgb="FFE6A348"/>
      </patternFill>
    </fill>
    <fill>
      <patternFill patternType="solid">
        <fgColor rgb="FFE6A248"/>
        <bgColor rgb="FFE6A248"/>
      </patternFill>
    </fill>
    <fill>
      <patternFill patternType="solid">
        <fgColor rgb="FFE7A049"/>
        <bgColor rgb="FFE7A049"/>
      </patternFill>
    </fill>
    <fill>
      <patternFill patternType="solid">
        <fgColor rgb="FFE79E4A"/>
        <bgColor rgb="FFE79E4A"/>
      </patternFill>
    </fill>
    <fill>
      <patternFill patternType="solid">
        <fgColor rgb="FFE89D4A"/>
        <bgColor rgb="FFE89D4A"/>
      </patternFill>
    </fill>
    <fill>
      <patternFill patternType="solid">
        <fgColor rgb="FFE89C4B"/>
        <bgColor rgb="FFE89C4B"/>
      </patternFill>
    </fill>
    <fill>
      <patternFill patternType="solid">
        <fgColor rgb="FFE89B4B"/>
        <bgColor rgb="FFE89B4B"/>
      </patternFill>
    </fill>
    <fill>
      <patternFill patternType="solid">
        <fgColor rgb="FFE99A4B"/>
        <bgColor rgb="FFE99A4B"/>
      </patternFill>
    </fill>
    <fill>
      <patternFill patternType="solid">
        <fgColor rgb="FFE9984C"/>
        <bgColor rgb="FFE9984C"/>
      </patternFill>
    </fill>
    <fill>
      <patternFill patternType="solid">
        <fgColor rgb="FFE9974C"/>
        <bgColor rgb="FFE9974C"/>
      </patternFill>
    </fill>
    <fill>
      <patternFill patternType="solid">
        <fgColor rgb="FFEA964D"/>
        <bgColor rgb="FFEA964D"/>
      </patternFill>
    </fill>
    <fill>
      <patternFill patternType="solid">
        <fgColor rgb="FFEA944D"/>
        <bgColor rgb="FFEA944D"/>
      </patternFill>
    </fill>
    <fill>
      <patternFill patternType="solid">
        <fgColor rgb="FFEB924E"/>
        <bgColor rgb="FFEB924E"/>
      </patternFill>
    </fill>
    <fill>
      <patternFill patternType="solid">
        <fgColor rgb="FFEC904E"/>
        <bgColor rgb="FFEC904E"/>
      </patternFill>
    </fill>
    <fill>
      <patternFill patternType="solid">
        <fgColor rgb="FFEC8F4E"/>
        <bgColor rgb="FFEC8F4E"/>
      </patternFill>
    </fill>
    <fill>
      <patternFill patternType="solid">
        <fgColor rgb="FFED8C4E"/>
        <bgColor rgb="FFED8C4E"/>
      </patternFill>
    </fill>
    <fill>
      <patternFill patternType="solid">
        <fgColor rgb="FFED8A4E"/>
        <bgColor rgb="FFED8A4E"/>
      </patternFill>
    </fill>
    <fill>
      <patternFill patternType="solid">
        <fgColor rgb="FFEE894E"/>
        <bgColor rgb="FFEE894E"/>
      </patternFill>
    </fill>
    <fill>
      <patternFill patternType="solid">
        <fgColor rgb="FFEE874E"/>
        <bgColor rgb="FFEE874E"/>
      </patternFill>
    </fill>
    <fill>
      <patternFill patternType="solid">
        <fgColor rgb="FFEF854E"/>
        <bgColor rgb="FFEF854E"/>
      </patternFill>
    </fill>
    <fill>
      <patternFill patternType="solid">
        <fgColor rgb="FFEF844E"/>
        <bgColor rgb="FFEF844E"/>
      </patternFill>
    </fill>
    <fill>
      <patternFill patternType="solid">
        <fgColor rgb="FFF0824E"/>
        <bgColor rgb="FFF0824E"/>
      </patternFill>
    </fill>
    <fill>
      <patternFill patternType="solid">
        <fgColor rgb="FFF0804E"/>
        <bgColor rgb="FFF0804E"/>
      </patternFill>
    </fill>
    <fill>
      <patternFill patternType="solid">
        <fgColor rgb="FFF17F4E"/>
        <bgColor rgb="FFF17F4E"/>
      </patternFill>
    </fill>
    <fill>
      <patternFill patternType="solid">
        <fgColor rgb="FFF17E4E"/>
        <bgColor rgb="FFF17E4E"/>
      </patternFill>
    </fill>
    <fill>
      <patternFill patternType="solid">
        <fgColor rgb="FFF27C4E"/>
        <bgColor rgb="FFF27C4E"/>
      </patternFill>
    </fill>
    <fill>
      <patternFill patternType="solid">
        <fgColor rgb="FFF3794E"/>
        <bgColor rgb="FFF3794E"/>
      </patternFill>
    </fill>
    <fill>
      <patternFill patternType="solid">
        <fgColor rgb="FFF3784E"/>
        <bgColor rgb="FFF3784E"/>
      </patternFill>
    </fill>
    <fill>
      <patternFill patternType="solid">
        <fgColor rgb="FFF3764E"/>
        <bgColor rgb="FFF3764E"/>
      </patternFill>
    </fill>
    <fill>
      <patternFill patternType="solid">
        <fgColor rgb="FFF4754E"/>
        <bgColor rgb="FFF4754E"/>
      </patternFill>
    </fill>
    <fill>
      <patternFill patternType="solid">
        <fgColor rgb="FFF4744E"/>
        <bgColor rgb="FFF4744E"/>
      </patternFill>
    </fill>
    <fill>
      <patternFill patternType="solid">
        <fgColor rgb="FFF5724E"/>
        <bgColor rgb="FFF5724E"/>
      </patternFill>
    </fill>
    <fill>
      <patternFill patternType="solid">
        <fgColor rgb="FFF5704F"/>
        <bgColor rgb="FFF5704F"/>
      </patternFill>
    </fill>
    <fill>
      <patternFill patternType="solid">
        <fgColor rgb="FFF57050"/>
        <bgColor rgb="FFF57050"/>
      </patternFill>
    </fill>
    <fill>
      <patternFill patternType="solid">
        <fgColor rgb="FFF56F51"/>
        <bgColor rgb="FFF56F51"/>
      </patternFill>
    </fill>
    <fill>
      <patternFill patternType="solid">
        <fgColor rgb="FFF56E51"/>
        <bgColor rgb="FFF56E51"/>
      </patternFill>
    </fill>
    <fill>
      <patternFill patternType="solid">
        <fgColor rgb="FFF56D52"/>
        <bgColor rgb="FFF56D52"/>
      </patternFill>
    </fill>
    <fill>
      <patternFill patternType="solid">
        <fgColor rgb="FFF66B54"/>
        <bgColor rgb="FFF66B54"/>
      </patternFill>
    </fill>
    <fill>
      <patternFill patternType="solid">
        <fgColor rgb="FFF66A54"/>
        <bgColor rgb="FFF66A54"/>
      </patternFill>
    </fill>
    <fill>
      <patternFill patternType="solid">
        <fgColor rgb="FFF66A55"/>
        <bgColor rgb="FFF66A55"/>
      </patternFill>
    </fill>
    <fill>
      <patternFill patternType="solid">
        <fgColor rgb="FFF66956"/>
        <bgColor rgb="FFF66956"/>
      </patternFill>
    </fill>
    <fill>
      <patternFill patternType="solid">
        <fgColor rgb="FFF66757"/>
        <bgColor rgb="FFF66757"/>
      </patternFill>
    </fill>
    <fill>
      <patternFill patternType="solid">
        <fgColor rgb="FFF66758"/>
        <bgColor rgb="FFF66758"/>
      </patternFill>
    </fill>
    <fill>
      <patternFill patternType="solid">
        <fgColor rgb="FFF66658"/>
        <bgColor rgb="FFF66658"/>
      </patternFill>
    </fill>
    <fill>
      <patternFill patternType="solid">
        <fgColor rgb="FFF66559"/>
        <bgColor rgb="FFF66559"/>
      </patternFill>
    </fill>
    <fill>
      <patternFill patternType="solid">
        <fgColor rgb="FFF76459"/>
        <bgColor rgb="FFF76459"/>
      </patternFill>
    </fill>
    <fill>
      <patternFill patternType="solid">
        <fgColor rgb="FFF7645A"/>
        <bgColor rgb="FFF7645A"/>
      </patternFill>
    </fill>
    <fill>
      <patternFill patternType="solid">
        <fgColor rgb="FFF7635B"/>
        <bgColor rgb="FFF7635B"/>
      </patternFill>
    </fill>
    <fill>
      <patternFill patternType="solid">
        <fgColor rgb="FFF7625B"/>
        <bgColor rgb="FFF7625B"/>
      </patternFill>
    </fill>
    <fill>
      <patternFill patternType="solid">
        <fgColor rgb="FFF7615C"/>
        <bgColor rgb="FFF7615C"/>
      </patternFill>
    </fill>
    <fill>
      <patternFill patternType="solid">
        <fgColor rgb="FFF7615D"/>
        <bgColor rgb="FFF7615D"/>
      </patternFill>
    </fill>
    <fill>
      <patternFill patternType="solid">
        <fgColor rgb="FFF7605D"/>
        <bgColor rgb="FFF7605D"/>
      </patternFill>
    </fill>
    <fill>
      <patternFill patternType="solid">
        <fgColor rgb="FFF75F5E"/>
        <bgColor rgb="FFF75F5E"/>
      </patternFill>
    </fill>
    <fill>
      <patternFill patternType="solid">
        <fgColor rgb="FFF5F5F5"/>
        <bgColor rgb="FFF5F5F5"/>
      </patternFill>
    </fill>
    <fill>
      <patternFill patternType="solid">
        <fgColor rgb="FF5DDCAC"/>
        <bgColor rgb="FF5DDCAC"/>
      </patternFill>
    </fill>
    <fill>
      <patternFill patternType="solid">
        <fgColor rgb="FF46BB81"/>
        <bgColor rgb="FF46BB81"/>
      </patternFill>
    </fill>
    <fill>
      <patternFill patternType="solid">
        <fgColor rgb="FF6AA84F"/>
        <bgColor rgb="FF6AA84F"/>
      </patternFill>
    </fill>
    <fill>
      <patternFill patternType="solid">
        <fgColor rgb="FFB6D7A8"/>
        <bgColor rgb="FFB6D7A8"/>
      </patternFill>
    </fill>
    <fill>
      <patternFill patternType="solid">
        <fgColor rgb="FFFF00FF"/>
        <bgColor rgb="FFFF00FF"/>
      </patternFill>
    </fill>
    <fill>
      <patternFill patternType="solid">
        <fgColor rgb="FF8E7CC3"/>
        <bgColor rgb="FF8E7CC3"/>
      </patternFill>
    </fill>
    <fill>
      <patternFill patternType="solid">
        <fgColor rgb="FF94AEC5"/>
        <bgColor rgb="FF94AEC5"/>
      </patternFill>
    </fill>
    <fill>
      <patternFill patternType="solid">
        <fgColor theme="9"/>
        <bgColor theme="9"/>
      </patternFill>
    </fill>
    <fill>
      <patternFill patternType="solid">
        <fgColor theme="4"/>
        <bgColor theme="4"/>
      </patternFill>
    </fill>
  </fills>
  <borders count="13">
    <border>
      <left/>
      <right/>
      <top/>
      <bottom/>
      <diagonal/>
    </border>
    <border>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EBEBEB"/>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360">
    <xf numFmtId="0" fontId="0" fillId="0" borderId="0" xfId="0" applyFont="1" applyAlignment="1"/>
    <xf numFmtId="0" fontId="1" fillId="2" borderId="1" xfId="0" applyFont="1" applyFill="1" applyBorder="1" applyAlignment="1"/>
    <xf numFmtId="0" fontId="1" fillId="2" borderId="1" xfId="0" applyFont="1" applyFill="1" applyBorder="1" applyAlignment="1"/>
    <xf numFmtId="0" fontId="2" fillId="2" borderId="1" xfId="0" applyFont="1" applyFill="1" applyBorder="1" applyAlignment="1"/>
    <xf numFmtId="0" fontId="2" fillId="0" borderId="0" xfId="0" applyFont="1" applyAlignment="1"/>
    <xf numFmtId="0" fontId="5" fillId="4" borderId="4" xfId="0" applyFont="1" applyFill="1" applyBorder="1" applyAlignment="1">
      <alignment vertical="center" wrapText="1"/>
    </xf>
    <xf numFmtId="0" fontId="2" fillId="4" borderId="4" xfId="0" applyFont="1" applyFill="1" applyBorder="1" applyAlignment="1">
      <alignment vertical="center"/>
    </xf>
    <xf numFmtId="0" fontId="2" fillId="0" borderId="0" xfId="0" applyFont="1" applyAlignment="1">
      <alignment vertical="center"/>
    </xf>
    <xf numFmtId="0" fontId="6" fillId="5" borderId="4" xfId="0" applyFont="1" applyFill="1" applyBorder="1" applyAlignment="1">
      <alignment horizontal="right" vertical="center" wrapText="1"/>
    </xf>
    <xf numFmtId="164" fontId="6" fillId="5" borderId="4" xfId="0" applyNumberFormat="1" applyFont="1" applyFill="1" applyBorder="1" applyAlignment="1">
      <alignment horizontal="right" vertical="center" wrapText="1"/>
    </xf>
    <xf numFmtId="164" fontId="6" fillId="5" borderId="4" xfId="0" applyNumberFormat="1" applyFont="1" applyFill="1" applyBorder="1" applyAlignment="1">
      <alignment horizontal="right" vertical="center" wrapText="1"/>
    </xf>
    <xf numFmtId="165" fontId="6" fillId="5" borderId="4" xfId="0" applyNumberFormat="1" applyFont="1" applyFill="1" applyBorder="1" applyAlignment="1">
      <alignment horizontal="right" vertical="center" wrapText="1"/>
    </xf>
    <xf numFmtId="9" fontId="6" fillId="5" borderId="4" xfId="0" applyNumberFormat="1" applyFont="1" applyFill="1" applyBorder="1" applyAlignment="1">
      <alignment horizontal="right" vertical="center" wrapText="1"/>
    </xf>
    <xf numFmtId="0" fontId="2" fillId="5" borderId="4" xfId="0" applyFont="1" applyFill="1" applyBorder="1" applyAlignment="1">
      <alignment vertical="center"/>
    </xf>
    <xf numFmtId="10" fontId="6" fillId="5" borderId="4" xfId="0" applyNumberFormat="1" applyFont="1" applyFill="1" applyBorder="1" applyAlignment="1">
      <alignment horizontal="right" vertical="center" wrapText="1"/>
    </xf>
    <xf numFmtId="10" fontId="6" fillId="5" borderId="4" xfId="0" applyNumberFormat="1" applyFont="1" applyFill="1" applyBorder="1" applyAlignment="1">
      <alignment horizontal="right" vertical="center" wrapText="1"/>
    </xf>
    <xf numFmtId="9" fontId="6" fillId="5" borderId="4" xfId="0" applyNumberFormat="1" applyFont="1" applyFill="1" applyBorder="1" applyAlignment="1">
      <alignment horizontal="right" vertical="center" wrapText="1"/>
    </xf>
    <xf numFmtId="49" fontId="6" fillId="5" borderId="4" xfId="0" applyNumberFormat="1" applyFont="1" applyFill="1" applyBorder="1" applyAlignment="1">
      <alignment horizontal="right" vertical="center" wrapText="1"/>
    </xf>
    <xf numFmtId="164" fontId="6" fillId="6" borderId="4" xfId="0" applyNumberFormat="1" applyFont="1" applyFill="1" applyBorder="1" applyAlignment="1">
      <alignment horizontal="right" vertical="center" wrapText="1"/>
    </xf>
    <xf numFmtId="0" fontId="5" fillId="4" borderId="4" xfId="0" applyFont="1" applyFill="1" applyBorder="1" applyAlignment="1">
      <alignment vertical="center" wrapText="1"/>
    </xf>
    <xf numFmtId="165" fontId="6" fillId="5" borderId="4" xfId="0" applyNumberFormat="1" applyFont="1" applyFill="1" applyBorder="1" applyAlignment="1">
      <alignment horizontal="right" vertical="center" wrapText="1"/>
    </xf>
    <xf numFmtId="164" fontId="2" fillId="5" borderId="4" xfId="0" applyNumberFormat="1" applyFont="1" applyFill="1" applyBorder="1" applyAlignment="1">
      <alignment vertical="center"/>
    </xf>
    <xf numFmtId="0" fontId="7" fillId="5" borderId="4" xfId="0" applyFont="1" applyFill="1" applyBorder="1" applyAlignment="1">
      <alignment vertical="center" wrapText="1"/>
    </xf>
    <xf numFmtId="0" fontId="2" fillId="0" borderId="1" xfId="0" applyFont="1" applyBorder="1" applyAlignment="1"/>
    <xf numFmtId="0" fontId="5" fillId="7" borderId="6"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7" borderId="4" xfId="0" applyFont="1" applyFill="1" applyBorder="1" applyAlignment="1">
      <alignment horizontal="center" wrapText="1"/>
    </xf>
    <xf numFmtId="0" fontId="8" fillId="7" borderId="4" xfId="0" applyFont="1" applyFill="1" applyBorder="1" applyAlignment="1">
      <alignment horizontal="center" vertical="center" wrapText="1"/>
    </xf>
    <xf numFmtId="0" fontId="2" fillId="0" borderId="6" xfId="0" applyFont="1" applyBorder="1" applyAlignment="1"/>
    <xf numFmtId="0" fontId="2" fillId="0" borderId="4" xfId="0" applyFont="1" applyBorder="1" applyAlignment="1"/>
    <xf numFmtId="0" fontId="6" fillId="0" borderId="6" xfId="0" applyFont="1" applyBorder="1" applyAlignment="1">
      <alignment wrapText="1"/>
    </xf>
    <xf numFmtId="0" fontId="9" fillId="0" borderId="4" xfId="0" applyFont="1" applyBorder="1" applyAlignment="1">
      <alignment horizontal="right" wrapText="1"/>
    </xf>
    <xf numFmtId="166" fontId="10" fillId="0" borderId="4" xfId="0" applyNumberFormat="1" applyFont="1" applyBorder="1" applyAlignment="1">
      <alignment horizontal="right" wrapText="1"/>
    </xf>
    <xf numFmtId="164" fontId="10" fillId="0" borderId="4" xfId="0" applyNumberFormat="1" applyFont="1" applyBorder="1" applyAlignment="1">
      <alignment horizontal="right" wrapText="1"/>
    </xf>
    <xf numFmtId="9" fontId="10" fillId="0" borderId="4" xfId="0" applyNumberFormat="1" applyFont="1" applyBorder="1" applyAlignment="1">
      <alignment horizontal="right" wrapText="1"/>
    </xf>
    <xf numFmtId="164" fontId="9" fillId="8" borderId="4" xfId="0" applyNumberFormat="1" applyFont="1" applyFill="1" applyBorder="1" applyAlignment="1">
      <alignment horizontal="right" wrapText="1"/>
    </xf>
    <xf numFmtId="164" fontId="9" fillId="9" borderId="4" xfId="0" applyNumberFormat="1" applyFont="1" applyFill="1" applyBorder="1" applyAlignment="1">
      <alignment horizontal="right" wrapText="1"/>
    </xf>
    <xf numFmtId="164" fontId="10" fillId="10" borderId="4" xfId="0" applyNumberFormat="1" applyFont="1" applyFill="1" applyBorder="1" applyAlignment="1">
      <alignment horizontal="right" wrapText="1"/>
    </xf>
    <xf numFmtId="164" fontId="10" fillId="11" borderId="4" xfId="0" applyNumberFormat="1" applyFont="1" applyFill="1" applyBorder="1" applyAlignment="1">
      <alignment horizontal="right" wrapText="1"/>
    </xf>
    <xf numFmtId="3" fontId="11" fillId="5" borderId="4" xfId="0" applyNumberFormat="1" applyFont="1" applyFill="1" applyBorder="1" applyAlignment="1">
      <alignment horizontal="right"/>
    </xf>
    <xf numFmtId="167" fontId="8" fillId="12" borderId="4" xfId="0" applyNumberFormat="1" applyFont="1" applyFill="1" applyBorder="1" applyAlignment="1">
      <alignment horizontal="right" wrapText="1"/>
    </xf>
    <xf numFmtId="164" fontId="10" fillId="0" borderId="4" xfId="0" applyNumberFormat="1" applyFont="1" applyBorder="1" applyAlignment="1">
      <alignment horizontal="right" wrapText="1"/>
    </xf>
    <xf numFmtId="9" fontId="10" fillId="0" borderId="4" xfId="0" applyNumberFormat="1" applyFont="1" applyBorder="1" applyAlignment="1">
      <alignment horizontal="right" wrapText="1"/>
    </xf>
    <xf numFmtId="2" fontId="10" fillId="0" borderId="4" xfId="0" applyNumberFormat="1" applyFont="1" applyBorder="1" applyAlignment="1">
      <alignment horizontal="right" wrapText="1"/>
    </xf>
    <xf numFmtId="168" fontId="10" fillId="0" borderId="4" xfId="0" applyNumberFormat="1" applyFont="1" applyBorder="1" applyAlignment="1">
      <alignment horizontal="right" wrapText="1"/>
    </xf>
    <xf numFmtId="169" fontId="10" fillId="0" borderId="4" xfId="0" applyNumberFormat="1" applyFont="1" applyBorder="1" applyAlignment="1">
      <alignment horizontal="right" wrapText="1"/>
    </xf>
    <xf numFmtId="0" fontId="6" fillId="0" borderId="7" xfId="0" applyFont="1" applyBorder="1" applyAlignment="1">
      <alignment wrapText="1"/>
    </xf>
    <xf numFmtId="0" fontId="9" fillId="0" borderId="7" xfId="0" applyFont="1" applyBorder="1" applyAlignment="1">
      <alignment horizontal="right" wrapText="1"/>
    </xf>
    <xf numFmtId="169" fontId="10" fillId="0" borderId="7" xfId="0" applyNumberFormat="1" applyFont="1" applyBorder="1" applyAlignment="1">
      <alignment horizontal="right" wrapText="1"/>
    </xf>
    <xf numFmtId="164" fontId="10" fillId="0" borderId="7" xfId="0" applyNumberFormat="1" applyFont="1" applyBorder="1" applyAlignment="1">
      <alignment horizontal="right" wrapText="1"/>
    </xf>
    <xf numFmtId="9" fontId="10" fillId="0" borderId="7" xfId="0" applyNumberFormat="1" applyFont="1" applyBorder="1" applyAlignment="1">
      <alignment horizontal="right" wrapText="1"/>
    </xf>
    <xf numFmtId="164" fontId="10" fillId="11" borderId="7" xfId="0" applyNumberFormat="1" applyFont="1" applyFill="1" applyBorder="1" applyAlignment="1">
      <alignment horizontal="right" wrapText="1"/>
    </xf>
    <xf numFmtId="3" fontId="2" fillId="0" borderId="0" xfId="0" applyNumberFormat="1" applyFont="1" applyAlignment="1"/>
    <xf numFmtId="0" fontId="9" fillId="4" borderId="7" xfId="0" applyFont="1" applyFill="1" applyBorder="1" applyAlignment="1"/>
    <xf numFmtId="0" fontId="10" fillId="4" borderId="7" xfId="0" applyFont="1" applyFill="1" applyBorder="1" applyAlignment="1"/>
    <xf numFmtId="166" fontId="8" fillId="4" borderId="7" xfId="0" applyNumberFormat="1" applyFont="1" applyFill="1" applyBorder="1" applyAlignment="1"/>
    <xf numFmtId="0" fontId="9" fillId="13" borderId="7" xfId="0" applyFont="1" applyFill="1" applyBorder="1" applyAlignment="1"/>
    <xf numFmtId="170" fontId="9" fillId="13" borderId="7" xfId="0" applyNumberFormat="1" applyFont="1" applyFill="1" applyBorder="1" applyAlignment="1"/>
    <xf numFmtId="0" fontId="10" fillId="0" borderId="0" xfId="0" applyFont="1" applyAlignment="1"/>
    <xf numFmtId="0" fontId="9" fillId="8" borderId="7" xfId="0" applyFont="1" applyFill="1" applyBorder="1" applyAlignment="1"/>
    <xf numFmtId="164" fontId="9" fillId="8" borderId="7" xfId="0" applyNumberFormat="1" applyFont="1" applyFill="1" applyBorder="1" applyAlignment="1">
      <alignment horizontal="right" wrapText="1"/>
    </xf>
    <xf numFmtId="0" fontId="9" fillId="0" borderId="0" xfId="0" applyFont="1" applyAlignment="1"/>
    <xf numFmtId="0" fontId="9" fillId="0" borderId="0" xfId="0" applyFont="1" applyAlignment="1"/>
    <xf numFmtId="0" fontId="9" fillId="10" borderId="7" xfId="0" applyFont="1" applyFill="1" applyBorder="1" applyAlignment="1"/>
    <xf numFmtId="0" fontId="9" fillId="10" borderId="7" xfId="0" applyFont="1" applyFill="1" applyBorder="1" applyAlignment="1"/>
    <xf numFmtId="3" fontId="10" fillId="0" borderId="0" xfId="0" applyNumberFormat="1" applyFont="1" applyAlignment="1"/>
    <xf numFmtId="166" fontId="10" fillId="0" borderId="4" xfId="0" applyNumberFormat="1" applyFont="1" applyBorder="1" applyAlignment="1">
      <alignment horizontal="right" wrapText="1"/>
    </xf>
    <xf numFmtId="0" fontId="12" fillId="14" borderId="0" xfId="0" applyFont="1" applyFill="1" applyAlignment="1">
      <alignment vertical="center" wrapText="1"/>
    </xf>
    <xf numFmtId="0" fontId="14" fillId="0" borderId="0" xfId="0" applyFont="1" applyAlignment="1">
      <alignment vertical="center"/>
    </xf>
    <xf numFmtId="0" fontId="13" fillId="0" borderId="0" xfId="0" applyFont="1" applyAlignment="1">
      <alignment horizontal="center"/>
    </xf>
    <xf numFmtId="0" fontId="12" fillId="0" borderId="0" xfId="0" applyFont="1" applyAlignment="1">
      <alignment vertical="center" wrapText="1"/>
    </xf>
    <xf numFmtId="0" fontId="15" fillId="16" borderId="8" xfId="0" applyFont="1" applyFill="1" applyBorder="1" applyAlignment="1">
      <alignment horizontal="center"/>
    </xf>
    <xf numFmtId="0" fontId="16" fillId="0" borderId="8" xfId="0" applyFont="1" applyBorder="1" applyAlignment="1">
      <alignment horizontal="left"/>
    </xf>
    <xf numFmtId="0" fontId="17" fillId="0" borderId="8" xfId="0" applyFont="1" applyBorder="1" applyAlignment="1">
      <alignment horizontal="left"/>
    </xf>
    <xf numFmtId="9" fontId="18" fillId="0" borderId="0" xfId="0" applyNumberFormat="1" applyFont="1" applyAlignment="1"/>
    <xf numFmtId="0" fontId="19" fillId="0" borderId="8" xfId="0" applyFont="1" applyBorder="1" applyAlignment="1">
      <alignment horizontal="left"/>
    </xf>
    <xf numFmtId="164" fontId="20" fillId="0" borderId="0" xfId="0" applyNumberFormat="1" applyFont="1" applyAlignment="1">
      <alignment horizontal="right" vertical="center" wrapText="1"/>
    </xf>
    <xf numFmtId="3" fontId="21" fillId="0" borderId="0" xfId="0" applyNumberFormat="1" applyFont="1" applyAlignment="1">
      <alignment horizontal="right" vertical="center" wrapText="1"/>
    </xf>
    <xf numFmtId="171" fontId="21" fillId="0" borderId="0" xfId="0" applyNumberFormat="1" applyFont="1" applyAlignment="1">
      <alignment horizontal="right" vertical="center" wrapText="1"/>
    </xf>
    <xf numFmtId="0" fontId="22" fillId="0" borderId="0" xfId="0" applyFont="1" applyAlignment="1">
      <alignment wrapText="1"/>
    </xf>
    <xf numFmtId="0" fontId="15" fillId="17" borderId="8" xfId="0" applyFont="1" applyFill="1" applyBorder="1" applyAlignment="1">
      <alignment horizontal="center"/>
    </xf>
    <xf numFmtId="167" fontId="20" fillId="0" borderId="0" xfId="0" applyNumberFormat="1" applyFont="1" applyAlignment="1">
      <alignment horizontal="right" vertical="center" wrapText="1"/>
    </xf>
    <xf numFmtId="167" fontId="20" fillId="0" borderId="0" xfId="0" applyNumberFormat="1" applyFont="1" applyAlignment="1">
      <alignment horizontal="right" vertical="center" wrapText="1"/>
    </xf>
    <xf numFmtId="0" fontId="15" fillId="18" borderId="8" xfId="0" applyFont="1" applyFill="1" applyBorder="1" applyAlignment="1">
      <alignment horizontal="center"/>
    </xf>
    <xf numFmtId="0" fontId="15" fillId="19" borderId="8" xfId="0" applyFont="1" applyFill="1" applyBorder="1" applyAlignment="1">
      <alignment horizontal="center"/>
    </xf>
    <xf numFmtId="0" fontId="15" fillId="20" borderId="8" xfId="0" applyFont="1" applyFill="1" applyBorder="1" applyAlignment="1">
      <alignment horizontal="center"/>
    </xf>
    <xf numFmtId="0" fontId="15" fillId="21" borderId="8" xfId="0" applyFont="1" applyFill="1" applyBorder="1" applyAlignment="1">
      <alignment horizontal="center"/>
    </xf>
    <xf numFmtId="0" fontId="15" fillId="22" borderId="8" xfId="0" applyFont="1" applyFill="1" applyBorder="1" applyAlignment="1">
      <alignment horizontal="center"/>
    </xf>
    <xf numFmtId="0" fontId="15" fillId="23" borderId="8" xfId="0" applyFont="1" applyFill="1" applyBorder="1" applyAlignment="1">
      <alignment horizontal="center"/>
    </xf>
    <xf numFmtId="0" fontId="15" fillId="24" borderId="8" xfId="0" applyFont="1" applyFill="1" applyBorder="1" applyAlignment="1">
      <alignment horizontal="center"/>
    </xf>
    <xf numFmtId="0" fontId="15" fillId="25" borderId="8" xfId="0" applyFont="1" applyFill="1" applyBorder="1" applyAlignment="1">
      <alignment horizontal="center"/>
    </xf>
    <xf numFmtId="0" fontId="15" fillId="26" borderId="8" xfId="0" applyFont="1" applyFill="1" applyBorder="1" applyAlignment="1">
      <alignment horizontal="center"/>
    </xf>
    <xf numFmtId="0" fontId="15" fillId="27" borderId="8" xfId="0" applyFont="1" applyFill="1" applyBorder="1" applyAlignment="1">
      <alignment horizontal="center"/>
    </xf>
    <xf numFmtId="0" fontId="15" fillId="28" borderId="8" xfId="0" applyFont="1" applyFill="1" applyBorder="1" applyAlignment="1">
      <alignment horizontal="center"/>
    </xf>
    <xf numFmtId="0" fontId="15" fillId="29" borderId="8" xfId="0" applyFont="1" applyFill="1" applyBorder="1" applyAlignment="1">
      <alignment horizontal="center"/>
    </xf>
    <xf numFmtId="0" fontId="15" fillId="30" borderId="8" xfId="0" applyFont="1" applyFill="1" applyBorder="1" applyAlignment="1">
      <alignment horizontal="center"/>
    </xf>
    <xf numFmtId="0" fontId="15" fillId="31" borderId="8" xfId="0" applyFont="1" applyFill="1" applyBorder="1" applyAlignment="1">
      <alignment horizontal="center"/>
    </xf>
    <xf numFmtId="0" fontId="15" fillId="32" borderId="8" xfId="0" applyFont="1" applyFill="1" applyBorder="1" applyAlignment="1">
      <alignment horizontal="center"/>
    </xf>
    <xf numFmtId="0" fontId="15" fillId="33" borderId="8" xfId="0" applyFont="1" applyFill="1" applyBorder="1" applyAlignment="1">
      <alignment horizontal="center"/>
    </xf>
    <xf numFmtId="0" fontId="15" fillId="34" borderId="8" xfId="0" applyFont="1" applyFill="1" applyBorder="1" applyAlignment="1">
      <alignment horizontal="center"/>
    </xf>
    <xf numFmtId="0" fontId="15" fillId="35" borderId="8" xfId="0" applyFont="1" applyFill="1" applyBorder="1" applyAlignment="1">
      <alignment horizontal="center"/>
    </xf>
    <xf numFmtId="0" fontId="15" fillId="36" borderId="8" xfId="0" applyFont="1" applyFill="1" applyBorder="1" applyAlignment="1">
      <alignment horizontal="center"/>
    </xf>
    <xf numFmtId="0" fontId="15" fillId="37" borderId="8" xfId="0" applyFont="1" applyFill="1" applyBorder="1" applyAlignment="1">
      <alignment horizontal="center"/>
    </xf>
    <xf numFmtId="0" fontId="15" fillId="38" borderId="8" xfId="0" applyFont="1" applyFill="1" applyBorder="1" applyAlignment="1">
      <alignment horizontal="center"/>
    </xf>
    <xf numFmtId="0" fontId="15" fillId="39" borderId="8" xfId="0" applyFont="1" applyFill="1" applyBorder="1" applyAlignment="1">
      <alignment horizontal="center"/>
    </xf>
    <xf numFmtId="0" fontId="15" fillId="40" borderId="8" xfId="0" applyFont="1" applyFill="1" applyBorder="1" applyAlignment="1">
      <alignment horizontal="center"/>
    </xf>
    <xf numFmtId="0" fontId="15" fillId="41" borderId="8" xfId="0" applyFont="1" applyFill="1" applyBorder="1" applyAlignment="1">
      <alignment horizontal="center"/>
    </xf>
    <xf numFmtId="0" fontId="15" fillId="42" borderId="8" xfId="0" applyFont="1" applyFill="1" applyBorder="1" applyAlignment="1">
      <alignment horizontal="center"/>
    </xf>
    <xf numFmtId="0" fontId="15" fillId="43" borderId="8" xfId="0" applyFont="1" applyFill="1" applyBorder="1" applyAlignment="1">
      <alignment horizontal="center"/>
    </xf>
    <xf numFmtId="0" fontId="15" fillId="44" borderId="8" xfId="0" applyFont="1" applyFill="1" applyBorder="1" applyAlignment="1">
      <alignment horizontal="center"/>
    </xf>
    <xf numFmtId="0" fontId="15" fillId="45" borderId="8" xfId="0" applyFont="1" applyFill="1" applyBorder="1" applyAlignment="1">
      <alignment horizontal="center"/>
    </xf>
    <xf numFmtId="0" fontId="15" fillId="46" borderId="8" xfId="0" applyFont="1" applyFill="1" applyBorder="1" applyAlignment="1">
      <alignment horizontal="center"/>
    </xf>
    <xf numFmtId="0" fontId="15" fillId="47" borderId="8" xfId="0" applyFont="1" applyFill="1" applyBorder="1" applyAlignment="1">
      <alignment horizontal="center"/>
    </xf>
    <xf numFmtId="0" fontId="15" fillId="48" borderId="8" xfId="0" applyFont="1" applyFill="1" applyBorder="1" applyAlignment="1">
      <alignment horizontal="center"/>
    </xf>
    <xf numFmtId="0" fontId="15" fillId="49" borderId="8" xfId="0" applyFont="1" applyFill="1" applyBorder="1" applyAlignment="1">
      <alignment horizontal="center"/>
    </xf>
    <xf numFmtId="0" fontId="15" fillId="50" borderId="8" xfId="0" applyFont="1" applyFill="1" applyBorder="1" applyAlignment="1">
      <alignment horizontal="center"/>
    </xf>
    <xf numFmtId="0" fontId="15" fillId="51" borderId="8" xfId="0" applyFont="1" applyFill="1" applyBorder="1" applyAlignment="1">
      <alignment horizontal="center"/>
    </xf>
    <xf numFmtId="0" fontId="15" fillId="52" borderId="8" xfId="0" applyFont="1" applyFill="1" applyBorder="1" applyAlignment="1">
      <alignment horizontal="center"/>
    </xf>
    <xf numFmtId="0" fontId="15" fillId="53" borderId="8" xfId="0" applyFont="1" applyFill="1" applyBorder="1" applyAlignment="1">
      <alignment horizontal="center"/>
    </xf>
    <xf numFmtId="0" fontId="15" fillId="54" borderId="8" xfId="0" applyFont="1" applyFill="1" applyBorder="1" applyAlignment="1">
      <alignment horizontal="center"/>
    </xf>
    <xf numFmtId="0" fontId="15" fillId="55" borderId="8" xfId="0" applyFont="1" applyFill="1" applyBorder="1" applyAlignment="1">
      <alignment horizontal="center"/>
    </xf>
    <xf numFmtId="0" fontId="15" fillId="56" borderId="8" xfId="0" applyFont="1" applyFill="1" applyBorder="1" applyAlignment="1">
      <alignment horizontal="center"/>
    </xf>
    <xf numFmtId="0" fontId="15" fillId="57" borderId="8" xfId="0" applyFont="1" applyFill="1" applyBorder="1" applyAlignment="1">
      <alignment horizontal="center"/>
    </xf>
    <xf numFmtId="0" fontId="15" fillId="58" borderId="8" xfId="0" applyFont="1" applyFill="1" applyBorder="1" applyAlignment="1">
      <alignment horizontal="center"/>
    </xf>
    <xf numFmtId="0" fontId="15" fillId="59" borderId="8" xfId="0" applyFont="1" applyFill="1" applyBorder="1" applyAlignment="1">
      <alignment horizontal="center"/>
    </xf>
    <xf numFmtId="0" fontId="15" fillId="60" borderId="8" xfId="0" applyFont="1" applyFill="1" applyBorder="1" applyAlignment="1">
      <alignment horizontal="center"/>
    </xf>
    <xf numFmtId="0" fontId="15" fillId="61" borderId="8" xfId="0" applyFont="1" applyFill="1" applyBorder="1" applyAlignment="1">
      <alignment horizontal="center"/>
    </xf>
    <xf numFmtId="0" fontId="15" fillId="62" borderId="8" xfId="0" applyFont="1" applyFill="1" applyBorder="1" applyAlignment="1">
      <alignment horizontal="center"/>
    </xf>
    <xf numFmtId="0" fontId="15" fillId="63" borderId="8" xfId="0" applyFont="1" applyFill="1" applyBorder="1" applyAlignment="1">
      <alignment horizontal="center"/>
    </xf>
    <xf numFmtId="0" fontId="15" fillId="64" borderId="8" xfId="0" applyFont="1" applyFill="1" applyBorder="1" applyAlignment="1">
      <alignment horizontal="center"/>
    </xf>
    <xf numFmtId="0" fontId="15" fillId="65" borderId="8" xfId="0" applyFont="1" applyFill="1" applyBorder="1" applyAlignment="1">
      <alignment horizontal="center"/>
    </xf>
    <xf numFmtId="0" fontId="15" fillId="66" borderId="8" xfId="0" applyFont="1" applyFill="1" applyBorder="1" applyAlignment="1">
      <alignment horizontal="center"/>
    </xf>
    <xf numFmtId="0" fontId="15" fillId="67" borderId="8" xfId="0" applyFont="1" applyFill="1" applyBorder="1" applyAlignment="1">
      <alignment horizontal="center"/>
    </xf>
    <xf numFmtId="0" fontId="15" fillId="68" borderId="8" xfId="0" applyFont="1" applyFill="1" applyBorder="1" applyAlignment="1">
      <alignment horizontal="center"/>
    </xf>
    <xf numFmtId="0" fontId="15" fillId="69" borderId="8" xfId="0" applyFont="1" applyFill="1" applyBorder="1" applyAlignment="1">
      <alignment horizontal="center"/>
    </xf>
    <xf numFmtId="0" fontId="15" fillId="70" borderId="8" xfId="0" applyFont="1" applyFill="1" applyBorder="1" applyAlignment="1">
      <alignment horizontal="center"/>
    </xf>
    <xf numFmtId="0" fontId="15" fillId="71" borderId="8" xfId="0" applyFont="1" applyFill="1" applyBorder="1" applyAlignment="1">
      <alignment horizontal="center"/>
    </xf>
    <xf numFmtId="0" fontId="15" fillId="72" borderId="8" xfId="0" applyFont="1" applyFill="1" applyBorder="1" applyAlignment="1">
      <alignment horizontal="center"/>
    </xf>
    <xf numFmtId="0" fontId="15" fillId="73" borderId="8" xfId="0" applyFont="1" applyFill="1" applyBorder="1" applyAlignment="1">
      <alignment horizontal="center"/>
    </xf>
    <xf numFmtId="0" fontId="15" fillId="74" borderId="8" xfId="0" applyFont="1" applyFill="1" applyBorder="1" applyAlignment="1">
      <alignment horizontal="center"/>
    </xf>
    <xf numFmtId="0" fontId="15" fillId="75" borderId="8" xfId="0" applyFont="1" applyFill="1" applyBorder="1" applyAlignment="1">
      <alignment horizontal="center"/>
    </xf>
    <xf numFmtId="0" fontId="15" fillId="76" borderId="8" xfId="0" applyFont="1" applyFill="1" applyBorder="1" applyAlignment="1">
      <alignment horizontal="center"/>
    </xf>
    <xf numFmtId="0" fontId="15" fillId="77" borderId="8" xfId="0" applyFont="1" applyFill="1" applyBorder="1" applyAlignment="1">
      <alignment horizontal="center"/>
    </xf>
    <xf numFmtId="0" fontId="15" fillId="78" borderId="8" xfId="0" applyFont="1" applyFill="1" applyBorder="1" applyAlignment="1">
      <alignment horizontal="center"/>
    </xf>
    <xf numFmtId="0" fontId="15" fillId="79" borderId="8" xfId="0" applyFont="1" applyFill="1" applyBorder="1" applyAlignment="1">
      <alignment horizontal="center"/>
    </xf>
    <xf numFmtId="0" fontId="15" fillId="80" borderId="8" xfId="0" applyFont="1" applyFill="1" applyBorder="1" applyAlignment="1">
      <alignment horizontal="center"/>
    </xf>
    <xf numFmtId="0" fontId="15" fillId="81" borderId="8" xfId="0" applyFont="1" applyFill="1" applyBorder="1" applyAlignment="1">
      <alignment horizontal="center"/>
    </xf>
    <xf numFmtId="0" fontId="15" fillId="82" borderId="8" xfId="0" applyFont="1" applyFill="1" applyBorder="1" applyAlignment="1">
      <alignment horizontal="center"/>
    </xf>
    <xf numFmtId="0" fontId="15" fillId="83" borderId="8" xfId="0" applyFont="1" applyFill="1" applyBorder="1" applyAlignment="1">
      <alignment horizontal="center"/>
    </xf>
    <xf numFmtId="0" fontId="15" fillId="84" borderId="8" xfId="0" applyFont="1" applyFill="1" applyBorder="1" applyAlignment="1">
      <alignment horizontal="center"/>
    </xf>
    <xf numFmtId="0" fontId="15" fillId="85" borderId="8" xfId="0" applyFont="1" applyFill="1" applyBorder="1" applyAlignment="1">
      <alignment horizontal="center"/>
    </xf>
    <xf numFmtId="0" fontId="15" fillId="86" borderId="8" xfId="0" applyFont="1" applyFill="1" applyBorder="1" applyAlignment="1">
      <alignment horizontal="center"/>
    </xf>
    <xf numFmtId="0" fontId="15" fillId="87" borderId="8" xfId="0" applyFont="1" applyFill="1" applyBorder="1" applyAlignment="1">
      <alignment horizontal="center"/>
    </xf>
    <xf numFmtId="0" fontId="15" fillId="88" borderId="8" xfId="0" applyFont="1" applyFill="1" applyBorder="1" applyAlignment="1">
      <alignment horizontal="center"/>
    </xf>
    <xf numFmtId="0" fontId="15" fillId="89" borderId="8" xfId="0" applyFont="1" applyFill="1" applyBorder="1" applyAlignment="1">
      <alignment horizontal="center"/>
    </xf>
    <xf numFmtId="0" fontId="15" fillId="90" borderId="8" xfId="0" applyFont="1" applyFill="1" applyBorder="1" applyAlignment="1">
      <alignment horizontal="center"/>
    </xf>
    <xf numFmtId="0" fontId="15" fillId="91" borderId="8" xfId="0" applyFont="1" applyFill="1" applyBorder="1" applyAlignment="1">
      <alignment horizontal="center"/>
    </xf>
    <xf numFmtId="0" fontId="15" fillId="92" borderId="8" xfId="0" applyFont="1" applyFill="1" applyBorder="1" applyAlignment="1">
      <alignment horizontal="center"/>
    </xf>
    <xf numFmtId="0" fontId="15" fillId="93" borderId="8" xfId="0" applyFont="1" applyFill="1" applyBorder="1" applyAlignment="1">
      <alignment horizontal="center"/>
    </xf>
    <xf numFmtId="0" fontId="15" fillId="94" borderId="8" xfId="0" applyFont="1" applyFill="1" applyBorder="1" applyAlignment="1">
      <alignment horizontal="center"/>
    </xf>
    <xf numFmtId="0" fontId="15" fillId="95" borderId="8" xfId="0" applyFont="1" applyFill="1" applyBorder="1" applyAlignment="1">
      <alignment horizontal="center"/>
    </xf>
    <xf numFmtId="0" fontId="15" fillId="96" borderId="8" xfId="0" applyFont="1" applyFill="1" applyBorder="1" applyAlignment="1">
      <alignment horizontal="center"/>
    </xf>
    <xf numFmtId="0" fontId="15" fillId="97" borderId="8" xfId="0" applyFont="1" applyFill="1" applyBorder="1" applyAlignment="1">
      <alignment horizontal="center"/>
    </xf>
    <xf numFmtId="0" fontId="15" fillId="98" borderId="8" xfId="0" applyFont="1" applyFill="1" applyBorder="1" applyAlignment="1">
      <alignment horizontal="center"/>
    </xf>
    <xf numFmtId="0" fontId="15" fillId="99" borderId="8" xfId="0" applyFont="1" applyFill="1" applyBorder="1" applyAlignment="1">
      <alignment horizontal="center"/>
    </xf>
    <xf numFmtId="0" fontId="15" fillId="100" borderId="8" xfId="0" applyFont="1" applyFill="1" applyBorder="1" applyAlignment="1">
      <alignment horizontal="center"/>
    </xf>
    <xf numFmtId="0" fontId="15" fillId="101" borderId="8" xfId="0" applyFont="1" applyFill="1" applyBorder="1" applyAlignment="1">
      <alignment horizontal="center"/>
    </xf>
    <xf numFmtId="0" fontId="15" fillId="102" borderId="8" xfId="0" applyFont="1" applyFill="1" applyBorder="1" applyAlignment="1">
      <alignment horizontal="center"/>
    </xf>
    <xf numFmtId="0" fontId="15" fillId="103" borderId="8" xfId="0" applyFont="1" applyFill="1" applyBorder="1" applyAlignment="1">
      <alignment horizontal="center"/>
    </xf>
    <xf numFmtId="0" fontId="15" fillId="104" borderId="8" xfId="0" applyFont="1" applyFill="1" applyBorder="1" applyAlignment="1">
      <alignment horizontal="center"/>
    </xf>
    <xf numFmtId="0" fontId="15" fillId="105" borderId="8" xfId="0" applyFont="1" applyFill="1" applyBorder="1" applyAlignment="1">
      <alignment horizontal="center"/>
    </xf>
    <xf numFmtId="0" fontId="15" fillId="106" borderId="8" xfId="0" applyFont="1" applyFill="1" applyBorder="1" applyAlignment="1">
      <alignment horizontal="center"/>
    </xf>
    <xf numFmtId="0" fontId="15" fillId="107" borderId="8" xfId="0" applyFont="1" applyFill="1" applyBorder="1" applyAlignment="1">
      <alignment horizontal="center"/>
    </xf>
    <xf numFmtId="0" fontId="15" fillId="108" borderId="8" xfId="0" applyFont="1" applyFill="1" applyBorder="1" applyAlignment="1">
      <alignment horizontal="center"/>
    </xf>
    <xf numFmtId="0" fontId="15" fillId="109" borderId="8" xfId="0" applyFont="1" applyFill="1" applyBorder="1" applyAlignment="1">
      <alignment horizontal="center"/>
    </xf>
    <xf numFmtId="0" fontId="15" fillId="110" borderId="8" xfId="0" applyFont="1" applyFill="1" applyBorder="1" applyAlignment="1">
      <alignment horizontal="center"/>
    </xf>
    <xf numFmtId="0" fontId="15" fillId="111" borderId="8" xfId="0" applyFont="1" applyFill="1" applyBorder="1" applyAlignment="1">
      <alignment horizontal="center"/>
    </xf>
    <xf numFmtId="0" fontId="15" fillId="112" borderId="8" xfId="0" applyFont="1" applyFill="1" applyBorder="1" applyAlignment="1">
      <alignment horizontal="center"/>
    </xf>
    <xf numFmtId="0" fontId="15" fillId="113" borderId="8" xfId="0" applyFont="1" applyFill="1" applyBorder="1" applyAlignment="1">
      <alignment horizontal="center"/>
    </xf>
    <xf numFmtId="0" fontId="15" fillId="114" borderId="8" xfId="0" applyFont="1" applyFill="1" applyBorder="1" applyAlignment="1">
      <alignment horizontal="center"/>
    </xf>
    <xf numFmtId="0" fontId="15" fillId="115" borderId="8" xfId="0" applyFont="1" applyFill="1" applyBorder="1" applyAlignment="1">
      <alignment horizontal="center"/>
    </xf>
    <xf numFmtId="0" fontId="15" fillId="116" borderId="8" xfId="0" applyFont="1" applyFill="1" applyBorder="1" applyAlignment="1">
      <alignment horizontal="center"/>
    </xf>
    <xf numFmtId="0" fontId="15" fillId="117" borderId="8" xfId="0" applyFont="1" applyFill="1" applyBorder="1" applyAlignment="1">
      <alignment horizontal="center"/>
    </xf>
    <xf numFmtId="0" fontId="15" fillId="118" borderId="8" xfId="0" applyFont="1" applyFill="1" applyBorder="1" applyAlignment="1">
      <alignment horizontal="center"/>
    </xf>
    <xf numFmtId="0" fontId="15" fillId="119" borderId="8" xfId="0" applyFont="1" applyFill="1" applyBorder="1" applyAlignment="1">
      <alignment horizontal="center"/>
    </xf>
    <xf numFmtId="0" fontId="15" fillId="120" borderId="8" xfId="0" applyFont="1" applyFill="1" applyBorder="1" applyAlignment="1">
      <alignment horizontal="center"/>
    </xf>
    <xf numFmtId="0" fontId="15" fillId="121" borderId="8" xfId="0" applyFont="1" applyFill="1" applyBorder="1" applyAlignment="1">
      <alignment horizontal="center"/>
    </xf>
    <xf numFmtId="0" fontId="15" fillId="122" borderId="8" xfId="0" applyFont="1" applyFill="1" applyBorder="1" applyAlignment="1">
      <alignment horizontal="center"/>
    </xf>
    <xf numFmtId="0" fontId="15" fillId="123" borderId="8" xfId="0" applyFont="1" applyFill="1" applyBorder="1" applyAlignment="1">
      <alignment horizontal="center"/>
    </xf>
    <xf numFmtId="0" fontId="15" fillId="124" borderId="8" xfId="0" applyFont="1" applyFill="1" applyBorder="1" applyAlignment="1">
      <alignment horizontal="center"/>
    </xf>
    <xf numFmtId="0" fontId="15" fillId="125" borderId="8" xfId="0" applyFont="1" applyFill="1" applyBorder="1" applyAlignment="1">
      <alignment horizontal="center"/>
    </xf>
    <xf numFmtId="0" fontId="15" fillId="126" borderId="8" xfId="0" applyFont="1" applyFill="1" applyBorder="1" applyAlignment="1">
      <alignment horizontal="center"/>
    </xf>
    <xf numFmtId="0" fontId="15" fillId="127" borderId="8" xfId="0" applyFont="1" applyFill="1" applyBorder="1" applyAlignment="1">
      <alignment horizontal="center"/>
    </xf>
    <xf numFmtId="0" fontId="15" fillId="128" borderId="8" xfId="0" applyFont="1" applyFill="1" applyBorder="1" applyAlignment="1">
      <alignment horizontal="center"/>
    </xf>
    <xf numFmtId="0" fontId="15" fillId="129" borderId="8" xfId="0" applyFont="1" applyFill="1" applyBorder="1" applyAlignment="1">
      <alignment horizontal="center"/>
    </xf>
    <xf numFmtId="0" fontId="15" fillId="130" borderId="8" xfId="0" applyFont="1" applyFill="1" applyBorder="1" applyAlignment="1">
      <alignment horizontal="center"/>
    </xf>
    <xf numFmtId="0" fontId="15" fillId="131" borderId="8" xfId="0" applyFont="1" applyFill="1" applyBorder="1" applyAlignment="1">
      <alignment horizontal="center"/>
    </xf>
    <xf numFmtId="0" fontId="15" fillId="132" borderId="8" xfId="0" applyFont="1" applyFill="1" applyBorder="1" applyAlignment="1">
      <alignment horizontal="center"/>
    </xf>
    <xf numFmtId="0" fontId="15" fillId="133" borderId="8" xfId="0" applyFont="1" applyFill="1" applyBorder="1" applyAlignment="1">
      <alignment horizontal="center"/>
    </xf>
    <xf numFmtId="0" fontId="15" fillId="134" borderId="8" xfId="0" applyFont="1" applyFill="1" applyBorder="1" applyAlignment="1">
      <alignment horizontal="center"/>
    </xf>
    <xf numFmtId="0" fontId="15" fillId="135" borderId="8" xfId="0" applyFont="1" applyFill="1" applyBorder="1" applyAlignment="1">
      <alignment horizontal="center"/>
    </xf>
    <xf numFmtId="0" fontId="15" fillId="136" borderId="8" xfId="0" applyFont="1" applyFill="1" applyBorder="1" applyAlignment="1">
      <alignment horizontal="center"/>
    </xf>
    <xf numFmtId="0" fontId="15" fillId="137" borderId="8" xfId="0" applyFont="1" applyFill="1" applyBorder="1" applyAlignment="1">
      <alignment horizontal="center"/>
    </xf>
    <xf numFmtId="0" fontId="15" fillId="138" borderId="8" xfId="0" applyFont="1" applyFill="1" applyBorder="1" applyAlignment="1">
      <alignment horizontal="center"/>
    </xf>
    <xf numFmtId="0" fontId="15" fillId="139" borderId="8" xfId="0" applyFont="1" applyFill="1" applyBorder="1" applyAlignment="1">
      <alignment horizontal="center"/>
    </xf>
    <xf numFmtId="0" fontId="15" fillId="140" borderId="8" xfId="0" applyFont="1" applyFill="1" applyBorder="1" applyAlignment="1">
      <alignment horizontal="center"/>
    </xf>
    <xf numFmtId="0" fontId="15" fillId="141" borderId="8" xfId="0" applyFont="1" applyFill="1" applyBorder="1" applyAlignment="1">
      <alignment horizontal="center"/>
    </xf>
    <xf numFmtId="0" fontId="15" fillId="142" borderId="8" xfId="0" applyFont="1" applyFill="1" applyBorder="1" applyAlignment="1">
      <alignment horizontal="center"/>
    </xf>
    <xf numFmtId="0" fontId="15" fillId="143" borderId="8" xfId="0" applyFont="1" applyFill="1" applyBorder="1" applyAlignment="1">
      <alignment horizontal="center"/>
    </xf>
    <xf numFmtId="0" fontId="15" fillId="144" borderId="8" xfId="0" applyFont="1" applyFill="1" applyBorder="1" applyAlignment="1">
      <alignment horizontal="center"/>
    </xf>
    <xf numFmtId="0" fontId="15" fillId="145" borderId="8" xfId="0" applyFont="1" applyFill="1" applyBorder="1" applyAlignment="1">
      <alignment horizontal="center"/>
    </xf>
    <xf numFmtId="0" fontId="15" fillId="146" borderId="8" xfId="0" applyFont="1" applyFill="1" applyBorder="1" applyAlignment="1">
      <alignment horizontal="center"/>
    </xf>
    <xf numFmtId="0" fontId="15" fillId="147" borderId="8" xfId="0" applyFont="1" applyFill="1" applyBorder="1" applyAlignment="1">
      <alignment horizontal="center"/>
    </xf>
    <xf numFmtId="0" fontId="15" fillId="148" borderId="8" xfId="0" applyFont="1" applyFill="1" applyBorder="1" applyAlignment="1">
      <alignment horizontal="center"/>
    </xf>
    <xf numFmtId="0" fontId="15" fillId="149" borderId="8" xfId="0" applyFont="1" applyFill="1" applyBorder="1" applyAlignment="1">
      <alignment horizontal="center"/>
    </xf>
    <xf numFmtId="0" fontId="15" fillId="150" borderId="8" xfId="0" applyFont="1" applyFill="1" applyBorder="1" applyAlignment="1">
      <alignment horizontal="center"/>
    </xf>
    <xf numFmtId="0" fontId="15" fillId="151" borderId="8" xfId="0" applyFont="1" applyFill="1" applyBorder="1" applyAlignment="1">
      <alignment horizontal="center"/>
    </xf>
    <xf numFmtId="0" fontId="15" fillId="152" borderId="8" xfId="0" applyFont="1" applyFill="1" applyBorder="1" applyAlignment="1">
      <alignment horizontal="center"/>
    </xf>
    <xf numFmtId="0" fontId="15" fillId="153" borderId="8" xfId="0" applyFont="1" applyFill="1" applyBorder="1" applyAlignment="1">
      <alignment horizontal="center"/>
    </xf>
    <xf numFmtId="0" fontId="15" fillId="154" borderId="8" xfId="0" applyFont="1" applyFill="1" applyBorder="1" applyAlignment="1">
      <alignment horizontal="center"/>
    </xf>
    <xf numFmtId="0" fontId="15" fillId="155" borderId="8" xfId="0" applyFont="1" applyFill="1" applyBorder="1" applyAlignment="1">
      <alignment horizontal="center"/>
    </xf>
    <xf numFmtId="0" fontId="15" fillId="156" borderId="8" xfId="0" applyFont="1" applyFill="1" applyBorder="1" applyAlignment="1">
      <alignment horizontal="center"/>
    </xf>
    <xf numFmtId="0" fontId="15" fillId="157" borderId="8" xfId="0" applyFont="1" applyFill="1" applyBorder="1" applyAlignment="1">
      <alignment horizontal="center"/>
    </xf>
    <xf numFmtId="0" fontId="17" fillId="0" borderId="8" xfId="0" applyFont="1" applyBorder="1" applyAlignment="1">
      <alignment horizontal="left"/>
    </xf>
    <xf numFmtId="0" fontId="17" fillId="158" borderId="8" xfId="0" applyFont="1" applyFill="1" applyBorder="1" applyAlignment="1">
      <alignment horizontal="left"/>
    </xf>
    <xf numFmtId="0" fontId="23" fillId="10" borderId="0" xfId="0" applyFont="1" applyFill="1" applyAlignment="1"/>
    <xf numFmtId="167" fontId="24" fillId="10" borderId="0" xfId="0" applyNumberFormat="1" applyFont="1" applyFill="1"/>
    <xf numFmtId="0" fontId="10" fillId="0" borderId="0" xfId="0" applyFont="1"/>
    <xf numFmtId="0" fontId="25" fillId="4" borderId="7" xfId="0" applyFont="1" applyFill="1" applyBorder="1" applyAlignment="1">
      <alignment horizontal="center"/>
    </xf>
    <xf numFmtId="0" fontId="9" fillId="159" borderId="2" xfId="0" applyFont="1" applyFill="1" applyBorder="1" applyAlignment="1"/>
    <xf numFmtId="172" fontId="10" fillId="159" borderId="0" xfId="0" applyNumberFormat="1" applyFont="1" applyFill="1" applyAlignment="1">
      <alignment horizontal="center" wrapText="1"/>
    </xf>
    <xf numFmtId="173" fontId="10" fillId="159" borderId="0" xfId="0" applyNumberFormat="1" applyFont="1" applyFill="1" applyAlignment="1">
      <alignment horizontal="center" wrapText="1"/>
    </xf>
    <xf numFmtId="174" fontId="10" fillId="159" borderId="0" xfId="0" applyNumberFormat="1" applyFont="1" applyFill="1" applyAlignment="1">
      <alignment horizontal="center" wrapText="1"/>
    </xf>
    <xf numFmtId="175" fontId="10" fillId="159" borderId="3" xfId="0" applyNumberFormat="1" applyFont="1" applyFill="1" applyBorder="1" applyAlignment="1">
      <alignment horizontal="center" wrapText="1"/>
    </xf>
    <xf numFmtId="0" fontId="9" fillId="11" borderId="2" xfId="0" applyFont="1" applyFill="1" applyBorder="1" applyAlignment="1"/>
    <xf numFmtId="171" fontId="10" fillId="11" borderId="0" xfId="0" applyNumberFormat="1" applyFont="1" applyFill="1" applyAlignment="1">
      <alignment horizontal="center" wrapText="1"/>
    </xf>
    <xf numFmtId="3" fontId="10" fillId="11" borderId="0" xfId="0" applyNumberFormat="1" applyFont="1" applyFill="1" applyAlignment="1">
      <alignment horizontal="center" wrapText="1"/>
    </xf>
    <xf numFmtId="3" fontId="10" fillId="11" borderId="3" xfId="0" applyNumberFormat="1" applyFont="1" applyFill="1" applyBorder="1" applyAlignment="1">
      <alignment horizontal="center" wrapText="1"/>
    </xf>
    <xf numFmtId="0" fontId="9" fillId="160" borderId="2" xfId="0" applyFont="1" applyFill="1" applyBorder="1" applyAlignment="1"/>
    <xf numFmtId="173" fontId="10" fillId="160" borderId="0" xfId="0" applyNumberFormat="1" applyFont="1" applyFill="1" applyAlignment="1">
      <alignment horizontal="center" wrapText="1"/>
    </xf>
    <xf numFmtId="174" fontId="10" fillId="160" borderId="3" xfId="0" applyNumberFormat="1" applyFont="1" applyFill="1" applyBorder="1" applyAlignment="1">
      <alignment horizontal="center" wrapText="1"/>
    </xf>
    <xf numFmtId="0" fontId="9" fillId="9" borderId="2" xfId="0" applyFont="1" applyFill="1" applyBorder="1" applyAlignment="1"/>
    <xf numFmtId="167" fontId="10" fillId="9" borderId="0" xfId="0" applyNumberFormat="1" applyFont="1" applyFill="1" applyAlignment="1">
      <alignment horizontal="center" wrapText="1"/>
    </xf>
    <xf numFmtId="167" fontId="10" fillId="9" borderId="3" xfId="0" applyNumberFormat="1" applyFont="1" applyFill="1" applyBorder="1" applyAlignment="1">
      <alignment horizontal="center" wrapText="1"/>
    </xf>
    <xf numFmtId="0" fontId="9" fillId="10" borderId="5" xfId="0" applyFont="1" applyFill="1" applyBorder="1" applyAlignment="1"/>
    <xf numFmtId="167" fontId="10" fillId="10" borderId="1" xfId="0" applyNumberFormat="1" applyFont="1" applyFill="1" applyBorder="1" applyAlignment="1">
      <alignment horizontal="center" wrapText="1"/>
    </xf>
    <xf numFmtId="167" fontId="10" fillId="10" borderId="4" xfId="0" applyNumberFormat="1" applyFont="1" applyFill="1" applyBorder="1" applyAlignment="1">
      <alignment horizontal="center" wrapText="1"/>
    </xf>
    <xf numFmtId="175" fontId="10" fillId="159" borderId="0" xfId="0" applyNumberFormat="1" applyFont="1" applyFill="1" applyAlignment="1">
      <alignment horizontal="center" wrapText="1"/>
    </xf>
    <xf numFmtId="172" fontId="10" fillId="160" borderId="0" xfId="0" applyNumberFormat="1" applyFont="1" applyFill="1" applyAlignment="1">
      <alignment horizontal="center" wrapText="1"/>
    </xf>
    <xf numFmtId="175" fontId="10" fillId="160" borderId="0" xfId="0" applyNumberFormat="1" applyFont="1" applyFill="1" applyAlignment="1">
      <alignment horizontal="center" wrapText="1"/>
    </xf>
    <xf numFmtId="175" fontId="10" fillId="160" borderId="3" xfId="0" applyNumberFormat="1" applyFont="1" applyFill="1" applyBorder="1" applyAlignment="1">
      <alignment horizontal="center" wrapText="1"/>
    </xf>
    <xf numFmtId="175" fontId="10" fillId="0" borderId="0" xfId="0" applyNumberFormat="1" applyFont="1" applyAlignment="1">
      <alignment horizontal="center" wrapText="1"/>
    </xf>
    <xf numFmtId="0" fontId="9" fillId="11" borderId="5" xfId="0" applyFont="1" applyFill="1" applyBorder="1" applyAlignment="1"/>
    <xf numFmtId="171" fontId="10" fillId="11" borderId="1" xfId="0" applyNumberFormat="1" applyFont="1" applyFill="1" applyBorder="1" applyAlignment="1">
      <alignment horizontal="center" wrapText="1"/>
    </xf>
    <xf numFmtId="3" fontId="10" fillId="11" borderId="1" xfId="0" applyNumberFormat="1" applyFont="1" applyFill="1" applyBorder="1" applyAlignment="1">
      <alignment horizontal="center" wrapText="1"/>
    </xf>
    <xf numFmtId="3" fontId="10" fillId="11" borderId="4" xfId="0" applyNumberFormat="1" applyFont="1" applyFill="1" applyBorder="1" applyAlignment="1">
      <alignment horizontal="center" wrapText="1"/>
    </xf>
    <xf numFmtId="0" fontId="25" fillId="4" borderId="12" xfId="0" applyFont="1" applyFill="1" applyBorder="1" applyAlignment="1">
      <alignment horizontal="center"/>
    </xf>
    <xf numFmtId="0" fontId="9" fillId="7" borderId="2" xfId="0" applyFont="1" applyFill="1" applyBorder="1" applyAlignment="1"/>
    <xf numFmtId="171" fontId="10" fillId="7" borderId="0" xfId="0" applyNumberFormat="1" applyFont="1" applyFill="1" applyAlignment="1">
      <alignment horizontal="center" wrapText="1"/>
    </xf>
    <xf numFmtId="3" fontId="10" fillId="7" borderId="0" xfId="0" applyNumberFormat="1" applyFont="1" applyFill="1" applyAlignment="1">
      <alignment horizontal="center" wrapText="1"/>
    </xf>
    <xf numFmtId="3" fontId="10" fillId="7" borderId="3" xfId="0" applyNumberFormat="1" applyFont="1" applyFill="1" applyBorder="1" applyAlignment="1">
      <alignment horizontal="center" wrapText="1"/>
    </xf>
    <xf numFmtId="0" fontId="9" fillId="7" borderId="5" xfId="0" applyFont="1" applyFill="1" applyBorder="1" applyAlignment="1"/>
    <xf numFmtId="3" fontId="10" fillId="7" borderId="1" xfId="0" applyNumberFormat="1" applyFont="1" applyFill="1" applyBorder="1" applyAlignment="1">
      <alignment horizontal="center" wrapText="1"/>
    </xf>
    <xf numFmtId="3" fontId="10" fillId="7" borderId="4" xfId="0" applyNumberFormat="1" applyFont="1" applyFill="1" applyBorder="1" applyAlignment="1">
      <alignment horizontal="center" wrapText="1"/>
    </xf>
    <xf numFmtId="0" fontId="26" fillId="4" borderId="4" xfId="0" applyFont="1" applyFill="1" applyBorder="1" applyAlignment="1">
      <alignment vertical="center" wrapText="1"/>
    </xf>
    <xf numFmtId="3" fontId="6" fillId="5" borderId="4" xfId="0" applyNumberFormat="1" applyFont="1" applyFill="1" applyBorder="1" applyAlignment="1">
      <alignment horizontal="right" vertical="center" wrapText="1"/>
    </xf>
    <xf numFmtId="3" fontId="11" fillId="5" borderId="4" xfId="0" applyNumberFormat="1" applyFont="1" applyFill="1" applyBorder="1" applyAlignment="1">
      <alignment horizontal="right" vertical="center"/>
    </xf>
    <xf numFmtId="167" fontId="6" fillId="5" borderId="4" xfId="0" applyNumberFormat="1" applyFont="1" applyFill="1" applyBorder="1" applyAlignment="1">
      <alignment horizontal="right" vertical="center" wrapText="1"/>
    </xf>
    <xf numFmtId="176" fontId="6" fillId="5" borderId="4" xfId="0" applyNumberFormat="1" applyFont="1" applyFill="1" applyBorder="1" applyAlignment="1">
      <alignment horizontal="right" vertical="center" wrapText="1"/>
    </xf>
    <xf numFmtId="177" fontId="6" fillId="5" borderId="4" xfId="0" applyNumberFormat="1" applyFont="1" applyFill="1" applyBorder="1" applyAlignment="1">
      <alignment horizontal="right" vertical="center" wrapText="1"/>
    </xf>
    <xf numFmtId="178" fontId="10" fillId="0" borderId="4" xfId="0" applyNumberFormat="1" applyFont="1" applyBorder="1" applyAlignment="1">
      <alignment horizontal="right" wrapText="1"/>
    </xf>
    <xf numFmtId="176" fontId="10" fillId="0" borderId="4" xfId="0" applyNumberFormat="1" applyFont="1" applyBorder="1" applyAlignment="1">
      <alignment horizontal="right" wrapText="1"/>
    </xf>
    <xf numFmtId="178" fontId="10" fillId="0" borderId="4" xfId="0" applyNumberFormat="1" applyFont="1" applyBorder="1" applyAlignment="1">
      <alignment horizontal="right" wrapText="1"/>
    </xf>
    <xf numFmtId="179" fontId="10" fillId="0" borderId="4" xfId="0" applyNumberFormat="1" applyFont="1" applyBorder="1" applyAlignment="1">
      <alignment horizontal="right" wrapText="1"/>
    </xf>
    <xf numFmtId="179" fontId="10" fillId="0" borderId="7" xfId="0" applyNumberFormat="1" applyFont="1" applyBorder="1" applyAlignment="1">
      <alignment horizontal="right" wrapText="1"/>
    </xf>
    <xf numFmtId="178" fontId="8" fillId="4" borderId="7" xfId="0" applyNumberFormat="1" applyFont="1" applyFill="1" applyBorder="1" applyAlignment="1"/>
    <xf numFmtId="3" fontId="6" fillId="5" borderId="4" xfId="0" applyNumberFormat="1" applyFont="1" applyFill="1" applyBorder="1" applyAlignment="1">
      <alignment horizontal="right" vertical="center" wrapText="1"/>
    </xf>
    <xf numFmtId="49" fontId="6" fillId="5" borderId="4" xfId="0" applyNumberFormat="1" applyFont="1" applyFill="1" applyBorder="1" applyAlignment="1">
      <alignment horizontal="right" vertical="center" wrapText="1"/>
    </xf>
    <xf numFmtId="180" fontId="6" fillId="5" borderId="4" xfId="0" applyNumberFormat="1" applyFont="1" applyFill="1" applyBorder="1" applyAlignment="1">
      <alignment horizontal="right" vertical="center" wrapText="1"/>
    </xf>
    <xf numFmtId="0" fontId="8" fillId="7" borderId="7" xfId="0" applyFont="1" applyFill="1" applyBorder="1" applyAlignment="1">
      <alignment horizontal="center" vertical="center" wrapText="1"/>
    </xf>
    <xf numFmtId="0" fontId="8" fillId="7" borderId="7" xfId="0" applyFont="1" applyFill="1" applyBorder="1" applyAlignment="1">
      <alignment horizontal="center" vertical="center" wrapText="1"/>
    </xf>
    <xf numFmtId="167" fontId="8" fillId="5" borderId="4" xfId="0" applyNumberFormat="1" applyFont="1" applyFill="1" applyBorder="1" applyAlignment="1">
      <alignment horizontal="right" wrapText="1"/>
    </xf>
    <xf numFmtId="167" fontId="8" fillId="12" borderId="7" xfId="0" applyNumberFormat="1" applyFont="1" applyFill="1" applyBorder="1" applyAlignment="1">
      <alignment horizontal="right" wrapText="1"/>
    </xf>
    <xf numFmtId="164" fontId="8" fillId="12" borderId="7" xfId="0" applyNumberFormat="1" applyFont="1" applyFill="1" applyBorder="1" applyAlignment="1">
      <alignment horizontal="right" wrapText="1"/>
    </xf>
    <xf numFmtId="176" fontId="10" fillId="0" borderId="7" xfId="0" applyNumberFormat="1" applyFont="1" applyBorder="1" applyAlignment="1">
      <alignment horizontal="right" wrapText="1"/>
    </xf>
    <xf numFmtId="176" fontId="2" fillId="0" borderId="0" xfId="0" applyNumberFormat="1" applyFont="1" applyAlignment="1"/>
    <xf numFmtId="176" fontId="10" fillId="0" borderId="0" xfId="0" applyNumberFormat="1" applyFont="1" applyAlignment="1"/>
    <xf numFmtId="0" fontId="8" fillId="7" borderId="4" xfId="0" applyFont="1" applyFill="1" applyBorder="1" applyAlignment="1">
      <alignment horizontal="center" vertical="center" wrapText="1"/>
    </xf>
    <xf numFmtId="0" fontId="27" fillId="7" borderId="7" xfId="0" applyFont="1" applyFill="1" applyBorder="1" applyAlignment="1">
      <alignment horizontal="center" vertical="center" wrapText="1"/>
    </xf>
    <xf numFmtId="164" fontId="8" fillId="10" borderId="7" xfId="0" applyNumberFormat="1" applyFont="1" applyFill="1" applyBorder="1" applyAlignment="1">
      <alignment horizontal="right" wrapText="1"/>
    </xf>
    <xf numFmtId="164" fontId="8" fillId="9" borderId="7" xfId="0" applyNumberFormat="1" applyFont="1" applyFill="1" applyBorder="1" applyAlignment="1">
      <alignment horizontal="right" wrapText="1"/>
    </xf>
    <xf numFmtId="164" fontId="8" fillId="161" borderId="7" xfId="0" applyNumberFormat="1" applyFont="1" applyFill="1" applyBorder="1" applyAlignment="1">
      <alignment horizontal="right" wrapText="1"/>
    </xf>
    <xf numFmtId="164" fontId="8" fillId="162" borderId="7" xfId="0" applyNumberFormat="1" applyFont="1" applyFill="1" applyBorder="1" applyAlignment="1">
      <alignment horizontal="right" wrapText="1"/>
    </xf>
    <xf numFmtId="167" fontId="8" fillId="163" borderId="7" xfId="0" applyNumberFormat="1" applyFont="1" applyFill="1" applyBorder="1" applyAlignment="1">
      <alignment horizontal="right" wrapText="1"/>
    </xf>
    <xf numFmtId="164" fontId="8" fillId="164" borderId="7" xfId="0" applyNumberFormat="1" applyFont="1" applyFill="1" applyBorder="1" applyAlignment="1">
      <alignment horizontal="right" wrapText="1"/>
    </xf>
    <xf numFmtId="0" fontId="10" fillId="0" borderId="0" xfId="0" applyFont="1" applyAlignment="1">
      <alignment wrapText="1"/>
    </xf>
    <xf numFmtId="0" fontId="28" fillId="0" borderId="0" xfId="0" applyFont="1" applyAlignment="1">
      <alignment horizontal="center"/>
    </xf>
    <xf numFmtId="0" fontId="3" fillId="0" borderId="7" xfId="0" applyFont="1" applyBorder="1" applyAlignment="1">
      <alignment horizontal="center"/>
    </xf>
    <xf numFmtId="0" fontId="8" fillId="0" borderId="0" xfId="0" applyFont="1" applyAlignment="1">
      <alignment horizontal="center"/>
    </xf>
    <xf numFmtId="0" fontId="9" fillId="0" borderId="0" xfId="0" applyFont="1" applyAlignment="1">
      <alignment wrapText="1"/>
    </xf>
    <xf numFmtId="0" fontId="29" fillId="0" borderId="0" xfId="0" applyFont="1" applyAlignment="1">
      <alignment wrapText="1"/>
    </xf>
    <xf numFmtId="0" fontId="9" fillId="0" borderId="2" xfId="0" applyFont="1" applyBorder="1" applyAlignment="1">
      <alignment wrapText="1"/>
    </xf>
    <xf numFmtId="164" fontId="10" fillId="0" borderId="0" xfId="0" applyNumberFormat="1" applyFont="1" applyAlignment="1">
      <alignment wrapText="1"/>
    </xf>
    <xf numFmtId="164" fontId="10" fillId="0" borderId="3" xfId="0" applyNumberFormat="1" applyFont="1" applyBorder="1" applyAlignment="1">
      <alignment wrapText="1"/>
    </xf>
    <xf numFmtId="0" fontId="29" fillId="0" borderId="0" xfId="0" applyFont="1" applyAlignment="1"/>
    <xf numFmtId="167" fontId="10" fillId="0" borderId="0" xfId="0" applyNumberFormat="1" applyFont="1"/>
    <xf numFmtId="167" fontId="10" fillId="0" borderId="3" xfId="0" applyNumberFormat="1" applyFont="1" applyBorder="1"/>
    <xf numFmtId="0" fontId="10" fillId="0" borderId="0" xfId="0" applyFont="1" applyAlignment="1"/>
    <xf numFmtId="0" fontId="9" fillId="0" borderId="5" xfId="0" applyFont="1" applyBorder="1" applyAlignment="1">
      <alignment wrapText="1"/>
    </xf>
    <xf numFmtId="167" fontId="10" fillId="0" borderId="1" xfId="0" applyNumberFormat="1" applyFont="1" applyBorder="1"/>
    <xf numFmtId="167" fontId="10" fillId="0" borderId="4" xfId="0" applyNumberFormat="1" applyFont="1" applyBorder="1"/>
    <xf numFmtId="167" fontId="8" fillId="0" borderId="0" xfId="0" applyNumberFormat="1" applyFont="1"/>
    <xf numFmtId="167" fontId="8" fillId="0" borderId="3" xfId="0" applyNumberFormat="1" applyFont="1" applyBorder="1"/>
    <xf numFmtId="167" fontId="8" fillId="0" borderId="1" xfId="0" applyNumberFormat="1" applyFont="1" applyBorder="1"/>
    <xf numFmtId="167" fontId="8" fillId="0" borderId="4" xfId="0" applyNumberFormat="1" applyFont="1" applyBorder="1"/>
    <xf numFmtId="0" fontId="9" fillId="0" borderId="9" xfId="0" applyFont="1" applyBorder="1" applyAlignment="1">
      <alignment wrapText="1"/>
    </xf>
    <xf numFmtId="167" fontId="10" fillId="0" borderId="10" xfId="0" applyNumberFormat="1" applyFont="1" applyBorder="1"/>
    <xf numFmtId="167" fontId="10" fillId="0" borderId="11" xfId="0" applyNumberFormat="1" applyFont="1" applyBorder="1"/>
    <xf numFmtId="0" fontId="22" fillId="0" borderId="0" xfId="0" applyFont="1" applyAlignment="1"/>
    <xf numFmtId="3" fontId="18" fillId="0" borderId="0" xfId="0" applyNumberFormat="1" applyFont="1" applyAlignment="1"/>
    <xf numFmtId="0" fontId="18" fillId="0" borderId="0" xfId="0" applyFont="1" applyAlignment="1"/>
    <xf numFmtId="0" fontId="1" fillId="2" borderId="1" xfId="0" applyFont="1" applyFill="1" applyBorder="1" applyAlignment="1"/>
    <xf numFmtId="0" fontId="6" fillId="5" borderId="4" xfId="0" applyFont="1" applyFill="1" applyBorder="1" applyAlignment="1">
      <alignment horizontal="right" vertical="center" wrapText="1"/>
    </xf>
    <xf numFmtId="164" fontId="10" fillId="11" borderId="4" xfId="0" applyNumberFormat="1" applyFont="1" applyFill="1" applyBorder="1" applyAlignment="1">
      <alignment horizontal="right" wrapText="1"/>
    </xf>
    <xf numFmtId="181" fontId="1" fillId="2" borderId="1" xfId="0" applyNumberFormat="1" applyFont="1" applyFill="1" applyBorder="1" applyAlignment="1"/>
    <xf numFmtId="181" fontId="5" fillId="4" borderId="4" xfId="0" applyNumberFormat="1" applyFont="1" applyFill="1" applyBorder="1" applyAlignment="1">
      <alignment vertical="center" wrapText="1"/>
    </xf>
    <xf numFmtId="181" fontId="6" fillId="5" borderId="4" xfId="0" applyNumberFormat="1" applyFont="1" applyFill="1" applyBorder="1" applyAlignment="1">
      <alignment horizontal="right" vertical="center" wrapText="1"/>
    </xf>
    <xf numFmtId="182" fontId="6" fillId="5" borderId="4" xfId="0" applyNumberFormat="1" applyFont="1" applyFill="1" applyBorder="1" applyAlignment="1">
      <alignment horizontal="right" vertical="center" wrapText="1"/>
    </xf>
    <xf numFmtId="183" fontId="6" fillId="5" borderId="4" xfId="0" applyNumberFormat="1" applyFont="1" applyFill="1" applyBorder="1" applyAlignment="1">
      <alignment horizontal="right" vertical="center" wrapText="1"/>
    </xf>
    <xf numFmtId="181" fontId="6" fillId="5" borderId="4" xfId="0" applyNumberFormat="1" applyFont="1" applyFill="1" applyBorder="1" applyAlignment="1">
      <alignment horizontal="right" vertical="center" wrapText="1"/>
    </xf>
    <xf numFmtId="181" fontId="2" fillId="0" borderId="1" xfId="0" applyNumberFormat="1" applyFont="1" applyBorder="1" applyAlignment="1"/>
    <xf numFmtId="181" fontId="5" fillId="7" borderId="4" xfId="0" applyNumberFormat="1" applyFont="1" applyFill="1" applyBorder="1" applyAlignment="1">
      <alignment horizontal="center" vertical="center" wrapText="1"/>
    </xf>
    <xf numFmtId="181" fontId="2" fillId="0" borderId="4" xfId="0" applyNumberFormat="1" applyFont="1" applyBorder="1" applyAlignment="1"/>
    <xf numFmtId="181" fontId="10" fillId="0" borderId="4" xfId="0" applyNumberFormat="1" applyFont="1" applyBorder="1" applyAlignment="1">
      <alignment horizontal="right" wrapText="1"/>
    </xf>
    <xf numFmtId="181" fontId="10" fillId="0" borderId="7" xfId="0" applyNumberFormat="1" applyFont="1" applyBorder="1" applyAlignment="1">
      <alignment horizontal="right" wrapText="1"/>
    </xf>
    <xf numFmtId="181" fontId="2" fillId="0" borderId="0" xfId="0" applyNumberFormat="1" applyFont="1" applyAlignment="1"/>
    <xf numFmtId="181" fontId="8" fillId="4" borderId="7" xfId="0" applyNumberFormat="1" applyFont="1" applyFill="1" applyBorder="1" applyAlignment="1"/>
    <xf numFmtId="181" fontId="9" fillId="13" borderId="7" xfId="0" applyNumberFormat="1" applyFont="1" applyFill="1" applyBorder="1" applyAlignment="1"/>
    <xf numFmtId="181" fontId="18" fillId="0" borderId="0" xfId="0" applyNumberFormat="1" applyFont="1"/>
    <xf numFmtId="0" fontId="3" fillId="3" borderId="2" xfId="0" applyFont="1" applyFill="1" applyBorder="1" applyAlignment="1">
      <alignment horizontal="center" vertical="center" textRotation="45" wrapText="1"/>
    </xf>
    <xf numFmtId="0" fontId="4" fillId="0" borderId="3" xfId="0" applyFont="1" applyBorder="1"/>
    <xf numFmtId="0" fontId="4" fillId="0" borderId="2" xfId="0" applyFont="1" applyBorder="1"/>
    <xf numFmtId="0" fontId="4" fillId="0" borderId="5" xfId="0" applyFont="1" applyBorder="1"/>
    <xf numFmtId="0" fontId="4" fillId="0" borderId="4" xfId="0" applyFont="1" applyBorder="1"/>
    <xf numFmtId="0" fontId="13" fillId="15" borderId="0" xfId="0" applyFont="1" applyFill="1" applyAlignment="1">
      <alignment horizontal="center" vertical="center" wrapText="1"/>
    </xf>
    <xf numFmtId="0" fontId="0" fillId="0" borderId="0" xfId="0" applyFont="1" applyAlignment="1"/>
    <xf numFmtId="0" fontId="13" fillId="0" borderId="0" xfId="0" applyFont="1" applyAlignment="1">
      <alignment horizontal="center"/>
    </xf>
    <xf numFmtId="0" fontId="3" fillId="0" borderId="9" xfId="0" applyFont="1" applyBorder="1" applyAlignment="1">
      <alignment horizontal="left"/>
    </xf>
    <xf numFmtId="0" fontId="4" fillId="0" borderId="10" xfId="0" applyFont="1" applyBorder="1"/>
    <xf numFmtId="0" fontId="4" fillId="0" borderId="11" xfId="0" applyFont="1" applyBorder="1"/>
    <xf numFmtId="0" fontId="10" fillId="0" borderId="0" xfId="0" applyFont="1" applyAlignment="1">
      <alignment wrapText="1"/>
    </xf>
    <xf numFmtId="0" fontId="2" fillId="2" borderId="1" xfId="0" applyFont="1" applyFill="1" applyBorder="1" applyAlignment="1"/>
    <xf numFmtId="0" fontId="4" fillId="0" borderId="1" xfId="0" applyFont="1" applyBorder="1"/>
    <xf numFmtId="0" fontId="28" fillId="0" borderId="0" xfId="0" applyFont="1" applyAlignment="1">
      <alignment horizontal="center"/>
    </xf>
    <xf numFmtId="0" fontId="8" fillId="165" borderId="9" xfId="0" applyFont="1" applyFill="1" applyBorder="1" applyAlignment="1">
      <alignment wrapText="1"/>
    </xf>
    <xf numFmtId="0" fontId="8" fillId="160" borderId="9" xfId="0" applyFont="1" applyFill="1" applyBorder="1" applyAlignment="1">
      <alignment wrapText="1"/>
    </xf>
    <xf numFmtId="0" fontId="8" fillId="166" borderId="9" xfId="0" applyFont="1" applyFill="1" applyBorder="1" applyAlignment="1">
      <alignment wrapText="1"/>
    </xf>
    <xf numFmtId="0" fontId="8" fillId="167" borderId="9" xfId="0" applyFont="1" applyFill="1" applyBorder="1" applyAlignment="1">
      <alignment wrapText="1"/>
    </xf>
    <xf numFmtId="0" fontId="1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b="0">
                <a:solidFill>
                  <a:srgbClr val="757575"/>
                </a:solidFill>
                <a:latin typeface="+mn-lt"/>
              </a:defRPr>
            </a:pPr>
            <a:r>
              <a:rPr lang="en-US" b="0">
                <a:solidFill>
                  <a:srgbClr val="757575"/>
                </a:solidFill>
                <a:latin typeface="+mn-lt"/>
              </a:rPr>
              <a:t>Monthly dividend per person</a:t>
            </a:r>
          </a:p>
        </c:rich>
      </c:tx>
      <c:layout/>
      <c:overlay val="0"/>
    </c:title>
    <c:autoTitleDeleted val="0"/>
    <c:plotArea>
      <c:layout/>
      <c:lineChart>
        <c:grouping val="standard"/>
        <c:varyColors val="0"/>
        <c:ser>
          <c:idx val="0"/>
          <c:order val="0"/>
          <c:spPr>
            <a:ln cmpd="sng">
              <a:solidFill>
                <a:srgbClr val="4285F4"/>
              </a:solidFill>
            </a:ln>
          </c:spPr>
          <c:marker>
            <c:symbol val="none"/>
          </c:marker>
          <c:val>
            <c:numRef>
              <c:f>'Global 1 (1.5)'!$T$10:$T$184</c:f>
              <c:numCache>
                <c:formatCode>"$"#\ ##0.00</c:formatCode>
                <c:ptCount val="175"/>
                <c:pt idx="0">
                  <c:v>38.708839998613492</c:v>
                </c:pt>
                <c:pt idx="1">
                  <c:v>39.361933479502234</c:v>
                </c:pt>
                <c:pt idx="2">
                  <c:v>40.08164886535851</c:v>
                </c:pt>
                <c:pt idx="3">
                  <c:v>40.871149053502151</c:v>
                </c:pt>
                <c:pt idx="4">
                  <c:v>41.733817696436617</c:v>
                </c:pt>
                <c:pt idx="5">
                  <c:v>42.673503199654931</c:v>
                </c:pt>
                <c:pt idx="6">
                  <c:v>43.694401604859358</c:v>
                </c:pt>
                <c:pt idx="7">
                  <c:v>44.800814168315952</c:v>
                </c:pt>
                <c:pt idx="8">
                  <c:v>45.997234517118535</c:v>
                </c:pt>
                <c:pt idx="9">
                  <c:v>47.288621089065401</c:v>
                </c:pt>
                <c:pt idx="10">
                  <c:v>48.680303303943816</c:v>
                </c:pt>
                <c:pt idx="11">
                  <c:v>50.17807541711921</c:v>
                </c:pt>
                <c:pt idx="12">
                  <c:v>51.787951085875385</c:v>
                </c:pt>
                <c:pt idx="13">
                  <c:v>53.516228431375374</c:v>
                </c:pt>
                <c:pt idx="14">
                  <c:v>55.369656458562623</c:v>
                </c:pt>
                <c:pt idx="15">
                  <c:v>57.355705977590468</c:v>
                </c:pt>
                <c:pt idx="16">
                  <c:v>59.482432913522103</c:v>
                </c:pt>
                <c:pt idx="17">
                  <c:v>61.757920200116082</c:v>
                </c:pt>
                <c:pt idx="18">
                  <c:v>64.191068499941068</c:v>
                </c:pt>
                <c:pt idx="19">
                  <c:v>66.76277843134973</c:v>
                </c:pt>
                <c:pt idx="20">
                  <c:v>69.539062903709166</c:v>
                </c:pt>
                <c:pt idx="21">
                  <c:v>71.906001869863829</c:v>
                </c:pt>
                <c:pt idx="22">
                  <c:v>70.148515507814579</c:v>
                </c:pt>
                <c:pt idx="23">
                  <c:v>69.112911003093856</c:v>
                </c:pt>
                <c:pt idx="24">
                  <c:v>68.664548135407003</c:v>
                </c:pt>
                <c:pt idx="25">
                  <c:v>68.689536405868381</c:v>
                </c:pt>
                <c:pt idx="26">
                  <c:v>69.091883394827391</c:v>
                </c:pt>
                <c:pt idx="27">
                  <c:v>69.790822713213558</c:v>
                </c:pt>
                <c:pt idx="28">
                  <c:v>70.718802741847369</c:v>
                </c:pt>
                <c:pt idx="29">
                  <c:v>71.819110192858076</c:v>
                </c:pt>
                <c:pt idx="30">
                  <c:v>73.044242118704133</c:v>
                </c:pt>
                <c:pt idx="31">
                  <c:v>74.611495566962944</c:v>
                </c:pt>
                <c:pt idx="32">
                  <c:v>76.875740751926358</c:v>
                </c:pt>
                <c:pt idx="33">
                  <c:v>78.857925867868332</c:v>
                </c:pt>
                <c:pt idx="34">
                  <c:v>80.588962221887371</c:v>
                </c:pt>
                <c:pt idx="35">
                  <c:v>82.096388182219968</c:v>
                </c:pt>
                <c:pt idx="36">
                  <c:v>83.404578996047107</c:v>
                </c:pt>
                <c:pt idx="37">
                  <c:v>84.535274854691835</c:v>
                </c:pt>
                <c:pt idx="38">
                  <c:v>85.5080531300042</c:v>
                </c:pt>
                <c:pt idx="39">
                  <c:v>86.34044447012495</c:v>
                </c:pt>
                <c:pt idx="40">
                  <c:v>87.048057588606568</c:v>
                </c:pt>
                <c:pt idx="41">
                  <c:v>87.645005325102929</c:v>
                </c:pt>
                <c:pt idx="42">
                  <c:v>88.144099794758361</c:v>
                </c:pt>
                <c:pt idx="43">
                  <c:v>88.55675655020859</c:v>
                </c:pt>
                <c:pt idx="44">
                  <c:v>88.893110540844816</c:v>
                </c:pt>
                <c:pt idx="45">
                  <c:v>89.162157721892626</c:v>
                </c:pt>
                <c:pt idx="46">
                  <c:v>89.372334201236015</c:v>
                </c:pt>
                <c:pt idx="47">
                  <c:v>89.531123287981032</c:v>
                </c:pt>
                <c:pt idx="48">
                  <c:v>89.645061692245591</c:v>
                </c:pt>
                <c:pt idx="49">
                  <c:v>89.720139748715681</c:v>
                </c:pt>
                <c:pt idx="50">
                  <c:v>89.761560639806291</c:v>
                </c:pt>
                <c:pt idx="51">
                  <c:v>89.459760631062309</c:v>
                </c:pt>
                <c:pt idx="52">
                  <c:v>89.383265014485417</c:v>
                </c:pt>
                <c:pt idx="53">
                  <c:v>89.313595870760636</c:v>
                </c:pt>
                <c:pt idx="54">
                  <c:v>89.254191521182918</c:v>
                </c:pt>
                <c:pt idx="55">
                  <c:v>89.207625547608529</c:v>
                </c:pt>
                <c:pt idx="56">
                  <c:v>89.175878399864189</c:v>
                </c:pt>
                <c:pt idx="57">
                  <c:v>89.160893263191767</c:v>
                </c:pt>
                <c:pt idx="58">
                  <c:v>89.164484170409835</c:v>
                </c:pt>
                <c:pt idx="59">
                  <c:v>89.188073545888685</c:v>
                </c:pt>
                <c:pt idx="60">
                  <c:v>89.232995189054307</c:v>
                </c:pt>
                <c:pt idx="61">
                  <c:v>89.300390280860881</c:v>
                </c:pt>
                <c:pt idx="62">
                  <c:v>89.39127814668133</c:v>
                </c:pt>
                <c:pt idx="63">
                  <c:v>90.065562719035313</c:v>
                </c:pt>
                <c:pt idx="64">
                  <c:v>90.773259008892026</c:v>
                </c:pt>
                <c:pt idx="65">
                  <c:v>91.483952668924587</c:v>
                </c:pt>
                <c:pt idx="66">
                  <c:v>92.198779745155775</c:v>
                </c:pt>
                <c:pt idx="67">
                  <c:v>92.918791364488015</c:v>
                </c:pt>
                <c:pt idx="68">
                  <c:v>93.644842881579507</c:v>
                </c:pt>
                <c:pt idx="69">
                  <c:v>94.377762294728129</c:v>
                </c:pt>
                <c:pt idx="70">
                  <c:v>95.118136583201775</c:v>
                </c:pt>
                <c:pt idx="71">
                  <c:v>95.866421722271411</c:v>
                </c:pt>
                <c:pt idx="72">
                  <c:v>96.623318366721705</c:v>
                </c:pt>
                <c:pt idx="73">
                  <c:v>97.389251686923444</c:v>
                </c:pt>
                <c:pt idx="74">
                  <c:v>98.164637388081232</c:v>
                </c:pt>
                <c:pt idx="75">
                  <c:v>100.13754003496463</c:v>
                </c:pt>
                <c:pt idx="76">
                  <c:v>100.29119212939172</c:v>
                </c:pt>
                <c:pt idx="77">
                  <c:v>100.36968114000854</c:v>
                </c:pt>
                <c:pt idx="78">
                  <c:v>101.09888131161985</c:v>
                </c:pt>
                <c:pt idx="79">
                  <c:v>101.86607462699254</c:v>
                </c:pt>
                <c:pt idx="80">
                  <c:v>102.63667278867838</c:v>
                </c:pt>
                <c:pt idx="81">
                  <c:v>103.41108446511585</c:v>
                </c:pt>
                <c:pt idx="82">
                  <c:v>104.18948249306816</c:v>
                </c:pt>
                <c:pt idx="83">
                  <c:v>104.97202760053824</c:v>
                </c:pt>
                <c:pt idx="84">
                  <c:v>105.7588683689829</c:v>
                </c:pt>
                <c:pt idx="85">
                  <c:v>106.55014247079323</c:v>
                </c:pt>
                <c:pt idx="86">
                  <c:v>107.34597777629942</c:v>
                </c:pt>
                <c:pt idx="87">
                  <c:v>108.14649335129958</c:v>
                </c:pt>
                <c:pt idx="88">
                  <c:v>108.95180035591257</c:v>
                </c:pt>
                <c:pt idx="89">
                  <c:v>109.76200285453405</c:v>
                </c:pt>
                <c:pt idx="90">
                  <c:v>110.5771985457075</c:v>
                </c:pt>
                <c:pt idx="91">
                  <c:v>111.39747941984706</c:v>
                </c:pt>
                <c:pt idx="92">
                  <c:v>112.22293235196383</c:v>
                </c:pt>
                <c:pt idx="93">
                  <c:v>113.05363963583751</c:v>
                </c:pt>
                <c:pt idx="94">
                  <c:v>113.88967946543745</c:v>
                </c:pt>
                <c:pt idx="95">
                  <c:v>114.7311263688224</c:v>
                </c:pt>
                <c:pt idx="96">
                  <c:v>115.57805159922877</c:v>
                </c:pt>
                <c:pt idx="97">
                  <c:v>116.43052348759171</c:v>
                </c:pt>
                <c:pt idx="98">
                  <c:v>117.28860776032252</c:v>
                </c:pt>
                <c:pt idx="99">
                  <c:v>118.1523678257858</c:v>
                </c:pt>
                <c:pt idx="100">
                  <c:v>119.02186503258078</c:v>
                </c:pt>
                <c:pt idx="101">
                  <c:v>119.89715890242121</c:v>
                </c:pt>
                <c:pt idx="102">
                  <c:v>120.77830734013303</c:v>
                </c:pt>
                <c:pt idx="103">
                  <c:v>121.66536682303847</c:v>
                </c:pt>
                <c:pt idx="104">
                  <c:v>122.55839257177088</c:v>
                </c:pt>
                <c:pt idx="105">
                  <c:v>123.45743870436176</c:v>
                </c:pt>
                <c:pt idx="106">
                  <c:v>124.36255837525896</c:v>
                </c:pt>
                <c:pt idx="107">
                  <c:v>125.27380390077086</c:v>
                </c:pt>
                <c:pt idx="108">
                  <c:v>126.19122687228331</c:v>
                </c:pt>
                <c:pt idx="109">
                  <c:v>127.11487825846166</c:v>
                </c:pt>
                <c:pt idx="110">
                  <c:v>128.04480849753179</c:v>
                </c:pt>
                <c:pt idx="111">
                  <c:v>128.98106758062417</c:v>
                </c:pt>
                <c:pt idx="112">
                  <c:v>129.92370512706785</c:v>
                </c:pt>
                <c:pt idx="113">
                  <c:v>130.87277045243431</c:v>
                </c:pt>
                <c:pt idx="114">
                  <c:v>131.82831263005019</c:v>
                </c:pt>
                <c:pt idx="115">
                  <c:v>132.79038054662811</c:v>
                </c:pt>
                <c:pt idx="116">
                  <c:v>133.75902295259976</c:v>
                </c:pt>
                <c:pt idx="117">
                  <c:v>134.73428850767797</c:v>
                </c:pt>
                <c:pt idx="118">
                  <c:v>135.71622582212171</c:v>
                </c:pt>
                <c:pt idx="119">
                  <c:v>136.70488349413128</c:v>
                </c:pt>
                <c:pt idx="120">
                  <c:v>137.70031014375931</c:v>
                </c:pt>
                <c:pt idx="121">
                  <c:v>138.70255444368323</c:v>
                </c:pt>
                <c:pt idx="122">
                  <c:v>139.71166514715333</c:v>
                </c:pt>
                <c:pt idx="123">
                  <c:v>140.72769111339633</c:v>
                </c:pt>
                <c:pt idx="124">
                  <c:v>141.75068133072864</c:v>
                </c:pt>
                <c:pt idx="125">
                  <c:v>142.78068493760864</c:v>
                </c:pt>
                <c:pt idx="126">
                  <c:v>143.81775124183221</c:v>
                </c:pt>
                <c:pt idx="127">
                  <c:v>144.86192973805882</c:v>
                </c:pt>
                <c:pt idx="128">
                  <c:v>145.91327012383368</c:v>
                </c:pt>
                <c:pt idx="129">
                  <c:v>146.97182231425754</c:v>
                </c:pt>
                <c:pt idx="130">
                  <c:v>148.03763645543947</c:v>
                </c:pt>
                <c:pt idx="131">
                  <c:v>149.11076293685457</c:v>
                </c:pt>
                <c:pt idx="132">
                  <c:v>150.19125240271734</c:v>
                </c:pt>
                <c:pt idx="133">
                  <c:v>151.27915576246934</c:v>
                </c:pt>
                <c:pt idx="134">
                  <c:v>152.37452420047086</c:v>
                </c:pt>
                <c:pt idx="135">
                  <c:v>153.47740918497686</c:v>
                </c:pt>
                <c:pt idx="136">
                  <c:v>154.58786247647024</c:v>
                </c:pt>
                <c:pt idx="137">
                  <c:v>155.70593613541746</c:v>
                </c:pt>
                <c:pt idx="138">
                  <c:v>156.83168252950534</c:v>
                </c:pt>
                <c:pt idx="139">
                  <c:v>157.96515434041245</c:v>
                </c:pt>
                <c:pt idx="140">
                  <c:v>159.10640457016299</c:v>
                </c:pt>
                <c:pt idx="141">
                  <c:v>160.25548654710551</c:v>
                </c:pt>
                <c:pt idx="142">
                  <c:v>161.41245393155685</c:v>
                </c:pt>
                <c:pt idx="143">
                  <c:v>162.5773607211442</c:v>
                </c:pt>
                <c:pt idx="144">
                  <c:v>163.75026125587928</c:v>
                </c:pt>
                <c:pt idx="145">
                  <c:v>164.93121022299073</c:v>
                </c:pt>
                <c:pt idx="146">
                  <c:v>166.12026266154217</c:v>
                </c:pt>
                <c:pt idx="147">
                  <c:v>167.3174739668577</c:v>
                </c:pt>
                <c:pt idx="148">
                  <c:v>168.52289989477703</c:v>
                </c:pt>
                <c:pt idx="149">
                  <c:v>169.73659656575759</c:v>
                </c:pt>
                <c:pt idx="150">
                  <c:v>170.95862046884156</c:v>
                </c:pt>
                <c:pt idx="151">
                  <c:v>172.18902846550256</c:v>
                </c:pt>
                <c:pt idx="152">
                  <c:v>173.42787779338622</c:v>
                </c:pt>
                <c:pt idx="153">
                  <c:v>174.67522606995672</c:v>
                </c:pt>
                <c:pt idx="154">
                  <c:v>175.93113129606002</c:v>
                </c:pt>
                <c:pt idx="155">
                  <c:v>177.19565185941534</c:v>
                </c:pt>
                <c:pt idx="156">
                  <c:v>178.46884653804247</c:v>
                </c:pt>
                <c:pt idx="157">
                  <c:v>179.75077450363361</c:v>
                </c:pt>
                <c:pt idx="158">
                  <c:v>181.04149532487796</c:v>
                </c:pt>
                <c:pt idx="159">
                  <c:v>182.3410689707442</c:v>
                </c:pt>
                <c:pt idx="160">
                  <c:v>183.64955581372877</c:v>
                </c:pt>
                <c:pt idx="161">
                  <c:v>184.96701663307343</c:v>
                </c:pt>
                <c:pt idx="162">
                  <c:v>186.29351261795884</c:v>
                </c:pt>
                <c:pt idx="163">
                  <c:v>187.62910537067731</c:v>
                </c:pt>
                <c:pt idx="164">
                  <c:v>188.97385690978982</c:v>
                </c:pt>
                <c:pt idx="165">
                  <c:v>190.32782967326946</c:v>
                </c:pt>
                <c:pt idx="166">
                  <c:v>191.69108652163641</c:v>
                </c:pt>
                <c:pt idx="167">
                  <c:v>193.06369074108622</c:v>
                </c:pt>
                <c:pt idx="168">
                  <c:v>194.4457060466143</c:v>
                </c:pt>
                <c:pt idx="169">
                  <c:v>195.8371965851394</c:v>
                </c:pt>
                <c:pt idx="170">
                  <c:v>197.238226938628</c:v>
                </c:pt>
                <c:pt idx="171">
                  <c:v>198.64886212722146</c:v>
                </c:pt>
                <c:pt idx="172">
                  <c:v>200.0691676123688</c:v>
                </c:pt>
                <c:pt idx="173">
                  <c:v>201.49920929996475</c:v>
                </c:pt>
                <c:pt idx="174">
                  <c:v>202.93905354349727</c:v>
                </c:pt>
              </c:numCache>
            </c:numRef>
          </c:val>
          <c:smooth val="0"/>
          <c:extLst>
            <c:ext xmlns:c16="http://schemas.microsoft.com/office/drawing/2014/chart" uri="{C3380CC4-5D6E-409C-BE32-E72D297353CC}">
              <c16:uniqueId val="{00000000-08C8-4961-A67F-C2765B742296}"/>
            </c:ext>
          </c:extLst>
        </c:ser>
        <c:dLbls>
          <c:showLegendKey val="0"/>
          <c:showVal val="0"/>
          <c:showCatName val="0"/>
          <c:showSerName val="0"/>
          <c:showPercent val="0"/>
          <c:showBubbleSize val="0"/>
        </c:dLbls>
        <c:smooth val="0"/>
        <c:axId val="1094953510"/>
        <c:axId val="1617525877"/>
      </c:lineChart>
      <c:catAx>
        <c:axId val="1094953510"/>
        <c:scaling>
          <c:orientation val="minMax"/>
        </c:scaling>
        <c:delete val="0"/>
        <c:axPos val="b"/>
        <c:title>
          <c:tx>
            <c:rich>
              <a:bodyPr/>
              <a:lstStyle/>
              <a:p>
                <a:pPr lvl="0">
                  <a:defRPr b="0">
                    <a:solidFill>
                      <a:srgbClr val="000000"/>
                    </a:solidFill>
                    <a:latin typeface="+mn-lt"/>
                  </a:defRPr>
                </a:pPr>
                <a:endParaRPr lang="en-US"/>
              </a:p>
            </c:rich>
          </c:tx>
          <c:layout/>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17525877"/>
        <c:crosses val="autoZero"/>
        <c:auto val="1"/>
        <c:lblAlgn val="ctr"/>
        <c:lblOffset val="100"/>
        <c:noMultiLvlLbl val="1"/>
      </c:catAx>
      <c:valAx>
        <c:axId val="1617525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Monthly dividend per person</a:t>
                </a:r>
              </a:p>
            </c:rich>
          </c:tx>
          <c:layout/>
          <c:overlay val="0"/>
        </c:title>
        <c:numFmt formatCode="&quot;$&quot;#\ ##0.00" sourceLinked="1"/>
        <c:majorTickMark val="none"/>
        <c:minorTickMark val="none"/>
        <c:tickLblPos val="nextTo"/>
        <c:spPr>
          <a:ln/>
        </c:spPr>
        <c:txPr>
          <a:bodyPr/>
          <a:lstStyle/>
          <a:p>
            <a:pPr lvl="0">
              <a:defRPr b="0">
                <a:solidFill>
                  <a:srgbClr val="000000"/>
                </a:solidFill>
                <a:latin typeface="+mn-lt"/>
              </a:defRPr>
            </a:pPr>
            <a:endParaRPr lang="en-US"/>
          </a:p>
        </c:txPr>
        <c:crossAx val="1094953510"/>
        <c:crosses val="autoZero"/>
        <c:crossBetween val="between"/>
      </c:valAx>
    </c:plotArea>
    <c:legend>
      <c:legendPos val="r"/>
      <c:layou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342900</xdr:colOff>
      <xdr:row>39</xdr:row>
      <xdr:rowOff>19050</xdr:rowOff>
    </xdr:from>
    <xdr:ext cx="5715000" cy="3533775"/>
    <xdr:graphicFrame macro="">
      <xdr:nvGraphicFramePr>
        <xdr:cNvPr id="326052544"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17" Type="http://schemas.openxmlformats.org/officeDocument/2006/relationships/hyperlink" Target="https://gain-new.crc.nd.edu/country/swaziland" TargetMode="External"/><Relationship Id="rId21" Type="http://schemas.openxmlformats.org/officeDocument/2006/relationships/hyperlink" Target="https://gain-new.crc.nd.edu/country/new-zealand" TargetMode="External"/><Relationship Id="rId42" Type="http://schemas.openxmlformats.org/officeDocument/2006/relationships/hyperlink" Target="https://gain-new.crc.nd.edu/country/bulgaria" TargetMode="External"/><Relationship Id="rId63" Type="http://schemas.openxmlformats.org/officeDocument/2006/relationships/hyperlink" Target="https://gain-new.crc.nd.edu/country/trinidad-tobago" TargetMode="External"/><Relationship Id="rId84" Type="http://schemas.openxmlformats.org/officeDocument/2006/relationships/hyperlink" Target="https://gain-new.crc.nd.edu/country/azerbaijan" TargetMode="External"/><Relationship Id="rId138" Type="http://schemas.openxmlformats.org/officeDocument/2006/relationships/hyperlink" Target="https://gain-new.crc.nd.edu/country/togo" TargetMode="External"/><Relationship Id="rId159" Type="http://schemas.openxmlformats.org/officeDocument/2006/relationships/hyperlink" Target="https://gain-new.crc.nd.edu/country/comoros" TargetMode="External"/><Relationship Id="rId170" Type="http://schemas.openxmlformats.org/officeDocument/2006/relationships/hyperlink" Target="https://gain-new.crc.nd.edu/country/benin" TargetMode="External"/><Relationship Id="rId191" Type="http://schemas.openxmlformats.org/officeDocument/2006/relationships/hyperlink" Target="https://gain-new.crc.nd.edu/country/andorra" TargetMode="External"/><Relationship Id="rId107" Type="http://schemas.openxmlformats.org/officeDocument/2006/relationships/hyperlink" Target="https://gain-new.crc.nd.edu/country/gabon" TargetMode="External"/><Relationship Id="rId11" Type="http://schemas.openxmlformats.org/officeDocument/2006/relationships/hyperlink" Target="https://gain-new.crc.nd.edu/country/germany" TargetMode="External"/><Relationship Id="rId32" Type="http://schemas.openxmlformats.org/officeDocument/2006/relationships/hyperlink" Target="https://gain-new.crc.nd.edu/country/slovakia" TargetMode="External"/><Relationship Id="rId53" Type="http://schemas.openxmlformats.org/officeDocument/2006/relationships/hyperlink" Target="https://gain-new.crc.nd.edu/country/malaysia" TargetMode="External"/><Relationship Id="rId74" Type="http://schemas.openxmlformats.org/officeDocument/2006/relationships/hyperlink" Target="https://gain-new.crc.nd.edu/country/singapore" TargetMode="External"/><Relationship Id="rId128" Type="http://schemas.openxmlformats.org/officeDocument/2006/relationships/hyperlink" Target="https://gain-new.crc.nd.edu/country/mozambique" TargetMode="External"/><Relationship Id="rId149" Type="http://schemas.openxmlformats.org/officeDocument/2006/relationships/hyperlink" Target="https://gain-new.crc.nd.edu/country/yemen" TargetMode="External"/><Relationship Id="rId5" Type="http://schemas.openxmlformats.org/officeDocument/2006/relationships/hyperlink" Target="https://gain-new.crc.nd.edu/country/united-kingdom" TargetMode="External"/><Relationship Id="rId95" Type="http://schemas.openxmlformats.org/officeDocument/2006/relationships/hyperlink" Target="https://gain-new.crc.nd.edu/country/libya" TargetMode="External"/><Relationship Id="rId160" Type="http://schemas.openxmlformats.org/officeDocument/2006/relationships/hyperlink" Target="https://gain-new.crc.nd.edu/country/timor-leste" TargetMode="External"/><Relationship Id="rId181" Type="http://schemas.openxmlformats.org/officeDocument/2006/relationships/hyperlink" Target="https://gain-new.crc.nd.edu/country/tonga" TargetMode="External"/><Relationship Id="rId22" Type="http://schemas.openxmlformats.org/officeDocument/2006/relationships/hyperlink" Target="https://gain-new.crc.nd.edu/country/kyrgyzstan" TargetMode="External"/><Relationship Id="rId43" Type="http://schemas.openxmlformats.org/officeDocument/2006/relationships/hyperlink" Target="https://gain-new.crc.nd.edu/country/turkey" TargetMode="External"/><Relationship Id="rId64" Type="http://schemas.openxmlformats.org/officeDocument/2006/relationships/hyperlink" Target="https://gain-new.crc.nd.edu/country/tunisia" TargetMode="External"/><Relationship Id="rId118" Type="http://schemas.openxmlformats.org/officeDocument/2006/relationships/hyperlink" Target="https://gain-new.crc.nd.edu/country/viet-nam" TargetMode="External"/><Relationship Id="rId139" Type="http://schemas.openxmlformats.org/officeDocument/2006/relationships/hyperlink" Target="https://gain-new.crc.nd.edu/country/djibouti" TargetMode="External"/><Relationship Id="rId85" Type="http://schemas.openxmlformats.org/officeDocument/2006/relationships/hyperlink" Target="https://gain-new.crc.nd.edu/country/mauritius" TargetMode="External"/><Relationship Id="rId150" Type="http://schemas.openxmlformats.org/officeDocument/2006/relationships/hyperlink" Target="https://gain-new.crc.nd.edu/country/ethiopia" TargetMode="External"/><Relationship Id="rId171" Type="http://schemas.openxmlformats.org/officeDocument/2006/relationships/hyperlink" Target="https://gain-new.crc.nd.edu/country/kiribati" TargetMode="External"/><Relationship Id="rId192" Type="http://schemas.openxmlformats.org/officeDocument/2006/relationships/hyperlink" Target="https://gain-new.crc.nd.edu/country/saint-kitts-and-nevis" TargetMode="External"/><Relationship Id="rId12" Type="http://schemas.openxmlformats.org/officeDocument/2006/relationships/hyperlink" Target="https://gain-new.crc.nd.edu/country/france" TargetMode="External"/><Relationship Id="rId33" Type="http://schemas.openxmlformats.org/officeDocument/2006/relationships/hyperlink" Target="https://gain-new.crc.nd.edu/country/denmark" TargetMode="External"/><Relationship Id="rId108" Type="http://schemas.openxmlformats.org/officeDocument/2006/relationships/hyperlink" Target="https://gain-new.crc.nd.edu/country/st-vincent-grenadines" TargetMode="External"/><Relationship Id="rId129" Type="http://schemas.openxmlformats.org/officeDocument/2006/relationships/hyperlink" Target="https://gain-new.crc.nd.edu/country/lesotho" TargetMode="External"/><Relationship Id="rId54" Type="http://schemas.openxmlformats.org/officeDocument/2006/relationships/hyperlink" Target="https://gain-new.crc.nd.edu/country/iran" TargetMode="External"/><Relationship Id="rId75" Type="http://schemas.openxmlformats.org/officeDocument/2006/relationships/hyperlink" Target="https://gain-new.crc.nd.edu/country/paraguay" TargetMode="External"/><Relationship Id="rId96" Type="http://schemas.openxmlformats.org/officeDocument/2006/relationships/hyperlink" Target="https://gain-new.crc.nd.edu/country/suriname" TargetMode="External"/><Relationship Id="rId140" Type="http://schemas.openxmlformats.org/officeDocument/2006/relationships/hyperlink" Target="https://gain-new.crc.nd.edu/country/pakistan" TargetMode="External"/><Relationship Id="rId161" Type="http://schemas.openxmlformats.org/officeDocument/2006/relationships/hyperlink" Target="https://gain-new.crc.nd.edu/country/malawi" TargetMode="External"/><Relationship Id="rId182" Type="http://schemas.openxmlformats.org/officeDocument/2006/relationships/hyperlink" Target="https://gain-new.crc.nd.edu/country/somalia" TargetMode="External"/><Relationship Id="rId6" Type="http://schemas.openxmlformats.org/officeDocument/2006/relationships/hyperlink" Target="https://gain-new.crc.nd.edu/country/spain" TargetMode="External"/><Relationship Id="rId23" Type="http://schemas.openxmlformats.org/officeDocument/2006/relationships/hyperlink" Target="https://gain-new.crc.nd.edu/country/russian-federation" TargetMode="External"/><Relationship Id="rId119" Type="http://schemas.openxmlformats.org/officeDocument/2006/relationships/hyperlink" Target="https://gain-new.crc.nd.edu/country/dem-people-s-rep-of-korea" TargetMode="External"/><Relationship Id="rId44" Type="http://schemas.openxmlformats.org/officeDocument/2006/relationships/hyperlink" Target="https://gain-new.crc.nd.edu/country/cyprus" TargetMode="External"/><Relationship Id="rId65" Type="http://schemas.openxmlformats.org/officeDocument/2006/relationships/hyperlink" Target="https://gain-new.crc.nd.edu/country/saint-lucia" TargetMode="External"/><Relationship Id="rId86" Type="http://schemas.openxmlformats.org/officeDocument/2006/relationships/hyperlink" Target="https://gain-new.crc.nd.edu/country/equatorial-guinea" TargetMode="External"/><Relationship Id="rId130" Type="http://schemas.openxmlformats.org/officeDocument/2006/relationships/hyperlink" Target="https://gain-new.crc.nd.edu/country/cambodia" TargetMode="External"/><Relationship Id="rId151" Type="http://schemas.openxmlformats.org/officeDocument/2006/relationships/hyperlink" Target="https://gain-new.crc.nd.edu/country/burkina-faso" TargetMode="External"/><Relationship Id="rId172" Type="http://schemas.openxmlformats.org/officeDocument/2006/relationships/hyperlink" Target="https://gain-new.crc.nd.edu/country/central-african-rep-" TargetMode="External"/><Relationship Id="rId193" Type="http://schemas.openxmlformats.org/officeDocument/2006/relationships/vmlDrawing" Target="../drawings/vmlDrawing3.vml"/><Relationship Id="rId13" Type="http://schemas.openxmlformats.org/officeDocument/2006/relationships/hyperlink" Target="https://gain-new.crc.nd.edu/country/poland" TargetMode="External"/><Relationship Id="rId109" Type="http://schemas.openxmlformats.org/officeDocument/2006/relationships/hyperlink" Target="https://gain-new.crc.nd.edu/country/ghana" TargetMode="External"/><Relationship Id="rId34" Type="http://schemas.openxmlformats.org/officeDocument/2006/relationships/hyperlink" Target="https://gain-new.crc.nd.edu/country/iceland" TargetMode="External"/><Relationship Id="rId50" Type="http://schemas.openxmlformats.org/officeDocument/2006/relationships/hyperlink" Target="https://gain-new.crc.nd.edu/country/algeria" TargetMode="External"/><Relationship Id="rId55" Type="http://schemas.openxmlformats.org/officeDocument/2006/relationships/hyperlink" Target="https://gain-new.crc.nd.edu/country/jordan" TargetMode="External"/><Relationship Id="rId76" Type="http://schemas.openxmlformats.org/officeDocument/2006/relationships/hyperlink" Target="https://gain-new.crc.nd.edu/country/uruguay" TargetMode="External"/><Relationship Id="rId97" Type="http://schemas.openxmlformats.org/officeDocument/2006/relationships/hyperlink" Target="https://gain-new.crc.nd.edu/country/indonesia" TargetMode="External"/><Relationship Id="rId104" Type="http://schemas.openxmlformats.org/officeDocument/2006/relationships/hyperlink" Target="https://gain-new.crc.nd.edu/country/guyana" TargetMode="External"/><Relationship Id="rId120" Type="http://schemas.openxmlformats.org/officeDocument/2006/relationships/hyperlink" Target="https://gain-new.crc.nd.edu/country/dominica" TargetMode="External"/><Relationship Id="rId125" Type="http://schemas.openxmlformats.org/officeDocument/2006/relationships/hyperlink" Target="https://gain-new.crc.nd.edu/country/ecuador" TargetMode="External"/><Relationship Id="rId141" Type="http://schemas.openxmlformats.org/officeDocument/2006/relationships/hyperlink" Target="https://gain-new.crc.nd.edu/country/tanzania" TargetMode="External"/><Relationship Id="rId146" Type="http://schemas.openxmlformats.org/officeDocument/2006/relationships/hyperlink" Target="https://gain-new.crc.nd.edu/country/palau" TargetMode="External"/><Relationship Id="rId167" Type="http://schemas.openxmlformats.org/officeDocument/2006/relationships/hyperlink" Target="https://gain-new.crc.nd.edu/country/dem-rep-of-the-congo" TargetMode="External"/><Relationship Id="rId188" Type="http://schemas.openxmlformats.org/officeDocument/2006/relationships/hyperlink" Target="https://gain-new.crc.nd.edu/country/monaco" TargetMode="External"/><Relationship Id="rId7" Type="http://schemas.openxmlformats.org/officeDocument/2006/relationships/hyperlink" Target="https://gain-new.crc.nd.edu/country/israel" TargetMode="External"/><Relationship Id="rId71" Type="http://schemas.openxmlformats.org/officeDocument/2006/relationships/hyperlink" Target="https://gain-new.crc.nd.edu/country/south-africa" TargetMode="External"/><Relationship Id="rId92" Type="http://schemas.openxmlformats.org/officeDocument/2006/relationships/hyperlink" Target="https://gain-new.crc.nd.edu/country/jamaica" TargetMode="External"/><Relationship Id="rId162" Type="http://schemas.openxmlformats.org/officeDocument/2006/relationships/hyperlink" Target="https://gain-new.crc.nd.edu/country/papua-new-guinea" TargetMode="External"/><Relationship Id="rId183" Type="http://schemas.openxmlformats.org/officeDocument/2006/relationships/hyperlink" Target="https://gain-new.crc.nd.edu/country/guinea-bissau" TargetMode="External"/><Relationship Id="rId2" Type="http://schemas.openxmlformats.org/officeDocument/2006/relationships/hyperlink" Target="https://gain-new.crc.nd.edu/country/czech-republic" TargetMode="External"/><Relationship Id="rId29" Type="http://schemas.openxmlformats.org/officeDocument/2006/relationships/hyperlink" Target="https://gain-new.crc.nd.edu/country/greece" TargetMode="External"/><Relationship Id="rId24" Type="http://schemas.openxmlformats.org/officeDocument/2006/relationships/hyperlink" Target="https://gain-new.crc.nd.edu/country/sweden" TargetMode="External"/><Relationship Id="rId40" Type="http://schemas.openxmlformats.org/officeDocument/2006/relationships/hyperlink" Target="https://gain-new.crc.nd.edu/country/republic-of-korea" TargetMode="External"/><Relationship Id="rId45" Type="http://schemas.openxmlformats.org/officeDocument/2006/relationships/hyperlink" Target="https://gain-new.crc.nd.edu/country/ukraine" TargetMode="External"/><Relationship Id="rId66" Type="http://schemas.openxmlformats.org/officeDocument/2006/relationships/hyperlink" Target="https://gain-new.crc.nd.edu/country/macedonia" TargetMode="External"/><Relationship Id="rId87" Type="http://schemas.openxmlformats.org/officeDocument/2006/relationships/hyperlink" Target="https://gain-new.crc.nd.edu/country/saudi-arabia" TargetMode="External"/><Relationship Id="rId110" Type="http://schemas.openxmlformats.org/officeDocument/2006/relationships/hyperlink" Target="https://gain-new.crc.nd.edu/country/philippines" TargetMode="External"/><Relationship Id="rId115" Type="http://schemas.openxmlformats.org/officeDocument/2006/relationships/hyperlink" Target="https://gain-new.crc.nd.edu/country/bahamas" TargetMode="External"/><Relationship Id="rId131" Type="http://schemas.openxmlformats.org/officeDocument/2006/relationships/hyperlink" Target="https://gain-new.crc.nd.edu/country/c-te-d-ivoire" TargetMode="External"/><Relationship Id="rId136" Type="http://schemas.openxmlformats.org/officeDocument/2006/relationships/hyperlink" Target="https://gain-new.crc.nd.edu/country/nepal" TargetMode="External"/><Relationship Id="rId157" Type="http://schemas.openxmlformats.org/officeDocument/2006/relationships/hyperlink" Target="https://gain-new.crc.nd.edu/country/sao-tome-principe" TargetMode="External"/><Relationship Id="rId178" Type="http://schemas.openxmlformats.org/officeDocument/2006/relationships/hyperlink" Target="https://gain-new.crc.nd.edu/country/mali" TargetMode="External"/><Relationship Id="rId61" Type="http://schemas.openxmlformats.org/officeDocument/2006/relationships/hyperlink" Target="https://gain-new.crc.nd.edu/country/venezuela" TargetMode="External"/><Relationship Id="rId82" Type="http://schemas.openxmlformats.org/officeDocument/2006/relationships/hyperlink" Target="https://gain-new.crc.nd.edu/country/brunei-darussalam" TargetMode="External"/><Relationship Id="rId152" Type="http://schemas.openxmlformats.org/officeDocument/2006/relationships/hyperlink" Target="https://gain-new.crc.nd.edu/country/uganda" TargetMode="External"/><Relationship Id="rId173" Type="http://schemas.openxmlformats.org/officeDocument/2006/relationships/hyperlink" Target="https://gain-new.crc.nd.edu/country/tuvalu" TargetMode="External"/><Relationship Id="rId194" Type="http://schemas.openxmlformats.org/officeDocument/2006/relationships/comments" Target="../comments3.xml"/><Relationship Id="rId19" Type="http://schemas.openxmlformats.org/officeDocument/2006/relationships/hyperlink" Target="https://gain-new.crc.nd.edu/country/malta" TargetMode="External"/><Relationship Id="rId14" Type="http://schemas.openxmlformats.org/officeDocument/2006/relationships/hyperlink" Target="https://gain-new.crc.nd.edu/country/australia" TargetMode="External"/><Relationship Id="rId30" Type="http://schemas.openxmlformats.org/officeDocument/2006/relationships/hyperlink" Target="https://gain-new.crc.nd.edu/country/italy" TargetMode="External"/><Relationship Id="rId35" Type="http://schemas.openxmlformats.org/officeDocument/2006/relationships/hyperlink" Target="https://gain-new.crc.nd.edu/country/bosnia-herzegovina" TargetMode="External"/><Relationship Id="rId56" Type="http://schemas.openxmlformats.org/officeDocument/2006/relationships/hyperlink" Target="https://gain-new.crc.nd.edu/country/morocco" TargetMode="External"/><Relationship Id="rId77" Type="http://schemas.openxmlformats.org/officeDocument/2006/relationships/hyperlink" Target="https://gain-new.crc.nd.edu/country/moldova" TargetMode="External"/><Relationship Id="rId100" Type="http://schemas.openxmlformats.org/officeDocument/2006/relationships/hyperlink" Target="https://gain-new.crc.nd.edu/country/iraq" TargetMode="External"/><Relationship Id="rId105" Type="http://schemas.openxmlformats.org/officeDocument/2006/relationships/hyperlink" Target="https://gain-new.crc.nd.edu/country/seychelles" TargetMode="External"/><Relationship Id="rId126" Type="http://schemas.openxmlformats.org/officeDocument/2006/relationships/hyperlink" Target="https://gain-new.crc.nd.edu/country/sri-lanka" TargetMode="External"/><Relationship Id="rId147" Type="http://schemas.openxmlformats.org/officeDocument/2006/relationships/hyperlink" Target="https://gain-new.crc.nd.edu/country/congo" TargetMode="External"/><Relationship Id="rId168" Type="http://schemas.openxmlformats.org/officeDocument/2006/relationships/hyperlink" Target="https://gain-new.crc.nd.edu/country/maldives" TargetMode="External"/><Relationship Id="rId8" Type="http://schemas.openxmlformats.org/officeDocument/2006/relationships/hyperlink" Target="https://gain-new.crc.nd.edu/country/finland" TargetMode="External"/><Relationship Id="rId51" Type="http://schemas.openxmlformats.org/officeDocument/2006/relationships/hyperlink" Target="https://gain-new.crc.nd.edu/country/kuwait" TargetMode="External"/><Relationship Id="rId72" Type="http://schemas.openxmlformats.org/officeDocument/2006/relationships/hyperlink" Target="https://gain-new.crc.nd.edu/country/albania" TargetMode="External"/><Relationship Id="rId93" Type="http://schemas.openxmlformats.org/officeDocument/2006/relationships/hyperlink" Target="https://gain-new.crc.nd.edu/country/oman" TargetMode="External"/><Relationship Id="rId98" Type="http://schemas.openxmlformats.org/officeDocument/2006/relationships/hyperlink" Target="https://gain-new.crc.nd.edu/country/cape-verde" TargetMode="External"/><Relationship Id="rId121" Type="http://schemas.openxmlformats.org/officeDocument/2006/relationships/hyperlink" Target="https://gain-new.crc.nd.edu/country/namibia" TargetMode="External"/><Relationship Id="rId142" Type="http://schemas.openxmlformats.org/officeDocument/2006/relationships/hyperlink" Target="https://gain-new.crc.nd.edu/country/nauru" TargetMode="External"/><Relationship Id="rId163" Type="http://schemas.openxmlformats.org/officeDocument/2006/relationships/hyperlink" Target="https://gain-new.crc.nd.edu/country/burundi" TargetMode="External"/><Relationship Id="rId184" Type="http://schemas.openxmlformats.org/officeDocument/2006/relationships/hyperlink" Target="https://gain-new.crc.nd.edu/country/micronesia" TargetMode="External"/><Relationship Id="rId189" Type="http://schemas.openxmlformats.org/officeDocument/2006/relationships/hyperlink" Target="https://gain-new.crc.nd.edu/country/liechtenstein" TargetMode="External"/><Relationship Id="rId3" Type="http://schemas.openxmlformats.org/officeDocument/2006/relationships/hyperlink" Target="https://gain-new.crc.nd.edu/country/norway" TargetMode="External"/><Relationship Id="rId25" Type="http://schemas.openxmlformats.org/officeDocument/2006/relationships/hyperlink" Target="https://gain-new.crc.nd.edu/country/belarus" TargetMode="External"/><Relationship Id="rId46" Type="http://schemas.openxmlformats.org/officeDocument/2006/relationships/hyperlink" Target="https://gain-new.crc.nd.edu/country/japan" TargetMode="External"/><Relationship Id="rId67" Type="http://schemas.openxmlformats.org/officeDocument/2006/relationships/hyperlink" Target="https://gain-new.crc.nd.edu/country/costa-rica" TargetMode="External"/><Relationship Id="rId116" Type="http://schemas.openxmlformats.org/officeDocument/2006/relationships/hyperlink" Target="https://gain-new.crc.nd.edu/country/fiji" TargetMode="External"/><Relationship Id="rId137" Type="http://schemas.openxmlformats.org/officeDocument/2006/relationships/hyperlink" Target="https://gain-new.crc.nd.edu/country/zimbabwe" TargetMode="External"/><Relationship Id="rId158" Type="http://schemas.openxmlformats.org/officeDocument/2006/relationships/hyperlink" Target="https://gain-new.crc.nd.edu/country/liberia" TargetMode="External"/><Relationship Id="rId20" Type="http://schemas.openxmlformats.org/officeDocument/2006/relationships/hyperlink" Target="https://gain-new.crc.nd.edu/country/portugal" TargetMode="External"/><Relationship Id="rId41" Type="http://schemas.openxmlformats.org/officeDocument/2006/relationships/hyperlink" Target="https://gain-new.crc.nd.edu/country/netherlands" TargetMode="External"/><Relationship Id="rId62" Type="http://schemas.openxmlformats.org/officeDocument/2006/relationships/hyperlink" Target="https://gain-new.crc.nd.edu/country/turkmenistan" TargetMode="External"/><Relationship Id="rId83" Type="http://schemas.openxmlformats.org/officeDocument/2006/relationships/hyperlink" Target="https://gain-new.crc.nd.edu/country/peru" TargetMode="External"/><Relationship Id="rId88" Type="http://schemas.openxmlformats.org/officeDocument/2006/relationships/hyperlink" Target="https://gain-new.crc.nd.edu/country/thailand" TargetMode="External"/><Relationship Id="rId111" Type="http://schemas.openxmlformats.org/officeDocument/2006/relationships/hyperlink" Target="https://gain-new.crc.nd.edu/country/bolivia" TargetMode="External"/><Relationship Id="rId132" Type="http://schemas.openxmlformats.org/officeDocument/2006/relationships/hyperlink" Target="https://gain-new.crc.nd.edu/country/zambia" TargetMode="External"/><Relationship Id="rId153" Type="http://schemas.openxmlformats.org/officeDocument/2006/relationships/hyperlink" Target="https://gain-new.crc.nd.edu/country/bhutan" TargetMode="External"/><Relationship Id="rId174" Type="http://schemas.openxmlformats.org/officeDocument/2006/relationships/hyperlink" Target="https://gain-new.crc.nd.edu/country/afghanistan" TargetMode="External"/><Relationship Id="rId179" Type="http://schemas.openxmlformats.org/officeDocument/2006/relationships/hyperlink" Target="https://gain-new.crc.nd.edu/country/sudan" TargetMode="External"/><Relationship Id="rId190" Type="http://schemas.openxmlformats.org/officeDocument/2006/relationships/hyperlink" Target="https://gain-new.crc.nd.edu/country/san-marino" TargetMode="External"/><Relationship Id="rId15" Type="http://schemas.openxmlformats.org/officeDocument/2006/relationships/hyperlink" Target="https://gain-new.crc.nd.edu/country/luxembourg" TargetMode="External"/><Relationship Id="rId36" Type="http://schemas.openxmlformats.org/officeDocument/2006/relationships/hyperlink" Target="https://gain-new.crc.nd.edu/country/uzbekistan" TargetMode="External"/><Relationship Id="rId57" Type="http://schemas.openxmlformats.org/officeDocument/2006/relationships/hyperlink" Target="https://gain-new.crc.nd.edu/country/tajikistan" TargetMode="External"/><Relationship Id="rId106" Type="http://schemas.openxmlformats.org/officeDocument/2006/relationships/hyperlink" Target="https://gain-new.crc.nd.edu/country/cuba" TargetMode="External"/><Relationship Id="rId127" Type="http://schemas.openxmlformats.org/officeDocument/2006/relationships/hyperlink" Target="https://gain-new.crc.nd.edu/country/antigua-and-barbuda" TargetMode="External"/><Relationship Id="rId10" Type="http://schemas.openxmlformats.org/officeDocument/2006/relationships/hyperlink" Target="https://gain-new.crc.nd.edu/country/austria" TargetMode="External"/><Relationship Id="rId31" Type="http://schemas.openxmlformats.org/officeDocument/2006/relationships/hyperlink" Target="https://gain-new.crc.nd.edu/country/mongolia" TargetMode="External"/><Relationship Id="rId52" Type="http://schemas.openxmlformats.org/officeDocument/2006/relationships/hyperlink" Target="https://gain-new.crc.nd.edu/country/latvia" TargetMode="External"/><Relationship Id="rId73" Type="http://schemas.openxmlformats.org/officeDocument/2006/relationships/hyperlink" Target="https://gain-new.crc.nd.edu/country/grenada" TargetMode="External"/><Relationship Id="rId78" Type="http://schemas.openxmlformats.org/officeDocument/2006/relationships/hyperlink" Target="https://gain-new.crc.nd.edu/country/egypt" TargetMode="External"/><Relationship Id="rId94" Type="http://schemas.openxmlformats.org/officeDocument/2006/relationships/hyperlink" Target="https://gain-new.crc.nd.edu/country/panama" TargetMode="External"/><Relationship Id="rId99" Type="http://schemas.openxmlformats.org/officeDocument/2006/relationships/hyperlink" Target="https://gain-new.crc.nd.edu/country/dominican-republic" TargetMode="External"/><Relationship Id="rId101" Type="http://schemas.openxmlformats.org/officeDocument/2006/relationships/hyperlink" Target="https://gain-new.crc.nd.edu/country/botswana" TargetMode="External"/><Relationship Id="rId122" Type="http://schemas.openxmlformats.org/officeDocument/2006/relationships/hyperlink" Target="https://gain-new.crc.nd.edu/country/nicaragua" TargetMode="External"/><Relationship Id="rId143" Type="http://schemas.openxmlformats.org/officeDocument/2006/relationships/hyperlink" Target="https://gain-new.crc.nd.edu/country/angola" TargetMode="External"/><Relationship Id="rId148" Type="http://schemas.openxmlformats.org/officeDocument/2006/relationships/hyperlink" Target="https://gain-new.crc.nd.edu/country/samoa" TargetMode="External"/><Relationship Id="rId164" Type="http://schemas.openxmlformats.org/officeDocument/2006/relationships/hyperlink" Target="https://gain-new.crc.nd.edu/country/bangladesh" TargetMode="External"/><Relationship Id="rId169" Type="http://schemas.openxmlformats.org/officeDocument/2006/relationships/hyperlink" Target="https://gain-new.crc.nd.edu/country/rwanda" TargetMode="External"/><Relationship Id="rId185" Type="http://schemas.openxmlformats.org/officeDocument/2006/relationships/hyperlink" Target="https://gain-new.crc.nd.edu/country/niger" TargetMode="External"/><Relationship Id="rId4" Type="http://schemas.openxmlformats.org/officeDocument/2006/relationships/hyperlink" Target="https://gain-new.crc.nd.edu/country/canada" TargetMode="External"/><Relationship Id="rId9" Type="http://schemas.openxmlformats.org/officeDocument/2006/relationships/hyperlink" Target="https://gain-new.crc.nd.edu/country/united-states" TargetMode="External"/><Relationship Id="rId180" Type="http://schemas.openxmlformats.org/officeDocument/2006/relationships/hyperlink" Target="https://gain-new.crc.nd.edu/country/eritrea" TargetMode="External"/><Relationship Id="rId26" Type="http://schemas.openxmlformats.org/officeDocument/2006/relationships/hyperlink" Target="https://gain-new.crc.nd.edu/country/belgium" TargetMode="External"/><Relationship Id="rId47" Type="http://schemas.openxmlformats.org/officeDocument/2006/relationships/hyperlink" Target="https://gain-new.crc.nd.edu/country/lithuania" TargetMode="External"/><Relationship Id="rId68" Type="http://schemas.openxmlformats.org/officeDocument/2006/relationships/hyperlink" Target="https://gain-new.crc.nd.edu/country/croatia" TargetMode="External"/><Relationship Id="rId89" Type="http://schemas.openxmlformats.org/officeDocument/2006/relationships/hyperlink" Target="https://gain-new.crc.nd.edu/country/romania" TargetMode="External"/><Relationship Id="rId112" Type="http://schemas.openxmlformats.org/officeDocument/2006/relationships/hyperlink" Target="https://gain-new.crc.nd.edu/country/honduras" TargetMode="External"/><Relationship Id="rId133" Type="http://schemas.openxmlformats.org/officeDocument/2006/relationships/hyperlink" Target="https://gain-new.crc.nd.edu/country/cameroon" TargetMode="External"/><Relationship Id="rId154" Type="http://schemas.openxmlformats.org/officeDocument/2006/relationships/hyperlink" Target="https://gain-new.crc.nd.edu/country/gambia" TargetMode="External"/><Relationship Id="rId175" Type="http://schemas.openxmlformats.org/officeDocument/2006/relationships/hyperlink" Target="https://gain-new.crc.nd.edu/country/marshall-islands" TargetMode="External"/><Relationship Id="rId16" Type="http://schemas.openxmlformats.org/officeDocument/2006/relationships/hyperlink" Target="https://gain-new.crc.nd.edu/country/ireland" TargetMode="External"/><Relationship Id="rId37" Type="http://schemas.openxmlformats.org/officeDocument/2006/relationships/hyperlink" Target="https://gain-new.crc.nd.edu/country/hungary" TargetMode="External"/><Relationship Id="rId58" Type="http://schemas.openxmlformats.org/officeDocument/2006/relationships/hyperlink" Target="https://gain-new.crc.nd.edu/country/mexico" TargetMode="External"/><Relationship Id="rId79" Type="http://schemas.openxmlformats.org/officeDocument/2006/relationships/hyperlink" Target="https://gain-new.crc.nd.edu/country/georgia" TargetMode="External"/><Relationship Id="rId102" Type="http://schemas.openxmlformats.org/officeDocument/2006/relationships/hyperlink" Target="https://gain-new.crc.nd.edu/country/bahrain" TargetMode="External"/><Relationship Id="rId123" Type="http://schemas.openxmlformats.org/officeDocument/2006/relationships/hyperlink" Target="https://gain-new.crc.nd.edu/country/belize" TargetMode="External"/><Relationship Id="rId144" Type="http://schemas.openxmlformats.org/officeDocument/2006/relationships/hyperlink" Target="https://gain-new.crc.nd.edu/country/haiti" TargetMode="External"/><Relationship Id="rId90" Type="http://schemas.openxmlformats.org/officeDocument/2006/relationships/hyperlink" Target="https://gain-new.crc.nd.edu/country/el-salvador" TargetMode="External"/><Relationship Id="rId165" Type="http://schemas.openxmlformats.org/officeDocument/2006/relationships/hyperlink" Target="https://gain-new.crc.nd.edu/country/madagascar" TargetMode="External"/><Relationship Id="rId186" Type="http://schemas.openxmlformats.org/officeDocument/2006/relationships/hyperlink" Target="https://gain-new.crc.nd.edu/country/solomon-islands" TargetMode="External"/><Relationship Id="rId27" Type="http://schemas.openxmlformats.org/officeDocument/2006/relationships/hyperlink" Target="https://gain-new.crc.nd.edu/country/estonia" TargetMode="External"/><Relationship Id="rId48" Type="http://schemas.openxmlformats.org/officeDocument/2006/relationships/hyperlink" Target="https://gain-new.crc.nd.edu/country/armenia" TargetMode="External"/><Relationship Id="rId69" Type="http://schemas.openxmlformats.org/officeDocument/2006/relationships/hyperlink" Target="https://gain-new.crc.nd.edu/country/montenegro" TargetMode="External"/><Relationship Id="rId113" Type="http://schemas.openxmlformats.org/officeDocument/2006/relationships/hyperlink" Target="https://gain-new.crc.nd.edu/country/india" TargetMode="External"/><Relationship Id="rId134" Type="http://schemas.openxmlformats.org/officeDocument/2006/relationships/hyperlink" Target="https://gain-new.crc.nd.edu/country/laos" TargetMode="External"/><Relationship Id="rId80" Type="http://schemas.openxmlformats.org/officeDocument/2006/relationships/hyperlink" Target="https://gain-new.crc.nd.edu/country/lebanon" TargetMode="External"/><Relationship Id="rId155" Type="http://schemas.openxmlformats.org/officeDocument/2006/relationships/hyperlink" Target="https://gain-new.crc.nd.edu/country/guinea" TargetMode="External"/><Relationship Id="rId176" Type="http://schemas.openxmlformats.org/officeDocument/2006/relationships/hyperlink" Target="https://gain-new.crc.nd.edu/country/mauritania" TargetMode="External"/><Relationship Id="rId17" Type="http://schemas.openxmlformats.org/officeDocument/2006/relationships/hyperlink" Target="https://gain-new.crc.nd.edu/country/slovenia" TargetMode="External"/><Relationship Id="rId38" Type="http://schemas.openxmlformats.org/officeDocument/2006/relationships/hyperlink" Target="https://gain-new.crc.nd.edu/country/qatar" TargetMode="External"/><Relationship Id="rId59" Type="http://schemas.openxmlformats.org/officeDocument/2006/relationships/hyperlink" Target="https://gain-new.crc.nd.edu/country/argentina" TargetMode="External"/><Relationship Id="rId103" Type="http://schemas.openxmlformats.org/officeDocument/2006/relationships/hyperlink" Target="https://gain-new.crc.nd.edu/country/guatemala" TargetMode="External"/><Relationship Id="rId124" Type="http://schemas.openxmlformats.org/officeDocument/2006/relationships/hyperlink" Target="https://gain-new.crc.nd.edu/country/nigeria" TargetMode="External"/><Relationship Id="rId70" Type="http://schemas.openxmlformats.org/officeDocument/2006/relationships/hyperlink" Target="https://gain-new.crc.nd.edu/country/united-arab-emirates" TargetMode="External"/><Relationship Id="rId91" Type="http://schemas.openxmlformats.org/officeDocument/2006/relationships/hyperlink" Target="https://gain-new.crc.nd.edu/country/serbia" TargetMode="External"/><Relationship Id="rId145" Type="http://schemas.openxmlformats.org/officeDocument/2006/relationships/hyperlink" Target="https://gain-new.crc.nd.edu/country/myanmar" TargetMode="External"/><Relationship Id="rId166" Type="http://schemas.openxmlformats.org/officeDocument/2006/relationships/hyperlink" Target="https://gain-new.crc.nd.edu/country/vanuatu" TargetMode="External"/><Relationship Id="rId187" Type="http://schemas.openxmlformats.org/officeDocument/2006/relationships/hyperlink" Target="https://gain-new.crc.nd.edu/country/chad" TargetMode="External"/><Relationship Id="rId1" Type="http://schemas.openxmlformats.org/officeDocument/2006/relationships/hyperlink" Target="https://gain-new.crc.nd.edu/country/switzerland" TargetMode="External"/><Relationship Id="rId28" Type="http://schemas.openxmlformats.org/officeDocument/2006/relationships/hyperlink" Target="https://gain-new.crc.nd.edu/country/chile" TargetMode="External"/><Relationship Id="rId49" Type="http://schemas.openxmlformats.org/officeDocument/2006/relationships/hyperlink" Target="https://gain-new.crc.nd.edu/country/brazil" TargetMode="External"/><Relationship Id="rId114" Type="http://schemas.openxmlformats.org/officeDocument/2006/relationships/hyperlink" Target="https://gain-new.crc.nd.edu/country/syria" TargetMode="External"/><Relationship Id="rId60" Type="http://schemas.openxmlformats.org/officeDocument/2006/relationships/hyperlink" Target="https://gain-new.crc.nd.edu/country/barbados" TargetMode="External"/><Relationship Id="rId81" Type="http://schemas.openxmlformats.org/officeDocument/2006/relationships/hyperlink" Target="https://gain-new.crc.nd.edu/country/colombia" TargetMode="External"/><Relationship Id="rId135" Type="http://schemas.openxmlformats.org/officeDocument/2006/relationships/hyperlink" Target="https://gain-new.crc.nd.edu/country/kenya" TargetMode="External"/><Relationship Id="rId156" Type="http://schemas.openxmlformats.org/officeDocument/2006/relationships/hyperlink" Target="https://gain-new.crc.nd.edu/country/senegal" TargetMode="External"/><Relationship Id="rId177" Type="http://schemas.openxmlformats.org/officeDocument/2006/relationships/hyperlink" Target="https://gain-new.crc.nd.edu/country/sierra-leone" TargetMode="External"/><Relationship Id="rId18" Type="http://schemas.openxmlformats.org/officeDocument/2006/relationships/hyperlink" Target="https://gain-new.crc.nd.edu/country/kazakhstan" TargetMode="External"/><Relationship Id="rId39" Type="http://schemas.openxmlformats.org/officeDocument/2006/relationships/hyperlink" Target="https://gain-new.crc.nd.edu/country/china"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W1000"/>
  <sheetViews>
    <sheetView tabSelected="1"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12.5703125" defaultRowHeight="15" customHeight="1"/>
  <cols>
    <col min="1" max="1" width="7.5703125" customWidth="1"/>
    <col min="2" max="2" width="5.85546875" customWidth="1"/>
    <col min="5" max="5" width="17.7109375" customWidth="1"/>
    <col min="6" max="6" width="15.28515625" customWidth="1"/>
    <col min="8" max="8" width="17.28515625" customWidth="1"/>
    <col min="9" max="9" width="15.7109375" customWidth="1"/>
    <col min="10" max="10" width="16.5703125" customWidth="1"/>
    <col min="11" max="11" width="17.42578125" customWidth="1"/>
    <col min="12" max="12" width="16.85546875" customWidth="1"/>
    <col min="13" max="13" width="15.5703125" customWidth="1"/>
    <col min="14" max="15" width="17.140625" customWidth="1"/>
    <col min="16" max="16" width="18.42578125" customWidth="1"/>
    <col min="17" max="17" width="16" customWidth="1"/>
  </cols>
  <sheetData>
    <row r="1" spans="1:23" ht="36.75" customHeight="1">
      <c r="A1" s="1" t="s">
        <v>0</v>
      </c>
      <c r="B1" s="2"/>
      <c r="C1" s="2"/>
      <c r="D1" s="2"/>
      <c r="E1" s="2"/>
      <c r="F1" s="2"/>
      <c r="G1" s="2"/>
      <c r="H1" s="2"/>
      <c r="I1" s="2"/>
      <c r="J1" s="2"/>
      <c r="K1" s="2"/>
      <c r="L1" s="2"/>
      <c r="M1" s="2"/>
      <c r="N1" s="2"/>
      <c r="O1" s="2"/>
      <c r="P1" s="2"/>
      <c r="Q1" s="2"/>
      <c r="R1" s="2"/>
      <c r="S1" s="2"/>
      <c r="T1" s="3"/>
      <c r="U1" s="4"/>
      <c r="V1" s="4"/>
      <c r="W1" s="4"/>
    </row>
    <row r="2" spans="1:23" ht="46.5" customHeight="1">
      <c r="A2" s="340" t="s">
        <v>1</v>
      </c>
      <c r="B2" s="341"/>
      <c r="C2" s="5" t="s">
        <v>2</v>
      </c>
      <c r="D2" s="5" t="s">
        <v>3</v>
      </c>
      <c r="E2" s="5"/>
      <c r="F2" s="5" t="s">
        <v>4</v>
      </c>
      <c r="G2" s="5" t="s">
        <v>5</v>
      </c>
      <c r="H2" s="6"/>
      <c r="I2" s="6"/>
      <c r="J2" s="5" t="s">
        <v>6</v>
      </c>
      <c r="K2" s="5" t="s">
        <v>7</v>
      </c>
      <c r="L2" s="5"/>
      <c r="M2" s="6"/>
      <c r="N2" s="5" t="s">
        <v>8</v>
      </c>
      <c r="O2" s="5" t="s">
        <v>9</v>
      </c>
      <c r="P2" s="5" t="s">
        <v>10</v>
      </c>
      <c r="Q2" s="6"/>
      <c r="R2" s="5" t="s">
        <v>11</v>
      </c>
      <c r="S2" s="5" t="s">
        <v>12</v>
      </c>
      <c r="T2" s="6"/>
      <c r="U2" s="7"/>
      <c r="V2" s="7"/>
      <c r="W2" s="7"/>
    </row>
    <row r="3" spans="1:23" ht="15.75" customHeight="1">
      <c r="A3" s="342"/>
      <c r="B3" s="341"/>
      <c r="C3" s="8">
        <v>37.4</v>
      </c>
      <c r="D3" s="9">
        <v>144</v>
      </c>
      <c r="E3" s="10"/>
      <c r="F3" s="11">
        <v>5.0000000000000001E-3</v>
      </c>
      <c r="G3" s="12">
        <v>0.05</v>
      </c>
      <c r="H3" s="13"/>
      <c r="I3" s="13"/>
      <c r="J3" s="14">
        <v>5.0000000000000001E-4</v>
      </c>
      <c r="K3" s="15">
        <v>6.3399999999999998E-2</v>
      </c>
      <c r="L3" s="16"/>
      <c r="M3" s="13"/>
      <c r="N3" s="17" t="s">
        <v>13</v>
      </c>
      <c r="O3" s="11">
        <v>5.0000000000000001E-3</v>
      </c>
      <c r="P3" s="9">
        <v>1300000000000</v>
      </c>
      <c r="Q3" s="13"/>
      <c r="R3" s="13"/>
      <c r="S3" s="16">
        <v>1</v>
      </c>
      <c r="T3" s="13"/>
      <c r="U3" s="7"/>
      <c r="V3" s="7"/>
      <c r="W3" s="7"/>
    </row>
    <row r="4" spans="1:23" ht="40.5" customHeight="1">
      <c r="A4" s="342"/>
      <c r="B4" s="341"/>
      <c r="C4" s="5" t="s">
        <v>14</v>
      </c>
      <c r="D4" s="5" t="s">
        <v>15</v>
      </c>
      <c r="E4" s="18"/>
      <c r="F4" s="5"/>
      <c r="G4" s="19" t="s">
        <v>16</v>
      </c>
      <c r="H4" s="19" t="s">
        <v>17</v>
      </c>
      <c r="I4" s="19" t="s">
        <v>18</v>
      </c>
      <c r="J4" s="5"/>
      <c r="K4" s="5"/>
      <c r="L4" s="5"/>
      <c r="M4" s="5"/>
      <c r="N4" s="5" t="s">
        <v>19</v>
      </c>
      <c r="O4" s="5"/>
      <c r="P4" s="5" t="s">
        <v>20</v>
      </c>
      <c r="Q4" s="5"/>
      <c r="R4" s="5"/>
      <c r="S4" s="5" t="s">
        <v>21</v>
      </c>
      <c r="T4" s="6"/>
      <c r="U4" s="7"/>
      <c r="V4" s="7"/>
      <c r="W4" s="7"/>
    </row>
    <row r="5" spans="1:23" ht="15.75" customHeight="1">
      <c r="A5" s="343"/>
      <c r="B5" s="344"/>
      <c r="C5" s="14">
        <v>0.1</v>
      </c>
      <c r="D5" s="15">
        <v>0.16400000000000001</v>
      </c>
      <c r="E5" s="10"/>
      <c r="F5" s="13"/>
      <c r="G5" s="20">
        <v>0.03</v>
      </c>
      <c r="H5" s="20">
        <v>0.03</v>
      </c>
      <c r="I5" s="21">
        <v>0</v>
      </c>
      <c r="J5" s="13"/>
      <c r="K5" s="13"/>
      <c r="L5" s="16"/>
      <c r="M5" s="13"/>
      <c r="N5" s="16">
        <v>0.1</v>
      </c>
      <c r="O5" s="13"/>
      <c r="P5" s="16">
        <v>0</v>
      </c>
      <c r="Q5" s="13"/>
      <c r="R5" s="13"/>
      <c r="S5" s="22" t="s">
        <v>22</v>
      </c>
      <c r="T5" s="13"/>
      <c r="U5" s="7"/>
      <c r="V5" s="7"/>
      <c r="W5" s="7"/>
    </row>
    <row r="6" spans="1:23" ht="3" customHeight="1">
      <c r="A6" s="23"/>
      <c r="B6" s="23"/>
      <c r="C6" s="23"/>
      <c r="D6" s="23"/>
      <c r="E6" s="23"/>
      <c r="F6" s="23"/>
      <c r="G6" s="23"/>
      <c r="H6" s="23"/>
      <c r="I6" s="23"/>
      <c r="J6" s="23"/>
      <c r="K6" s="23"/>
      <c r="L6" s="23"/>
      <c r="M6" s="23"/>
      <c r="N6" s="23"/>
      <c r="O6" s="23"/>
      <c r="P6" s="23"/>
      <c r="Q6" s="23"/>
      <c r="R6" s="23"/>
      <c r="S6" s="23"/>
      <c r="T6" s="23"/>
      <c r="U6" s="4"/>
      <c r="V6" s="4"/>
      <c r="W6" s="4"/>
    </row>
    <row r="7" spans="1:23" ht="30.75" customHeight="1">
      <c r="A7" s="24" t="s">
        <v>23</v>
      </c>
      <c r="B7" s="25" t="s">
        <v>24</v>
      </c>
      <c r="C7" s="25" t="s">
        <v>25</v>
      </c>
      <c r="D7" s="25" t="s">
        <v>26</v>
      </c>
      <c r="E7" s="25" t="s">
        <v>27</v>
      </c>
      <c r="F7" s="25" t="s">
        <v>28</v>
      </c>
      <c r="G7" s="25" t="s">
        <v>29</v>
      </c>
      <c r="H7" s="25" t="s">
        <v>30</v>
      </c>
      <c r="I7" s="25" t="s">
        <v>31</v>
      </c>
      <c r="J7" s="25" t="s">
        <v>32</v>
      </c>
      <c r="K7" s="25" t="s">
        <v>33</v>
      </c>
      <c r="L7" s="25" t="s">
        <v>34</v>
      </c>
      <c r="M7" s="25" t="s">
        <v>35</v>
      </c>
      <c r="N7" s="25" t="s">
        <v>36</v>
      </c>
      <c r="O7" s="26" t="s">
        <v>37</v>
      </c>
      <c r="P7" s="25" t="s">
        <v>38</v>
      </c>
      <c r="Q7" s="25" t="s">
        <v>39</v>
      </c>
      <c r="R7" s="27" t="s">
        <v>40</v>
      </c>
      <c r="S7" s="25" t="s">
        <v>12</v>
      </c>
      <c r="T7" s="28" t="s">
        <v>41</v>
      </c>
      <c r="U7" s="7"/>
      <c r="V7" s="7"/>
      <c r="W7" s="7"/>
    </row>
    <row r="8" spans="1:23" ht="13.5" customHeight="1">
      <c r="A8" s="29"/>
      <c r="B8" s="30"/>
      <c r="C8" s="30"/>
      <c r="D8" s="30"/>
      <c r="E8" s="30"/>
      <c r="F8" s="30"/>
      <c r="G8" s="30"/>
      <c r="H8" s="30"/>
      <c r="I8" s="30"/>
      <c r="J8" s="30"/>
      <c r="K8" s="30"/>
      <c r="L8" s="30"/>
      <c r="M8" s="30"/>
      <c r="N8" s="30"/>
      <c r="O8" s="30"/>
      <c r="P8" s="30"/>
      <c r="Q8" s="30"/>
      <c r="R8" s="30"/>
      <c r="S8" s="30"/>
      <c r="T8" s="30"/>
      <c r="U8" s="4"/>
      <c r="V8" s="4"/>
      <c r="W8" s="4"/>
    </row>
    <row r="9" spans="1:23" ht="15.75" customHeight="1">
      <c r="A9" s="31" t="s">
        <v>42</v>
      </c>
      <c r="B9" s="32">
        <v>2025</v>
      </c>
      <c r="C9" s="33">
        <f t="shared" ref="C9:D9" si="0">C3</f>
        <v>37.4</v>
      </c>
      <c r="D9" s="34">
        <f t="shared" si="0"/>
        <v>144</v>
      </c>
      <c r="E9" s="34">
        <f t="shared" ref="E9:E184" si="1">D9*C9*1000000000</f>
        <v>5385599999999.999</v>
      </c>
      <c r="F9" s="34">
        <f t="shared" ref="F9:F184" si="2">E9*(1-$F$3)</f>
        <v>5358671999999.999</v>
      </c>
      <c r="G9" s="35">
        <f>G3</f>
        <v>0.05</v>
      </c>
      <c r="H9" s="36">
        <f t="shared" ref="H9:H184" si="3">F9*G9</f>
        <v>267933599999.99997</v>
      </c>
      <c r="I9" s="34">
        <f>$I$5+H9</f>
        <v>267933599999.99997</v>
      </c>
      <c r="J9" s="37">
        <f>($I$5+H9*(1-$J$3))</f>
        <v>267799633199.99997</v>
      </c>
      <c r="K9" s="34">
        <f t="shared" ref="K9:K184" si="4">J8*$K$3</f>
        <v>0</v>
      </c>
      <c r="L9" s="34">
        <f t="shared" ref="L9:L184" si="5">F9*(1-G9)</f>
        <v>5090738399999.999</v>
      </c>
      <c r="M9" s="34">
        <f t="shared" ref="M9:M184" si="6">K9+L9</f>
        <v>5090738399999.999</v>
      </c>
      <c r="N9" s="34"/>
      <c r="O9" s="38">
        <f t="shared" ref="O9:O184" si="7">(M9-N9)*(1-$O$3)</f>
        <v>5065284707999.999</v>
      </c>
      <c r="P9" s="39">
        <f t="shared" ref="P9:P184" si="8">$P$3</f>
        <v>1300000000000</v>
      </c>
      <c r="Q9" s="34">
        <f t="shared" ref="Q9:Q184" si="9">O9-P9</f>
        <v>3765284707999.999</v>
      </c>
      <c r="R9" s="40">
        <v>8231613070</v>
      </c>
      <c r="S9" s="35">
        <f t="shared" ref="S9:S184" si="10">$S$3</f>
        <v>1</v>
      </c>
      <c r="T9" s="41">
        <f t="shared" ref="T9:T184" si="11">(Q9/(R9*S9))/12</f>
        <v>38.118133468907885</v>
      </c>
      <c r="U9" s="4"/>
      <c r="V9" s="4"/>
      <c r="W9" s="4"/>
    </row>
    <row r="10" spans="1:23" ht="15.75" customHeight="1">
      <c r="A10" s="31" t="s">
        <v>43</v>
      </c>
      <c r="B10" s="32">
        <v>2026</v>
      </c>
      <c r="C10" s="33">
        <f t="shared" ref="C10:C184" si="12">C9*(1-$C$5)</f>
        <v>33.659999999999997</v>
      </c>
      <c r="D10" s="34">
        <f t="shared" ref="D10:D28" si="13">D9*(1+$D$5)</f>
        <v>167.61599999999999</v>
      </c>
      <c r="E10" s="34">
        <f t="shared" si="1"/>
        <v>5641954559999.999</v>
      </c>
      <c r="F10" s="34">
        <f t="shared" si="2"/>
        <v>5613744787199.999</v>
      </c>
      <c r="G10" s="35">
        <f>$G$3+$G$5</f>
        <v>0.08</v>
      </c>
      <c r="H10" s="36">
        <f t="shared" si="3"/>
        <v>449099582975.99994</v>
      </c>
      <c r="I10" s="34">
        <f t="shared" ref="I10:I59" si="14">I9+H10</f>
        <v>717033182975.99988</v>
      </c>
      <c r="J10" s="37">
        <f t="shared" ref="J10:J60" si="15">(J9+H10)*(1-$J$3)</f>
        <v>716540766567.91187</v>
      </c>
      <c r="K10" s="34">
        <f t="shared" si="4"/>
        <v>16978496744.879997</v>
      </c>
      <c r="L10" s="34">
        <f t="shared" si="5"/>
        <v>5164645204223.999</v>
      </c>
      <c r="M10" s="34">
        <f t="shared" si="6"/>
        <v>5181623700968.8789</v>
      </c>
      <c r="N10" s="34"/>
      <c r="O10" s="38">
        <f t="shared" si="7"/>
        <v>5155715582464.0342</v>
      </c>
      <c r="P10" s="39">
        <f t="shared" si="8"/>
        <v>1300000000000</v>
      </c>
      <c r="Q10" s="34">
        <f t="shared" si="9"/>
        <v>3855715582464.0342</v>
      </c>
      <c r="R10" s="40">
        <v>8300678395</v>
      </c>
      <c r="S10" s="35">
        <f t="shared" si="10"/>
        <v>1</v>
      </c>
      <c r="T10" s="41">
        <f t="shared" si="11"/>
        <v>38.708839998613492</v>
      </c>
      <c r="U10" s="4"/>
      <c r="V10" s="4"/>
      <c r="W10" s="4"/>
    </row>
    <row r="11" spans="1:23" ht="15.75" customHeight="1">
      <c r="A11" s="31" t="s">
        <v>44</v>
      </c>
      <c r="B11" s="32">
        <v>2027</v>
      </c>
      <c r="C11" s="33">
        <f t="shared" si="12"/>
        <v>30.293999999999997</v>
      </c>
      <c r="D11" s="34">
        <f t="shared" si="13"/>
        <v>195.10502399999996</v>
      </c>
      <c r="E11" s="34">
        <f t="shared" si="1"/>
        <v>5910511597055.998</v>
      </c>
      <c r="F11" s="34">
        <f t="shared" si="2"/>
        <v>5880959039070.7178</v>
      </c>
      <c r="G11" s="35">
        <f t="shared" ref="G11:G19" si="16">G10+$G$5</f>
        <v>0.11</v>
      </c>
      <c r="H11" s="36">
        <f t="shared" si="3"/>
        <v>646905494297.77893</v>
      </c>
      <c r="I11" s="34">
        <f t="shared" si="14"/>
        <v>1363938677273.7788</v>
      </c>
      <c r="J11" s="37">
        <f t="shared" si="15"/>
        <v>1362764537735.2581</v>
      </c>
      <c r="K11" s="34">
        <f t="shared" si="4"/>
        <v>45428684600.405609</v>
      </c>
      <c r="L11" s="34">
        <f t="shared" si="5"/>
        <v>5234053544772.9385</v>
      </c>
      <c r="M11" s="34">
        <f t="shared" si="6"/>
        <v>5279482229373.3438</v>
      </c>
      <c r="N11" s="34"/>
      <c r="O11" s="38">
        <f t="shared" si="7"/>
        <v>5253084818226.4766</v>
      </c>
      <c r="P11" s="39">
        <f t="shared" si="8"/>
        <v>1300000000000</v>
      </c>
      <c r="Q11" s="34">
        <f t="shared" si="9"/>
        <v>3953084818226.4766</v>
      </c>
      <c r="R11" s="40">
        <v>8369094344</v>
      </c>
      <c r="S11" s="35">
        <f t="shared" si="10"/>
        <v>1</v>
      </c>
      <c r="T11" s="41">
        <f t="shared" si="11"/>
        <v>39.361933479502234</v>
      </c>
      <c r="U11" s="4"/>
      <c r="V11" s="4"/>
      <c r="W11" s="4"/>
    </row>
    <row r="12" spans="1:23" ht="15.75" customHeight="1">
      <c r="A12" s="31" t="s">
        <v>45</v>
      </c>
      <c r="B12" s="32">
        <v>2028</v>
      </c>
      <c r="C12" s="33">
        <f t="shared" si="12"/>
        <v>27.264599999999998</v>
      </c>
      <c r="D12" s="34">
        <f t="shared" si="13"/>
        <v>227.10224793599994</v>
      </c>
      <c r="E12" s="34">
        <f t="shared" si="1"/>
        <v>6191851949075.8633</v>
      </c>
      <c r="F12" s="34">
        <f t="shared" si="2"/>
        <v>6160892689330.4844</v>
      </c>
      <c r="G12" s="35">
        <f t="shared" si="16"/>
        <v>0.14000000000000001</v>
      </c>
      <c r="H12" s="36">
        <f t="shared" si="3"/>
        <v>862524976506.26794</v>
      </c>
      <c r="I12" s="34">
        <f t="shared" si="14"/>
        <v>2226463653780.0469</v>
      </c>
      <c r="J12" s="37">
        <f t="shared" si="15"/>
        <v>2224176869484.4053</v>
      </c>
      <c r="K12" s="34">
        <f t="shared" si="4"/>
        <v>86399271692.415359</v>
      </c>
      <c r="L12" s="34">
        <f t="shared" si="5"/>
        <v>5298367712824.2168</v>
      </c>
      <c r="M12" s="34">
        <f t="shared" si="6"/>
        <v>5384766984516.6318</v>
      </c>
      <c r="N12" s="34"/>
      <c r="O12" s="38">
        <f t="shared" si="7"/>
        <v>5357843149594.0488</v>
      </c>
      <c r="P12" s="39">
        <f t="shared" si="8"/>
        <v>1300000000000</v>
      </c>
      <c r="Q12" s="34">
        <f t="shared" si="9"/>
        <v>4057843149594.0488</v>
      </c>
      <c r="R12" s="40">
        <v>8436618886</v>
      </c>
      <c r="S12" s="35">
        <f t="shared" si="10"/>
        <v>1</v>
      </c>
      <c r="T12" s="41">
        <f t="shared" si="11"/>
        <v>40.08164886535851</v>
      </c>
      <c r="U12" s="4"/>
      <c r="V12" s="4"/>
      <c r="W12" s="4"/>
    </row>
    <row r="13" spans="1:23" ht="15.75" customHeight="1">
      <c r="A13" s="31" t="s">
        <v>46</v>
      </c>
      <c r="B13" s="32">
        <v>2029</v>
      </c>
      <c r="C13" s="33">
        <f t="shared" si="12"/>
        <v>24.538139999999999</v>
      </c>
      <c r="D13" s="34">
        <f t="shared" si="13"/>
        <v>264.34701659750391</v>
      </c>
      <c r="E13" s="34">
        <f t="shared" si="1"/>
        <v>6486584101851.874</v>
      </c>
      <c r="F13" s="34">
        <f t="shared" si="2"/>
        <v>6454151181342.6143</v>
      </c>
      <c r="G13" s="35">
        <f t="shared" si="16"/>
        <v>0.17</v>
      </c>
      <c r="H13" s="36">
        <f t="shared" si="3"/>
        <v>1097205700828.2445</v>
      </c>
      <c r="I13" s="34">
        <f t="shared" si="14"/>
        <v>3323669354608.2915</v>
      </c>
      <c r="J13" s="37">
        <f t="shared" si="15"/>
        <v>3319721879027.4937</v>
      </c>
      <c r="K13" s="34">
        <f t="shared" si="4"/>
        <v>141012813525.31128</v>
      </c>
      <c r="L13" s="34">
        <f t="shared" si="5"/>
        <v>5356945480514.3691</v>
      </c>
      <c r="M13" s="34">
        <f t="shared" si="6"/>
        <v>5497958294039.6807</v>
      </c>
      <c r="N13" s="34"/>
      <c r="O13" s="38">
        <f t="shared" si="7"/>
        <v>5470468502569.4824</v>
      </c>
      <c r="P13" s="39">
        <f t="shared" si="8"/>
        <v>1300000000000</v>
      </c>
      <c r="Q13" s="34">
        <f t="shared" si="9"/>
        <v>4170468502569.4824</v>
      </c>
      <c r="R13" s="40">
        <v>8503285323</v>
      </c>
      <c r="S13" s="35">
        <f t="shared" si="10"/>
        <v>1</v>
      </c>
      <c r="T13" s="41">
        <f t="shared" si="11"/>
        <v>40.871149053502151</v>
      </c>
      <c r="U13" s="4"/>
      <c r="V13" s="4"/>
      <c r="W13" s="4"/>
    </row>
    <row r="14" spans="1:23" ht="15.75" customHeight="1">
      <c r="A14" s="31" t="s">
        <v>47</v>
      </c>
      <c r="B14" s="32">
        <v>2030</v>
      </c>
      <c r="C14" s="33">
        <f t="shared" si="12"/>
        <v>22.084326000000001</v>
      </c>
      <c r="D14" s="34">
        <f t="shared" si="13"/>
        <v>307.69992731949452</v>
      </c>
      <c r="E14" s="34">
        <f t="shared" si="1"/>
        <v>6795345505100.0234</v>
      </c>
      <c r="F14" s="34">
        <f t="shared" si="2"/>
        <v>6761368777574.5234</v>
      </c>
      <c r="G14" s="35">
        <f t="shared" si="16"/>
        <v>0.2</v>
      </c>
      <c r="H14" s="36">
        <f t="shared" si="3"/>
        <v>1352273755514.9048</v>
      </c>
      <c r="I14" s="34">
        <f t="shared" si="14"/>
        <v>4675943110123.1963</v>
      </c>
      <c r="J14" s="37">
        <f t="shared" si="15"/>
        <v>4669659636725.1279</v>
      </c>
      <c r="K14" s="34">
        <f t="shared" si="4"/>
        <v>210470367130.34308</v>
      </c>
      <c r="L14" s="34">
        <f t="shared" si="5"/>
        <v>5409095022059.6191</v>
      </c>
      <c r="M14" s="34">
        <f t="shared" si="6"/>
        <v>5619565389189.9619</v>
      </c>
      <c r="N14" s="34"/>
      <c r="O14" s="38">
        <f t="shared" si="7"/>
        <v>5591467562244.0117</v>
      </c>
      <c r="P14" s="39">
        <f t="shared" si="8"/>
        <v>1300000000000</v>
      </c>
      <c r="Q14" s="34">
        <f t="shared" si="9"/>
        <v>4291467562244.0117</v>
      </c>
      <c r="R14" s="40">
        <v>8569124911</v>
      </c>
      <c r="S14" s="35">
        <f t="shared" si="10"/>
        <v>1</v>
      </c>
      <c r="T14" s="41">
        <f t="shared" si="11"/>
        <v>41.733817696436617</v>
      </c>
      <c r="U14" s="4"/>
      <c r="V14" s="4"/>
      <c r="W14" s="4"/>
    </row>
    <row r="15" spans="1:23" ht="15.75" customHeight="1">
      <c r="A15" s="31" t="s">
        <v>48</v>
      </c>
      <c r="B15" s="32">
        <v>2031</v>
      </c>
      <c r="C15" s="33">
        <f t="shared" si="12"/>
        <v>19.875893400000002</v>
      </c>
      <c r="D15" s="34">
        <f t="shared" si="13"/>
        <v>358.16271539989162</v>
      </c>
      <c r="E15" s="34">
        <f t="shared" si="1"/>
        <v>7118803951142.7852</v>
      </c>
      <c r="F15" s="34">
        <f t="shared" si="2"/>
        <v>7083209931387.0713</v>
      </c>
      <c r="G15" s="35">
        <f t="shared" si="16"/>
        <v>0.23</v>
      </c>
      <c r="H15" s="36">
        <f t="shared" si="3"/>
        <v>1629138284219.0264</v>
      </c>
      <c r="I15" s="34">
        <f t="shared" si="14"/>
        <v>6305081394342.2227</v>
      </c>
      <c r="J15" s="37">
        <f t="shared" si="15"/>
        <v>6295648521983.6826</v>
      </c>
      <c r="K15" s="34">
        <f t="shared" si="4"/>
        <v>296056420968.37311</v>
      </c>
      <c r="L15" s="34">
        <f t="shared" si="5"/>
        <v>5454071647168.0449</v>
      </c>
      <c r="M15" s="34">
        <f t="shared" si="6"/>
        <v>5750128068136.418</v>
      </c>
      <c r="N15" s="34"/>
      <c r="O15" s="38">
        <f t="shared" si="7"/>
        <v>5721377427795.7363</v>
      </c>
      <c r="P15" s="39">
        <f t="shared" si="8"/>
        <v>1300000000000</v>
      </c>
      <c r="Q15" s="34">
        <f t="shared" si="9"/>
        <v>4421377427795.7363</v>
      </c>
      <c r="R15" s="40">
        <v>8634119333</v>
      </c>
      <c r="S15" s="35">
        <f t="shared" si="10"/>
        <v>1</v>
      </c>
      <c r="T15" s="41">
        <f t="shared" si="11"/>
        <v>42.673503199654931</v>
      </c>
      <c r="U15" s="4"/>
      <c r="V15" s="4"/>
      <c r="W15" s="4"/>
    </row>
    <row r="16" spans="1:23" ht="15.75" customHeight="1">
      <c r="A16" s="31" t="s">
        <v>49</v>
      </c>
      <c r="B16" s="32">
        <v>2032</v>
      </c>
      <c r="C16" s="33">
        <f t="shared" si="12"/>
        <v>17.888304060000003</v>
      </c>
      <c r="D16" s="34">
        <f t="shared" si="13"/>
        <v>416.90140072547382</v>
      </c>
      <c r="E16" s="34">
        <f t="shared" si="1"/>
        <v>7457659019217.1816</v>
      </c>
      <c r="F16" s="34">
        <f t="shared" si="2"/>
        <v>7420370724121.0957</v>
      </c>
      <c r="G16" s="35">
        <f t="shared" si="16"/>
        <v>0.26</v>
      </c>
      <c r="H16" s="36">
        <f t="shared" si="3"/>
        <v>1929296388271.4849</v>
      </c>
      <c r="I16" s="34">
        <f t="shared" si="14"/>
        <v>8234377782613.707</v>
      </c>
      <c r="J16" s="37">
        <f t="shared" si="15"/>
        <v>8220832437800.041</v>
      </c>
      <c r="K16" s="34">
        <f t="shared" si="4"/>
        <v>399144116293.76544</v>
      </c>
      <c r="L16" s="34">
        <f t="shared" si="5"/>
        <v>5491074335849.6104</v>
      </c>
      <c r="M16" s="34">
        <f t="shared" si="6"/>
        <v>5890218452143.376</v>
      </c>
      <c r="N16" s="34"/>
      <c r="O16" s="38">
        <f t="shared" si="7"/>
        <v>5860767359882.6592</v>
      </c>
      <c r="P16" s="39">
        <f t="shared" si="8"/>
        <v>1300000000000</v>
      </c>
      <c r="Q16" s="34">
        <f t="shared" si="9"/>
        <v>4560767359882.6592</v>
      </c>
      <c r="R16" s="40">
        <v>8698229812</v>
      </c>
      <c r="S16" s="35">
        <f t="shared" si="10"/>
        <v>1</v>
      </c>
      <c r="T16" s="41">
        <f t="shared" si="11"/>
        <v>43.694401604859358</v>
      </c>
      <c r="U16" s="4"/>
      <c r="V16" s="4"/>
      <c r="W16" s="4"/>
    </row>
    <row r="17" spans="1:23" ht="15.75" customHeight="1">
      <c r="A17" s="31" t="s">
        <v>50</v>
      </c>
      <c r="B17" s="32">
        <v>2033</v>
      </c>
      <c r="C17" s="33">
        <f t="shared" si="12"/>
        <v>16.099473654000004</v>
      </c>
      <c r="D17" s="34">
        <f t="shared" si="13"/>
        <v>485.27323044445149</v>
      </c>
      <c r="E17" s="34">
        <f t="shared" si="1"/>
        <v>7812643588531.9199</v>
      </c>
      <c r="F17" s="34">
        <f t="shared" si="2"/>
        <v>7773580370589.2607</v>
      </c>
      <c r="G17" s="35">
        <f t="shared" si="16"/>
        <v>0.29000000000000004</v>
      </c>
      <c r="H17" s="36">
        <f t="shared" si="3"/>
        <v>2254338307470.8857</v>
      </c>
      <c r="I17" s="34">
        <f t="shared" si="14"/>
        <v>10488716090084.594</v>
      </c>
      <c r="J17" s="37">
        <f t="shared" si="15"/>
        <v>10469933159898.291</v>
      </c>
      <c r="K17" s="34">
        <f t="shared" si="4"/>
        <v>521200776556.52258</v>
      </c>
      <c r="L17" s="34">
        <f t="shared" si="5"/>
        <v>5519242063118.375</v>
      </c>
      <c r="M17" s="34">
        <f t="shared" si="6"/>
        <v>6040442839674.8975</v>
      </c>
      <c r="N17" s="34"/>
      <c r="O17" s="38">
        <f t="shared" si="7"/>
        <v>6010240625476.5225</v>
      </c>
      <c r="P17" s="39">
        <f t="shared" si="8"/>
        <v>1300000000000</v>
      </c>
      <c r="Q17" s="34">
        <f t="shared" si="9"/>
        <v>4710240625476.5225</v>
      </c>
      <c r="R17" s="40">
        <v>8761449081</v>
      </c>
      <c r="S17" s="35">
        <f t="shared" si="10"/>
        <v>1</v>
      </c>
      <c r="T17" s="41">
        <f t="shared" si="11"/>
        <v>44.800814168315952</v>
      </c>
      <c r="U17" s="4"/>
      <c r="V17" s="4"/>
      <c r="W17" s="4"/>
    </row>
    <row r="18" spans="1:23" ht="15.75" customHeight="1">
      <c r="A18" s="31" t="s">
        <v>51</v>
      </c>
      <c r="B18" s="32">
        <v>2034</v>
      </c>
      <c r="C18" s="33">
        <f t="shared" si="12"/>
        <v>14.489526288600004</v>
      </c>
      <c r="D18" s="34">
        <f t="shared" si="13"/>
        <v>564.85804023734147</v>
      </c>
      <c r="E18" s="34">
        <f t="shared" si="1"/>
        <v>8184525423346.0381</v>
      </c>
      <c r="F18" s="34">
        <f t="shared" si="2"/>
        <v>8143602796229.3076</v>
      </c>
      <c r="G18" s="35">
        <f t="shared" si="16"/>
        <v>0.32000000000000006</v>
      </c>
      <c r="H18" s="36">
        <f t="shared" si="3"/>
        <v>2605952894793.3789</v>
      </c>
      <c r="I18" s="34">
        <f t="shared" si="14"/>
        <v>13094668984877.973</v>
      </c>
      <c r="J18" s="37">
        <f t="shared" si="15"/>
        <v>13069348111664.324</v>
      </c>
      <c r="K18" s="34">
        <f t="shared" si="4"/>
        <v>663793762337.55164</v>
      </c>
      <c r="L18" s="34">
        <f t="shared" si="5"/>
        <v>5537649901435.9287</v>
      </c>
      <c r="M18" s="34">
        <f t="shared" si="6"/>
        <v>6201443663773.4805</v>
      </c>
      <c r="N18" s="34"/>
      <c r="O18" s="38">
        <f t="shared" si="7"/>
        <v>6170436445454.6133</v>
      </c>
      <c r="P18" s="39">
        <f t="shared" si="8"/>
        <v>1300000000000</v>
      </c>
      <c r="Q18" s="34">
        <f t="shared" si="9"/>
        <v>4870436445454.6133</v>
      </c>
      <c r="R18" s="40">
        <v>8823784909</v>
      </c>
      <c r="S18" s="35">
        <f t="shared" si="10"/>
        <v>1</v>
      </c>
      <c r="T18" s="41">
        <f t="shared" si="11"/>
        <v>45.997234517118535</v>
      </c>
      <c r="U18" s="4"/>
      <c r="V18" s="4"/>
      <c r="W18" s="4"/>
    </row>
    <row r="19" spans="1:23" ht="15.75" customHeight="1">
      <c r="A19" s="31" t="s">
        <v>52</v>
      </c>
      <c r="B19" s="32">
        <v>2035</v>
      </c>
      <c r="C19" s="33">
        <f t="shared" si="12"/>
        <v>13.040573659740003</v>
      </c>
      <c r="D19" s="34">
        <f t="shared" si="13"/>
        <v>657.49475883626542</v>
      </c>
      <c r="E19" s="34">
        <f t="shared" si="1"/>
        <v>8574108833497.3086</v>
      </c>
      <c r="F19" s="34">
        <f t="shared" si="2"/>
        <v>8531238289329.8223</v>
      </c>
      <c r="G19" s="35">
        <f t="shared" si="16"/>
        <v>0.35000000000000009</v>
      </c>
      <c r="H19" s="36">
        <f t="shared" si="3"/>
        <v>2985933401265.4385</v>
      </c>
      <c r="I19" s="34">
        <f t="shared" si="14"/>
        <v>16080602386143.41</v>
      </c>
      <c r="J19" s="37">
        <f t="shared" si="15"/>
        <v>16047253872173.297</v>
      </c>
      <c r="K19" s="34">
        <f t="shared" si="4"/>
        <v>828596670279.51819</v>
      </c>
      <c r="L19" s="34">
        <f t="shared" si="5"/>
        <v>5545304888064.3838</v>
      </c>
      <c r="M19" s="34">
        <f t="shared" si="6"/>
        <v>6373901558343.9023</v>
      </c>
      <c r="N19" s="34"/>
      <c r="O19" s="38">
        <f t="shared" si="7"/>
        <v>6342032050552.1826</v>
      </c>
      <c r="P19" s="39">
        <f t="shared" si="8"/>
        <v>1300000000000</v>
      </c>
      <c r="Q19" s="34">
        <f t="shared" si="9"/>
        <v>5042032050552.1826</v>
      </c>
      <c r="R19" s="40">
        <v>8885210181</v>
      </c>
      <c r="S19" s="35">
        <f t="shared" si="10"/>
        <v>1</v>
      </c>
      <c r="T19" s="41">
        <f t="shared" si="11"/>
        <v>47.288621089065401</v>
      </c>
      <c r="U19" s="4"/>
      <c r="V19" s="4"/>
      <c r="W19" s="4"/>
    </row>
    <row r="20" spans="1:23" ht="15.75" customHeight="1">
      <c r="A20" s="31" t="s">
        <v>53</v>
      </c>
      <c r="B20" s="32">
        <v>2036</v>
      </c>
      <c r="C20" s="33">
        <f t="shared" si="12"/>
        <v>11.736516293766003</v>
      </c>
      <c r="D20" s="34">
        <f t="shared" si="13"/>
        <v>765.32389928541295</v>
      </c>
      <c r="E20" s="34">
        <f t="shared" si="1"/>
        <v>8982236413971.7813</v>
      </c>
      <c r="F20" s="34">
        <f t="shared" si="2"/>
        <v>8937325231901.9219</v>
      </c>
      <c r="G20" s="35">
        <f t="shared" ref="G20:G40" si="17">G19+$H$5</f>
        <v>0.38000000000000012</v>
      </c>
      <c r="H20" s="36">
        <f t="shared" si="3"/>
        <v>3396183588122.7314</v>
      </c>
      <c r="I20" s="34">
        <f t="shared" si="14"/>
        <v>19476785974266.141</v>
      </c>
      <c r="J20" s="37">
        <f t="shared" si="15"/>
        <v>19433715741565.879</v>
      </c>
      <c r="K20" s="34">
        <f t="shared" si="4"/>
        <v>1017395895495.787</v>
      </c>
      <c r="L20" s="34">
        <f t="shared" si="5"/>
        <v>5541141643779.1904</v>
      </c>
      <c r="M20" s="34">
        <f t="shared" si="6"/>
        <v>6558537539274.9775</v>
      </c>
      <c r="N20" s="34"/>
      <c r="O20" s="38">
        <f t="shared" si="7"/>
        <v>6525744851578.6025</v>
      </c>
      <c r="P20" s="39">
        <f t="shared" si="8"/>
        <v>1300000000000</v>
      </c>
      <c r="Q20" s="34">
        <f t="shared" si="9"/>
        <v>5225744851578.6025</v>
      </c>
      <c r="R20" s="40">
        <v>8945686614</v>
      </c>
      <c r="S20" s="35">
        <f t="shared" si="10"/>
        <v>1</v>
      </c>
      <c r="T20" s="41">
        <f t="shared" si="11"/>
        <v>48.680303303943816</v>
      </c>
      <c r="U20" s="4"/>
      <c r="V20" s="4"/>
      <c r="W20" s="4"/>
    </row>
    <row r="21" spans="1:23" ht="15.75" customHeight="1">
      <c r="A21" s="31" t="s">
        <v>54</v>
      </c>
      <c r="B21" s="32">
        <v>2037</v>
      </c>
      <c r="C21" s="33">
        <f t="shared" si="12"/>
        <v>10.562864664389403</v>
      </c>
      <c r="D21" s="34">
        <f t="shared" si="13"/>
        <v>890.83701876822056</v>
      </c>
      <c r="E21" s="34">
        <f t="shared" si="1"/>
        <v>9409790867276.8379</v>
      </c>
      <c r="F21" s="34">
        <f t="shared" si="2"/>
        <v>9362741912940.4531</v>
      </c>
      <c r="G21" s="35">
        <f t="shared" si="17"/>
        <v>0.41000000000000014</v>
      </c>
      <c r="H21" s="36">
        <f t="shared" si="3"/>
        <v>3838724184305.5869</v>
      </c>
      <c r="I21" s="34">
        <f t="shared" si="14"/>
        <v>23315510158571.727</v>
      </c>
      <c r="J21" s="37">
        <f t="shared" si="15"/>
        <v>23260803705908.531</v>
      </c>
      <c r="K21" s="34">
        <f t="shared" si="4"/>
        <v>1232097578015.2766</v>
      </c>
      <c r="L21" s="34">
        <f t="shared" si="5"/>
        <v>5524017728634.8662</v>
      </c>
      <c r="M21" s="34">
        <f t="shared" si="6"/>
        <v>6756115306650.1426</v>
      </c>
      <c r="N21" s="34"/>
      <c r="O21" s="38">
        <f t="shared" si="7"/>
        <v>6722334730116.8916</v>
      </c>
      <c r="P21" s="39">
        <f t="shared" si="8"/>
        <v>1300000000000</v>
      </c>
      <c r="Q21" s="34">
        <f t="shared" si="9"/>
        <v>5422334730116.8916</v>
      </c>
      <c r="R21" s="40">
        <v>9005152624</v>
      </c>
      <c r="S21" s="35">
        <f t="shared" si="10"/>
        <v>1</v>
      </c>
      <c r="T21" s="41">
        <f t="shared" si="11"/>
        <v>50.17807541711921</v>
      </c>
      <c r="U21" s="4"/>
      <c r="V21" s="4"/>
      <c r="W21" s="4"/>
    </row>
    <row r="22" spans="1:23" ht="15.75" customHeight="1">
      <c r="A22" s="31" t="s">
        <v>55</v>
      </c>
      <c r="B22" s="32">
        <v>2038</v>
      </c>
      <c r="C22" s="33">
        <f t="shared" si="12"/>
        <v>9.5065781979504624</v>
      </c>
      <c r="D22" s="34">
        <f t="shared" si="13"/>
        <v>1036.9342898462087</v>
      </c>
      <c r="E22" s="34">
        <f t="shared" si="1"/>
        <v>9857696912559.2129</v>
      </c>
      <c r="F22" s="34">
        <f t="shared" si="2"/>
        <v>9808408427996.416</v>
      </c>
      <c r="G22" s="35">
        <f t="shared" si="17"/>
        <v>0.44000000000000017</v>
      </c>
      <c r="H22" s="36">
        <f t="shared" si="3"/>
        <v>4315699708318.4248</v>
      </c>
      <c r="I22" s="34">
        <f t="shared" si="14"/>
        <v>27631209866890.152</v>
      </c>
      <c r="J22" s="37">
        <f t="shared" si="15"/>
        <v>27562715162519.844</v>
      </c>
      <c r="K22" s="34">
        <f t="shared" si="4"/>
        <v>1474734954954.6008</v>
      </c>
      <c r="L22" s="34">
        <f t="shared" si="5"/>
        <v>5492708719677.9912</v>
      </c>
      <c r="M22" s="34">
        <f t="shared" si="6"/>
        <v>6967443674632.5918</v>
      </c>
      <c r="N22" s="34"/>
      <c r="O22" s="38">
        <f t="shared" si="7"/>
        <v>6932606456259.4287</v>
      </c>
      <c r="P22" s="39">
        <f t="shared" si="8"/>
        <v>1300000000000</v>
      </c>
      <c r="Q22" s="34">
        <f t="shared" si="9"/>
        <v>5632606456259.4287</v>
      </c>
      <c r="R22" s="40">
        <v>9063572926</v>
      </c>
      <c r="S22" s="35">
        <f t="shared" si="10"/>
        <v>1</v>
      </c>
      <c r="T22" s="41">
        <f t="shared" si="11"/>
        <v>51.787951085875385</v>
      </c>
      <c r="U22" s="4"/>
      <c r="V22" s="4"/>
      <c r="W22" s="4"/>
    </row>
    <row r="23" spans="1:23" ht="15.75" customHeight="1">
      <c r="A23" s="31" t="s">
        <v>56</v>
      </c>
      <c r="B23" s="32">
        <v>2039</v>
      </c>
      <c r="C23" s="33">
        <f t="shared" si="12"/>
        <v>8.5559203781554167</v>
      </c>
      <c r="D23" s="34">
        <f t="shared" si="13"/>
        <v>1206.9915133809868</v>
      </c>
      <c r="E23" s="34">
        <f t="shared" si="1"/>
        <v>10326923285597.031</v>
      </c>
      <c r="F23" s="34">
        <f t="shared" si="2"/>
        <v>10275288669169.047</v>
      </c>
      <c r="G23" s="35">
        <f t="shared" si="17"/>
        <v>0.4700000000000002</v>
      </c>
      <c r="H23" s="36">
        <f t="shared" si="3"/>
        <v>4829385674509.4541</v>
      </c>
      <c r="I23" s="34">
        <f t="shared" si="14"/>
        <v>32460595541399.605</v>
      </c>
      <c r="J23" s="37">
        <f t="shared" si="15"/>
        <v>32375904786610.785</v>
      </c>
      <c r="K23" s="34">
        <f t="shared" si="4"/>
        <v>1747476141303.7581</v>
      </c>
      <c r="L23" s="34">
        <f t="shared" si="5"/>
        <v>5445902994659.5928</v>
      </c>
      <c r="M23" s="34">
        <f t="shared" si="6"/>
        <v>7193379135963.3506</v>
      </c>
      <c r="N23" s="34"/>
      <c r="O23" s="38">
        <f t="shared" si="7"/>
        <v>7157412240283.5342</v>
      </c>
      <c r="P23" s="39">
        <f t="shared" si="8"/>
        <v>1300000000000</v>
      </c>
      <c r="Q23" s="34">
        <f t="shared" si="9"/>
        <v>5857412240283.5342</v>
      </c>
      <c r="R23" s="40">
        <v>9120928380</v>
      </c>
      <c r="S23" s="35">
        <f t="shared" si="10"/>
        <v>1</v>
      </c>
      <c r="T23" s="41">
        <f t="shared" si="11"/>
        <v>53.516228431375374</v>
      </c>
      <c r="U23" s="4"/>
      <c r="V23" s="4"/>
      <c r="W23" s="4"/>
    </row>
    <row r="24" spans="1:23" ht="15.75" customHeight="1">
      <c r="A24" s="31" t="s">
        <v>57</v>
      </c>
      <c r="B24" s="32">
        <v>2040</v>
      </c>
      <c r="C24" s="33">
        <f t="shared" si="12"/>
        <v>7.7003283403398752</v>
      </c>
      <c r="D24" s="34">
        <f t="shared" si="13"/>
        <v>1404.9381215754686</v>
      </c>
      <c r="E24" s="34">
        <f t="shared" si="1"/>
        <v>10818484833991.449</v>
      </c>
      <c r="F24" s="34">
        <f t="shared" si="2"/>
        <v>10764392409821.492</v>
      </c>
      <c r="G24" s="35">
        <f t="shared" si="17"/>
        <v>0.50000000000000022</v>
      </c>
      <c r="H24" s="36">
        <f t="shared" si="3"/>
        <v>5382196204910.748</v>
      </c>
      <c r="I24" s="34">
        <f t="shared" si="14"/>
        <v>37842791746310.352</v>
      </c>
      <c r="J24" s="37">
        <f t="shared" si="15"/>
        <v>37739221941025.773</v>
      </c>
      <c r="K24" s="34">
        <f t="shared" si="4"/>
        <v>2052632363471.1238</v>
      </c>
      <c r="L24" s="34">
        <f t="shared" si="5"/>
        <v>5382196204910.7441</v>
      </c>
      <c r="M24" s="34">
        <f t="shared" si="6"/>
        <v>7434828568381.8682</v>
      </c>
      <c r="N24" s="34"/>
      <c r="O24" s="38">
        <f t="shared" si="7"/>
        <v>7397654425539.959</v>
      </c>
      <c r="P24" s="39">
        <f t="shared" si="8"/>
        <v>1300000000000</v>
      </c>
      <c r="Q24" s="34">
        <f t="shared" si="9"/>
        <v>6097654425539.959</v>
      </c>
      <c r="R24" s="40">
        <v>9177190203</v>
      </c>
      <c r="S24" s="35">
        <f t="shared" si="10"/>
        <v>1</v>
      </c>
      <c r="T24" s="41">
        <f t="shared" si="11"/>
        <v>55.369656458562623</v>
      </c>
      <c r="U24" s="4"/>
      <c r="V24" s="4"/>
      <c r="W24" s="4"/>
    </row>
    <row r="25" spans="1:23" ht="15.75" customHeight="1">
      <c r="A25" s="31" t="s">
        <v>58</v>
      </c>
      <c r="B25" s="32">
        <v>2041</v>
      </c>
      <c r="C25" s="33">
        <f t="shared" si="12"/>
        <v>6.930295506305888</v>
      </c>
      <c r="D25" s="34">
        <f t="shared" si="13"/>
        <v>1635.3479735138453</v>
      </c>
      <c r="E25" s="34">
        <f t="shared" si="1"/>
        <v>11333444712089.441</v>
      </c>
      <c r="F25" s="34">
        <f t="shared" si="2"/>
        <v>11276777488528.994</v>
      </c>
      <c r="G25" s="35">
        <f t="shared" si="17"/>
        <v>0.53000000000000025</v>
      </c>
      <c r="H25" s="36">
        <f t="shared" si="3"/>
        <v>5976692068920.3701</v>
      </c>
      <c r="I25" s="34">
        <f t="shared" si="14"/>
        <v>43819483815230.719</v>
      </c>
      <c r="J25" s="37">
        <f t="shared" si="15"/>
        <v>43694056052941.172</v>
      </c>
      <c r="K25" s="34">
        <f t="shared" si="4"/>
        <v>2392666671061.0342</v>
      </c>
      <c r="L25" s="34">
        <f t="shared" si="5"/>
        <v>5300085419608.624</v>
      </c>
      <c r="M25" s="34">
        <f t="shared" si="6"/>
        <v>7692752090669.6582</v>
      </c>
      <c r="N25" s="34"/>
      <c r="O25" s="38">
        <f t="shared" si="7"/>
        <v>7654288330216.3096</v>
      </c>
      <c r="P25" s="39">
        <f t="shared" si="8"/>
        <v>1300000000000</v>
      </c>
      <c r="Q25" s="34">
        <f t="shared" si="9"/>
        <v>6354288330216.3096</v>
      </c>
      <c r="R25" s="40">
        <v>9232281575</v>
      </c>
      <c r="S25" s="35">
        <f t="shared" si="10"/>
        <v>1</v>
      </c>
      <c r="T25" s="41">
        <f t="shared" si="11"/>
        <v>57.355705977590468</v>
      </c>
      <c r="U25" s="4"/>
      <c r="V25" s="4"/>
      <c r="W25" s="4"/>
    </row>
    <row r="26" spans="1:23" ht="15.75" customHeight="1">
      <c r="A26" s="31" t="s">
        <v>59</v>
      </c>
      <c r="B26" s="32">
        <v>2042</v>
      </c>
      <c r="C26" s="33">
        <f t="shared" si="12"/>
        <v>6.2372659556752996</v>
      </c>
      <c r="D26" s="34">
        <f t="shared" si="13"/>
        <v>1903.5450411701158</v>
      </c>
      <c r="E26" s="34">
        <f t="shared" si="1"/>
        <v>11872916680384.9</v>
      </c>
      <c r="F26" s="34">
        <f t="shared" si="2"/>
        <v>11813552096982.977</v>
      </c>
      <c r="G26" s="35">
        <f t="shared" si="17"/>
        <v>0.56000000000000028</v>
      </c>
      <c r="H26" s="36">
        <f t="shared" si="3"/>
        <v>6615589174310.4697</v>
      </c>
      <c r="I26" s="34">
        <f t="shared" si="14"/>
        <v>50435072989541.188</v>
      </c>
      <c r="J26" s="37">
        <f t="shared" si="15"/>
        <v>50284490404638.016</v>
      </c>
      <c r="K26" s="34">
        <f t="shared" si="4"/>
        <v>2770203153756.4702</v>
      </c>
      <c r="L26" s="34">
        <f t="shared" si="5"/>
        <v>5197962922672.5068</v>
      </c>
      <c r="M26" s="34">
        <f t="shared" si="6"/>
        <v>7968166076428.9766</v>
      </c>
      <c r="N26" s="34"/>
      <c r="O26" s="38">
        <f t="shared" si="7"/>
        <v>7928325246046.832</v>
      </c>
      <c r="P26" s="39">
        <f t="shared" si="8"/>
        <v>1300000000000</v>
      </c>
      <c r="Q26" s="34">
        <f t="shared" si="9"/>
        <v>6628325246046.832</v>
      </c>
      <c r="R26" s="40">
        <v>9286110371</v>
      </c>
      <c r="S26" s="35">
        <f t="shared" si="10"/>
        <v>1</v>
      </c>
      <c r="T26" s="41">
        <f t="shared" si="11"/>
        <v>59.482432913522103</v>
      </c>
      <c r="U26" s="4"/>
      <c r="V26" s="4"/>
      <c r="W26" s="4"/>
    </row>
    <row r="27" spans="1:23" ht="15.75" customHeight="1">
      <c r="A27" s="31" t="s">
        <v>60</v>
      </c>
      <c r="B27" s="32">
        <v>2043</v>
      </c>
      <c r="C27" s="33">
        <f t="shared" si="12"/>
        <v>5.6135393601077697</v>
      </c>
      <c r="D27" s="34">
        <f t="shared" si="13"/>
        <v>2215.7264279220149</v>
      </c>
      <c r="E27" s="34">
        <f t="shared" si="1"/>
        <v>12438067514371.221</v>
      </c>
      <c r="F27" s="34">
        <f t="shared" si="2"/>
        <v>12375877176799.365</v>
      </c>
      <c r="G27" s="35">
        <f t="shared" si="17"/>
        <v>0.5900000000000003</v>
      </c>
      <c r="H27" s="36">
        <f t="shared" si="3"/>
        <v>7301767534311.6289</v>
      </c>
      <c r="I27" s="34">
        <f t="shared" si="14"/>
        <v>57736840523852.813</v>
      </c>
      <c r="J27" s="37">
        <f t="shared" si="15"/>
        <v>57557464809980.172</v>
      </c>
      <c r="K27" s="34">
        <f t="shared" si="4"/>
        <v>3188036691654.0503</v>
      </c>
      <c r="L27" s="34">
        <f t="shared" si="5"/>
        <v>5074109642487.7363</v>
      </c>
      <c r="M27" s="34">
        <f t="shared" si="6"/>
        <v>8262146334141.7871</v>
      </c>
      <c r="N27" s="34"/>
      <c r="O27" s="38">
        <f t="shared" si="7"/>
        <v>8220835602471.0781</v>
      </c>
      <c r="P27" s="39">
        <f t="shared" si="8"/>
        <v>1300000000000</v>
      </c>
      <c r="Q27" s="34">
        <f t="shared" si="9"/>
        <v>6920835602471.0781</v>
      </c>
      <c r="R27" s="40">
        <v>9338661314</v>
      </c>
      <c r="S27" s="35">
        <f t="shared" si="10"/>
        <v>1</v>
      </c>
      <c r="T27" s="41">
        <f t="shared" si="11"/>
        <v>61.757920200116082</v>
      </c>
      <c r="U27" s="4"/>
      <c r="V27" s="4"/>
      <c r="W27" s="4"/>
    </row>
    <row r="28" spans="1:23" ht="15.75" customHeight="1">
      <c r="A28" s="31" t="s">
        <v>61</v>
      </c>
      <c r="B28" s="32">
        <v>2044</v>
      </c>
      <c r="C28" s="33">
        <f t="shared" si="12"/>
        <v>5.0521854240969928</v>
      </c>
      <c r="D28" s="34">
        <f t="shared" si="13"/>
        <v>2579.1055621012251</v>
      </c>
      <c r="E28" s="34">
        <f t="shared" si="1"/>
        <v>13030119528055.291</v>
      </c>
      <c r="F28" s="34">
        <f t="shared" si="2"/>
        <v>12964968930415.014</v>
      </c>
      <c r="G28" s="35">
        <f t="shared" si="17"/>
        <v>0.62000000000000033</v>
      </c>
      <c r="H28" s="36">
        <f t="shared" si="3"/>
        <v>8038280736857.3125</v>
      </c>
      <c r="I28" s="34">
        <f t="shared" si="14"/>
        <v>65775121260710.125</v>
      </c>
      <c r="J28" s="37">
        <f t="shared" si="15"/>
        <v>65562947674064.07</v>
      </c>
      <c r="K28" s="34">
        <f t="shared" si="4"/>
        <v>3649143268952.7427</v>
      </c>
      <c r="L28" s="34">
        <f t="shared" si="5"/>
        <v>4926688193557.7012</v>
      </c>
      <c r="M28" s="34">
        <f t="shared" si="6"/>
        <v>8575831462510.4434</v>
      </c>
      <c r="N28" s="34"/>
      <c r="O28" s="38">
        <f t="shared" si="7"/>
        <v>8532952305197.8906</v>
      </c>
      <c r="P28" s="39">
        <f t="shared" si="8"/>
        <v>1300000000000</v>
      </c>
      <c r="Q28" s="34">
        <f t="shared" si="9"/>
        <v>7232952305197.8906</v>
      </c>
      <c r="R28" s="40">
        <v>9389873693</v>
      </c>
      <c r="S28" s="35">
        <f t="shared" si="10"/>
        <v>1</v>
      </c>
      <c r="T28" s="41">
        <f t="shared" si="11"/>
        <v>64.191068499941068</v>
      </c>
      <c r="U28" s="4"/>
      <c r="V28" s="4"/>
      <c r="W28" s="4"/>
    </row>
    <row r="29" spans="1:23" ht="15.75" customHeight="1">
      <c r="A29" s="31" t="s">
        <v>62</v>
      </c>
      <c r="B29" s="32">
        <v>2045</v>
      </c>
      <c r="C29" s="33">
        <f t="shared" si="12"/>
        <v>4.5469668816872932</v>
      </c>
      <c r="D29" s="42">
        <v>3000</v>
      </c>
      <c r="E29" s="34">
        <f t="shared" si="1"/>
        <v>13640900645061.881</v>
      </c>
      <c r="F29" s="34">
        <f t="shared" si="2"/>
        <v>13572696141836.572</v>
      </c>
      <c r="G29" s="35">
        <f t="shared" si="17"/>
        <v>0.65000000000000036</v>
      </c>
      <c r="H29" s="36">
        <f t="shared" si="3"/>
        <v>8822252492193.7773</v>
      </c>
      <c r="I29" s="34">
        <f t="shared" si="14"/>
        <v>74597373752903.906</v>
      </c>
      <c r="J29" s="37">
        <f t="shared" si="15"/>
        <v>74348007566174.719</v>
      </c>
      <c r="K29" s="34">
        <f t="shared" si="4"/>
        <v>4156690882535.6621</v>
      </c>
      <c r="L29" s="34">
        <f t="shared" si="5"/>
        <v>4750443649642.7959</v>
      </c>
      <c r="M29" s="34">
        <f t="shared" si="6"/>
        <v>8907134532178.457</v>
      </c>
      <c r="N29" s="34"/>
      <c r="O29" s="38">
        <f t="shared" si="7"/>
        <v>8862598859517.5645</v>
      </c>
      <c r="P29" s="39">
        <f t="shared" si="8"/>
        <v>1300000000000</v>
      </c>
      <c r="Q29" s="34">
        <f t="shared" si="9"/>
        <v>7562598859517.5645</v>
      </c>
      <c r="R29" s="40">
        <v>9439639668</v>
      </c>
      <c r="S29" s="35">
        <f t="shared" si="10"/>
        <v>1</v>
      </c>
      <c r="T29" s="41">
        <f t="shared" si="11"/>
        <v>66.76277843134973</v>
      </c>
      <c r="U29" s="4"/>
      <c r="V29" s="4"/>
      <c r="W29" s="4"/>
    </row>
    <row r="30" spans="1:23" ht="15.75" customHeight="1">
      <c r="A30" s="31" t="s">
        <v>63</v>
      </c>
      <c r="B30" s="32">
        <v>2046</v>
      </c>
      <c r="C30" s="33">
        <f t="shared" si="12"/>
        <v>4.0922701935185639</v>
      </c>
      <c r="D30" s="34">
        <f>D29*(1+$D$5)</f>
        <v>3491.9999999999995</v>
      </c>
      <c r="E30" s="34">
        <f t="shared" si="1"/>
        <v>14290207515766.824</v>
      </c>
      <c r="F30" s="34">
        <f t="shared" si="2"/>
        <v>14218756478187.99</v>
      </c>
      <c r="G30" s="35">
        <f t="shared" si="17"/>
        <v>0.68000000000000038</v>
      </c>
      <c r="H30" s="36">
        <f t="shared" si="3"/>
        <v>9668754405167.8379</v>
      </c>
      <c r="I30" s="34">
        <f t="shared" si="14"/>
        <v>84266128158071.75</v>
      </c>
      <c r="J30" s="37">
        <f t="shared" si="15"/>
        <v>83974753590356.891</v>
      </c>
      <c r="K30" s="34">
        <f t="shared" si="4"/>
        <v>4713663679695.4766</v>
      </c>
      <c r="L30" s="34">
        <f t="shared" si="5"/>
        <v>4550002073020.1514</v>
      </c>
      <c r="M30" s="34">
        <f t="shared" si="6"/>
        <v>9263665752715.6289</v>
      </c>
      <c r="N30" s="34"/>
      <c r="O30" s="38">
        <f t="shared" si="7"/>
        <v>9217347423952.0508</v>
      </c>
      <c r="P30" s="39">
        <f t="shared" si="8"/>
        <v>1300000000000</v>
      </c>
      <c r="Q30" s="34">
        <f t="shared" si="9"/>
        <v>7917347423952.0508</v>
      </c>
      <c r="R30" s="40">
        <v>9487889604</v>
      </c>
      <c r="S30" s="35">
        <f t="shared" si="10"/>
        <v>1</v>
      </c>
      <c r="T30" s="41">
        <f t="shared" si="11"/>
        <v>69.539062903709166</v>
      </c>
      <c r="U30" s="4"/>
      <c r="V30" s="4"/>
      <c r="W30" s="4"/>
    </row>
    <row r="31" spans="1:23" ht="15.75" customHeight="1">
      <c r="A31" s="31" t="s">
        <v>64</v>
      </c>
      <c r="B31" s="32">
        <v>2047</v>
      </c>
      <c r="C31" s="33">
        <f t="shared" si="12"/>
        <v>3.6830431741667078</v>
      </c>
      <c r="D31" s="42">
        <v>4000</v>
      </c>
      <c r="E31" s="34">
        <f t="shared" si="1"/>
        <v>14732172696666.832</v>
      </c>
      <c r="F31" s="34">
        <f t="shared" si="2"/>
        <v>14658511833183.498</v>
      </c>
      <c r="G31" s="35">
        <f t="shared" si="17"/>
        <v>0.71000000000000041</v>
      </c>
      <c r="H31" s="36">
        <f t="shared" si="3"/>
        <v>10407543401560.289</v>
      </c>
      <c r="I31" s="34">
        <f t="shared" si="14"/>
        <v>94673671559632.031</v>
      </c>
      <c r="J31" s="37">
        <f t="shared" si="15"/>
        <v>94335105843421.234</v>
      </c>
      <c r="K31" s="34">
        <f t="shared" si="4"/>
        <v>5323999377628.627</v>
      </c>
      <c r="L31" s="34">
        <f t="shared" si="5"/>
        <v>4250968431623.2085</v>
      </c>
      <c r="M31" s="34">
        <f t="shared" si="6"/>
        <v>9574967809251.8359</v>
      </c>
      <c r="N31" s="34"/>
      <c r="O31" s="38">
        <f t="shared" si="7"/>
        <v>9527092970205.5762</v>
      </c>
      <c r="P31" s="39">
        <f t="shared" si="8"/>
        <v>1300000000000</v>
      </c>
      <c r="Q31" s="34">
        <f t="shared" si="9"/>
        <v>8227092970205.5762</v>
      </c>
      <c r="R31" s="40">
        <v>9534545977</v>
      </c>
      <c r="S31" s="35">
        <f t="shared" si="10"/>
        <v>1</v>
      </c>
      <c r="T31" s="41">
        <f t="shared" si="11"/>
        <v>71.906001869863829</v>
      </c>
      <c r="U31" s="4"/>
      <c r="V31" s="4"/>
      <c r="W31" s="4"/>
    </row>
    <row r="32" spans="1:23" ht="15.75" customHeight="1">
      <c r="A32" s="31" t="s">
        <v>65</v>
      </c>
      <c r="B32" s="32">
        <v>2048</v>
      </c>
      <c r="C32" s="33">
        <f t="shared" si="12"/>
        <v>3.3147388567500369</v>
      </c>
      <c r="D32" s="42">
        <v>4000</v>
      </c>
      <c r="E32" s="34">
        <f t="shared" si="1"/>
        <v>13258955427000.148</v>
      </c>
      <c r="F32" s="34">
        <f t="shared" si="2"/>
        <v>13192660649865.148</v>
      </c>
      <c r="G32" s="35">
        <f t="shared" si="17"/>
        <v>0.74000000000000044</v>
      </c>
      <c r="H32" s="36">
        <f t="shared" si="3"/>
        <v>9762568880900.2148</v>
      </c>
      <c r="I32" s="34">
        <f t="shared" si="14"/>
        <v>104436240440532.25</v>
      </c>
      <c r="J32" s="37">
        <f t="shared" si="15"/>
        <v>104045625886959.3</v>
      </c>
      <c r="K32" s="34">
        <f t="shared" si="4"/>
        <v>5980845710472.9063</v>
      </c>
      <c r="L32" s="34">
        <f t="shared" si="5"/>
        <v>3430091768964.9326</v>
      </c>
      <c r="M32" s="34">
        <f t="shared" si="6"/>
        <v>9410937479437.8398</v>
      </c>
      <c r="N32" s="34"/>
      <c r="O32" s="38">
        <f t="shared" si="7"/>
        <v>9363882792040.6504</v>
      </c>
      <c r="P32" s="39">
        <f t="shared" si="8"/>
        <v>1300000000000</v>
      </c>
      <c r="Q32" s="34">
        <f t="shared" si="9"/>
        <v>8063882792040.6504</v>
      </c>
      <c r="R32" s="40">
        <v>9579536043</v>
      </c>
      <c r="S32" s="35">
        <f t="shared" si="10"/>
        <v>1</v>
      </c>
      <c r="T32" s="41">
        <f t="shared" si="11"/>
        <v>70.148515507814579</v>
      </c>
      <c r="U32" s="4"/>
      <c r="V32" s="4"/>
      <c r="W32" s="4"/>
    </row>
    <row r="33" spans="1:23" ht="15.75" customHeight="1">
      <c r="A33" s="31" t="s">
        <v>66</v>
      </c>
      <c r="B33" s="32">
        <v>2049</v>
      </c>
      <c r="C33" s="33">
        <f t="shared" si="12"/>
        <v>2.9832649710750334</v>
      </c>
      <c r="D33" s="42">
        <v>4000</v>
      </c>
      <c r="E33" s="34">
        <f t="shared" si="1"/>
        <v>11933059884300.133</v>
      </c>
      <c r="F33" s="34">
        <f t="shared" si="2"/>
        <v>11873394584878.633</v>
      </c>
      <c r="G33" s="35">
        <f t="shared" si="17"/>
        <v>0.77000000000000046</v>
      </c>
      <c r="H33" s="36">
        <f t="shared" si="3"/>
        <v>9142513830356.5527</v>
      </c>
      <c r="I33" s="34">
        <f t="shared" si="14"/>
        <v>113578754270888.8</v>
      </c>
      <c r="J33" s="37">
        <f t="shared" si="15"/>
        <v>113131545647457.19</v>
      </c>
      <c r="K33" s="34">
        <f t="shared" si="4"/>
        <v>6596492681233.2188</v>
      </c>
      <c r="L33" s="34">
        <f t="shared" si="5"/>
        <v>2730880754522.0801</v>
      </c>
      <c r="M33" s="34">
        <f t="shared" si="6"/>
        <v>9327373435755.2988</v>
      </c>
      <c r="N33" s="34"/>
      <c r="O33" s="38">
        <f t="shared" si="7"/>
        <v>9280736568576.5215</v>
      </c>
      <c r="P33" s="39">
        <f t="shared" si="8"/>
        <v>1300000000000</v>
      </c>
      <c r="Q33" s="34">
        <f t="shared" si="9"/>
        <v>7980736568576.5215</v>
      </c>
      <c r="R33" s="40">
        <v>9622824029</v>
      </c>
      <c r="S33" s="35">
        <f t="shared" si="10"/>
        <v>1</v>
      </c>
      <c r="T33" s="41">
        <f t="shared" si="11"/>
        <v>69.112911003093856</v>
      </c>
      <c r="U33" s="4"/>
      <c r="V33" s="4"/>
      <c r="W33" s="4"/>
    </row>
    <row r="34" spans="1:23" ht="15.75" customHeight="1">
      <c r="A34" s="31" t="s">
        <v>67</v>
      </c>
      <c r="B34" s="32">
        <v>2050</v>
      </c>
      <c r="C34" s="33">
        <f t="shared" si="12"/>
        <v>2.6849384739675299</v>
      </c>
      <c r="D34" s="42">
        <v>4000</v>
      </c>
      <c r="E34" s="34">
        <f t="shared" si="1"/>
        <v>10739753895870.119</v>
      </c>
      <c r="F34" s="34">
        <f t="shared" si="2"/>
        <v>10686055126390.768</v>
      </c>
      <c r="G34" s="35">
        <f t="shared" si="17"/>
        <v>0.80000000000000049</v>
      </c>
      <c r="H34" s="36">
        <f t="shared" si="3"/>
        <v>8548844101112.6191</v>
      </c>
      <c r="I34" s="34">
        <f t="shared" si="14"/>
        <v>122127598372001.42</v>
      </c>
      <c r="J34" s="37">
        <f t="shared" si="15"/>
        <v>121619549553695.53</v>
      </c>
      <c r="K34" s="34">
        <f t="shared" si="4"/>
        <v>7172539994048.7852</v>
      </c>
      <c r="L34" s="34">
        <f t="shared" si="5"/>
        <v>2137211025278.1482</v>
      </c>
      <c r="M34" s="34">
        <f t="shared" si="6"/>
        <v>9309751019326.9336</v>
      </c>
      <c r="N34" s="34"/>
      <c r="O34" s="38">
        <f t="shared" si="7"/>
        <v>9263202264230.2988</v>
      </c>
      <c r="P34" s="39">
        <f t="shared" si="8"/>
        <v>1300000000000</v>
      </c>
      <c r="Q34" s="34">
        <f t="shared" si="9"/>
        <v>7963202264230.2988</v>
      </c>
      <c r="R34" s="40">
        <v>9664378587</v>
      </c>
      <c r="S34" s="35">
        <f t="shared" si="10"/>
        <v>1</v>
      </c>
      <c r="T34" s="41">
        <f t="shared" si="11"/>
        <v>68.664548135407003</v>
      </c>
      <c r="U34" s="4"/>
      <c r="V34" s="4"/>
      <c r="W34" s="4"/>
    </row>
    <row r="35" spans="1:23" ht="15.75" customHeight="1">
      <c r="A35" s="31" t="s">
        <v>68</v>
      </c>
      <c r="B35" s="32">
        <v>2051</v>
      </c>
      <c r="C35" s="33">
        <f t="shared" si="12"/>
        <v>2.4164446265707769</v>
      </c>
      <c r="D35" s="42">
        <v>4000</v>
      </c>
      <c r="E35" s="34">
        <f t="shared" si="1"/>
        <v>9665778506283.1074</v>
      </c>
      <c r="F35" s="34">
        <f t="shared" si="2"/>
        <v>9617449613751.6914</v>
      </c>
      <c r="G35" s="35">
        <f t="shared" si="17"/>
        <v>0.83000000000000052</v>
      </c>
      <c r="H35" s="36">
        <f t="shared" si="3"/>
        <v>7982483179413.9092</v>
      </c>
      <c r="I35" s="34">
        <f t="shared" si="14"/>
        <v>130110081551415.33</v>
      </c>
      <c r="J35" s="37">
        <f t="shared" si="15"/>
        <v>129537231716742.89</v>
      </c>
      <c r="K35" s="34">
        <f t="shared" si="4"/>
        <v>7710679441704.2969</v>
      </c>
      <c r="L35" s="34">
        <f t="shared" si="5"/>
        <v>1634966434337.7825</v>
      </c>
      <c r="M35" s="34">
        <f t="shared" si="6"/>
        <v>9345645876042.0801</v>
      </c>
      <c r="N35" s="34"/>
      <c r="O35" s="38">
        <f t="shared" si="7"/>
        <v>9298917646661.8691</v>
      </c>
      <c r="P35" s="39">
        <f t="shared" si="8"/>
        <v>1300000000000</v>
      </c>
      <c r="Q35" s="34">
        <f t="shared" si="9"/>
        <v>7998917646661.8691</v>
      </c>
      <c r="R35" s="40">
        <v>9704192304</v>
      </c>
      <c r="S35" s="35">
        <f t="shared" si="10"/>
        <v>1</v>
      </c>
      <c r="T35" s="41">
        <f t="shared" si="11"/>
        <v>68.689536405868381</v>
      </c>
      <c r="U35" s="4"/>
      <c r="V35" s="4"/>
      <c r="W35" s="4"/>
    </row>
    <row r="36" spans="1:23" ht="15.75" customHeight="1">
      <c r="A36" s="31" t="s">
        <v>69</v>
      </c>
      <c r="B36" s="32">
        <v>2052</v>
      </c>
      <c r="C36" s="33">
        <f t="shared" si="12"/>
        <v>2.1748001639136993</v>
      </c>
      <c r="D36" s="42">
        <v>4000</v>
      </c>
      <c r="E36" s="34">
        <f t="shared" si="1"/>
        <v>8699200655654.7969</v>
      </c>
      <c r="F36" s="34">
        <f t="shared" si="2"/>
        <v>8655704652376.5225</v>
      </c>
      <c r="G36" s="35">
        <f t="shared" si="17"/>
        <v>0.86000000000000054</v>
      </c>
      <c r="H36" s="36">
        <f t="shared" si="3"/>
        <v>7443906001043.8145</v>
      </c>
      <c r="I36" s="34">
        <f t="shared" si="14"/>
        <v>137553987552459.14</v>
      </c>
      <c r="J36" s="37">
        <f t="shared" si="15"/>
        <v>136912647148927.81</v>
      </c>
      <c r="K36" s="34">
        <f t="shared" si="4"/>
        <v>8212660490841.499</v>
      </c>
      <c r="L36" s="34">
        <f t="shared" si="5"/>
        <v>1211798651332.7085</v>
      </c>
      <c r="M36" s="34">
        <f t="shared" si="6"/>
        <v>9424459142174.207</v>
      </c>
      <c r="N36" s="34"/>
      <c r="O36" s="38">
        <f t="shared" si="7"/>
        <v>9377336846463.3359</v>
      </c>
      <c r="P36" s="39">
        <f t="shared" si="8"/>
        <v>1300000000000</v>
      </c>
      <c r="Q36" s="34">
        <f t="shared" si="9"/>
        <v>8077336846463.3359</v>
      </c>
      <c r="R36" s="40">
        <v>9742264515</v>
      </c>
      <c r="S36" s="35">
        <f t="shared" si="10"/>
        <v>1</v>
      </c>
      <c r="T36" s="41">
        <f t="shared" si="11"/>
        <v>69.091883394827391</v>
      </c>
      <c r="U36" s="4"/>
      <c r="V36" s="4"/>
      <c r="W36" s="4"/>
    </row>
    <row r="37" spans="1:23" ht="15.75" customHeight="1">
      <c r="A37" s="31" t="s">
        <v>70</v>
      </c>
      <c r="B37" s="32">
        <v>2053</v>
      </c>
      <c r="C37" s="33">
        <f t="shared" si="12"/>
        <v>1.9573201475223294</v>
      </c>
      <c r="D37" s="42">
        <v>4000</v>
      </c>
      <c r="E37" s="34">
        <f t="shared" si="1"/>
        <v>7829280590089.3174</v>
      </c>
      <c r="F37" s="34">
        <f t="shared" si="2"/>
        <v>7790134187138.8711</v>
      </c>
      <c r="G37" s="35">
        <f t="shared" si="17"/>
        <v>0.89000000000000057</v>
      </c>
      <c r="H37" s="36">
        <f t="shared" si="3"/>
        <v>6933219426553.5996</v>
      </c>
      <c r="I37" s="34">
        <f t="shared" si="14"/>
        <v>144487206979012.75</v>
      </c>
      <c r="J37" s="37">
        <f t="shared" si="15"/>
        <v>143773943642193.69</v>
      </c>
      <c r="K37" s="34">
        <f t="shared" si="4"/>
        <v>8680261829242.0234</v>
      </c>
      <c r="L37" s="34">
        <f t="shared" si="5"/>
        <v>856914760585.27136</v>
      </c>
      <c r="M37" s="34">
        <f t="shared" si="6"/>
        <v>9537176589827.2949</v>
      </c>
      <c r="N37" s="34"/>
      <c r="O37" s="38">
        <f t="shared" si="7"/>
        <v>9489490706878.1582</v>
      </c>
      <c r="P37" s="39">
        <f t="shared" si="8"/>
        <v>1300000000000</v>
      </c>
      <c r="Q37" s="34">
        <f t="shared" si="9"/>
        <v>8189490706878.1582</v>
      </c>
      <c r="R37" s="40">
        <v>9778614614</v>
      </c>
      <c r="S37" s="35">
        <f t="shared" si="10"/>
        <v>1</v>
      </c>
      <c r="T37" s="41">
        <f t="shared" si="11"/>
        <v>69.790822713213558</v>
      </c>
      <c r="U37" s="4"/>
      <c r="V37" s="4"/>
      <c r="W37" s="4"/>
    </row>
    <row r="38" spans="1:23" ht="15.75" customHeight="1">
      <c r="A38" s="31" t="s">
        <v>71</v>
      </c>
      <c r="B38" s="32">
        <v>2054</v>
      </c>
      <c r="C38" s="33">
        <f t="shared" si="12"/>
        <v>1.7615881327700964</v>
      </c>
      <c r="D38" s="42">
        <v>4000</v>
      </c>
      <c r="E38" s="34">
        <f t="shared" si="1"/>
        <v>7046352531080.3848</v>
      </c>
      <c r="F38" s="34">
        <f t="shared" si="2"/>
        <v>7011120768424.9824</v>
      </c>
      <c r="G38" s="35">
        <f t="shared" si="17"/>
        <v>0.9200000000000006</v>
      </c>
      <c r="H38" s="36">
        <f t="shared" si="3"/>
        <v>6450231106950.9883</v>
      </c>
      <c r="I38" s="34">
        <f t="shared" si="14"/>
        <v>150937438085963.75</v>
      </c>
      <c r="J38" s="37">
        <f t="shared" si="15"/>
        <v>150149062661770.13</v>
      </c>
      <c r="K38" s="34">
        <f t="shared" si="4"/>
        <v>9115268026915.0801</v>
      </c>
      <c r="L38" s="34">
        <f t="shared" si="5"/>
        <v>560889661473.99438</v>
      </c>
      <c r="M38" s="34">
        <f t="shared" si="6"/>
        <v>9676157688389.0742</v>
      </c>
      <c r="N38" s="34"/>
      <c r="O38" s="38">
        <f t="shared" si="7"/>
        <v>9627776899947.1289</v>
      </c>
      <c r="P38" s="39">
        <f t="shared" si="8"/>
        <v>1300000000000</v>
      </c>
      <c r="Q38" s="34">
        <f t="shared" si="9"/>
        <v>8327776899947.1289</v>
      </c>
      <c r="R38" s="40">
        <v>9813251659</v>
      </c>
      <c r="S38" s="35">
        <f t="shared" si="10"/>
        <v>1</v>
      </c>
      <c r="T38" s="41">
        <f t="shared" si="11"/>
        <v>70.718802741847369</v>
      </c>
      <c r="U38" s="4"/>
      <c r="V38" s="4"/>
      <c r="W38" s="4"/>
    </row>
    <row r="39" spans="1:23" ht="15.75" customHeight="1">
      <c r="A39" s="31" t="s">
        <v>72</v>
      </c>
      <c r="B39" s="32">
        <v>2055</v>
      </c>
      <c r="C39" s="33">
        <f t="shared" si="12"/>
        <v>1.5854293194930869</v>
      </c>
      <c r="D39" s="42">
        <v>4000</v>
      </c>
      <c r="E39" s="34">
        <f t="shared" si="1"/>
        <v>6341717277972.3477</v>
      </c>
      <c r="F39" s="34">
        <f t="shared" si="2"/>
        <v>6310008691582.4863</v>
      </c>
      <c r="G39" s="35">
        <f t="shared" si="17"/>
        <v>0.95000000000000062</v>
      </c>
      <c r="H39" s="36">
        <f t="shared" si="3"/>
        <v>5994508257003.3662</v>
      </c>
      <c r="I39" s="34">
        <f t="shared" si="14"/>
        <v>156931946342967.13</v>
      </c>
      <c r="J39" s="37">
        <f t="shared" si="15"/>
        <v>156065499133314.13</v>
      </c>
      <c r="K39" s="34">
        <f t="shared" si="4"/>
        <v>9519450572756.2266</v>
      </c>
      <c r="L39" s="34">
        <f t="shared" si="5"/>
        <v>315500434579.12042</v>
      </c>
      <c r="M39" s="34">
        <f t="shared" si="6"/>
        <v>9834951007335.3477</v>
      </c>
      <c r="N39" s="34"/>
      <c r="O39" s="38">
        <f t="shared" si="7"/>
        <v>9785776252298.6699</v>
      </c>
      <c r="P39" s="39">
        <f t="shared" si="8"/>
        <v>1300000000000</v>
      </c>
      <c r="Q39" s="34">
        <f t="shared" si="9"/>
        <v>8485776252298.6699</v>
      </c>
      <c r="R39" s="40">
        <v>9846237570</v>
      </c>
      <c r="S39" s="35">
        <f t="shared" si="10"/>
        <v>1</v>
      </c>
      <c r="T39" s="41">
        <f t="shared" si="11"/>
        <v>71.819110192858076</v>
      </c>
      <c r="U39" s="4"/>
      <c r="V39" s="4"/>
      <c r="W39" s="4"/>
    </row>
    <row r="40" spans="1:23" ht="15.75" customHeight="1">
      <c r="A40" s="31" t="s">
        <v>73</v>
      </c>
      <c r="B40" s="32">
        <v>2056</v>
      </c>
      <c r="C40" s="33">
        <f t="shared" si="12"/>
        <v>1.4268863875437783</v>
      </c>
      <c r="D40" s="42">
        <v>4000</v>
      </c>
      <c r="E40" s="34">
        <f t="shared" si="1"/>
        <v>5707545550175.1133</v>
      </c>
      <c r="F40" s="34">
        <f t="shared" si="2"/>
        <v>5679007822424.2373</v>
      </c>
      <c r="G40" s="35">
        <f t="shared" si="17"/>
        <v>0.98000000000000065</v>
      </c>
      <c r="H40" s="36">
        <f t="shared" si="3"/>
        <v>5565427665975.7559</v>
      </c>
      <c r="I40" s="34">
        <f t="shared" si="14"/>
        <v>162497374008942.88</v>
      </c>
      <c r="J40" s="37">
        <f t="shared" si="15"/>
        <v>161550111335890.25</v>
      </c>
      <c r="K40" s="34">
        <f t="shared" si="4"/>
        <v>9894552645052.1152</v>
      </c>
      <c r="L40" s="34">
        <f t="shared" si="5"/>
        <v>113580156448.48106</v>
      </c>
      <c r="M40" s="34">
        <f t="shared" si="6"/>
        <v>10008132801500.596</v>
      </c>
      <c r="N40" s="34"/>
      <c r="O40" s="38">
        <f t="shared" si="7"/>
        <v>9958092137493.0918</v>
      </c>
      <c r="P40" s="39">
        <f t="shared" si="8"/>
        <v>1300000000000</v>
      </c>
      <c r="Q40" s="34">
        <f t="shared" si="9"/>
        <v>8658092137493.0918</v>
      </c>
      <c r="R40" s="40">
        <v>9877680392</v>
      </c>
      <c r="S40" s="35">
        <f t="shared" si="10"/>
        <v>1</v>
      </c>
      <c r="T40" s="41">
        <f t="shared" si="11"/>
        <v>73.044242118704133</v>
      </c>
      <c r="U40" s="4"/>
      <c r="V40" s="4"/>
      <c r="W40" s="4"/>
    </row>
    <row r="41" spans="1:23" ht="15.75" customHeight="1">
      <c r="A41" s="31" t="s">
        <v>74</v>
      </c>
      <c r="B41" s="32">
        <v>2057</v>
      </c>
      <c r="C41" s="33">
        <f t="shared" si="12"/>
        <v>1.2841977487894005</v>
      </c>
      <c r="D41" s="42">
        <v>4000</v>
      </c>
      <c r="E41" s="34">
        <f t="shared" si="1"/>
        <v>5136790995157.6025</v>
      </c>
      <c r="F41" s="34">
        <f t="shared" si="2"/>
        <v>5111107040181.8145</v>
      </c>
      <c r="G41" s="43">
        <v>1</v>
      </c>
      <c r="H41" s="36">
        <f t="shared" si="3"/>
        <v>5111107040181.8145</v>
      </c>
      <c r="I41" s="34">
        <f t="shared" si="14"/>
        <v>167608481049124.69</v>
      </c>
      <c r="J41" s="37">
        <f t="shared" si="15"/>
        <v>166577887766884.03</v>
      </c>
      <c r="K41" s="34">
        <f t="shared" si="4"/>
        <v>10242277058695.441</v>
      </c>
      <c r="L41" s="34">
        <f t="shared" si="5"/>
        <v>0</v>
      </c>
      <c r="M41" s="34">
        <f t="shared" si="6"/>
        <v>10242277058695.441</v>
      </c>
      <c r="N41" s="34">
        <f>M41*0.2%</f>
        <v>20484554117.390884</v>
      </c>
      <c r="O41" s="38">
        <f t="shared" si="7"/>
        <v>10170683542055.16</v>
      </c>
      <c r="P41" s="39">
        <f t="shared" si="8"/>
        <v>1300000000000</v>
      </c>
      <c r="Q41" s="34">
        <f t="shared" si="9"/>
        <v>8870683542055.1602</v>
      </c>
      <c r="R41" s="40">
        <v>9907637193</v>
      </c>
      <c r="S41" s="35">
        <f t="shared" si="10"/>
        <v>1</v>
      </c>
      <c r="T41" s="41">
        <f t="shared" si="11"/>
        <v>74.611495566962944</v>
      </c>
      <c r="U41" s="4"/>
      <c r="V41" s="4"/>
      <c r="W41" s="4"/>
    </row>
    <row r="42" spans="1:23" ht="15.75" customHeight="1">
      <c r="A42" s="31" t="s">
        <v>75</v>
      </c>
      <c r="B42" s="32">
        <v>2058</v>
      </c>
      <c r="C42" s="33">
        <f t="shared" si="12"/>
        <v>1.1557779739104606</v>
      </c>
      <c r="D42" s="42">
        <v>4000</v>
      </c>
      <c r="E42" s="34">
        <f t="shared" si="1"/>
        <v>4623111895641.8418</v>
      </c>
      <c r="F42" s="34">
        <f t="shared" si="2"/>
        <v>4599996336163.6328</v>
      </c>
      <c r="G42" s="43">
        <v>1</v>
      </c>
      <c r="H42" s="36">
        <f t="shared" si="3"/>
        <v>4599996336163.6328</v>
      </c>
      <c r="I42" s="34">
        <f t="shared" si="14"/>
        <v>172208477385288.31</v>
      </c>
      <c r="J42" s="37">
        <f t="shared" si="15"/>
        <v>171092295160996.16</v>
      </c>
      <c r="K42" s="34">
        <f t="shared" si="4"/>
        <v>10561038084420.447</v>
      </c>
      <c r="L42" s="34">
        <f t="shared" si="5"/>
        <v>0</v>
      </c>
      <c r="M42" s="34">
        <f t="shared" si="6"/>
        <v>10561038084420.447</v>
      </c>
      <c r="N42" s="34">
        <f>M42*0.4%</f>
        <v>42244152337.681793</v>
      </c>
      <c r="O42" s="38">
        <f t="shared" si="7"/>
        <v>10466199962422.352</v>
      </c>
      <c r="P42" s="39">
        <f t="shared" si="8"/>
        <v>1300000000000</v>
      </c>
      <c r="Q42" s="34">
        <f t="shared" si="9"/>
        <v>9166199962422.3516</v>
      </c>
      <c r="R42" s="40">
        <v>9936164379</v>
      </c>
      <c r="S42" s="35">
        <f t="shared" si="10"/>
        <v>1</v>
      </c>
      <c r="T42" s="41">
        <f t="shared" si="11"/>
        <v>76.875740751926358</v>
      </c>
      <c r="U42" s="4"/>
      <c r="V42" s="4"/>
      <c r="W42" s="4"/>
    </row>
    <row r="43" spans="1:23" ht="15.75" customHeight="1">
      <c r="A43" s="31" t="s">
        <v>76</v>
      </c>
      <c r="B43" s="32">
        <v>2059</v>
      </c>
      <c r="C43" s="33">
        <f t="shared" si="12"/>
        <v>1.0402001765194144</v>
      </c>
      <c r="D43" s="42">
        <v>4000</v>
      </c>
      <c r="E43" s="34">
        <f t="shared" si="1"/>
        <v>4160800706077.6582</v>
      </c>
      <c r="F43" s="34">
        <f t="shared" si="2"/>
        <v>4139996702547.27</v>
      </c>
      <c r="G43" s="43">
        <v>1</v>
      </c>
      <c r="H43" s="36">
        <f t="shared" si="3"/>
        <v>4139996702547.27</v>
      </c>
      <c r="I43" s="34">
        <f t="shared" si="14"/>
        <v>176348474087835.59</v>
      </c>
      <c r="J43" s="37">
        <f t="shared" si="15"/>
        <v>175144675717611.69</v>
      </c>
      <c r="K43" s="34">
        <f t="shared" si="4"/>
        <v>10847251513207.156</v>
      </c>
      <c r="L43" s="34">
        <f t="shared" si="5"/>
        <v>0</v>
      </c>
      <c r="M43" s="34">
        <f t="shared" si="6"/>
        <v>10847251513207.156</v>
      </c>
      <c r="N43" s="34">
        <f>M43*0.6%</f>
        <v>65083509079.242935</v>
      </c>
      <c r="O43" s="38">
        <f t="shared" si="7"/>
        <v>10728257164107.275</v>
      </c>
      <c r="P43" s="39">
        <f t="shared" si="8"/>
        <v>1300000000000</v>
      </c>
      <c r="Q43" s="34">
        <f t="shared" si="9"/>
        <v>9428257164107.2754</v>
      </c>
      <c r="R43" s="40">
        <v>9963337082</v>
      </c>
      <c r="S43" s="35">
        <f t="shared" si="10"/>
        <v>1</v>
      </c>
      <c r="T43" s="41">
        <f t="shared" si="11"/>
        <v>78.857925867868332</v>
      </c>
      <c r="U43" s="4"/>
      <c r="V43" s="4"/>
      <c r="W43" s="4"/>
    </row>
    <row r="44" spans="1:23" ht="15.75" customHeight="1">
      <c r="A44" s="31" t="s">
        <v>77</v>
      </c>
      <c r="B44" s="32">
        <v>2060</v>
      </c>
      <c r="C44" s="33">
        <f t="shared" si="12"/>
        <v>0.93618015886747297</v>
      </c>
      <c r="D44" s="42">
        <v>4000</v>
      </c>
      <c r="E44" s="34">
        <f t="shared" si="1"/>
        <v>3744720635469.8921</v>
      </c>
      <c r="F44" s="34">
        <f t="shared" si="2"/>
        <v>3725997032292.5425</v>
      </c>
      <c r="G44" s="43">
        <v>1</v>
      </c>
      <c r="H44" s="36">
        <f t="shared" si="3"/>
        <v>3725997032292.5425</v>
      </c>
      <c r="I44" s="34">
        <f t="shared" si="14"/>
        <v>180074471120128.13</v>
      </c>
      <c r="J44" s="37">
        <f t="shared" si="15"/>
        <v>178781237413529.28</v>
      </c>
      <c r="K44" s="34">
        <f t="shared" si="4"/>
        <v>11104172440496.58</v>
      </c>
      <c r="L44" s="34">
        <f t="shared" si="5"/>
        <v>0</v>
      </c>
      <c r="M44" s="34">
        <f t="shared" si="6"/>
        <v>11104172440496.58</v>
      </c>
      <c r="N44" s="34">
        <f>M44*0.8%</f>
        <v>88833379523.972641</v>
      </c>
      <c r="O44" s="38">
        <f t="shared" si="7"/>
        <v>10960262365667.744</v>
      </c>
      <c r="P44" s="39">
        <f t="shared" si="8"/>
        <v>1300000000000</v>
      </c>
      <c r="Q44" s="34">
        <f t="shared" si="9"/>
        <v>9660262365667.7441</v>
      </c>
      <c r="R44" s="40">
        <v>9989232292</v>
      </c>
      <c r="S44" s="35">
        <f t="shared" si="10"/>
        <v>1</v>
      </c>
      <c r="T44" s="41">
        <f t="shared" si="11"/>
        <v>80.588962221887371</v>
      </c>
      <c r="U44" s="4"/>
      <c r="V44" s="4"/>
      <c r="W44" s="4"/>
    </row>
    <row r="45" spans="1:23" ht="15.75" customHeight="1">
      <c r="A45" s="31" t="s">
        <v>78</v>
      </c>
      <c r="B45" s="32">
        <v>2061</v>
      </c>
      <c r="C45" s="33">
        <f t="shared" si="12"/>
        <v>0.84256214298072574</v>
      </c>
      <c r="D45" s="42">
        <v>4000</v>
      </c>
      <c r="E45" s="34">
        <f t="shared" si="1"/>
        <v>3370248571922.9028</v>
      </c>
      <c r="F45" s="34">
        <f t="shared" si="2"/>
        <v>3353397329063.2881</v>
      </c>
      <c r="G45" s="43">
        <v>1</v>
      </c>
      <c r="H45" s="36">
        <f t="shared" si="3"/>
        <v>3353397329063.2881</v>
      </c>
      <c r="I45" s="34">
        <f t="shared" si="14"/>
        <v>183427868449191.41</v>
      </c>
      <c r="J45" s="37">
        <f t="shared" si="15"/>
        <v>182043567425221.28</v>
      </c>
      <c r="K45" s="34">
        <f t="shared" si="4"/>
        <v>11334730452017.756</v>
      </c>
      <c r="L45" s="34">
        <f t="shared" si="5"/>
        <v>0</v>
      </c>
      <c r="M45" s="34">
        <f t="shared" si="6"/>
        <v>11334730452017.756</v>
      </c>
      <c r="N45" s="34">
        <f>M45*1%</f>
        <v>113347304520.17757</v>
      </c>
      <c r="O45" s="38">
        <f t="shared" si="7"/>
        <v>11165276231760.09</v>
      </c>
      <c r="P45" s="39">
        <f t="shared" si="8"/>
        <v>1300000000000</v>
      </c>
      <c r="Q45" s="34">
        <f t="shared" si="9"/>
        <v>9865276231760.0898</v>
      </c>
      <c r="R45" s="40">
        <v>10013916213</v>
      </c>
      <c r="S45" s="35">
        <f t="shared" si="10"/>
        <v>1</v>
      </c>
      <c r="T45" s="41">
        <f t="shared" si="11"/>
        <v>82.096388182219968</v>
      </c>
      <c r="U45" s="4"/>
      <c r="V45" s="4"/>
      <c r="W45" s="4"/>
    </row>
    <row r="46" spans="1:23" ht="15.75" customHeight="1">
      <c r="A46" s="31" t="s">
        <v>79</v>
      </c>
      <c r="B46" s="32">
        <v>2062</v>
      </c>
      <c r="C46" s="33">
        <f t="shared" si="12"/>
        <v>0.75830592868265323</v>
      </c>
      <c r="D46" s="42">
        <v>4000</v>
      </c>
      <c r="E46" s="34">
        <f t="shared" si="1"/>
        <v>3033223714730.6128</v>
      </c>
      <c r="F46" s="34">
        <f t="shared" si="2"/>
        <v>3018057596156.9595</v>
      </c>
      <c r="G46" s="43">
        <v>1</v>
      </c>
      <c r="H46" s="36">
        <f t="shared" si="3"/>
        <v>3018057596156.9595</v>
      </c>
      <c r="I46" s="34">
        <f t="shared" si="14"/>
        <v>186445926045348.38</v>
      </c>
      <c r="J46" s="37">
        <f t="shared" si="15"/>
        <v>184969094208867.56</v>
      </c>
      <c r="K46" s="34">
        <f t="shared" si="4"/>
        <v>11541562174759.029</v>
      </c>
      <c r="L46" s="34">
        <f t="shared" si="5"/>
        <v>0</v>
      </c>
      <c r="M46" s="34">
        <f t="shared" si="6"/>
        <v>11541562174759.029</v>
      </c>
      <c r="N46" s="34">
        <f>M46*1.2%</f>
        <v>138498746097.10837</v>
      </c>
      <c r="O46" s="38">
        <f t="shared" si="7"/>
        <v>11346048111518.611</v>
      </c>
      <c r="P46" s="39">
        <f t="shared" si="8"/>
        <v>1300000000000</v>
      </c>
      <c r="Q46" s="34">
        <f t="shared" si="9"/>
        <v>10046048111518.611</v>
      </c>
      <c r="R46" s="40">
        <v>10037466600</v>
      </c>
      <c r="S46" s="35">
        <f t="shared" si="10"/>
        <v>1</v>
      </c>
      <c r="T46" s="41">
        <f t="shared" si="11"/>
        <v>83.404578996047107</v>
      </c>
      <c r="U46" s="4"/>
      <c r="V46" s="4"/>
      <c r="W46" s="4"/>
    </row>
    <row r="47" spans="1:23" ht="15.75" customHeight="1">
      <c r="A47" s="31" t="s">
        <v>80</v>
      </c>
      <c r="B47" s="32">
        <v>2063</v>
      </c>
      <c r="C47" s="33">
        <f t="shared" si="12"/>
        <v>0.68247533581438791</v>
      </c>
      <c r="D47" s="42">
        <v>4000</v>
      </c>
      <c r="E47" s="34">
        <f t="shared" si="1"/>
        <v>2729901343257.5518</v>
      </c>
      <c r="F47" s="34">
        <f t="shared" si="2"/>
        <v>2716251836541.2642</v>
      </c>
      <c r="G47" s="43">
        <v>1</v>
      </c>
      <c r="H47" s="36">
        <f t="shared" si="3"/>
        <v>2716251836541.2642</v>
      </c>
      <c r="I47" s="34">
        <f t="shared" si="14"/>
        <v>189162177881889.63</v>
      </c>
      <c r="J47" s="37">
        <f t="shared" si="15"/>
        <v>187591503372386.13</v>
      </c>
      <c r="K47" s="34">
        <f t="shared" si="4"/>
        <v>11727040572842.203</v>
      </c>
      <c r="L47" s="34">
        <f t="shared" si="5"/>
        <v>0</v>
      </c>
      <c r="M47" s="34">
        <f t="shared" si="6"/>
        <v>11727040572842.203</v>
      </c>
      <c r="N47" s="34">
        <f>M47*1.4%</f>
        <v>164178568019.79083</v>
      </c>
      <c r="O47" s="38">
        <f t="shared" si="7"/>
        <v>11505047694798.301</v>
      </c>
      <c r="P47" s="39">
        <f t="shared" si="8"/>
        <v>1300000000000</v>
      </c>
      <c r="Q47" s="34">
        <f t="shared" si="9"/>
        <v>10205047694798.301</v>
      </c>
      <c r="R47" s="40">
        <v>10059950035</v>
      </c>
      <c r="S47" s="35">
        <f t="shared" si="10"/>
        <v>1</v>
      </c>
      <c r="T47" s="41">
        <f t="shared" si="11"/>
        <v>84.535274854691835</v>
      </c>
      <c r="U47" s="4"/>
      <c r="V47" s="4"/>
      <c r="W47" s="4"/>
    </row>
    <row r="48" spans="1:23" ht="15.75" customHeight="1">
      <c r="A48" s="31" t="s">
        <v>81</v>
      </c>
      <c r="B48" s="32">
        <v>2064</v>
      </c>
      <c r="C48" s="33">
        <f t="shared" si="12"/>
        <v>0.61422780223294915</v>
      </c>
      <c r="D48" s="42">
        <v>4000</v>
      </c>
      <c r="E48" s="34">
        <f t="shared" si="1"/>
        <v>2456911208931.7964</v>
      </c>
      <c r="F48" s="34">
        <f t="shared" si="2"/>
        <v>2444626652887.1372</v>
      </c>
      <c r="G48" s="43">
        <v>1</v>
      </c>
      <c r="H48" s="36">
        <f t="shared" si="3"/>
        <v>2444626652887.1372</v>
      </c>
      <c r="I48" s="34">
        <f t="shared" si="14"/>
        <v>191606804534776.75</v>
      </c>
      <c r="J48" s="37">
        <f t="shared" si="15"/>
        <v>189941111960260.63</v>
      </c>
      <c r="K48" s="34">
        <f t="shared" si="4"/>
        <v>11893301313809.279</v>
      </c>
      <c r="L48" s="34">
        <f t="shared" si="5"/>
        <v>0</v>
      </c>
      <c r="M48" s="34">
        <f t="shared" si="6"/>
        <v>11893301313809.279</v>
      </c>
      <c r="N48" s="34">
        <f>M48*1.6%</f>
        <v>190292821020.94849</v>
      </c>
      <c r="O48" s="38">
        <f t="shared" si="7"/>
        <v>11644493450324.389</v>
      </c>
      <c r="P48" s="39">
        <f t="shared" si="8"/>
        <v>1300000000000</v>
      </c>
      <c r="Q48" s="34">
        <f t="shared" si="9"/>
        <v>10344493450324.389</v>
      </c>
      <c r="R48" s="40">
        <v>10081402737</v>
      </c>
      <c r="S48" s="35">
        <f t="shared" si="10"/>
        <v>1</v>
      </c>
      <c r="T48" s="41">
        <f t="shared" si="11"/>
        <v>85.5080531300042</v>
      </c>
      <c r="U48" s="4"/>
      <c r="V48" s="4"/>
      <c r="W48" s="4"/>
    </row>
    <row r="49" spans="1:23" ht="15.75" customHeight="1">
      <c r="A49" s="31" t="s">
        <v>82</v>
      </c>
      <c r="B49" s="32">
        <v>2065</v>
      </c>
      <c r="C49" s="33">
        <f t="shared" si="12"/>
        <v>0.5528050220096542</v>
      </c>
      <c r="D49" s="42">
        <v>4000</v>
      </c>
      <c r="E49" s="34">
        <f t="shared" si="1"/>
        <v>2211220088038.6167</v>
      </c>
      <c r="F49" s="34">
        <f t="shared" si="2"/>
        <v>2200163987598.4238</v>
      </c>
      <c r="G49" s="43">
        <v>1</v>
      </c>
      <c r="H49" s="36">
        <f t="shared" si="3"/>
        <v>2200163987598.4238</v>
      </c>
      <c r="I49" s="34">
        <f t="shared" si="14"/>
        <v>193806968522375.19</v>
      </c>
      <c r="J49" s="37">
        <f t="shared" si="15"/>
        <v>192045205309885.16</v>
      </c>
      <c r="K49" s="34">
        <f t="shared" si="4"/>
        <v>12042266498280.523</v>
      </c>
      <c r="L49" s="34">
        <f t="shared" si="5"/>
        <v>0</v>
      </c>
      <c r="M49" s="34">
        <f t="shared" si="6"/>
        <v>12042266498280.523</v>
      </c>
      <c r="N49" s="34">
        <f>M49*1.8%</f>
        <v>216760796969.04944</v>
      </c>
      <c r="O49" s="38">
        <f t="shared" si="7"/>
        <v>11766378172804.918</v>
      </c>
      <c r="P49" s="39">
        <f t="shared" si="8"/>
        <v>1300000000000</v>
      </c>
      <c r="Q49" s="34">
        <f t="shared" si="9"/>
        <v>10466378172804.918</v>
      </c>
      <c r="R49" s="40">
        <v>10101849561</v>
      </c>
      <c r="S49" s="35">
        <f t="shared" si="10"/>
        <v>1</v>
      </c>
      <c r="T49" s="41">
        <f t="shared" si="11"/>
        <v>86.34044447012495</v>
      </c>
      <c r="U49" s="4"/>
      <c r="V49" s="4"/>
      <c r="W49" s="4"/>
    </row>
    <row r="50" spans="1:23" ht="15.75" customHeight="1">
      <c r="A50" s="31" t="s">
        <v>83</v>
      </c>
      <c r="B50" s="32">
        <v>2066</v>
      </c>
      <c r="C50" s="33">
        <f t="shared" si="12"/>
        <v>0.49752451980868878</v>
      </c>
      <c r="D50" s="42">
        <v>4000</v>
      </c>
      <c r="E50" s="34">
        <f t="shared" si="1"/>
        <v>1990098079234.7551</v>
      </c>
      <c r="F50" s="34">
        <f t="shared" si="2"/>
        <v>1980147588838.5813</v>
      </c>
      <c r="G50" s="43">
        <v>1</v>
      </c>
      <c r="H50" s="36">
        <f t="shared" si="3"/>
        <v>1980147588838.5813</v>
      </c>
      <c r="I50" s="34">
        <f t="shared" si="14"/>
        <v>195787116111213.78</v>
      </c>
      <c r="J50" s="37">
        <f t="shared" si="15"/>
        <v>193928340222274.41</v>
      </c>
      <c r="K50" s="34">
        <f t="shared" si="4"/>
        <v>12175666016646.719</v>
      </c>
      <c r="L50" s="34">
        <f t="shared" si="5"/>
        <v>0</v>
      </c>
      <c r="M50" s="34">
        <f t="shared" si="6"/>
        <v>12175666016646.719</v>
      </c>
      <c r="N50" s="34">
        <f>M50*2%</f>
        <v>243513320332.93439</v>
      </c>
      <c r="O50" s="38">
        <f t="shared" si="7"/>
        <v>11872491932832.217</v>
      </c>
      <c r="P50" s="39">
        <f t="shared" si="8"/>
        <v>1300000000000</v>
      </c>
      <c r="Q50" s="34">
        <f t="shared" si="9"/>
        <v>10572491932832.217</v>
      </c>
      <c r="R50" s="40">
        <v>10121317107</v>
      </c>
      <c r="S50" s="35">
        <f t="shared" si="10"/>
        <v>1</v>
      </c>
      <c r="T50" s="41">
        <f t="shared" si="11"/>
        <v>87.048057588606568</v>
      </c>
      <c r="U50" s="4"/>
      <c r="V50" s="4"/>
      <c r="W50" s="4"/>
    </row>
    <row r="51" spans="1:23" ht="15.75" customHeight="1">
      <c r="A51" s="31" t="s">
        <v>84</v>
      </c>
      <c r="B51" s="32">
        <v>2067</v>
      </c>
      <c r="C51" s="33">
        <f t="shared" si="12"/>
        <v>0.44777206782781992</v>
      </c>
      <c r="D51" s="42">
        <v>4000</v>
      </c>
      <c r="E51" s="34">
        <f t="shared" si="1"/>
        <v>1791088271311.2795</v>
      </c>
      <c r="F51" s="34">
        <f t="shared" si="2"/>
        <v>1782132829954.7231</v>
      </c>
      <c r="G51" s="43">
        <v>1</v>
      </c>
      <c r="H51" s="36">
        <f t="shared" si="3"/>
        <v>1782132829954.7231</v>
      </c>
      <c r="I51" s="34">
        <f t="shared" si="14"/>
        <v>197569248941168.5</v>
      </c>
      <c r="J51" s="37">
        <f t="shared" si="15"/>
        <v>195612617815703.03</v>
      </c>
      <c r="K51" s="34">
        <f t="shared" si="4"/>
        <v>12295056770092.197</v>
      </c>
      <c r="L51" s="34">
        <f t="shared" si="5"/>
        <v>0</v>
      </c>
      <c r="M51" s="34">
        <f t="shared" si="6"/>
        <v>12295056770092.197</v>
      </c>
      <c r="N51" s="34">
        <f>M51*2.2%</f>
        <v>270491248942.02838</v>
      </c>
      <c r="O51" s="38">
        <f t="shared" si="7"/>
        <v>11964442693544.418</v>
      </c>
      <c r="P51" s="39">
        <f t="shared" si="8"/>
        <v>1300000000000</v>
      </c>
      <c r="Q51" s="34">
        <f t="shared" si="9"/>
        <v>10664442693544.418</v>
      </c>
      <c r="R51" s="40">
        <v>10139808361</v>
      </c>
      <c r="S51" s="35">
        <f t="shared" si="10"/>
        <v>1</v>
      </c>
      <c r="T51" s="41">
        <f t="shared" si="11"/>
        <v>87.645005325102929</v>
      </c>
      <c r="U51" s="4"/>
      <c r="V51" s="4"/>
      <c r="W51" s="4"/>
    </row>
    <row r="52" spans="1:23" ht="15.75" customHeight="1">
      <c r="A52" s="31" t="s">
        <v>85</v>
      </c>
      <c r="B52" s="32">
        <v>2068</v>
      </c>
      <c r="C52" s="33">
        <f t="shared" si="12"/>
        <v>0.40299486104503796</v>
      </c>
      <c r="D52" s="42">
        <v>4000</v>
      </c>
      <c r="E52" s="34">
        <f t="shared" si="1"/>
        <v>1611979444180.1519</v>
      </c>
      <c r="F52" s="34">
        <f t="shared" si="2"/>
        <v>1603919546959.251</v>
      </c>
      <c r="G52" s="43">
        <v>1</v>
      </c>
      <c r="H52" s="36">
        <f t="shared" si="3"/>
        <v>1603919546959.251</v>
      </c>
      <c r="I52" s="34">
        <f t="shared" si="14"/>
        <v>199173168488127.75</v>
      </c>
      <c r="J52" s="37">
        <f t="shared" si="15"/>
        <v>197117929093980.97</v>
      </c>
      <c r="K52" s="34">
        <f t="shared" si="4"/>
        <v>12401839969515.572</v>
      </c>
      <c r="L52" s="34">
        <f t="shared" si="5"/>
        <v>0</v>
      </c>
      <c r="M52" s="34">
        <f t="shared" si="6"/>
        <v>12401839969515.572</v>
      </c>
      <c r="N52" s="34">
        <f>M52*2.4%</f>
        <v>297644159268.37372</v>
      </c>
      <c r="O52" s="38">
        <f t="shared" si="7"/>
        <v>12043674831195.963</v>
      </c>
      <c r="P52" s="39">
        <f t="shared" si="8"/>
        <v>1300000000000</v>
      </c>
      <c r="Q52" s="34">
        <f t="shared" si="9"/>
        <v>10743674831195.963</v>
      </c>
      <c r="R52" s="40">
        <v>10157301941</v>
      </c>
      <c r="S52" s="35">
        <f t="shared" si="10"/>
        <v>1</v>
      </c>
      <c r="T52" s="41">
        <f t="shared" si="11"/>
        <v>88.144099794758361</v>
      </c>
      <c r="U52" s="4"/>
      <c r="V52" s="4"/>
      <c r="W52" s="4"/>
    </row>
    <row r="53" spans="1:23" ht="15.75" customHeight="1">
      <c r="A53" s="31" t="s">
        <v>86</v>
      </c>
      <c r="B53" s="32">
        <v>2069</v>
      </c>
      <c r="C53" s="33">
        <f t="shared" si="12"/>
        <v>0.36269537494053417</v>
      </c>
      <c r="D53" s="42">
        <v>4000</v>
      </c>
      <c r="E53" s="34">
        <f t="shared" si="1"/>
        <v>1450781499762.1367</v>
      </c>
      <c r="F53" s="34">
        <f t="shared" si="2"/>
        <v>1443527592263.3259</v>
      </c>
      <c r="G53" s="43">
        <v>1</v>
      </c>
      <c r="H53" s="36">
        <f t="shared" si="3"/>
        <v>1443527592263.3259</v>
      </c>
      <c r="I53" s="34">
        <f t="shared" si="14"/>
        <v>200616696080391.06</v>
      </c>
      <c r="J53" s="37">
        <f t="shared" si="15"/>
        <v>198462175957901.16</v>
      </c>
      <c r="K53" s="34">
        <f t="shared" si="4"/>
        <v>12497276704558.393</v>
      </c>
      <c r="L53" s="34">
        <f t="shared" si="5"/>
        <v>0</v>
      </c>
      <c r="M53" s="34">
        <f t="shared" si="6"/>
        <v>12497276704558.393</v>
      </c>
      <c r="N53" s="34">
        <f>M53*2.6%</f>
        <v>324929194318.51825</v>
      </c>
      <c r="O53" s="38">
        <f t="shared" si="7"/>
        <v>12111485772688.676</v>
      </c>
      <c r="P53" s="39">
        <f t="shared" si="8"/>
        <v>1300000000000</v>
      </c>
      <c r="Q53" s="34">
        <f t="shared" si="9"/>
        <v>10811485772688.676</v>
      </c>
      <c r="R53" s="40">
        <v>10173782135</v>
      </c>
      <c r="S53" s="35">
        <f t="shared" si="10"/>
        <v>1</v>
      </c>
      <c r="T53" s="41">
        <f t="shared" si="11"/>
        <v>88.55675655020859</v>
      </c>
      <c r="U53" s="4"/>
      <c r="V53" s="4"/>
      <c r="W53" s="4"/>
    </row>
    <row r="54" spans="1:23" ht="15.75" customHeight="1">
      <c r="A54" s="31" t="s">
        <v>87</v>
      </c>
      <c r="B54" s="32">
        <v>2070</v>
      </c>
      <c r="C54" s="33">
        <f t="shared" si="12"/>
        <v>0.32642583744648074</v>
      </c>
      <c r="D54" s="42">
        <v>4000</v>
      </c>
      <c r="E54" s="34">
        <f t="shared" si="1"/>
        <v>1305703349785.9229</v>
      </c>
      <c r="F54" s="34">
        <f t="shared" si="2"/>
        <v>1299174833036.9932</v>
      </c>
      <c r="G54" s="43">
        <v>1</v>
      </c>
      <c r="H54" s="36">
        <f t="shared" si="3"/>
        <v>1299174833036.9932</v>
      </c>
      <c r="I54" s="34">
        <f t="shared" si="14"/>
        <v>201915870913428.06</v>
      </c>
      <c r="J54" s="37">
        <f t="shared" si="15"/>
        <v>199661470115542.69</v>
      </c>
      <c r="K54" s="34">
        <f t="shared" si="4"/>
        <v>12582501955730.934</v>
      </c>
      <c r="L54" s="34">
        <f t="shared" si="5"/>
        <v>0</v>
      </c>
      <c r="M54" s="34">
        <f t="shared" si="6"/>
        <v>12582501955730.934</v>
      </c>
      <c r="N54" s="34">
        <f>M54*2.8%</f>
        <v>352310054760.46613</v>
      </c>
      <c r="O54" s="38">
        <f t="shared" si="7"/>
        <v>12169040941465.615</v>
      </c>
      <c r="P54" s="39">
        <f t="shared" si="8"/>
        <v>1300000000000</v>
      </c>
      <c r="Q54" s="34">
        <f t="shared" si="9"/>
        <v>10869040941465.615</v>
      </c>
      <c r="R54" s="40">
        <v>10189241959</v>
      </c>
      <c r="S54" s="35">
        <f t="shared" si="10"/>
        <v>1</v>
      </c>
      <c r="T54" s="41">
        <f t="shared" si="11"/>
        <v>88.893110540844816</v>
      </c>
      <c r="U54" s="4"/>
      <c r="V54" s="4"/>
      <c r="W54" s="4"/>
    </row>
    <row r="55" spans="1:23" ht="15.75" customHeight="1">
      <c r="A55" s="31" t="s">
        <v>88</v>
      </c>
      <c r="B55" s="32">
        <v>2071</v>
      </c>
      <c r="C55" s="33">
        <f t="shared" si="12"/>
        <v>0.29378325370183267</v>
      </c>
      <c r="D55" s="42">
        <v>4000</v>
      </c>
      <c r="E55" s="34">
        <f t="shared" si="1"/>
        <v>1175133014807.3308</v>
      </c>
      <c r="F55" s="34">
        <f t="shared" si="2"/>
        <v>1169257349733.2942</v>
      </c>
      <c r="G55" s="43">
        <v>1</v>
      </c>
      <c r="H55" s="36">
        <f t="shared" si="3"/>
        <v>1169257349733.2942</v>
      </c>
      <c r="I55" s="34">
        <f t="shared" si="14"/>
        <v>203085128263161.34</v>
      </c>
      <c r="J55" s="37">
        <f t="shared" si="15"/>
        <v>200730312101543.34</v>
      </c>
      <c r="K55" s="34">
        <f t="shared" si="4"/>
        <v>12658537205325.406</v>
      </c>
      <c r="L55" s="34">
        <f t="shared" si="5"/>
        <v>0</v>
      </c>
      <c r="M55" s="34">
        <f t="shared" si="6"/>
        <v>12658537205325.406</v>
      </c>
      <c r="N55" s="34">
        <f>M55*3%</f>
        <v>379756116159.76215</v>
      </c>
      <c r="O55" s="38">
        <f t="shared" si="7"/>
        <v>12217387183719.816</v>
      </c>
      <c r="P55" s="39">
        <f t="shared" si="8"/>
        <v>1300000000000</v>
      </c>
      <c r="Q55" s="34">
        <f t="shared" si="9"/>
        <v>10917387183719.816</v>
      </c>
      <c r="R55" s="40">
        <v>10203681568</v>
      </c>
      <c r="S55" s="35">
        <f t="shared" si="10"/>
        <v>1</v>
      </c>
      <c r="T55" s="41">
        <f t="shared" si="11"/>
        <v>89.162157721892626</v>
      </c>
      <c r="U55" s="4"/>
      <c r="V55" s="4"/>
      <c r="W55" s="4"/>
    </row>
    <row r="56" spans="1:23" ht="15.75" customHeight="1">
      <c r="A56" s="31" t="s">
        <v>89</v>
      </c>
      <c r="B56" s="32">
        <v>2072</v>
      </c>
      <c r="C56" s="33">
        <f t="shared" si="12"/>
        <v>0.26440492833164941</v>
      </c>
      <c r="D56" s="42">
        <v>4000</v>
      </c>
      <c r="E56" s="34">
        <f t="shared" si="1"/>
        <v>1057619713326.5975</v>
      </c>
      <c r="F56" s="34">
        <f t="shared" si="2"/>
        <v>1052331614759.9646</v>
      </c>
      <c r="G56" s="43">
        <v>1</v>
      </c>
      <c r="H56" s="36">
        <f t="shared" si="3"/>
        <v>1052331614759.9646</v>
      </c>
      <c r="I56" s="34">
        <f t="shared" si="14"/>
        <v>204137459877921.31</v>
      </c>
      <c r="J56" s="37">
        <f t="shared" si="15"/>
        <v>201681752394445.19</v>
      </c>
      <c r="K56" s="34">
        <f t="shared" si="4"/>
        <v>12726301787237.848</v>
      </c>
      <c r="L56" s="34">
        <f t="shared" si="5"/>
        <v>0</v>
      </c>
      <c r="M56" s="34">
        <f t="shared" si="6"/>
        <v>12726301787237.848</v>
      </c>
      <c r="N56" s="34">
        <f>M56*3.2%</f>
        <v>407241657191.61115</v>
      </c>
      <c r="O56" s="38">
        <f t="shared" si="7"/>
        <v>12257464829396.006</v>
      </c>
      <c r="P56" s="39">
        <f t="shared" si="8"/>
        <v>1300000000000</v>
      </c>
      <c r="Q56" s="34">
        <f t="shared" si="9"/>
        <v>10957464829396.006</v>
      </c>
      <c r="R56" s="40">
        <v>10217055169</v>
      </c>
      <c r="S56" s="35">
        <f t="shared" si="10"/>
        <v>1</v>
      </c>
      <c r="T56" s="41">
        <f t="shared" si="11"/>
        <v>89.372334201236015</v>
      </c>
      <c r="U56" s="4"/>
      <c r="V56" s="4"/>
      <c r="W56" s="4"/>
    </row>
    <row r="57" spans="1:23" ht="15.75" customHeight="1">
      <c r="A57" s="31" t="s">
        <v>90</v>
      </c>
      <c r="B57" s="32">
        <v>2073</v>
      </c>
      <c r="C57" s="33">
        <f t="shared" si="12"/>
        <v>0.23796443549848448</v>
      </c>
      <c r="D57" s="42">
        <v>4000</v>
      </c>
      <c r="E57" s="34">
        <f t="shared" si="1"/>
        <v>951857741993.93787</v>
      </c>
      <c r="F57" s="34">
        <f t="shared" si="2"/>
        <v>947098453283.96814</v>
      </c>
      <c r="G57" s="43">
        <v>1</v>
      </c>
      <c r="H57" s="36">
        <f t="shared" si="3"/>
        <v>947098453283.96814</v>
      </c>
      <c r="I57" s="34">
        <f t="shared" si="14"/>
        <v>205084558331205.28</v>
      </c>
      <c r="J57" s="37">
        <f t="shared" si="15"/>
        <v>202527536422305.31</v>
      </c>
      <c r="K57" s="34">
        <f t="shared" si="4"/>
        <v>12786623101807.824</v>
      </c>
      <c r="L57" s="34">
        <f t="shared" si="5"/>
        <v>0</v>
      </c>
      <c r="M57" s="34">
        <f t="shared" si="6"/>
        <v>12786623101807.824</v>
      </c>
      <c r="N57" s="34">
        <f>M57*3.4%</f>
        <v>434745185461.46606</v>
      </c>
      <c r="O57" s="38">
        <f t="shared" si="7"/>
        <v>12290118526764.625</v>
      </c>
      <c r="P57" s="39">
        <f t="shared" si="8"/>
        <v>1300000000000</v>
      </c>
      <c r="Q57" s="34">
        <f t="shared" si="9"/>
        <v>10990118526764.625</v>
      </c>
      <c r="R57" s="40">
        <v>10229327824</v>
      </c>
      <c r="S57" s="35">
        <f t="shared" si="10"/>
        <v>1</v>
      </c>
      <c r="T57" s="41">
        <f t="shared" si="11"/>
        <v>89.531123287981032</v>
      </c>
      <c r="U57" s="4"/>
      <c r="V57" s="4"/>
      <c r="W57" s="4"/>
    </row>
    <row r="58" spans="1:23" ht="15.75" customHeight="1">
      <c r="A58" s="31" t="s">
        <v>91</v>
      </c>
      <c r="B58" s="32">
        <v>2074</v>
      </c>
      <c r="C58" s="33">
        <f t="shared" si="12"/>
        <v>0.21416799194863603</v>
      </c>
      <c r="D58" s="42">
        <v>4000</v>
      </c>
      <c r="E58" s="34">
        <f t="shared" si="1"/>
        <v>856671967794.54407</v>
      </c>
      <c r="F58" s="34">
        <f t="shared" si="2"/>
        <v>852388607955.57129</v>
      </c>
      <c r="G58" s="43">
        <v>1</v>
      </c>
      <c r="H58" s="36">
        <f t="shared" si="3"/>
        <v>852388607955.57129</v>
      </c>
      <c r="I58" s="34">
        <f t="shared" si="14"/>
        <v>205936946939160.84</v>
      </c>
      <c r="J58" s="37">
        <f t="shared" si="15"/>
        <v>203278235067745.75</v>
      </c>
      <c r="K58" s="34">
        <f t="shared" si="4"/>
        <v>12840245809174.156</v>
      </c>
      <c r="L58" s="34">
        <f t="shared" si="5"/>
        <v>0</v>
      </c>
      <c r="M58" s="34">
        <f t="shared" si="6"/>
        <v>12840245809174.156</v>
      </c>
      <c r="N58" s="34">
        <f>M58*3.6%</f>
        <v>462248849130.26965</v>
      </c>
      <c r="O58" s="38">
        <f t="shared" si="7"/>
        <v>12316106975243.668</v>
      </c>
      <c r="P58" s="39">
        <f t="shared" si="8"/>
        <v>1300000000000</v>
      </c>
      <c r="Q58" s="34">
        <f t="shared" si="9"/>
        <v>11016106975243.668</v>
      </c>
      <c r="R58" s="40">
        <v>10240485056</v>
      </c>
      <c r="S58" s="35">
        <f t="shared" si="10"/>
        <v>1</v>
      </c>
      <c r="T58" s="41">
        <f t="shared" si="11"/>
        <v>89.645061692245591</v>
      </c>
      <c r="U58" s="4"/>
      <c r="V58" s="4"/>
      <c r="W58" s="4"/>
    </row>
    <row r="59" spans="1:23" ht="15.75" customHeight="1">
      <c r="A59" s="31" t="s">
        <v>92</v>
      </c>
      <c r="B59" s="32">
        <v>2075</v>
      </c>
      <c r="C59" s="33">
        <f t="shared" si="12"/>
        <v>0.19275119275377242</v>
      </c>
      <c r="D59" s="42">
        <v>4000</v>
      </c>
      <c r="E59" s="34">
        <f t="shared" si="1"/>
        <v>771004771015.0896</v>
      </c>
      <c r="F59" s="34">
        <f t="shared" si="2"/>
        <v>767149747160.01416</v>
      </c>
      <c r="G59" s="43">
        <v>1</v>
      </c>
      <c r="H59" s="36">
        <f t="shared" si="3"/>
        <v>767149747160.01416</v>
      </c>
      <c r="I59" s="34">
        <f t="shared" si="14"/>
        <v>206704096686320.84</v>
      </c>
      <c r="J59" s="37">
        <f t="shared" si="15"/>
        <v>203943362122498.31</v>
      </c>
      <c r="K59" s="34">
        <f t="shared" si="4"/>
        <v>12887840103295.08</v>
      </c>
      <c r="L59" s="34">
        <f t="shared" si="5"/>
        <v>0</v>
      </c>
      <c r="M59" s="34">
        <f t="shared" si="6"/>
        <v>12887840103295.08</v>
      </c>
      <c r="N59" s="34">
        <f>M59*3.8%</f>
        <v>489737923925.21301</v>
      </c>
      <c r="O59" s="38">
        <f t="shared" si="7"/>
        <v>12336111668473.018</v>
      </c>
      <c r="P59" s="39">
        <f t="shared" si="8"/>
        <v>1300000000000</v>
      </c>
      <c r="Q59" s="34">
        <f t="shared" si="9"/>
        <v>11036111668473.018</v>
      </c>
      <c r="R59" s="40">
        <v>10250496432</v>
      </c>
      <c r="S59" s="35">
        <f t="shared" si="10"/>
        <v>1</v>
      </c>
      <c r="T59" s="41">
        <f t="shared" si="11"/>
        <v>89.720139748715681</v>
      </c>
      <c r="U59" s="4"/>
      <c r="V59" s="4"/>
      <c r="W59" s="4"/>
    </row>
    <row r="60" spans="1:23" ht="15.75" customHeight="1">
      <c r="A60" s="31" t="s">
        <v>93</v>
      </c>
      <c r="B60" s="32">
        <v>2076</v>
      </c>
      <c r="C60" s="33">
        <f t="shared" si="12"/>
        <v>0.17347607347839519</v>
      </c>
      <c r="D60" s="42">
        <v>4000</v>
      </c>
      <c r="E60" s="34">
        <f t="shared" si="1"/>
        <v>693904293913.58081</v>
      </c>
      <c r="F60" s="34">
        <f t="shared" si="2"/>
        <v>690434772444.01294</v>
      </c>
      <c r="G60" s="35">
        <f t="shared" ref="G60:G184" si="18">100%</f>
        <v>1</v>
      </c>
      <c r="H60" s="36">
        <f t="shared" si="3"/>
        <v>690434772444.01294</v>
      </c>
      <c r="I60" s="34">
        <f t="shared" ref="I60:I184" si="19">I59+H60+N59</f>
        <v>207884269382690.06</v>
      </c>
      <c r="J60" s="37">
        <f t="shared" si="15"/>
        <v>204531479996494.84</v>
      </c>
      <c r="K60" s="34">
        <f t="shared" si="4"/>
        <v>12930009158566.393</v>
      </c>
      <c r="L60" s="34">
        <f t="shared" si="5"/>
        <v>0</v>
      </c>
      <c r="M60" s="34">
        <f t="shared" si="6"/>
        <v>12930009158566.393</v>
      </c>
      <c r="N60" s="34">
        <f>M60*4%</f>
        <v>517200366342.6557</v>
      </c>
      <c r="O60" s="38">
        <f t="shared" si="7"/>
        <v>12350744748262.617</v>
      </c>
      <c r="P60" s="39">
        <f t="shared" si="8"/>
        <v>1300000000000</v>
      </c>
      <c r="Q60" s="34">
        <f t="shared" si="9"/>
        <v>11050744748262.617</v>
      </c>
      <c r="R60" s="40">
        <v>10259351432</v>
      </c>
      <c r="S60" s="35">
        <f t="shared" si="10"/>
        <v>1</v>
      </c>
      <c r="T60" s="41">
        <f t="shared" si="11"/>
        <v>89.761560639806291</v>
      </c>
      <c r="U60" s="4"/>
      <c r="V60" s="4"/>
      <c r="W60" s="4"/>
    </row>
    <row r="61" spans="1:23" ht="15.75" customHeight="1">
      <c r="A61" s="31" t="s">
        <v>94</v>
      </c>
      <c r="B61" s="32">
        <v>2077</v>
      </c>
      <c r="C61" s="33">
        <f t="shared" si="12"/>
        <v>0.15612846613055567</v>
      </c>
      <c r="D61" s="42">
        <v>4000</v>
      </c>
      <c r="E61" s="34">
        <f t="shared" si="1"/>
        <v>624513864522.22266</v>
      </c>
      <c r="F61" s="34">
        <f t="shared" si="2"/>
        <v>621391295199.61157</v>
      </c>
      <c r="G61" s="35">
        <f t="shared" si="18"/>
        <v>1</v>
      </c>
      <c r="H61" s="36">
        <f t="shared" si="3"/>
        <v>621391295199.61157</v>
      </c>
      <c r="I61" s="34">
        <f t="shared" si="19"/>
        <v>209022861044232.34</v>
      </c>
      <c r="J61" s="37">
        <f t="shared" ref="J61:J184" si="20">(J60+H61+N60)*(1-$J$3)</f>
        <v>205567236622208.13</v>
      </c>
      <c r="K61" s="34">
        <f t="shared" si="4"/>
        <v>12967295831777.773</v>
      </c>
      <c r="L61" s="34">
        <f t="shared" si="5"/>
        <v>0</v>
      </c>
      <c r="M61" s="34">
        <f t="shared" si="6"/>
        <v>12967295831777.773</v>
      </c>
      <c r="N61" s="34">
        <f>M61*4.5%</f>
        <v>583528312429.99976</v>
      </c>
      <c r="O61" s="38">
        <f t="shared" si="7"/>
        <v>12321848681751.035</v>
      </c>
      <c r="P61" s="39">
        <f t="shared" si="8"/>
        <v>1300000000000</v>
      </c>
      <c r="Q61" s="34">
        <f t="shared" si="9"/>
        <v>11021848681751.035</v>
      </c>
      <c r="R61" s="40">
        <v>10267045023</v>
      </c>
      <c r="S61" s="35">
        <f t="shared" si="10"/>
        <v>1</v>
      </c>
      <c r="T61" s="41">
        <f t="shared" si="11"/>
        <v>89.459760631062309</v>
      </c>
      <c r="U61" s="4"/>
      <c r="V61" s="4"/>
      <c r="W61" s="4"/>
    </row>
    <row r="62" spans="1:23" ht="15.75" customHeight="1">
      <c r="A62" s="31" t="s">
        <v>95</v>
      </c>
      <c r="B62" s="32">
        <v>2078</v>
      </c>
      <c r="C62" s="33">
        <f t="shared" si="12"/>
        <v>0.14051561951750011</v>
      </c>
      <c r="D62" s="42">
        <v>4000</v>
      </c>
      <c r="E62" s="34">
        <f t="shared" si="1"/>
        <v>562062478070.00049</v>
      </c>
      <c r="F62" s="34">
        <f t="shared" si="2"/>
        <v>559252165679.65051</v>
      </c>
      <c r="G62" s="35">
        <f t="shared" si="18"/>
        <v>1</v>
      </c>
      <c r="H62" s="36">
        <f t="shared" si="3"/>
        <v>559252165679.65051</v>
      </c>
      <c r="I62" s="34">
        <f t="shared" si="19"/>
        <v>210165641522342</v>
      </c>
      <c r="J62" s="37">
        <f t="shared" si="20"/>
        <v>206606662091767.63</v>
      </c>
      <c r="K62" s="34">
        <f t="shared" si="4"/>
        <v>13032962801847.994</v>
      </c>
      <c r="L62" s="34">
        <f t="shared" si="5"/>
        <v>0</v>
      </c>
      <c r="M62" s="34">
        <f t="shared" si="6"/>
        <v>13032962801847.994</v>
      </c>
      <c r="N62" s="34">
        <f>M62*5%</f>
        <v>651648140092.39978</v>
      </c>
      <c r="O62" s="38">
        <f t="shared" si="7"/>
        <v>12319408088446.816</v>
      </c>
      <c r="P62" s="39">
        <f t="shared" si="8"/>
        <v>1300000000000</v>
      </c>
      <c r="Q62" s="34">
        <f t="shared" si="9"/>
        <v>11019408088446.816</v>
      </c>
      <c r="R62" s="40">
        <v>10273556322</v>
      </c>
      <c r="S62" s="35">
        <f t="shared" si="10"/>
        <v>1</v>
      </c>
      <c r="T62" s="41">
        <f t="shared" si="11"/>
        <v>89.383265014485417</v>
      </c>
      <c r="U62" s="4"/>
      <c r="V62" s="4"/>
      <c r="W62" s="4"/>
    </row>
    <row r="63" spans="1:23" ht="15.75" customHeight="1">
      <c r="A63" s="31" t="s">
        <v>96</v>
      </c>
      <c r="B63" s="32">
        <v>2079</v>
      </c>
      <c r="C63" s="33">
        <f t="shared" si="12"/>
        <v>0.1264640575657501</v>
      </c>
      <c r="D63" s="42">
        <v>4000</v>
      </c>
      <c r="E63" s="34">
        <f t="shared" si="1"/>
        <v>505856230263.00043</v>
      </c>
      <c r="F63" s="34">
        <f t="shared" si="2"/>
        <v>503326949111.68542</v>
      </c>
      <c r="G63" s="35">
        <f t="shared" si="18"/>
        <v>1</v>
      </c>
      <c r="H63" s="36">
        <f t="shared" si="3"/>
        <v>503326949111.68542</v>
      </c>
      <c r="I63" s="34">
        <f t="shared" si="19"/>
        <v>211320616611546.09</v>
      </c>
      <c r="J63" s="37">
        <f t="shared" si="20"/>
        <v>207657756362381.25</v>
      </c>
      <c r="K63" s="34">
        <f t="shared" si="4"/>
        <v>13098862376618.066</v>
      </c>
      <c r="L63" s="34">
        <f t="shared" si="5"/>
        <v>0</v>
      </c>
      <c r="M63" s="34">
        <f t="shared" si="6"/>
        <v>13098862376618.066</v>
      </c>
      <c r="N63" s="34">
        <f>M63*5.5%</f>
        <v>720437430713.99365</v>
      </c>
      <c r="O63" s="38">
        <f t="shared" si="7"/>
        <v>12316532821174.553</v>
      </c>
      <c r="P63" s="39">
        <f t="shared" si="8"/>
        <v>1300000000000</v>
      </c>
      <c r="Q63" s="34">
        <f t="shared" si="9"/>
        <v>11016532821174.553</v>
      </c>
      <c r="R63" s="40">
        <v>10278887473</v>
      </c>
      <c r="S63" s="35">
        <f t="shared" si="10"/>
        <v>1</v>
      </c>
      <c r="T63" s="41">
        <f t="shared" si="11"/>
        <v>89.313595870760636</v>
      </c>
      <c r="U63" s="4"/>
      <c r="V63" s="4"/>
      <c r="W63" s="4"/>
    </row>
    <row r="64" spans="1:23" ht="15.75" customHeight="1">
      <c r="A64" s="31" t="s">
        <v>97</v>
      </c>
      <c r="B64" s="32">
        <v>2080</v>
      </c>
      <c r="C64" s="33">
        <f t="shared" si="12"/>
        <v>0.11381765180917509</v>
      </c>
      <c r="D64" s="42">
        <v>4000</v>
      </c>
      <c r="E64" s="34">
        <f t="shared" si="1"/>
        <v>455270607236.70038</v>
      </c>
      <c r="F64" s="34">
        <f t="shared" si="2"/>
        <v>452994254200.51685</v>
      </c>
      <c r="G64" s="35">
        <f t="shared" si="18"/>
        <v>1</v>
      </c>
      <c r="H64" s="36">
        <f t="shared" si="3"/>
        <v>452994254200.51685</v>
      </c>
      <c r="I64" s="34">
        <f t="shared" si="19"/>
        <v>212494048296460.63</v>
      </c>
      <c r="J64" s="37">
        <f t="shared" si="20"/>
        <v>208726772453272.16</v>
      </c>
      <c r="K64" s="34">
        <f t="shared" si="4"/>
        <v>13165501753374.971</v>
      </c>
      <c r="L64" s="34">
        <f t="shared" si="5"/>
        <v>0</v>
      </c>
      <c r="M64" s="34">
        <f t="shared" si="6"/>
        <v>13165501753374.971</v>
      </c>
      <c r="N64" s="34">
        <f>M64*6%</f>
        <v>789930105202.49817</v>
      </c>
      <c r="O64" s="38">
        <f t="shared" si="7"/>
        <v>12313693789931.609</v>
      </c>
      <c r="P64" s="39">
        <f t="shared" si="8"/>
        <v>1300000000000</v>
      </c>
      <c r="Q64" s="34">
        <f t="shared" si="9"/>
        <v>11013693789931.609</v>
      </c>
      <c r="R64" s="40">
        <v>10283078029</v>
      </c>
      <c r="S64" s="35">
        <f t="shared" si="10"/>
        <v>1</v>
      </c>
      <c r="T64" s="41">
        <f t="shared" si="11"/>
        <v>89.254191521182918</v>
      </c>
      <c r="U64" s="4"/>
      <c r="V64" s="4"/>
      <c r="W64" s="4"/>
    </row>
    <row r="65" spans="1:23" ht="15.75" customHeight="1">
      <c r="A65" s="31" t="s">
        <v>98</v>
      </c>
      <c r="B65" s="32">
        <v>2081</v>
      </c>
      <c r="C65" s="33">
        <f t="shared" si="12"/>
        <v>0.10243588662825759</v>
      </c>
      <c r="D65" s="42">
        <v>4000</v>
      </c>
      <c r="E65" s="34">
        <f t="shared" si="1"/>
        <v>409743546513.0304</v>
      </c>
      <c r="F65" s="34">
        <f t="shared" si="2"/>
        <v>407694828780.46527</v>
      </c>
      <c r="G65" s="35">
        <f t="shared" si="18"/>
        <v>1</v>
      </c>
      <c r="H65" s="36">
        <f t="shared" si="3"/>
        <v>407694828780.46527</v>
      </c>
      <c r="I65" s="34">
        <f t="shared" si="19"/>
        <v>213691673230443.59</v>
      </c>
      <c r="J65" s="37">
        <f t="shared" si="20"/>
        <v>209819435188561.5</v>
      </c>
      <c r="K65" s="34">
        <f t="shared" si="4"/>
        <v>13233277373537.455</v>
      </c>
      <c r="L65" s="34">
        <f t="shared" si="5"/>
        <v>0</v>
      </c>
      <c r="M65" s="34">
        <f t="shared" si="6"/>
        <v>13233277373537.455</v>
      </c>
      <c r="N65" s="34">
        <f>M65*6.5%</f>
        <v>860163029279.93457</v>
      </c>
      <c r="O65" s="38">
        <f t="shared" si="7"/>
        <v>12311248772536.232</v>
      </c>
      <c r="P65" s="39">
        <f t="shared" si="8"/>
        <v>1300000000000</v>
      </c>
      <c r="Q65" s="34">
        <f t="shared" si="9"/>
        <v>11011248772536.232</v>
      </c>
      <c r="R65" s="40">
        <v>10286161735</v>
      </c>
      <c r="S65" s="35">
        <f t="shared" si="10"/>
        <v>1</v>
      </c>
      <c r="T65" s="41">
        <f t="shared" si="11"/>
        <v>89.207625547608529</v>
      </c>
      <c r="U65" s="4"/>
      <c r="V65" s="4"/>
      <c r="W65" s="4"/>
    </row>
    <row r="66" spans="1:23" ht="15.75" customHeight="1">
      <c r="A66" s="31" t="s">
        <v>99</v>
      </c>
      <c r="B66" s="32">
        <v>2082</v>
      </c>
      <c r="C66" s="33">
        <f t="shared" si="12"/>
        <v>9.2192297965431838E-2</v>
      </c>
      <c r="D66" s="42">
        <v>4000</v>
      </c>
      <c r="E66" s="34">
        <f t="shared" si="1"/>
        <v>368769191861.72736</v>
      </c>
      <c r="F66" s="34">
        <f t="shared" si="2"/>
        <v>366925345902.4187</v>
      </c>
      <c r="G66" s="35">
        <f t="shared" si="18"/>
        <v>1</v>
      </c>
      <c r="H66" s="36">
        <f t="shared" si="3"/>
        <v>366925345902.4187</v>
      </c>
      <c r="I66" s="34">
        <f t="shared" si="19"/>
        <v>214918761605625.94</v>
      </c>
      <c r="J66" s="37">
        <f t="shared" si="20"/>
        <v>210941000301961.97</v>
      </c>
      <c r="K66" s="34">
        <f t="shared" si="4"/>
        <v>13302552190954.799</v>
      </c>
      <c r="L66" s="34">
        <f t="shared" si="5"/>
        <v>0</v>
      </c>
      <c r="M66" s="34">
        <f t="shared" si="6"/>
        <v>13302552190954.799</v>
      </c>
      <c r="N66" s="34">
        <f>M66*7%</f>
        <v>931178653366.83606</v>
      </c>
      <c r="O66" s="38">
        <f t="shared" si="7"/>
        <v>12309516669900.023</v>
      </c>
      <c r="P66" s="39">
        <f t="shared" si="8"/>
        <v>1300000000000</v>
      </c>
      <c r="Q66" s="34">
        <f t="shared" si="9"/>
        <v>11009516669900.023</v>
      </c>
      <c r="R66" s="40">
        <v>10288205050</v>
      </c>
      <c r="S66" s="35">
        <f t="shared" si="10"/>
        <v>1</v>
      </c>
      <c r="T66" s="41">
        <f t="shared" si="11"/>
        <v>89.175878399864189</v>
      </c>
      <c r="U66" s="4"/>
      <c r="V66" s="4"/>
      <c r="W66" s="4"/>
    </row>
    <row r="67" spans="1:23" ht="15.75" customHeight="1">
      <c r="A67" s="31" t="s">
        <v>100</v>
      </c>
      <c r="B67" s="32">
        <v>2083</v>
      </c>
      <c r="C67" s="33">
        <f t="shared" si="12"/>
        <v>8.297306816888865E-2</v>
      </c>
      <c r="D67" s="42">
        <v>4000</v>
      </c>
      <c r="E67" s="34">
        <f t="shared" si="1"/>
        <v>331892272675.55457</v>
      </c>
      <c r="F67" s="34">
        <f t="shared" si="2"/>
        <v>330232811312.17682</v>
      </c>
      <c r="G67" s="35">
        <f t="shared" si="18"/>
        <v>1</v>
      </c>
      <c r="H67" s="36">
        <f t="shared" si="3"/>
        <v>330232811312.17682</v>
      </c>
      <c r="I67" s="34">
        <f t="shared" si="19"/>
        <v>216180173070304.97</v>
      </c>
      <c r="J67" s="37">
        <f t="shared" si="20"/>
        <v>212096310560757.69</v>
      </c>
      <c r="K67" s="34">
        <f t="shared" si="4"/>
        <v>13373659419144.389</v>
      </c>
      <c r="L67" s="34">
        <f t="shared" si="5"/>
        <v>0</v>
      </c>
      <c r="M67" s="34">
        <f t="shared" si="6"/>
        <v>13373659419144.389</v>
      </c>
      <c r="N67" s="34">
        <f>M67*7.5%</f>
        <v>1003024456435.8291</v>
      </c>
      <c r="O67" s="38">
        <f t="shared" si="7"/>
        <v>12308781787895.016</v>
      </c>
      <c r="P67" s="39">
        <f t="shared" si="8"/>
        <v>1300000000000</v>
      </c>
      <c r="Q67" s="34">
        <f t="shared" si="9"/>
        <v>11008781787895.016</v>
      </c>
      <c r="R67" s="40">
        <v>10289247323</v>
      </c>
      <c r="S67" s="35">
        <f t="shared" si="10"/>
        <v>1</v>
      </c>
      <c r="T67" s="41">
        <f t="shared" si="11"/>
        <v>89.160893263191767</v>
      </c>
      <c r="U67" s="4"/>
      <c r="V67" s="4"/>
      <c r="W67" s="4"/>
    </row>
    <row r="68" spans="1:23" ht="15.75" customHeight="1">
      <c r="A68" s="31" t="s">
        <v>101</v>
      </c>
      <c r="B68" s="32">
        <v>2084</v>
      </c>
      <c r="C68" s="33">
        <f t="shared" si="12"/>
        <v>7.4675761351999784E-2</v>
      </c>
      <c r="D68" s="42">
        <v>4000</v>
      </c>
      <c r="E68" s="34">
        <f t="shared" si="1"/>
        <v>298703045407.99915</v>
      </c>
      <c r="F68" s="34">
        <f t="shared" si="2"/>
        <v>297209530180.95917</v>
      </c>
      <c r="G68" s="35">
        <f t="shared" si="18"/>
        <v>1</v>
      </c>
      <c r="H68" s="36">
        <f t="shared" si="3"/>
        <v>297209530180.95917</v>
      </c>
      <c r="I68" s="34">
        <f t="shared" si="19"/>
        <v>217480407056921.78</v>
      </c>
      <c r="J68" s="37">
        <f t="shared" si="20"/>
        <v>213289846275100.81</v>
      </c>
      <c r="K68" s="34">
        <f t="shared" si="4"/>
        <v>13446906089552.037</v>
      </c>
      <c r="L68" s="34">
        <f t="shared" si="5"/>
        <v>0</v>
      </c>
      <c r="M68" s="34">
        <f t="shared" si="6"/>
        <v>13446906089552.037</v>
      </c>
      <c r="N68" s="34">
        <f>M68*8%</f>
        <v>1075752487164.163</v>
      </c>
      <c r="O68" s="38">
        <f t="shared" si="7"/>
        <v>12309297834375.936</v>
      </c>
      <c r="P68" s="39">
        <f t="shared" si="8"/>
        <v>1300000000000</v>
      </c>
      <c r="Q68" s="34">
        <f t="shared" si="9"/>
        <v>11009297834375.936</v>
      </c>
      <c r="R68" s="40">
        <v>10289315244</v>
      </c>
      <c r="S68" s="35">
        <f t="shared" si="10"/>
        <v>1</v>
      </c>
      <c r="T68" s="41">
        <f t="shared" si="11"/>
        <v>89.164484170409835</v>
      </c>
      <c r="U68" s="4"/>
      <c r="V68" s="4"/>
      <c r="W68" s="4"/>
    </row>
    <row r="69" spans="1:23" ht="15.75" customHeight="1">
      <c r="A69" s="31" t="s">
        <v>102</v>
      </c>
      <c r="B69" s="32">
        <v>2085</v>
      </c>
      <c r="C69" s="33">
        <f t="shared" si="12"/>
        <v>6.7208185216799804E-2</v>
      </c>
      <c r="D69" s="42">
        <v>4000</v>
      </c>
      <c r="E69" s="34">
        <f t="shared" si="1"/>
        <v>268832740867.19922</v>
      </c>
      <c r="F69" s="34">
        <f t="shared" si="2"/>
        <v>267488577162.86322</v>
      </c>
      <c r="G69" s="35">
        <f t="shared" si="18"/>
        <v>1</v>
      </c>
      <c r="H69" s="36">
        <f t="shared" si="3"/>
        <v>267488577162.86322</v>
      </c>
      <c r="I69" s="34">
        <f t="shared" si="19"/>
        <v>218823648121248.81</v>
      </c>
      <c r="J69" s="37">
        <f t="shared" si="20"/>
        <v>214525770795758.16</v>
      </c>
      <c r="K69" s="34">
        <f t="shared" si="4"/>
        <v>13522576253841.391</v>
      </c>
      <c r="L69" s="34">
        <f t="shared" si="5"/>
        <v>0</v>
      </c>
      <c r="M69" s="34">
        <f t="shared" si="6"/>
        <v>13522576253841.391</v>
      </c>
      <c r="N69" s="34">
        <f>M69*8.5%</f>
        <v>1149418981576.5183</v>
      </c>
      <c r="O69" s="38">
        <f t="shared" si="7"/>
        <v>12311291485903.549</v>
      </c>
      <c r="P69" s="39">
        <f t="shared" si="8"/>
        <v>1300000000000</v>
      </c>
      <c r="Q69" s="34">
        <f t="shared" si="9"/>
        <v>11011291485903.549</v>
      </c>
      <c r="R69" s="40">
        <v>10288456599</v>
      </c>
      <c r="S69" s="35">
        <f t="shared" si="10"/>
        <v>1</v>
      </c>
      <c r="T69" s="41">
        <f t="shared" si="11"/>
        <v>89.188073545888685</v>
      </c>
      <c r="U69" s="4"/>
      <c r="V69" s="4"/>
      <c r="W69" s="4"/>
    </row>
    <row r="70" spans="1:23" ht="15.75" customHeight="1">
      <c r="A70" s="31" t="s">
        <v>103</v>
      </c>
      <c r="B70" s="32">
        <v>2086</v>
      </c>
      <c r="C70" s="33">
        <f t="shared" si="12"/>
        <v>6.0487366695119824E-2</v>
      </c>
      <c r="D70" s="42">
        <v>4000</v>
      </c>
      <c r="E70" s="34">
        <f t="shared" si="1"/>
        <v>241949466780.47931</v>
      </c>
      <c r="F70" s="34">
        <f t="shared" si="2"/>
        <v>240739719446.5769</v>
      </c>
      <c r="G70" s="35">
        <f t="shared" si="18"/>
        <v>1</v>
      </c>
      <c r="H70" s="36">
        <f t="shared" si="3"/>
        <v>240739719446.5769</v>
      </c>
      <c r="I70" s="34">
        <f t="shared" si="19"/>
        <v>220213806822271.91</v>
      </c>
      <c r="J70" s="37">
        <f t="shared" si="20"/>
        <v>215807971532032.88</v>
      </c>
      <c r="K70" s="34">
        <f t="shared" si="4"/>
        <v>13600933868451.066</v>
      </c>
      <c r="L70" s="34">
        <f t="shared" si="5"/>
        <v>0</v>
      </c>
      <c r="M70" s="34">
        <f t="shared" si="6"/>
        <v>13600933868451.066</v>
      </c>
      <c r="N70" s="34">
        <f>M70*9%</f>
        <v>1224084048160.5959</v>
      </c>
      <c r="O70" s="38">
        <f t="shared" si="7"/>
        <v>12314965571189.018</v>
      </c>
      <c r="P70" s="39">
        <f t="shared" si="8"/>
        <v>1300000000000</v>
      </c>
      <c r="Q70" s="34">
        <f t="shared" si="9"/>
        <v>11014965571189.018</v>
      </c>
      <c r="R70" s="40">
        <v>10286708360</v>
      </c>
      <c r="S70" s="35">
        <f t="shared" si="10"/>
        <v>1</v>
      </c>
      <c r="T70" s="41">
        <f t="shared" si="11"/>
        <v>89.232995189054307</v>
      </c>
      <c r="U70" s="4"/>
      <c r="V70" s="4"/>
      <c r="W70" s="4"/>
    </row>
    <row r="71" spans="1:23" ht="15.75" customHeight="1">
      <c r="A71" s="31" t="s">
        <v>104</v>
      </c>
      <c r="B71" s="32">
        <v>2087</v>
      </c>
      <c r="C71" s="33">
        <f t="shared" si="12"/>
        <v>5.4438630025607844E-2</v>
      </c>
      <c r="D71" s="42">
        <v>4000</v>
      </c>
      <c r="E71" s="34">
        <f t="shared" si="1"/>
        <v>217754520102.43137</v>
      </c>
      <c r="F71" s="34">
        <f t="shared" si="2"/>
        <v>216665747501.91922</v>
      </c>
      <c r="G71" s="35">
        <f t="shared" si="18"/>
        <v>1</v>
      </c>
      <c r="H71" s="36">
        <f t="shared" si="3"/>
        <v>216665747501.91922</v>
      </c>
      <c r="I71" s="34">
        <f t="shared" si="19"/>
        <v>221654556617934.41</v>
      </c>
      <c r="J71" s="37">
        <f t="shared" si="20"/>
        <v>217140096967031.53</v>
      </c>
      <c r="K71" s="34">
        <f t="shared" si="4"/>
        <v>13682225395130.885</v>
      </c>
      <c r="L71" s="34">
        <f t="shared" si="5"/>
        <v>0</v>
      </c>
      <c r="M71" s="34">
        <f t="shared" si="6"/>
        <v>13682225395130.885</v>
      </c>
      <c r="N71" s="34">
        <f>M71*9.5%</f>
        <v>1299811412537.4341</v>
      </c>
      <c r="O71" s="38">
        <f t="shared" si="7"/>
        <v>12320501912680.484</v>
      </c>
      <c r="P71" s="39">
        <f t="shared" si="8"/>
        <v>1300000000000</v>
      </c>
      <c r="Q71" s="34">
        <f t="shared" si="9"/>
        <v>11020501912680.484</v>
      </c>
      <c r="R71" s="40">
        <v>10284111374</v>
      </c>
      <c r="S71" s="35">
        <f t="shared" si="10"/>
        <v>1</v>
      </c>
      <c r="T71" s="41">
        <f t="shared" si="11"/>
        <v>89.300390280860881</v>
      </c>
      <c r="U71" s="4"/>
      <c r="V71" s="4"/>
      <c r="W71" s="4"/>
    </row>
    <row r="72" spans="1:23" ht="15.75" customHeight="1">
      <c r="A72" s="31" t="s">
        <v>105</v>
      </c>
      <c r="B72" s="32">
        <v>2088</v>
      </c>
      <c r="C72" s="33">
        <f t="shared" si="12"/>
        <v>4.8994767023047059E-2</v>
      </c>
      <c r="D72" s="42">
        <v>4000</v>
      </c>
      <c r="E72" s="34">
        <f t="shared" si="1"/>
        <v>195979068092.18823</v>
      </c>
      <c r="F72" s="34">
        <f t="shared" si="2"/>
        <v>194999172751.72729</v>
      </c>
      <c r="G72" s="35">
        <f t="shared" si="18"/>
        <v>1</v>
      </c>
      <c r="H72" s="36">
        <f t="shared" si="3"/>
        <v>194999172751.72729</v>
      </c>
      <c r="I72" s="34">
        <f t="shared" si="19"/>
        <v>223149367203223.56</v>
      </c>
      <c r="J72" s="37">
        <f t="shared" si="20"/>
        <v>218525590098544.53</v>
      </c>
      <c r="K72" s="34">
        <f t="shared" si="4"/>
        <v>13766682147709.799</v>
      </c>
      <c r="L72" s="34">
        <f t="shared" si="5"/>
        <v>0</v>
      </c>
      <c r="M72" s="34">
        <f t="shared" si="6"/>
        <v>13766682147709.799</v>
      </c>
      <c r="N72" s="34">
        <f t="shared" ref="N72:N84" si="21">M72*$N$5</f>
        <v>1376668214770.98</v>
      </c>
      <c r="O72" s="38">
        <f t="shared" si="7"/>
        <v>12328063863274.125</v>
      </c>
      <c r="P72" s="39">
        <f t="shared" si="8"/>
        <v>1300000000000</v>
      </c>
      <c r="Q72" s="34">
        <f t="shared" si="9"/>
        <v>11028063863274.125</v>
      </c>
      <c r="R72" s="40">
        <v>10280704572</v>
      </c>
      <c r="S72" s="35">
        <f t="shared" si="10"/>
        <v>1</v>
      </c>
      <c r="T72" s="41">
        <f t="shared" si="11"/>
        <v>89.39127814668133</v>
      </c>
      <c r="U72" s="4"/>
      <c r="V72" s="4"/>
      <c r="W72" s="4"/>
    </row>
    <row r="73" spans="1:23" ht="15.75" customHeight="1">
      <c r="A73" s="31" t="s">
        <v>106</v>
      </c>
      <c r="B73" s="32">
        <v>2089</v>
      </c>
      <c r="C73" s="33">
        <f t="shared" si="12"/>
        <v>4.4095290320742352E-2</v>
      </c>
      <c r="D73" s="42">
        <v>4000</v>
      </c>
      <c r="E73" s="34">
        <f t="shared" si="1"/>
        <v>176381161282.96939</v>
      </c>
      <c r="F73" s="34">
        <f t="shared" si="2"/>
        <v>175499255476.55453</v>
      </c>
      <c r="G73" s="35">
        <f t="shared" si="18"/>
        <v>1</v>
      </c>
      <c r="H73" s="36">
        <f t="shared" si="3"/>
        <v>175499255476.55453</v>
      </c>
      <c r="I73" s="34">
        <f t="shared" si="19"/>
        <v>224701534673471.09</v>
      </c>
      <c r="J73" s="37">
        <f t="shared" si="20"/>
        <v>219967718690007.69</v>
      </c>
      <c r="K73" s="34">
        <f t="shared" si="4"/>
        <v>13854522412247.723</v>
      </c>
      <c r="L73" s="34">
        <f t="shared" si="5"/>
        <v>0</v>
      </c>
      <c r="M73" s="34">
        <f t="shared" si="6"/>
        <v>13854522412247.723</v>
      </c>
      <c r="N73" s="34">
        <f t="shared" si="21"/>
        <v>1385452241224.7725</v>
      </c>
      <c r="O73" s="38">
        <f t="shared" si="7"/>
        <v>12406724820167.834</v>
      </c>
      <c r="P73" s="39">
        <f t="shared" si="8"/>
        <v>1300000000000</v>
      </c>
      <c r="Q73" s="34">
        <f t="shared" si="9"/>
        <v>11106724820167.834</v>
      </c>
      <c r="R73" s="40">
        <v>10276518280</v>
      </c>
      <c r="S73" s="35">
        <f t="shared" si="10"/>
        <v>1</v>
      </c>
      <c r="T73" s="41">
        <f t="shared" si="11"/>
        <v>90.065562719035313</v>
      </c>
      <c r="U73" s="4"/>
      <c r="V73" s="4"/>
      <c r="W73" s="4"/>
    </row>
    <row r="74" spans="1:23" ht="15.75" customHeight="1">
      <c r="A74" s="31" t="s">
        <v>107</v>
      </c>
      <c r="B74" s="32">
        <v>2090</v>
      </c>
      <c r="C74" s="33">
        <f t="shared" si="12"/>
        <v>3.9685761288668117E-2</v>
      </c>
      <c r="D74" s="42">
        <v>4000</v>
      </c>
      <c r="E74" s="34">
        <f t="shared" si="1"/>
        <v>158743045154.67249</v>
      </c>
      <c r="F74" s="34">
        <f t="shared" si="2"/>
        <v>157949329928.89911</v>
      </c>
      <c r="G74" s="35">
        <f t="shared" si="18"/>
        <v>1</v>
      </c>
      <c r="H74" s="36">
        <f t="shared" si="3"/>
        <v>157949329928.89911</v>
      </c>
      <c r="I74" s="34">
        <f t="shared" si="19"/>
        <v>226244936244624.78</v>
      </c>
      <c r="J74" s="37">
        <f t="shared" si="20"/>
        <v>221400364701030.81</v>
      </c>
      <c r="K74" s="34">
        <f t="shared" si="4"/>
        <v>13945953364946.486</v>
      </c>
      <c r="L74" s="34">
        <f t="shared" si="5"/>
        <v>0</v>
      </c>
      <c r="M74" s="34">
        <f t="shared" si="6"/>
        <v>13945953364946.486</v>
      </c>
      <c r="N74" s="34">
        <f t="shared" si="21"/>
        <v>1394595336494.6487</v>
      </c>
      <c r="O74" s="38">
        <f t="shared" si="7"/>
        <v>12488601238309.578</v>
      </c>
      <c r="P74" s="39">
        <f t="shared" si="8"/>
        <v>1300000000000</v>
      </c>
      <c r="Q74" s="34">
        <f t="shared" si="9"/>
        <v>11188601238309.578</v>
      </c>
      <c r="R74" s="40">
        <v>10271565070</v>
      </c>
      <c r="S74" s="35">
        <f t="shared" si="10"/>
        <v>1</v>
      </c>
      <c r="T74" s="41">
        <f t="shared" si="11"/>
        <v>90.773259008892026</v>
      </c>
      <c r="U74" s="4"/>
      <c r="V74" s="4"/>
      <c r="W74" s="4"/>
    </row>
    <row r="75" spans="1:23" ht="15.75" customHeight="1">
      <c r="A75" s="31" t="s">
        <v>108</v>
      </c>
      <c r="B75" s="32">
        <v>2091</v>
      </c>
      <c r="C75" s="33">
        <f t="shared" si="12"/>
        <v>3.571718515980131E-2</v>
      </c>
      <c r="D75" s="42">
        <v>4000</v>
      </c>
      <c r="E75" s="34">
        <f t="shared" si="1"/>
        <v>142868740639.20523</v>
      </c>
      <c r="F75" s="34">
        <f t="shared" si="2"/>
        <v>142154396936.00922</v>
      </c>
      <c r="G75" s="35">
        <f t="shared" si="18"/>
        <v>1</v>
      </c>
      <c r="H75" s="36">
        <f t="shared" si="3"/>
        <v>142154396936.00922</v>
      </c>
      <c r="I75" s="34">
        <f t="shared" si="19"/>
        <v>227781685978055.44</v>
      </c>
      <c r="J75" s="37">
        <f t="shared" si="20"/>
        <v>222825645877244.25</v>
      </c>
      <c r="K75" s="34">
        <f t="shared" si="4"/>
        <v>14036783122045.354</v>
      </c>
      <c r="L75" s="34">
        <f t="shared" si="5"/>
        <v>0</v>
      </c>
      <c r="M75" s="34">
        <f t="shared" si="6"/>
        <v>14036783122045.354</v>
      </c>
      <c r="N75" s="34">
        <f t="shared" si="21"/>
        <v>1403678312204.5354</v>
      </c>
      <c r="O75" s="38">
        <f t="shared" si="7"/>
        <v>12569939285791.613</v>
      </c>
      <c r="P75" s="39">
        <f t="shared" si="8"/>
        <v>1300000000000</v>
      </c>
      <c r="Q75" s="34">
        <f t="shared" si="9"/>
        <v>11269939285791.613</v>
      </c>
      <c r="R75" s="40">
        <v>10265861714</v>
      </c>
      <c r="S75" s="35">
        <f t="shared" si="10"/>
        <v>1</v>
      </c>
      <c r="T75" s="41">
        <f t="shared" si="11"/>
        <v>91.483952668924587</v>
      </c>
      <c r="U75" s="4"/>
      <c r="V75" s="4"/>
      <c r="W75" s="4"/>
    </row>
    <row r="76" spans="1:23" ht="15.75" customHeight="1">
      <c r="A76" s="31" t="s">
        <v>109</v>
      </c>
      <c r="B76" s="32">
        <v>2092</v>
      </c>
      <c r="C76" s="33">
        <f t="shared" si="12"/>
        <v>3.2145466643821181E-2</v>
      </c>
      <c r="D76" s="42">
        <v>4000</v>
      </c>
      <c r="E76" s="34">
        <f t="shared" si="1"/>
        <v>128581866575.28471</v>
      </c>
      <c r="F76" s="34">
        <f t="shared" si="2"/>
        <v>127938957242.40829</v>
      </c>
      <c r="G76" s="35">
        <f t="shared" si="18"/>
        <v>1</v>
      </c>
      <c r="H76" s="36">
        <f t="shared" si="3"/>
        <v>127938957242.40829</v>
      </c>
      <c r="I76" s="34">
        <f t="shared" si="19"/>
        <v>229313303247502.38</v>
      </c>
      <c r="J76" s="37">
        <f t="shared" si="20"/>
        <v>224245084515117.84</v>
      </c>
      <c r="K76" s="34">
        <f t="shared" si="4"/>
        <v>14127145948617.285</v>
      </c>
      <c r="L76" s="34">
        <f t="shared" si="5"/>
        <v>0</v>
      </c>
      <c r="M76" s="34">
        <f t="shared" si="6"/>
        <v>14127145948617.285</v>
      </c>
      <c r="N76" s="34">
        <f t="shared" si="21"/>
        <v>1412714594861.7285</v>
      </c>
      <c r="O76" s="38">
        <f t="shared" si="7"/>
        <v>12650859196986.779</v>
      </c>
      <c r="P76" s="39">
        <f t="shared" si="8"/>
        <v>1300000000000</v>
      </c>
      <c r="Q76" s="34">
        <f t="shared" si="9"/>
        <v>11350859196986.779</v>
      </c>
      <c r="R76" s="40">
        <v>10259408375</v>
      </c>
      <c r="S76" s="35">
        <f t="shared" si="10"/>
        <v>1</v>
      </c>
      <c r="T76" s="41">
        <f t="shared" si="11"/>
        <v>92.198779745155775</v>
      </c>
      <c r="U76" s="4"/>
      <c r="V76" s="4"/>
      <c r="W76" s="4"/>
    </row>
    <row r="77" spans="1:23" ht="15.75" customHeight="1">
      <c r="A77" s="31" t="s">
        <v>110</v>
      </c>
      <c r="B77" s="32">
        <v>2093</v>
      </c>
      <c r="C77" s="33">
        <f t="shared" si="12"/>
        <v>2.8930919979439064E-2</v>
      </c>
      <c r="D77" s="42">
        <v>4000</v>
      </c>
      <c r="E77" s="34">
        <f t="shared" si="1"/>
        <v>115723679917.75626</v>
      </c>
      <c r="F77" s="34">
        <f t="shared" si="2"/>
        <v>115145061518.16748</v>
      </c>
      <c r="G77" s="35">
        <f t="shared" si="18"/>
        <v>1</v>
      </c>
      <c r="H77" s="36">
        <f t="shared" si="3"/>
        <v>115145061518.16748</v>
      </c>
      <c r="I77" s="34">
        <f t="shared" si="19"/>
        <v>230841162903882.25</v>
      </c>
      <c r="J77" s="37">
        <f t="shared" si="20"/>
        <v>225660057699411.97</v>
      </c>
      <c r="K77" s="34">
        <f t="shared" si="4"/>
        <v>14217138358258.471</v>
      </c>
      <c r="L77" s="34">
        <f t="shared" si="5"/>
        <v>0</v>
      </c>
      <c r="M77" s="34">
        <f t="shared" si="6"/>
        <v>14217138358258.471</v>
      </c>
      <c r="N77" s="34">
        <f t="shared" si="21"/>
        <v>1421713835825.8472</v>
      </c>
      <c r="O77" s="38">
        <f t="shared" si="7"/>
        <v>12731447399820.459</v>
      </c>
      <c r="P77" s="39">
        <f t="shared" si="8"/>
        <v>1300000000000</v>
      </c>
      <c r="Q77" s="34">
        <f t="shared" si="9"/>
        <v>11431447399820.459</v>
      </c>
      <c r="R77" s="40">
        <v>10252184759</v>
      </c>
      <c r="S77" s="35">
        <f t="shared" si="10"/>
        <v>1</v>
      </c>
      <c r="T77" s="41">
        <f t="shared" si="11"/>
        <v>92.918791364488015</v>
      </c>
      <c r="U77" s="4"/>
      <c r="V77" s="4"/>
      <c r="W77" s="4"/>
    </row>
    <row r="78" spans="1:23" ht="15.75" customHeight="1">
      <c r="A78" s="31" t="s">
        <v>111</v>
      </c>
      <c r="B78" s="32">
        <v>2094</v>
      </c>
      <c r="C78" s="33">
        <f t="shared" si="12"/>
        <v>2.6037827981495159E-2</v>
      </c>
      <c r="D78" s="42">
        <v>4000</v>
      </c>
      <c r="E78" s="34">
        <f t="shared" si="1"/>
        <v>104151311925.98064</v>
      </c>
      <c r="F78" s="34">
        <f t="shared" si="2"/>
        <v>103630555366.35074</v>
      </c>
      <c r="G78" s="35">
        <f t="shared" si="18"/>
        <v>1</v>
      </c>
      <c r="H78" s="36">
        <f t="shared" si="3"/>
        <v>103630555366.35074</v>
      </c>
      <c r="I78" s="34">
        <f t="shared" si="19"/>
        <v>232366507295074.44</v>
      </c>
      <c r="J78" s="37">
        <f t="shared" si="20"/>
        <v>227071809389558.88</v>
      </c>
      <c r="K78" s="34">
        <f t="shared" si="4"/>
        <v>14306847658142.719</v>
      </c>
      <c r="L78" s="34">
        <f t="shared" si="5"/>
        <v>0</v>
      </c>
      <c r="M78" s="34">
        <f t="shared" si="6"/>
        <v>14306847658142.719</v>
      </c>
      <c r="N78" s="34">
        <f t="shared" si="21"/>
        <v>1430684765814.272</v>
      </c>
      <c r="O78" s="38">
        <f t="shared" si="7"/>
        <v>12811782077866.805</v>
      </c>
      <c r="P78" s="39">
        <f t="shared" si="8"/>
        <v>1300000000000</v>
      </c>
      <c r="Q78" s="34">
        <f t="shared" si="9"/>
        <v>11511782077866.805</v>
      </c>
      <c r="R78" s="40">
        <v>10244185837</v>
      </c>
      <c r="S78" s="35">
        <f t="shared" si="10"/>
        <v>1</v>
      </c>
      <c r="T78" s="41">
        <f t="shared" si="11"/>
        <v>93.644842881579507</v>
      </c>
      <c r="U78" s="4"/>
      <c r="V78" s="4"/>
      <c r="W78" s="4"/>
    </row>
    <row r="79" spans="1:23" ht="15.75" customHeight="1">
      <c r="A79" s="31" t="s">
        <v>112</v>
      </c>
      <c r="B79" s="32">
        <v>2095</v>
      </c>
      <c r="C79" s="33">
        <f t="shared" si="12"/>
        <v>2.3434045183345645E-2</v>
      </c>
      <c r="D79" s="42">
        <v>4000</v>
      </c>
      <c r="E79" s="34">
        <f t="shared" si="1"/>
        <v>93736180733.382584</v>
      </c>
      <c r="F79" s="34">
        <f t="shared" si="2"/>
        <v>93267499829.715668</v>
      </c>
      <c r="G79" s="35">
        <f t="shared" si="18"/>
        <v>1</v>
      </c>
      <c r="H79" s="36">
        <f t="shared" si="3"/>
        <v>93267499829.715668</v>
      </c>
      <c r="I79" s="34">
        <f t="shared" si="19"/>
        <v>233890459560718.44</v>
      </c>
      <c r="J79" s="37">
        <f t="shared" si="20"/>
        <v>228481463774375.28</v>
      </c>
      <c r="K79" s="34">
        <f t="shared" si="4"/>
        <v>14396352715298.031</v>
      </c>
      <c r="L79" s="34">
        <f t="shared" si="5"/>
        <v>0</v>
      </c>
      <c r="M79" s="34">
        <f t="shared" si="6"/>
        <v>14396352715298.031</v>
      </c>
      <c r="N79" s="34">
        <f t="shared" si="21"/>
        <v>1439635271529.8032</v>
      </c>
      <c r="O79" s="38">
        <f t="shared" si="7"/>
        <v>12891933856549.387</v>
      </c>
      <c r="P79" s="39">
        <f t="shared" si="8"/>
        <v>1300000000000</v>
      </c>
      <c r="Q79" s="34">
        <f t="shared" si="9"/>
        <v>11591933856549.387</v>
      </c>
      <c r="R79" s="40">
        <v>10235403601</v>
      </c>
      <c r="S79" s="35">
        <f t="shared" si="10"/>
        <v>1</v>
      </c>
      <c r="T79" s="41">
        <f t="shared" si="11"/>
        <v>94.377762294728129</v>
      </c>
      <c r="U79" s="4"/>
      <c r="V79" s="4"/>
      <c r="W79" s="4"/>
    </row>
    <row r="80" spans="1:23" ht="15.75" customHeight="1">
      <c r="A80" s="31" t="s">
        <v>113</v>
      </c>
      <c r="B80" s="32">
        <v>2096</v>
      </c>
      <c r="C80" s="33">
        <f t="shared" si="12"/>
        <v>2.1090640665011082E-2</v>
      </c>
      <c r="D80" s="42">
        <v>4000</v>
      </c>
      <c r="E80" s="34">
        <f t="shared" si="1"/>
        <v>84362562660.044327</v>
      </c>
      <c r="F80" s="34">
        <f t="shared" si="2"/>
        <v>83940749846.74411</v>
      </c>
      <c r="G80" s="35">
        <f t="shared" si="18"/>
        <v>1</v>
      </c>
      <c r="H80" s="36">
        <f t="shared" si="3"/>
        <v>83940749846.74411</v>
      </c>
      <c r="I80" s="34">
        <f t="shared" si="19"/>
        <v>235414035582095</v>
      </c>
      <c r="J80" s="37">
        <f t="shared" si="20"/>
        <v>229890037275853.97</v>
      </c>
      <c r="K80" s="34">
        <f t="shared" si="4"/>
        <v>14485724803295.393</v>
      </c>
      <c r="L80" s="34">
        <f t="shared" si="5"/>
        <v>0</v>
      </c>
      <c r="M80" s="34">
        <f t="shared" si="6"/>
        <v>14485724803295.393</v>
      </c>
      <c r="N80" s="34">
        <f t="shared" si="21"/>
        <v>1448572480329.5393</v>
      </c>
      <c r="O80" s="38">
        <f t="shared" si="7"/>
        <v>12971966561351.023</v>
      </c>
      <c r="P80" s="39">
        <f t="shared" si="8"/>
        <v>1300000000000</v>
      </c>
      <c r="Q80" s="34">
        <f t="shared" si="9"/>
        <v>11671966561351.023</v>
      </c>
      <c r="R80" s="40">
        <v>10225850874</v>
      </c>
      <c r="S80" s="35">
        <f t="shared" si="10"/>
        <v>1</v>
      </c>
      <c r="T80" s="41">
        <f t="shared" si="11"/>
        <v>95.118136583201775</v>
      </c>
      <c r="U80" s="4"/>
      <c r="V80" s="4"/>
      <c r="W80" s="4"/>
    </row>
    <row r="81" spans="1:23" ht="15.75" customHeight="1">
      <c r="A81" s="31" t="s">
        <v>114</v>
      </c>
      <c r="B81" s="32">
        <v>2097</v>
      </c>
      <c r="C81" s="33">
        <f t="shared" si="12"/>
        <v>1.8981576598509974E-2</v>
      </c>
      <c r="D81" s="42">
        <v>4000</v>
      </c>
      <c r="E81" s="34">
        <f t="shared" si="1"/>
        <v>75926306394.039902</v>
      </c>
      <c r="F81" s="34">
        <f t="shared" si="2"/>
        <v>75546674862.069702</v>
      </c>
      <c r="G81" s="35">
        <f t="shared" si="18"/>
        <v>1</v>
      </c>
      <c r="H81" s="36">
        <f t="shared" si="3"/>
        <v>75546674862.069702</v>
      </c>
      <c r="I81" s="34">
        <f t="shared" si="19"/>
        <v>236938154737286.59</v>
      </c>
      <c r="J81" s="37">
        <f t="shared" si="20"/>
        <v>231298449352830.06</v>
      </c>
      <c r="K81" s="34">
        <f t="shared" si="4"/>
        <v>14575028363289.141</v>
      </c>
      <c r="L81" s="34">
        <f t="shared" si="5"/>
        <v>0</v>
      </c>
      <c r="M81" s="34">
        <f t="shared" si="6"/>
        <v>14575028363289.141</v>
      </c>
      <c r="N81" s="34">
        <f t="shared" si="21"/>
        <v>1457502836328.9141</v>
      </c>
      <c r="O81" s="38">
        <f t="shared" si="7"/>
        <v>13051937899325.426</v>
      </c>
      <c r="P81" s="39">
        <f t="shared" si="8"/>
        <v>1300000000000</v>
      </c>
      <c r="Q81" s="34">
        <f t="shared" si="9"/>
        <v>11751937899325.426</v>
      </c>
      <c r="R81" s="40">
        <v>10215549310</v>
      </c>
      <c r="S81" s="35">
        <f t="shared" si="10"/>
        <v>1</v>
      </c>
      <c r="T81" s="41">
        <f t="shared" si="11"/>
        <v>95.866421722271411</v>
      </c>
      <c r="U81" s="4"/>
      <c r="V81" s="4"/>
      <c r="W81" s="4"/>
    </row>
    <row r="82" spans="1:23" ht="15.75" customHeight="1">
      <c r="A82" s="31" t="s">
        <v>115</v>
      </c>
      <c r="B82" s="32">
        <v>2098</v>
      </c>
      <c r="C82" s="33">
        <f t="shared" si="12"/>
        <v>1.7083418938658976E-2</v>
      </c>
      <c r="D82" s="42">
        <v>4000</v>
      </c>
      <c r="E82" s="34">
        <f t="shared" si="1"/>
        <v>68333675754.635902</v>
      </c>
      <c r="F82" s="34">
        <f t="shared" si="2"/>
        <v>67992007375.862724</v>
      </c>
      <c r="G82" s="35">
        <f t="shared" si="18"/>
        <v>1</v>
      </c>
      <c r="H82" s="36">
        <f t="shared" si="3"/>
        <v>67992007375.862724</v>
      </c>
      <c r="I82" s="34">
        <f t="shared" si="19"/>
        <v>238463649580991.38</v>
      </c>
      <c r="J82" s="37">
        <f t="shared" si="20"/>
        <v>232707532224436.59</v>
      </c>
      <c r="K82" s="34">
        <f t="shared" si="4"/>
        <v>14664321688969.426</v>
      </c>
      <c r="L82" s="34">
        <f t="shared" si="5"/>
        <v>0</v>
      </c>
      <c r="M82" s="34">
        <f t="shared" si="6"/>
        <v>14664321688969.426</v>
      </c>
      <c r="N82" s="34">
        <f t="shared" si="21"/>
        <v>1466432168896.9426</v>
      </c>
      <c r="O82" s="38">
        <f t="shared" si="7"/>
        <v>13131900072472.119</v>
      </c>
      <c r="P82" s="39">
        <f t="shared" si="8"/>
        <v>1300000000000</v>
      </c>
      <c r="Q82" s="34">
        <f t="shared" si="9"/>
        <v>11831900072472.119</v>
      </c>
      <c r="R82" s="40">
        <v>10204489862</v>
      </c>
      <c r="S82" s="35">
        <f t="shared" si="10"/>
        <v>1</v>
      </c>
      <c r="T82" s="41">
        <f t="shared" si="11"/>
        <v>96.623318366721705</v>
      </c>
      <c r="U82" s="4"/>
      <c r="V82" s="4"/>
      <c r="W82" s="4"/>
    </row>
    <row r="83" spans="1:23" ht="15.75" customHeight="1">
      <c r="A83" s="31" t="s">
        <v>116</v>
      </c>
      <c r="B83" s="32">
        <v>2099</v>
      </c>
      <c r="C83" s="33">
        <f t="shared" si="12"/>
        <v>1.537507704479308E-2</v>
      </c>
      <c r="D83" s="42">
        <v>4000</v>
      </c>
      <c r="E83" s="34">
        <f t="shared" si="1"/>
        <v>61500308179.172325</v>
      </c>
      <c r="F83" s="34">
        <f t="shared" si="2"/>
        <v>61192806638.276466</v>
      </c>
      <c r="G83" s="35">
        <f t="shared" si="18"/>
        <v>1</v>
      </c>
      <c r="H83" s="36">
        <f t="shared" si="3"/>
        <v>61192806638.276466</v>
      </c>
      <c r="I83" s="34">
        <f t="shared" si="19"/>
        <v>239991274556526.59</v>
      </c>
      <c r="J83" s="37">
        <f t="shared" si="20"/>
        <v>234118039621371.84</v>
      </c>
      <c r="K83" s="34">
        <f t="shared" si="4"/>
        <v>14753657543029.279</v>
      </c>
      <c r="L83" s="34">
        <f t="shared" si="5"/>
        <v>0</v>
      </c>
      <c r="M83" s="34">
        <f t="shared" si="6"/>
        <v>14753657543029.279</v>
      </c>
      <c r="N83" s="34">
        <f t="shared" si="21"/>
        <v>1475365754302.928</v>
      </c>
      <c r="O83" s="38">
        <f t="shared" si="7"/>
        <v>13211900329782.721</v>
      </c>
      <c r="P83" s="39">
        <f t="shared" si="8"/>
        <v>1300000000000</v>
      </c>
      <c r="Q83" s="34">
        <f t="shared" si="9"/>
        <v>11911900329782.721</v>
      </c>
      <c r="R83" s="40">
        <v>10192689066</v>
      </c>
      <c r="S83" s="35">
        <f t="shared" si="10"/>
        <v>1</v>
      </c>
      <c r="T83" s="41">
        <f t="shared" si="11"/>
        <v>97.389251686923444</v>
      </c>
      <c r="U83" s="4"/>
      <c r="V83" s="4"/>
      <c r="W83" s="4"/>
    </row>
    <row r="84" spans="1:23" ht="15.75" customHeight="1">
      <c r="A84" s="31" t="s">
        <v>117</v>
      </c>
      <c r="B84" s="32">
        <v>2100</v>
      </c>
      <c r="C84" s="33">
        <f t="shared" si="12"/>
        <v>1.3837569340313773E-2</v>
      </c>
      <c r="D84" s="42">
        <v>4000</v>
      </c>
      <c r="E84" s="34">
        <f t="shared" si="1"/>
        <v>55350277361.255089</v>
      </c>
      <c r="F84" s="34">
        <f t="shared" si="2"/>
        <v>55073525974.448814</v>
      </c>
      <c r="G84" s="35">
        <f t="shared" si="18"/>
        <v>1</v>
      </c>
      <c r="H84" s="36">
        <f t="shared" si="3"/>
        <v>55073525974.448814</v>
      </c>
      <c r="I84" s="34">
        <f t="shared" si="19"/>
        <v>241521713836803.97</v>
      </c>
      <c r="J84" s="37">
        <f t="shared" si="20"/>
        <v>235530654662198.41</v>
      </c>
      <c r="K84" s="34">
        <f t="shared" si="4"/>
        <v>14843083711994.975</v>
      </c>
      <c r="L84" s="34">
        <f t="shared" si="5"/>
        <v>0</v>
      </c>
      <c r="M84" s="34">
        <f t="shared" si="6"/>
        <v>14843083711994.975</v>
      </c>
      <c r="N84" s="34">
        <f t="shared" si="21"/>
        <v>1484308371199.4976</v>
      </c>
      <c r="O84" s="38">
        <f t="shared" si="7"/>
        <v>13291981464091.5</v>
      </c>
      <c r="P84" s="39">
        <f t="shared" si="8"/>
        <v>1300000000000</v>
      </c>
      <c r="Q84" s="34">
        <f t="shared" si="9"/>
        <v>11991981464091.5</v>
      </c>
      <c r="R84" s="40">
        <v>10180160751</v>
      </c>
      <c r="S84" s="35">
        <f t="shared" si="10"/>
        <v>1</v>
      </c>
      <c r="T84" s="41">
        <f t="shared" si="11"/>
        <v>98.164637388081232</v>
      </c>
      <c r="U84" s="4"/>
      <c r="V84" s="4"/>
      <c r="W84" s="4"/>
    </row>
    <row r="85" spans="1:23" ht="15.75" customHeight="1">
      <c r="A85" s="31" t="s">
        <v>118</v>
      </c>
      <c r="B85" s="32">
        <v>2101</v>
      </c>
      <c r="C85" s="33">
        <f t="shared" si="12"/>
        <v>1.2453812406282396E-2</v>
      </c>
      <c r="D85" s="42">
        <v>4000</v>
      </c>
      <c r="E85" s="34">
        <f t="shared" si="1"/>
        <v>49815249625.129585</v>
      </c>
      <c r="F85" s="34">
        <f t="shared" si="2"/>
        <v>49566173377.003937</v>
      </c>
      <c r="G85" s="35">
        <f t="shared" si="18"/>
        <v>1</v>
      </c>
      <c r="H85" s="36">
        <f t="shared" si="3"/>
        <v>49566173377.003937</v>
      </c>
      <c r="I85" s="34">
        <f t="shared" si="19"/>
        <v>243055588381380.47</v>
      </c>
      <c r="J85" s="37">
        <f t="shared" si="20"/>
        <v>236945996942171.53</v>
      </c>
      <c r="K85" s="34">
        <f t="shared" si="4"/>
        <v>14932643505583.379</v>
      </c>
      <c r="L85" s="34">
        <f t="shared" si="5"/>
        <v>0</v>
      </c>
      <c r="M85" s="34">
        <f t="shared" si="6"/>
        <v>14932643505583.379</v>
      </c>
      <c r="N85" s="34">
        <f>M85*9%</f>
        <v>1343937915502.5042</v>
      </c>
      <c r="O85" s="38">
        <f t="shared" si="7"/>
        <v>13520762062130.471</v>
      </c>
      <c r="P85" s="39">
        <f t="shared" si="8"/>
        <v>1300000000000</v>
      </c>
      <c r="Q85" s="34">
        <f t="shared" si="9"/>
        <v>12220762062130.471</v>
      </c>
      <c r="R85" s="40">
        <f t="shared" ref="R85:R184" si="22">R84*99.9%</f>
        <v>10169980590.249001</v>
      </c>
      <c r="S85" s="35">
        <f t="shared" si="10"/>
        <v>1</v>
      </c>
      <c r="T85" s="41">
        <f t="shared" si="11"/>
        <v>100.13754003496463</v>
      </c>
      <c r="U85" s="4"/>
      <c r="V85" s="4"/>
      <c r="W85" s="4"/>
    </row>
    <row r="86" spans="1:23" ht="15.75" customHeight="1">
      <c r="A86" s="31" t="s">
        <v>119</v>
      </c>
      <c r="B86" s="32">
        <v>2102</v>
      </c>
      <c r="C86" s="33">
        <f t="shared" si="12"/>
        <v>1.1208431165654157E-2</v>
      </c>
      <c r="D86" s="42">
        <v>4000</v>
      </c>
      <c r="E86" s="34">
        <f t="shared" si="1"/>
        <v>44833724662.616623</v>
      </c>
      <c r="F86" s="34">
        <f t="shared" si="2"/>
        <v>44609556039.303543</v>
      </c>
      <c r="G86" s="35">
        <f t="shared" si="18"/>
        <v>1</v>
      </c>
      <c r="H86" s="36">
        <f t="shared" si="3"/>
        <v>44609556039.303543</v>
      </c>
      <c r="I86" s="34">
        <f t="shared" si="19"/>
        <v>244444135852922.28</v>
      </c>
      <c r="J86" s="37">
        <f t="shared" si="20"/>
        <v>238215377141506.5</v>
      </c>
      <c r="K86" s="34">
        <f t="shared" si="4"/>
        <v>15022376206133.674</v>
      </c>
      <c r="L86" s="34">
        <f t="shared" si="5"/>
        <v>0</v>
      </c>
      <c r="M86" s="34">
        <f t="shared" si="6"/>
        <v>15022376206133.674</v>
      </c>
      <c r="N86" s="34">
        <f>M86*9.5%</f>
        <v>1427125739582.699</v>
      </c>
      <c r="O86" s="38">
        <f t="shared" si="7"/>
        <v>13527274214218.219</v>
      </c>
      <c r="P86" s="39">
        <f t="shared" si="8"/>
        <v>1300000000000</v>
      </c>
      <c r="Q86" s="34">
        <f t="shared" si="9"/>
        <v>12227274214218.219</v>
      </c>
      <c r="R86" s="40">
        <f t="shared" si="22"/>
        <v>10159810609.658752</v>
      </c>
      <c r="S86" s="35">
        <f t="shared" si="10"/>
        <v>1</v>
      </c>
      <c r="T86" s="41">
        <f t="shared" si="11"/>
        <v>100.29119212939172</v>
      </c>
      <c r="U86" s="4"/>
      <c r="V86" s="4"/>
      <c r="W86" s="4"/>
    </row>
    <row r="87" spans="1:23" ht="15.75" customHeight="1">
      <c r="A87" s="31" t="s">
        <v>120</v>
      </c>
      <c r="B87" s="32">
        <v>2103</v>
      </c>
      <c r="C87" s="33">
        <f t="shared" si="12"/>
        <v>1.0087588049088742E-2</v>
      </c>
      <c r="D87" s="42">
        <v>4000</v>
      </c>
      <c r="E87" s="34">
        <f t="shared" si="1"/>
        <v>40350352196.354965</v>
      </c>
      <c r="F87" s="34">
        <f t="shared" si="2"/>
        <v>40148600435.373192</v>
      </c>
      <c r="G87" s="35">
        <f t="shared" si="18"/>
        <v>1</v>
      </c>
      <c r="H87" s="36">
        <f t="shared" si="3"/>
        <v>40148600435.373192</v>
      </c>
      <c r="I87" s="34">
        <f t="shared" si="19"/>
        <v>245911410192940.34</v>
      </c>
      <c r="J87" s="37">
        <f t="shared" si="20"/>
        <v>239562810155783.81</v>
      </c>
      <c r="K87" s="34">
        <f t="shared" si="4"/>
        <v>15102854910771.512</v>
      </c>
      <c r="L87" s="34">
        <f t="shared" si="5"/>
        <v>0</v>
      </c>
      <c r="M87" s="34">
        <f t="shared" si="6"/>
        <v>15102854910771.512</v>
      </c>
      <c r="N87" s="34">
        <f t="shared" ref="N87:N184" si="23">M87*$N$5</f>
        <v>1510285491077.1514</v>
      </c>
      <c r="O87" s="38">
        <f t="shared" si="7"/>
        <v>13524606572595.887</v>
      </c>
      <c r="P87" s="39">
        <f t="shared" si="8"/>
        <v>1300000000000</v>
      </c>
      <c r="Q87" s="34">
        <f t="shared" si="9"/>
        <v>12224606572595.887</v>
      </c>
      <c r="R87" s="40">
        <f t="shared" si="22"/>
        <v>10149650799.049095</v>
      </c>
      <c r="S87" s="35">
        <f t="shared" si="10"/>
        <v>1</v>
      </c>
      <c r="T87" s="41">
        <f t="shared" si="11"/>
        <v>100.36968114000854</v>
      </c>
      <c r="U87" s="4"/>
      <c r="V87" s="4"/>
      <c r="W87" s="4"/>
    </row>
    <row r="88" spans="1:23" ht="15.75" customHeight="1">
      <c r="A88" s="31" t="s">
        <v>121</v>
      </c>
      <c r="B88" s="32">
        <v>2104</v>
      </c>
      <c r="C88" s="33">
        <f t="shared" si="12"/>
        <v>9.0788292441798674E-3</v>
      </c>
      <c r="D88" s="42">
        <v>4000</v>
      </c>
      <c r="E88" s="34">
        <f t="shared" si="1"/>
        <v>36315316976.719475</v>
      </c>
      <c r="F88" s="34">
        <f t="shared" si="2"/>
        <v>36133740391.835876</v>
      </c>
      <c r="G88" s="35">
        <f t="shared" si="18"/>
        <v>1</v>
      </c>
      <c r="H88" s="36">
        <f t="shared" si="3"/>
        <v>36133740391.835876</v>
      </c>
      <c r="I88" s="34">
        <f t="shared" si="19"/>
        <v>247457829424409.34</v>
      </c>
      <c r="J88" s="37">
        <f t="shared" si="20"/>
        <v>240988674772559.19</v>
      </c>
      <c r="K88" s="34">
        <f t="shared" si="4"/>
        <v>15188282163876.693</v>
      </c>
      <c r="L88" s="34">
        <f t="shared" si="5"/>
        <v>0</v>
      </c>
      <c r="M88" s="34">
        <f t="shared" si="6"/>
        <v>15188282163876.693</v>
      </c>
      <c r="N88" s="34">
        <f t="shared" si="23"/>
        <v>1518828216387.6694</v>
      </c>
      <c r="O88" s="38">
        <f t="shared" si="7"/>
        <v>13601106677751.578</v>
      </c>
      <c r="P88" s="39">
        <f t="shared" si="8"/>
        <v>1300000000000</v>
      </c>
      <c r="Q88" s="34">
        <f t="shared" si="9"/>
        <v>12301106677751.578</v>
      </c>
      <c r="R88" s="40">
        <f t="shared" si="22"/>
        <v>10139501148.250048</v>
      </c>
      <c r="S88" s="35">
        <f t="shared" si="10"/>
        <v>1</v>
      </c>
      <c r="T88" s="41">
        <f t="shared" si="11"/>
        <v>101.09888131161985</v>
      </c>
      <c r="U88" s="4"/>
      <c r="V88" s="4"/>
      <c r="W88" s="4"/>
    </row>
    <row r="89" spans="1:23" ht="15.75" customHeight="1">
      <c r="A89" s="31" t="s">
        <v>122</v>
      </c>
      <c r="B89" s="32">
        <v>2105</v>
      </c>
      <c r="C89" s="33">
        <f t="shared" si="12"/>
        <v>8.1709463197618803E-3</v>
      </c>
      <c r="D89" s="42">
        <v>4000</v>
      </c>
      <c r="E89" s="34">
        <f t="shared" si="1"/>
        <v>32683785279.04752</v>
      </c>
      <c r="F89" s="34">
        <f t="shared" si="2"/>
        <v>32520366352.652283</v>
      </c>
      <c r="G89" s="35">
        <f t="shared" si="18"/>
        <v>1</v>
      </c>
      <c r="H89" s="36">
        <f t="shared" si="3"/>
        <v>32520366352.652283</v>
      </c>
      <c r="I89" s="34">
        <f t="shared" si="19"/>
        <v>249009178007149.66</v>
      </c>
      <c r="J89" s="37">
        <f t="shared" si="20"/>
        <v>242418753343621.88</v>
      </c>
      <c r="K89" s="34">
        <f t="shared" si="4"/>
        <v>15278681980580.252</v>
      </c>
      <c r="L89" s="34">
        <f t="shared" si="5"/>
        <v>0</v>
      </c>
      <c r="M89" s="34">
        <f t="shared" si="6"/>
        <v>15278681980580.252</v>
      </c>
      <c r="N89" s="34">
        <f t="shared" si="23"/>
        <v>1527868198058.0254</v>
      </c>
      <c r="O89" s="38">
        <f t="shared" si="7"/>
        <v>13682059713609.615</v>
      </c>
      <c r="P89" s="39">
        <f t="shared" si="8"/>
        <v>1300000000000</v>
      </c>
      <c r="Q89" s="34">
        <f t="shared" si="9"/>
        <v>12382059713609.615</v>
      </c>
      <c r="R89" s="40">
        <f t="shared" si="22"/>
        <v>10129361647.101799</v>
      </c>
      <c r="S89" s="35">
        <f t="shared" si="10"/>
        <v>1</v>
      </c>
      <c r="T89" s="41">
        <f t="shared" si="11"/>
        <v>101.86607462699254</v>
      </c>
      <c r="U89" s="4"/>
      <c r="V89" s="4"/>
      <c r="W89" s="4"/>
    </row>
    <row r="90" spans="1:23" ht="15.75" customHeight="1">
      <c r="A90" s="31" t="s">
        <v>123</v>
      </c>
      <c r="B90" s="32">
        <v>2106</v>
      </c>
      <c r="C90" s="33">
        <f t="shared" si="12"/>
        <v>7.3538516877856928E-3</v>
      </c>
      <c r="D90" s="42">
        <v>4000</v>
      </c>
      <c r="E90" s="34">
        <f t="shared" si="1"/>
        <v>29415406751.142773</v>
      </c>
      <c r="F90" s="34">
        <f t="shared" si="2"/>
        <v>29268329717.387058</v>
      </c>
      <c r="G90" s="35">
        <f t="shared" si="18"/>
        <v>1</v>
      </c>
      <c r="H90" s="36">
        <f t="shared" si="3"/>
        <v>29268329717.387058</v>
      </c>
      <c r="I90" s="34">
        <f t="shared" si="19"/>
        <v>250566314534925.06</v>
      </c>
      <c r="J90" s="37">
        <f t="shared" si="20"/>
        <v>243853901926461.59</v>
      </c>
      <c r="K90" s="34">
        <f t="shared" si="4"/>
        <v>15369348961985.627</v>
      </c>
      <c r="L90" s="34">
        <f t="shared" si="5"/>
        <v>0</v>
      </c>
      <c r="M90" s="34">
        <f t="shared" si="6"/>
        <v>15369348961985.627</v>
      </c>
      <c r="N90" s="34">
        <f t="shared" si="23"/>
        <v>1536934896198.5627</v>
      </c>
      <c r="O90" s="38">
        <f t="shared" si="7"/>
        <v>13763251995458.129</v>
      </c>
      <c r="P90" s="39">
        <f t="shared" si="8"/>
        <v>1300000000000</v>
      </c>
      <c r="Q90" s="34">
        <f t="shared" si="9"/>
        <v>12463251995458.129</v>
      </c>
      <c r="R90" s="40">
        <f t="shared" si="22"/>
        <v>10119232285.454699</v>
      </c>
      <c r="S90" s="35">
        <f t="shared" si="10"/>
        <v>1</v>
      </c>
      <c r="T90" s="41">
        <f t="shared" si="11"/>
        <v>102.63667278867838</v>
      </c>
      <c r="U90" s="4"/>
      <c r="V90" s="4"/>
      <c r="W90" s="4"/>
    </row>
    <row r="91" spans="1:23" ht="15.75" customHeight="1">
      <c r="A91" s="31" t="s">
        <v>124</v>
      </c>
      <c r="B91" s="32">
        <v>2107</v>
      </c>
      <c r="C91" s="33">
        <f t="shared" si="12"/>
        <v>6.6184665190071237E-3</v>
      </c>
      <c r="D91" s="42">
        <v>4000</v>
      </c>
      <c r="E91" s="34">
        <f t="shared" si="1"/>
        <v>26473866076.028492</v>
      </c>
      <c r="F91" s="34">
        <f t="shared" si="2"/>
        <v>26341496745.64835</v>
      </c>
      <c r="G91" s="35">
        <f t="shared" si="18"/>
        <v>1</v>
      </c>
      <c r="H91" s="36">
        <f t="shared" si="3"/>
        <v>26341496745.64835</v>
      </c>
      <c r="I91" s="34">
        <f t="shared" si="19"/>
        <v>252129590927869.28</v>
      </c>
      <c r="J91" s="37">
        <f t="shared" si="20"/>
        <v>245294469730246.13</v>
      </c>
      <c r="K91" s="34">
        <f t="shared" si="4"/>
        <v>15460337382137.664</v>
      </c>
      <c r="L91" s="34">
        <f t="shared" si="5"/>
        <v>0</v>
      </c>
      <c r="M91" s="34">
        <f t="shared" si="6"/>
        <v>15460337382137.664</v>
      </c>
      <c r="N91" s="34">
        <f t="shared" si="23"/>
        <v>1546033738213.7666</v>
      </c>
      <c r="O91" s="38">
        <f t="shared" si="7"/>
        <v>13844732125704.279</v>
      </c>
      <c r="P91" s="39">
        <f t="shared" si="8"/>
        <v>1300000000000</v>
      </c>
      <c r="Q91" s="34">
        <f t="shared" si="9"/>
        <v>12544732125704.279</v>
      </c>
      <c r="R91" s="40">
        <f t="shared" si="22"/>
        <v>10109113053.169245</v>
      </c>
      <c r="S91" s="35">
        <f t="shared" si="10"/>
        <v>1</v>
      </c>
      <c r="T91" s="41">
        <f t="shared" si="11"/>
        <v>103.41108446511585</v>
      </c>
      <c r="U91" s="4"/>
      <c r="V91" s="4"/>
      <c r="W91" s="4"/>
    </row>
    <row r="92" spans="1:23" ht="15.75" customHeight="1">
      <c r="A92" s="31" t="s">
        <v>125</v>
      </c>
      <c r="B92" s="32">
        <v>2108</v>
      </c>
      <c r="C92" s="33">
        <f t="shared" si="12"/>
        <v>5.9566198671064116E-3</v>
      </c>
      <c r="D92" s="42">
        <v>4000</v>
      </c>
      <c r="E92" s="34">
        <f t="shared" si="1"/>
        <v>23826479468.425644</v>
      </c>
      <c r="F92" s="34">
        <f t="shared" si="2"/>
        <v>23707347071.083515</v>
      </c>
      <c r="G92" s="35">
        <f t="shared" si="18"/>
        <v>1</v>
      </c>
      <c r="H92" s="36">
        <f t="shared" si="3"/>
        <v>23707347071.083515</v>
      </c>
      <c r="I92" s="34">
        <f t="shared" si="19"/>
        <v>253699332013154.16</v>
      </c>
      <c r="J92" s="37">
        <f t="shared" si="20"/>
        <v>246740778710123.25</v>
      </c>
      <c r="K92" s="34">
        <f t="shared" si="4"/>
        <v>15551669380897.604</v>
      </c>
      <c r="L92" s="34">
        <f t="shared" si="5"/>
        <v>0</v>
      </c>
      <c r="M92" s="34">
        <f t="shared" si="6"/>
        <v>15551669380897.604</v>
      </c>
      <c r="N92" s="34">
        <f t="shared" si="23"/>
        <v>1555166938089.7605</v>
      </c>
      <c r="O92" s="38">
        <f t="shared" si="7"/>
        <v>13926519930593.805</v>
      </c>
      <c r="P92" s="39">
        <f t="shared" si="8"/>
        <v>1300000000000</v>
      </c>
      <c r="Q92" s="34">
        <f t="shared" si="9"/>
        <v>12626519930593.805</v>
      </c>
      <c r="R92" s="40">
        <f t="shared" si="22"/>
        <v>10099003940.116077</v>
      </c>
      <c r="S92" s="35">
        <f t="shared" si="10"/>
        <v>1</v>
      </c>
      <c r="T92" s="41">
        <f t="shared" si="11"/>
        <v>104.18948249306816</v>
      </c>
      <c r="U92" s="4"/>
      <c r="V92" s="4"/>
      <c r="W92" s="4"/>
    </row>
    <row r="93" spans="1:23" ht="15.75" customHeight="1">
      <c r="A93" s="31" t="s">
        <v>126</v>
      </c>
      <c r="B93" s="32">
        <v>2109</v>
      </c>
      <c r="C93" s="44">
        <f t="shared" si="12"/>
        <v>5.3609578803957706E-3</v>
      </c>
      <c r="D93" s="42">
        <v>4000</v>
      </c>
      <c r="E93" s="34">
        <f t="shared" si="1"/>
        <v>21443831521.58308</v>
      </c>
      <c r="F93" s="34">
        <f t="shared" si="2"/>
        <v>21336612363.975166</v>
      </c>
      <c r="G93" s="35">
        <f t="shared" si="18"/>
        <v>1</v>
      </c>
      <c r="H93" s="36">
        <f t="shared" si="3"/>
        <v>21336612363.975166</v>
      </c>
      <c r="I93" s="34">
        <f t="shared" si="19"/>
        <v>255275835563607.88</v>
      </c>
      <c r="J93" s="37">
        <f t="shared" si="20"/>
        <v>248193123619446.69</v>
      </c>
      <c r="K93" s="34">
        <f t="shared" si="4"/>
        <v>15643365370221.814</v>
      </c>
      <c r="L93" s="34">
        <f t="shared" si="5"/>
        <v>0</v>
      </c>
      <c r="M93" s="34">
        <f t="shared" si="6"/>
        <v>15643365370221.814</v>
      </c>
      <c r="N93" s="34">
        <f t="shared" si="23"/>
        <v>1564336537022.1816</v>
      </c>
      <c r="O93" s="38">
        <f t="shared" si="7"/>
        <v>14008633689033.635</v>
      </c>
      <c r="P93" s="39">
        <f t="shared" si="8"/>
        <v>1300000000000</v>
      </c>
      <c r="Q93" s="34">
        <f t="shared" si="9"/>
        <v>12708633689033.635</v>
      </c>
      <c r="R93" s="40">
        <f t="shared" si="22"/>
        <v>10088904936.175962</v>
      </c>
      <c r="S93" s="35">
        <f t="shared" si="10"/>
        <v>1</v>
      </c>
      <c r="T93" s="41">
        <f t="shared" si="11"/>
        <v>104.97202760053824</v>
      </c>
      <c r="U93" s="4"/>
      <c r="V93" s="4"/>
      <c r="W93" s="4"/>
    </row>
    <row r="94" spans="1:23" ht="15.75" customHeight="1">
      <c r="A94" s="31" t="s">
        <v>127</v>
      </c>
      <c r="B94" s="32">
        <v>2110</v>
      </c>
      <c r="C94" s="44">
        <f t="shared" si="12"/>
        <v>4.8248620923561939E-3</v>
      </c>
      <c r="D94" s="42">
        <v>4000</v>
      </c>
      <c r="E94" s="34">
        <f t="shared" si="1"/>
        <v>19299448369.424778</v>
      </c>
      <c r="F94" s="34">
        <f t="shared" si="2"/>
        <v>19202951127.577656</v>
      </c>
      <c r="G94" s="35">
        <f t="shared" si="18"/>
        <v>1</v>
      </c>
      <c r="H94" s="36">
        <f t="shared" si="3"/>
        <v>19202951127.577656</v>
      </c>
      <c r="I94" s="34">
        <f t="shared" si="19"/>
        <v>256859375051757.63</v>
      </c>
      <c r="J94" s="37">
        <f t="shared" si="20"/>
        <v>249651774776042.66</v>
      </c>
      <c r="K94" s="34">
        <f t="shared" si="4"/>
        <v>15735444037472.92</v>
      </c>
      <c r="L94" s="34">
        <f t="shared" si="5"/>
        <v>0</v>
      </c>
      <c r="M94" s="34">
        <f t="shared" si="6"/>
        <v>15735444037472.92</v>
      </c>
      <c r="N94" s="34">
        <f t="shared" si="23"/>
        <v>1573544403747.292</v>
      </c>
      <c r="O94" s="38">
        <f t="shared" si="7"/>
        <v>14091090135557</v>
      </c>
      <c r="P94" s="39">
        <f t="shared" si="8"/>
        <v>1300000000000</v>
      </c>
      <c r="Q94" s="34">
        <f t="shared" si="9"/>
        <v>12791090135557</v>
      </c>
      <c r="R94" s="40">
        <f t="shared" si="22"/>
        <v>10078816031.239788</v>
      </c>
      <c r="S94" s="35">
        <f t="shared" si="10"/>
        <v>1</v>
      </c>
      <c r="T94" s="41">
        <f t="shared" si="11"/>
        <v>105.7588683689829</v>
      </c>
      <c r="U94" s="4"/>
      <c r="V94" s="4"/>
      <c r="W94" s="4"/>
    </row>
    <row r="95" spans="1:23" ht="15.75" customHeight="1">
      <c r="A95" s="31" t="s">
        <v>128</v>
      </c>
      <c r="B95" s="32">
        <v>2111</v>
      </c>
      <c r="C95" s="44">
        <f t="shared" si="12"/>
        <v>4.3423758831205748E-3</v>
      </c>
      <c r="D95" s="42">
        <v>4000</v>
      </c>
      <c r="E95" s="34">
        <f t="shared" si="1"/>
        <v>17369503532.4823</v>
      </c>
      <c r="F95" s="34">
        <f t="shared" si="2"/>
        <v>17282656014.819889</v>
      </c>
      <c r="G95" s="35">
        <f t="shared" si="18"/>
        <v>1</v>
      </c>
      <c r="H95" s="36">
        <f t="shared" si="3"/>
        <v>17282656014.819889</v>
      </c>
      <c r="I95" s="34">
        <f t="shared" si="19"/>
        <v>258450202111519.72</v>
      </c>
      <c r="J95" s="37">
        <f t="shared" si="20"/>
        <v>251116980534886.88</v>
      </c>
      <c r="K95" s="34">
        <f t="shared" si="4"/>
        <v>15827922520801.104</v>
      </c>
      <c r="L95" s="34">
        <f t="shared" si="5"/>
        <v>0</v>
      </c>
      <c r="M95" s="34">
        <f t="shared" si="6"/>
        <v>15827922520801.104</v>
      </c>
      <c r="N95" s="34">
        <f t="shared" si="23"/>
        <v>1582792252080.1104</v>
      </c>
      <c r="O95" s="38">
        <f t="shared" si="7"/>
        <v>14173904617377.387</v>
      </c>
      <c r="P95" s="39">
        <f t="shared" si="8"/>
        <v>1300000000000</v>
      </c>
      <c r="Q95" s="34">
        <f t="shared" si="9"/>
        <v>12873904617377.387</v>
      </c>
      <c r="R95" s="40">
        <f t="shared" si="22"/>
        <v>10068737215.208549</v>
      </c>
      <c r="S95" s="35">
        <f t="shared" si="10"/>
        <v>1</v>
      </c>
      <c r="T95" s="41">
        <f t="shared" si="11"/>
        <v>106.55014247079323</v>
      </c>
      <c r="U95" s="4"/>
      <c r="V95" s="4"/>
      <c r="W95" s="4"/>
    </row>
    <row r="96" spans="1:23" ht="15.75" customHeight="1">
      <c r="A96" s="31" t="s">
        <v>129</v>
      </c>
      <c r="B96" s="32">
        <v>2112</v>
      </c>
      <c r="C96" s="44">
        <f t="shared" si="12"/>
        <v>3.9081382948085172E-3</v>
      </c>
      <c r="D96" s="42">
        <v>4000</v>
      </c>
      <c r="E96" s="34">
        <f t="shared" si="1"/>
        <v>15632553179.23407</v>
      </c>
      <c r="F96" s="34">
        <f t="shared" si="2"/>
        <v>15554390413.3379</v>
      </c>
      <c r="G96" s="35">
        <f t="shared" si="18"/>
        <v>1</v>
      </c>
      <c r="H96" s="36">
        <f t="shared" si="3"/>
        <v>15554390413.3379</v>
      </c>
      <c r="I96" s="34">
        <f t="shared" si="19"/>
        <v>260048548754013.19</v>
      </c>
      <c r="J96" s="37">
        <f t="shared" si="20"/>
        <v>252588969513791.66</v>
      </c>
      <c r="K96" s="34">
        <f t="shared" si="4"/>
        <v>15920816565911.828</v>
      </c>
      <c r="L96" s="34">
        <f t="shared" si="5"/>
        <v>0</v>
      </c>
      <c r="M96" s="34">
        <f t="shared" si="6"/>
        <v>15920816565911.828</v>
      </c>
      <c r="N96" s="34">
        <f t="shared" si="23"/>
        <v>1592081656591.1829</v>
      </c>
      <c r="O96" s="38">
        <f t="shared" si="7"/>
        <v>14257091234774.041</v>
      </c>
      <c r="P96" s="39">
        <f t="shared" si="8"/>
        <v>1300000000000</v>
      </c>
      <c r="Q96" s="34">
        <f t="shared" si="9"/>
        <v>12957091234774.041</v>
      </c>
      <c r="R96" s="40">
        <f t="shared" si="22"/>
        <v>10058668477.993341</v>
      </c>
      <c r="S96" s="35">
        <f t="shared" si="10"/>
        <v>1</v>
      </c>
      <c r="T96" s="41">
        <f t="shared" si="11"/>
        <v>107.34597777629942</v>
      </c>
      <c r="U96" s="4"/>
      <c r="V96" s="4"/>
      <c r="W96" s="4"/>
    </row>
    <row r="97" spans="1:23" ht="15.75" customHeight="1">
      <c r="A97" s="31" t="s">
        <v>130</v>
      </c>
      <c r="B97" s="32">
        <v>2113</v>
      </c>
      <c r="C97" s="44">
        <f t="shared" si="12"/>
        <v>3.5173244653276658E-3</v>
      </c>
      <c r="D97" s="42">
        <v>4000</v>
      </c>
      <c r="E97" s="34">
        <f t="shared" si="1"/>
        <v>14069297861.310663</v>
      </c>
      <c r="F97" s="34">
        <f t="shared" si="2"/>
        <v>13998951372.00411</v>
      </c>
      <c r="G97" s="35">
        <f t="shared" si="18"/>
        <v>1</v>
      </c>
      <c r="H97" s="36">
        <f t="shared" si="3"/>
        <v>13998951372.00411</v>
      </c>
      <c r="I97" s="34">
        <f t="shared" si="19"/>
        <v>261654629361976.38</v>
      </c>
      <c r="J97" s="37">
        <f t="shared" si="20"/>
        <v>254067952596693.97</v>
      </c>
      <c r="K97" s="34">
        <f t="shared" si="4"/>
        <v>16014140667174.391</v>
      </c>
      <c r="L97" s="34">
        <f t="shared" si="5"/>
        <v>0</v>
      </c>
      <c r="M97" s="34">
        <f t="shared" si="6"/>
        <v>16014140667174.391</v>
      </c>
      <c r="N97" s="34">
        <f t="shared" si="23"/>
        <v>1601414066717.4392</v>
      </c>
      <c r="O97" s="38">
        <f t="shared" si="7"/>
        <v>14340662967454.666</v>
      </c>
      <c r="P97" s="39">
        <f t="shared" si="8"/>
        <v>1300000000000</v>
      </c>
      <c r="Q97" s="34">
        <f t="shared" si="9"/>
        <v>13040662967454.666</v>
      </c>
      <c r="R97" s="40">
        <f t="shared" si="22"/>
        <v>10048609809.515348</v>
      </c>
      <c r="S97" s="35">
        <f t="shared" si="10"/>
        <v>1</v>
      </c>
      <c r="T97" s="41">
        <f t="shared" si="11"/>
        <v>108.14649335129958</v>
      </c>
      <c r="U97" s="4"/>
      <c r="V97" s="4"/>
      <c r="W97" s="4"/>
    </row>
    <row r="98" spans="1:23" ht="15.75" customHeight="1">
      <c r="A98" s="31" t="s">
        <v>131</v>
      </c>
      <c r="B98" s="32">
        <v>2114</v>
      </c>
      <c r="C98" s="44">
        <f t="shared" si="12"/>
        <v>3.1655920187948993E-3</v>
      </c>
      <c r="D98" s="42">
        <v>4000</v>
      </c>
      <c r="E98" s="34">
        <f t="shared" si="1"/>
        <v>12662368075.179596</v>
      </c>
      <c r="F98" s="34">
        <f t="shared" si="2"/>
        <v>12599056234.803698</v>
      </c>
      <c r="G98" s="35">
        <f t="shared" si="18"/>
        <v>1</v>
      </c>
      <c r="H98" s="36">
        <f t="shared" si="3"/>
        <v>12599056234.803698</v>
      </c>
      <c r="I98" s="34">
        <f t="shared" si="19"/>
        <v>263268642484928.63</v>
      </c>
      <c r="J98" s="37">
        <f t="shared" si="20"/>
        <v>255554124736786.41</v>
      </c>
      <c r="K98" s="34">
        <f t="shared" si="4"/>
        <v>16107908194630.396</v>
      </c>
      <c r="L98" s="34">
        <f t="shared" si="5"/>
        <v>0</v>
      </c>
      <c r="M98" s="34">
        <f t="shared" si="6"/>
        <v>16107908194630.396</v>
      </c>
      <c r="N98" s="34">
        <f t="shared" si="23"/>
        <v>1610790819463.0398</v>
      </c>
      <c r="O98" s="38">
        <f t="shared" si="7"/>
        <v>14424631788291.521</v>
      </c>
      <c r="P98" s="39">
        <f t="shared" si="8"/>
        <v>1300000000000</v>
      </c>
      <c r="Q98" s="34">
        <f t="shared" si="9"/>
        <v>13124631788291.521</v>
      </c>
      <c r="R98" s="40">
        <f t="shared" si="22"/>
        <v>10038561199.705833</v>
      </c>
      <c r="S98" s="35">
        <f t="shared" si="10"/>
        <v>1</v>
      </c>
      <c r="T98" s="41">
        <f t="shared" si="11"/>
        <v>108.95180035591257</v>
      </c>
      <c r="U98" s="4"/>
      <c r="V98" s="4"/>
      <c r="W98" s="4"/>
    </row>
    <row r="99" spans="1:23" ht="15.75" customHeight="1">
      <c r="A99" s="31" t="s">
        <v>132</v>
      </c>
      <c r="B99" s="32">
        <v>2115</v>
      </c>
      <c r="C99" s="44">
        <f t="shared" si="12"/>
        <v>2.8490328169154095E-3</v>
      </c>
      <c r="D99" s="42">
        <v>4000</v>
      </c>
      <c r="E99" s="34">
        <f t="shared" si="1"/>
        <v>11396131267.661638</v>
      </c>
      <c r="F99" s="34">
        <f t="shared" si="2"/>
        <v>11339150611.32333</v>
      </c>
      <c r="G99" s="35">
        <f t="shared" si="18"/>
        <v>1</v>
      </c>
      <c r="H99" s="36">
        <f t="shared" si="3"/>
        <v>11339150611.32333</v>
      </c>
      <c r="I99" s="34">
        <f t="shared" si="19"/>
        <v>264890772455002.97</v>
      </c>
      <c r="J99" s="37">
        <f t="shared" si="20"/>
        <v>257047666579507.34</v>
      </c>
      <c r="K99" s="34">
        <f t="shared" si="4"/>
        <v>16202131508312.258</v>
      </c>
      <c r="L99" s="34">
        <f t="shared" si="5"/>
        <v>0</v>
      </c>
      <c r="M99" s="34">
        <f t="shared" si="6"/>
        <v>16202131508312.258</v>
      </c>
      <c r="N99" s="34">
        <f t="shared" si="23"/>
        <v>1620213150831.2258</v>
      </c>
      <c r="O99" s="38">
        <f t="shared" si="7"/>
        <v>14509008765693.627</v>
      </c>
      <c r="P99" s="39">
        <f t="shared" si="8"/>
        <v>1300000000000</v>
      </c>
      <c r="Q99" s="34">
        <f t="shared" si="9"/>
        <v>13209008765693.627</v>
      </c>
      <c r="R99" s="40">
        <f t="shared" si="22"/>
        <v>10028522638.506128</v>
      </c>
      <c r="S99" s="35">
        <f t="shared" si="10"/>
        <v>1</v>
      </c>
      <c r="T99" s="41">
        <f t="shared" si="11"/>
        <v>109.76200285453405</v>
      </c>
      <c r="U99" s="4"/>
      <c r="V99" s="4"/>
      <c r="W99" s="4"/>
    </row>
    <row r="100" spans="1:23" ht="15.75" customHeight="1">
      <c r="A100" s="31" t="s">
        <v>133</v>
      </c>
      <c r="B100" s="32">
        <v>2116</v>
      </c>
      <c r="C100" s="44">
        <f t="shared" si="12"/>
        <v>2.5641295352238688E-3</v>
      </c>
      <c r="D100" s="42">
        <v>4000</v>
      </c>
      <c r="E100" s="34">
        <f t="shared" si="1"/>
        <v>10256518140.895475</v>
      </c>
      <c r="F100" s="34">
        <f t="shared" si="2"/>
        <v>10205235550.190998</v>
      </c>
      <c r="G100" s="35">
        <f t="shared" si="18"/>
        <v>1</v>
      </c>
      <c r="H100" s="36">
        <f t="shared" si="3"/>
        <v>10205235550.190998</v>
      </c>
      <c r="I100" s="34">
        <f t="shared" si="19"/>
        <v>266521190841384.38</v>
      </c>
      <c r="J100" s="37">
        <f t="shared" si="20"/>
        <v>258548745923405.81</v>
      </c>
      <c r="K100" s="34">
        <f t="shared" si="4"/>
        <v>16296822061140.766</v>
      </c>
      <c r="L100" s="34">
        <f t="shared" si="5"/>
        <v>0</v>
      </c>
      <c r="M100" s="34">
        <f t="shared" si="6"/>
        <v>16296822061140.766</v>
      </c>
      <c r="N100" s="34">
        <f t="shared" si="23"/>
        <v>1629682206114.0767</v>
      </c>
      <c r="O100" s="38">
        <f t="shared" si="7"/>
        <v>14593804155751.557</v>
      </c>
      <c r="P100" s="39">
        <f t="shared" si="8"/>
        <v>1300000000000</v>
      </c>
      <c r="Q100" s="34">
        <f t="shared" si="9"/>
        <v>13293804155751.557</v>
      </c>
      <c r="R100" s="40">
        <f t="shared" si="22"/>
        <v>10018494115.867622</v>
      </c>
      <c r="S100" s="35">
        <f t="shared" si="10"/>
        <v>1</v>
      </c>
      <c r="T100" s="41">
        <f t="shared" si="11"/>
        <v>110.5771985457075</v>
      </c>
      <c r="U100" s="4"/>
      <c r="V100" s="4"/>
      <c r="W100" s="4"/>
    </row>
    <row r="101" spans="1:23" ht="15.75" customHeight="1">
      <c r="A101" s="31" t="s">
        <v>134</v>
      </c>
      <c r="B101" s="32">
        <v>2117</v>
      </c>
      <c r="C101" s="44">
        <f t="shared" si="12"/>
        <v>2.3077165817014821E-3</v>
      </c>
      <c r="D101" s="42">
        <v>4000</v>
      </c>
      <c r="E101" s="34">
        <f t="shared" si="1"/>
        <v>9230866326.8059292</v>
      </c>
      <c r="F101" s="34">
        <f t="shared" si="2"/>
        <v>9184711995.1718998</v>
      </c>
      <c r="G101" s="35">
        <f t="shared" si="18"/>
        <v>1</v>
      </c>
      <c r="H101" s="36">
        <f t="shared" si="3"/>
        <v>9184711995.1718998</v>
      </c>
      <c r="I101" s="34">
        <f t="shared" si="19"/>
        <v>268160057759493.63</v>
      </c>
      <c r="J101" s="37">
        <f t="shared" si="20"/>
        <v>260057519035094.31</v>
      </c>
      <c r="K101" s="34">
        <f t="shared" si="4"/>
        <v>16391990491543.928</v>
      </c>
      <c r="L101" s="34">
        <f t="shared" si="5"/>
        <v>0</v>
      </c>
      <c r="M101" s="34">
        <f t="shared" si="6"/>
        <v>16391990491543.928</v>
      </c>
      <c r="N101" s="34">
        <f t="shared" si="23"/>
        <v>1639199049154.3928</v>
      </c>
      <c r="O101" s="38">
        <f t="shared" si="7"/>
        <v>14679027485177.588</v>
      </c>
      <c r="P101" s="39">
        <f t="shared" si="8"/>
        <v>1300000000000</v>
      </c>
      <c r="Q101" s="34">
        <f t="shared" si="9"/>
        <v>13379027485177.588</v>
      </c>
      <c r="R101" s="40">
        <f t="shared" si="22"/>
        <v>10008475621.751757</v>
      </c>
      <c r="S101" s="35">
        <f t="shared" si="10"/>
        <v>1</v>
      </c>
      <c r="T101" s="41">
        <f t="shared" si="11"/>
        <v>111.39747941984706</v>
      </c>
      <c r="U101" s="4"/>
      <c r="V101" s="4"/>
      <c r="W101" s="4"/>
    </row>
    <row r="102" spans="1:23" ht="15.75" customHeight="1">
      <c r="A102" s="31" t="s">
        <v>135</v>
      </c>
      <c r="B102" s="32">
        <v>2118</v>
      </c>
      <c r="C102" s="44">
        <f t="shared" si="12"/>
        <v>2.0769449235313341E-3</v>
      </c>
      <c r="D102" s="42">
        <v>4000</v>
      </c>
      <c r="E102" s="34">
        <f t="shared" si="1"/>
        <v>8307779694.1253366</v>
      </c>
      <c r="F102" s="34">
        <f t="shared" si="2"/>
        <v>8266240795.6547098</v>
      </c>
      <c r="G102" s="35">
        <f t="shared" si="18"/>
        <v>1</v>
      </c>
      <c r="H102" s="36">
        <f t="shared" si="3"/>
        <v>8266240795.6547098</v>
      </c>
      <c r="I102" s="34">
        <f t="shared" si="19"/>
        <v>269807523049443.69</v>
      </c>
      <c r="J102" s="37">
        <f t="shared" si="20"/>
        <v>261574131832881.88</v>
      </c>
      <c r="K102" s="34">
        <f t="shared" si="4"/>
        <v>16487646706824.979</v>
      </c>
      <c r="L102" s="34">
        <f t="shared" si="5"/>
        <v>0</v>
      </c>
      <c r="M102" s="34">
        <f t="shared" si="6"/>
        <v>16487646706824.979</v>
      </c>
      <c r="N102" s="34">
        <f t="shared" si="23"/>
        <v>1648764670682.498</v>
      </c>
      <c r="O102" s="38">
        <f t="shared" si="7"/>
        <v>14764687625961.768</v>
      </c>
      <c r="P102" s="39">
        <f t="shared" si="8"/>
        <v>1300000000000</v>
      </c>
      <c r="Q102" s="34">
        <f t="shared" si="9"/>
        <v>13464687625961.768</v>
      </c>
      <c r="R102" s="40">
        <f t="shared" si="22"/>
        <v>9998467146.1300068</v>
      </c>
      <c r="S102" s="35">
        <f t="shared" si="10"/>
        <v>1</v>
      </c>
      <c r="T102" s="41">
        <f t="shared" si="11"/>
        <v>112.22293235196383</v>
      </c>
      <c r="U102" s="4"/>
      <c r="V102" s="4"/>
      <c r="W102" s="4"/>
    </row>
    <row r="103" spans="1:23" ht="15.75" customHeight="1">
      <c r="A103" s="31" t="s">
        <v>136</v>
      </c>
      <c r="B103" s="32">
        <v>2119</v>
      </c>
      <c r="C103" s="44">
        <f t="shared" si="12"/>
        <v>1.8692504311782008E-3</v>
      </c>
      <c r="D103" s="42">
        <v>4000</v>
      </c>
      <c r="E103" s="34">
        <f t="shared" si="1"/>
        <v>7477001724.7128029</v>
      </c>
      <c r="F103" s="34">
        <f t="shared" si="2"/>
        <v>7439616716.0892391</v>
      </c>
      <c r="G103" s="35">
        <f t="shared" si="18"/>
        <v>1</v>
      </c>
      <c r="H103" s="36">
        <f t="shared" si="3"/>
        <v>7439616716.0892391</v>
      </c>
      <c r="I103" s="34">
        <f t="shared" si="19"/>
        <v>271463727336842.28</v>
      </c>
      <c r="J103" s="37">
        <f t="shared" si="20"/>
        <v>263098720952220.34</v>
      </c>
      <c r="K103" s="34">
        <f t="shared" si="4"/>
        <v>16583799958204.711</v>
      </c>
      <c r="L103" s="34">
        <f t="shared" si="5"/>
        <v>0</v>
      </c>
      <c r="M103" s="34">
        <f t="shared" si="6"/>
        <v>16583799958204.711</v>
      </c>
      <c r="N103" s="34">
        <f t="shared" si="23"/>
        <v>1658379995820.4712</v>
      </c>
      <c r="O103" s="38">
        <f t="shared" si="7"/>
        <v>14850792862572.318</v>
      </c>
      <c r="P103" s="39">
        <f t="shared" si="8"/>
        <v>1300000000000</v>
      </c>
      <c r="Q103" s="34">
        <f t="shared" si="9"/>
        <v>13550792862572.318</v>
      </c>
      <c r="R103" s="40">
        <f t="shared" si="22"/>
        <v>9988468678.9838772</v>
      </c>
      <c r="S103" s="35">
        <f t="shared" si="10"/>
        <v>1</v>
      </c>
      <c r="T103" s="41">
        <f t="shared" si="11"/>
        <v>113.05363963583751</v>
      </c>
      <c r="U103" s="4"/>
      <c r="V103" s="4"/>
      <c r="W103" s="4"/>
    </row>
    <row r="104" spans="1:23" ht="15.75" customHeight="1">
      <c r="A104" s="31" t="s">
        <v>137</v>
      </c>
      <c r="B104" s="32">
        <v>2120</v>
      </c>
      <c r="C104" s="45">
        <f t="shared" si="12"/>
        <v>1.6823253880603808E-3</v>
      </c>
      <c r="D104" s="42">
        <v>4000</v>
      </c>
      <c r="E104" s="34">
        <f t="shared" si="1"/>
        <v>6729301552.2415228</v>
      </c>
      <c r="F104" s="34">
        <f t="shared" si="2"/>
        <v>6695655044.4803152</v>
      </c>
      <c r="G104" s="35">
        <f t="shared" si="18"/>
        <v>1</v>
      </c>
      <c r="H104" s="36">
        <f t="shared" si="3"/>
        <v>6695655044.4803152</v>
      </c>
      <c r="I104" s="34">
        <f t="shared" si="19"/>
        <v>273128802987707.22</v>
      </c>
      <c r="J104" s="37">
        <f t="shared" si="20"/>
        <v>264631414704783.75</v>
      </c>
      <c r="K104" s="34">
        <f t="shared" si="4"/>
        <v>16680458908370.77</v>
      </c>
      <c r="L104" s="34">
        <f t="shared" si="5"/>
        <v>0</v>
      </c>
      <c r="M104" s="34">
        <f t="shared" si="6"/>
        <v>16680458908370.77</v>
      </c>
      <c r="N104" s="34">
        <f t="shared" si="23"/>
        <v>1668045890837.0771</v>
      </c>
      <c r="O104" s="38">
        <f t="shared" si="7"/>
        <v>14937350952446.023</v>
      </c>
      <c r="P104" s="39">
        <f t="shared" si="8"/>
        <v>1300000000000</v>
      </c>
      <c r="Q104" s="34">
        <f t="shared" si="9"/>
        <v>13637350952446.023</v>
      </c>
      <c r="R104" s="40">
        <f t="shared" si="22"/>
        <v>9978480210.3048935</v>
      </c>
      <c r="S104" s="35">
        <f t="shared" si="10"/>
        <v>1</v>
      </c>
      <c r="T104" s="41">
        <f t="shared" si="11"/>
        <v>113.88967946543745</v>
      </c>
      <c r="U104" s="4"/>
      <c r="V104" s="4"/>
      <c r="W104" s="4"/>
    </row>
    <row r="105" spans="1:23" ht="15.75" customHeight="1">
      <c r="A105" s="31" t="s">
        <v>138</v>
      </c>
      <c r="B105" s="32">
        <v>2121</v>
      </c>
      <c r="C105" s="45">
        <f t="shared" si="12"/>
        <v>1.5140928492543427E-3</v>
      </c>
      <c r="D105" s="42">
        <v>4000</v>
      </c>
      <c r="E105" s="34">
        <f t="shared" si="1"/>
        <v>6056371397.0173702</v>
      </c>
      <c r="F105" s="34">
        <f t="shared" si="2"/>
        <v>6026089540.0322838</v>
      </c>
      <c r="G105" s="35">
        <f t="shared" si="18"/>
        <v>1</v>
      </c>
      <c r="H105" s="36">
        <f t="shared" si="3"/>
        <v>6026089540.0322838</v>
      </c>
      <c r="I105" s="34">
        <f t="shared" si="19"/>
        <v>274802874968084.31</v>
      </c>
      <c r="J105" s="37">
        <f t="shared" si="20"/>
        <v>266172333941818.28</v>
      </c>
      <c r="K105" s="34">
        <f t="shared" si="4"/>
        <v>16777631692283.289</v>
      </c>
      <c r="L105" s="34">
        <f t="shared" si="5"/>
        <v>0</v>
      </c>
      <c r="M105" s="34">
        <f t="shared" si="6"/>
        <v>16777631692283.289</v>
      </c>
      <c r="N105" s="34">
        <f t="shared" si="23"/>
        <v>1677763169228.3291</v>
      </c>
      <c r="O105" s="38">
        <f t="shared" si="7"/>
        <v>15024369180439.686</v>
      </c>
      <c r="P105" s="39">
        <f t="shared" si="8"/>
        <v>1300000000000</v>
      </c>
      <c r="Q105" s="34">
        <f t="shared" si="9"/>
        <v>13724369180439.686</v>
      </c>
      <c r="R105" s="40">
        <f t="shared" si="22"/>
        <v>9968501730.0945892</v>
      </c>
      <c r="S105" s="35">
        <f t="shared" si="10"/>
        <v>1</v>
      </c>
      <c r="T105" s="41">
        <f t="shared" si="11"/>
        <v>114.7311263688224</v>
      </c>
      <c r="U105" s="4"/>
      <c r="V105" s="4"/>
      <c r="W105" s="4"/>
    </row>
    <row r="106" spans="1:23" ht="15.75" customHeight="1">
      <c r="A106" s="31" t="s">
        <v>139</v>
      </c>
      <c r="B106" s="32">
        <v>2122</v>
      </c>
      <c r="C106" s="45">
        <f t="shared" si="12"/>
        <v>1.3626835643289084E-3</v>
      </c>
      <c r="D106" s="42">
        <v>4000</v>
      </c>
      <c r="E106" s="34">
        <f t="shared" si="1"/>
        <v>5450734257.3156338</v>
      </c>
      <c r="F106" s="34">
        <f t="shared" si="2"/>
        <v>5423480586.0290556</v>
      </c>
      <c r="G106" s="35">
        <f t="shared" si="18"/>
        <v>1</v>
      </c>
      <c r="H106" s="36">
        <f t="shared" si="3"/>
        <v>5423480586.0290556</v>
      </c>
      <c r="I106" s="34">
        <f t="shared" si="19"/>
        <v>276486061617898.69</v>
      </c>
      <c r="J106" s="37">
        <f t="shared" si="20"/>
        <v>267721592831336.84</v>
      </c>
      <c r="K106" s="34">
        <f t="shared" si="4"/>
        <v>16875325971911.279</v>
      </c>
      <c r="L106" s="34">
        <f t="shared" si="5"/>
        <v>0</v>
      </c>
      <c r="M106" s="34">
        <f t="shared" si="6"/>
        <v>16875325971911.279</v>
      </c>
      <c r="N106" s="34">
        <f t="shared" si="23"/>
        <v>1687532597191.1279</v>
      </c>
      <c r="O106" s="38">
        <f t="shared" si="7"/>
        <v>15111854407846.551</v>
      </c>
      <c r="P106" s="39">
        <f t="shared" si="8"/>
        <v>1300000000000</v>
      </c>
      <c r="Q106" s="34">
        <f t="shared" si="9"/>
        <v>13811854407846.551</v>
      </c>
      <c r="R106" s="40">
        <f t="shared" si="22"/>
        <v>9958533228.3644962</v>
      </c>
      <c r="S106" s="35">
        <f t="shared" si="10"/>
        <v>1</v>
      </c>
      <c r="T106" s="41">
        <f t="shared" si="11"/>
        <v>115.57805159922877</v>
      </c>
      <c r="U106" s="4"/>
      <c r="V106" s="4"/>
      <c r="W106" s="4"/>
    </row>
    <row r="107" spans="1:23" ht="15.75" customHeight="1">
      <c r="A107" s="31" t="s">
        <v>140</v>
      </c>
      <c r="B107" s="32">
        <v>2123</v>
      </c>
      <c r="C107" s="45">
        <f t="shared" si="12"/>
        <v>1.2264152078960177E-3</v>
      </c>
      <c r="D107" s="42">
        <v>4000</v>
      </c>
      <c r="E107" s="34">
        <f t="shared" si="1"/>
        <v>4905660831.5840712</v>
      </c>
      <c r="F107" s="34">
        <f t="shared" si="2"/>
        <v>4881132527.4261503</v>
      </c>
      <c r="G107" s="35">
        <f t="shared" si="18"/>
        <v>1</v>
      </c>
      <c r="H107" s="36">
        <f t="shared" si="3"/>
        <v>4881132527.4261503</v>
      </c>
      <c r="I107" s="34">
        <f t="shared" si="19"/>
        <v>278178475347617.25</v>
      </c>
      <c r="J107" s="37">
        <f t="shared" si="20"/>
        <v>269279299557774.91</v>
      </c>
      <c r="K107" s="34">
        <f t="shared" si="4"/>
        <v>16973548985506.756</v>
      </c>
      <c r="L107" s="34">
        <f t="shared" si="5"/>
        <v>0</v>
      </c>
      <c r="M107" s="34">
        <f t="shared" si="6"/>
        <v>16973548985506.756</v>
      </c>
      <c r="N107" s="34">
        <f t="shared" si="23"/>
        <v>1697354898550.6758</v>
      </c>
      <c r="O107" s="38">
        <f t="shared" si="7"/>
        <v>15199813116521.299</v>
      </c>
      <c r="P107" s="39">
        <f t="shared" si="8"/>
        <v>1300000000000</v>
      </c>
      <c r="Q107" s="34">
        <f t="shared" si="9"/>
        <v>13899813116521.299</v>
      </c>
      <c r="R107" s="40">
        <f t="shared" si="22"/>
        <v>9948574695.1361332</v>
      </c>
      <c r="S107" s="35">
        <f t="shared" si="10"/>
        <v>1</v>
      </c>
      <c r="T107" s="41">
        <f t="shared" si="11"/>
        <v>116.43052348759171</v>
      </c>
      <c r="U107" s="4"/>
      <c r="V107" s="4"/>
      <c r="W107" s="4"/>
    </row>
    <row r="108" spans="1:23" ht="15.75" customHeight="1">
      <c r="A108" s="31" t="s">
        <v>141</v>
      </c>
      <c r="B108" s="32">
        <v>2124</v>
      </c>
      <c r="C108" s="45">
        <f t="shared" si="12"/>
        <v>1.103773687106416E-3</v>
      </c>
      <c r="D108" s="42">
        <v>4000</v>
      </c>
      <c r="E108" s="34">
        <f t="shared" si="1"/>
        <v>4415094748.4256639</v>
      </c>
      <c r="F108" s="34">
        <f t="shared" si="2"/>
        <v>4393019274.6835356</v>
      </c>
      <c r="G108" s="35">
        <f t="shared" si="18"/>
        <v>1</v>
      </c>
      <c r="H108" s="36">
        <f t="shared" si="3"/>
        <v>4393019274.6835356</v>
      </c>
      <c r="I108" s="34">
        <f t="shared" si="19"/>
        <v>279880223265442.63</v>
      </c>
      <c r="J108" s="37">
        <f t="shared" si="20"/>
        <v>270845556951862.5</v>
      </c>
      <c r="K108" s="34">
        <f t="shared" si="4"/>
        <v>17072307591962.928</v>
      </c>
      <c r="L108" s="34">
        <f t="shared" si="5"/>
        <v>0</v>
      </c>
      <c r="M108" s="34">
        <f t="shared" si="6"/>
        <v>17072307591962.928</v>
      </c>
      <c r="N108" s="34">
        <f t="shared" si="23"/>
        <v>1707230759196.293</v>
      </c>
      <c r="O108" s="38">
        <f t="shared" si="7"/>
        <v>15288251448602.801</v>
      </c>
      <c r="P108" s="39">
        <f t="shared" si="8"/>
        <v>1300000000000</v>
      </c>
      <c r="Q108" s="34">
        <f t="shared" si="9"/>
        <v>13988251448602.801</v>
      </c>
      <c r="R108" s="40">
        <f t="shared" si="22"/>
        <v>9938626120.4409981</v>
      </c>
      <c r="S108" s="35">
        <f t="shared" si="10"/>
        <v>1</v>
      </c>
      <c r="T108" s="41">
        <f t="shared" si="11"/>
        <v>117.28860776032252</v>
      </c>
      <c r="U108" s="4"/>
      <c r="V108" s="4"/>
      <c r="W108" s="4"/>
    </row>
    <row r="109" spans="1:23" ht="15.75" customHeight="1">
      <c r="A109" s="31" t="s">
        <v>142</v>
      </c>
      <c r="B109" s="32">
        <v>2125</v>
      </c>
      <c r="C109" s="45">
        <f t="shared" si="12"/>
        <v>9.933963183957745E-4</v>
      </c>
      <c r="D109" s="42">
        <v>4000</v>
      </c>
      <c r="E109" s="34">
        <f t="shared" si="1"/>
        <v>3973585273.5830979</v>
      </c>
      <c r="F109" s="34">
        <f t="shared" si="2"/>
        <v>3953717347.2151823</v>
      </c>
      <c r="G109" s="35">
        <f t="shared" si="18"/>
        <v>1</v>
      </c>
      <c r="H109" s="36">
        <f t="shared" si="3"/>
        <v>3953717347.2151823</v>
      </c>
      <c r="I109" s="34">
        <f t="shared" si="19"/>
        <v>281591407741986.13</v>
      </c>
      <c r="J109" s="37">
        <f t="shared" si="20"/>
        <v>272420463057691.81</v>
      </c>
      <c r="K109" s="34">
        <f t="shared" si="4"/>
        <v>17171608310748.082</v>
      </c>
      <c r="L109" s="34">
        <f t="shared" si="5"/>
        <v>0</v>
      </c>
      <c r="M109" s="34">
        <f t="shared" si="6"/>
        <v>17171608310748.082</v>
      </c>
      <c r="N109" s="34">
        <f t="shared" si="23"/>
        <v>1717160831074.8083</v>
      </c>
      <c r="O109" s="38">
        <f t="shared" si="7"/>
        <v>15377175242274.906</v>
      </c>
      <c r="P109" s="39">
        <f t="shared" si="8"/>
        <v>1300000000000</v>
      </c>
      <c r="Q109" s="34">
        <f t="shared" si="9"/>
        <v>14077175242274.906</v>
      </c>
      <c r="R109" s="40">
        <f t="shared" si="22"/>
        <v>9928687494.3205585</v>
      </c>
      <c r="S109" s="35">
        <f t="shared" si="10"/>
        <v>1</v>
      </c>
      <c r="T109" s="41">
        <f t="shared" si="11"/>
        <v>118.1523678257858</v>
      </c>
      <c r="U109" s="4"/>
      <c r="V109" s="4"/>
      <c r="W109" s="4"/>
    </row>
    <row r="110" spans="1:23" ht="15.75" customHeight="1">
      <c r="A110" s="31" t="s">
        <v>143</v>
      </c>
      <c r="B110" s="32">
        <v>2126</v>
      </c>
      <c r="C110" s="45">
        <f t="shared" si="12"/>
        <v>8.9405668655619705E-4</v>
      </c>
      <c r="D110" s="42">
        <v>4000</v>
      </c>
      <c r="E110" s="34">
        <f t="shared" si="1"/>
        <v>3576226746.2247882</v>
      </c>
      <c r="F110" s="34">
        <f t="shared" si="2"/>
        <v>3558345612.4936643</v>
      </c>
      <c r="G110" s="35">
        <f t="shared" si="18"/>
        <v>1</v>
      </c>
      <c r="H110" s="36">
        <f t="shared" si="3"/>
        <v>3558345612.4936643</v>
      </c>
      <c r="I110" s="34">
        <f t="shared" si="19"/>
        <v>283312126918673.44</v>
      </c>
      <c r="J110" s="37">
        <f t="shared" si="20"/>
        <v>274004111643261.94</v>
      </c>
      <c r="K110" s="34">
        <f t="shared" si="4"/>
        <v>17271457357857.66</v>
      </c>
      <c r="L110" s="34">
        <f t="shared" si="5"/>
        <v>0</v>
      </c>
      <c r="M110" s="34">
        <f t="shared" si="6"/>
        <v>17271457357857.66</v>
      </c>
      <c r="N110" s="34">
        <f t="shared" si="23"/>
        <v>1727145735785.7661</v>
      </c>
      <c r="O110" s="38">
        <f t="shared" si="7"/>
        <v>15466590063961.535</v>
      </c>
      <c r="P110" s="39">
        <f t="shared" si="8"/>
        <v>1300000000000</v>
      </c>
      <c r="Q110" s="34">
        <f t="shared" si="9"/>
        <v>14166590063961.535</v>
      </c>
      <c r="R110" s="40">
        <f t="shared" si="22"/>
        <v>9918758806.8262386</v>
      </c>
      <c r="S110" s="35">
        <f t="shared" si="10"/>
        <v>1</v>
      </c>
      <c r="T110" s="41">
        <f t="shared" si="11"/>
        <v>119.02186503258078</v>
      </c>
      <c r="U110" s="4"/>
      <c r="V110" s="4"/>
      <c r="W110" s="4"/>
    </row>
    <row r="111" spans="1:23" ht="15.75" customHeight="1">
      <c r="A111" s="31" t="s">
        <v>144</v>
      </c>
      <c r="B111" s="32">
        <v>2127</v>
      </c>
      <c r="C111" s="45">
        <f t="shared" si="12"/>
        <v>8.0465101790057737E-4</v>
      </c>
      <c r="D111" s="42">
        <v>4000</v>
      </c>
      <c r="E111" s="34">
        <f t="shared" si="1"/>
        <v>3218604071.6023092</v>
      </c>
      <c r="F111" s="34">
        <f t="shared" si="2"/>
        <v>3202511051.2442975</v>
      </c>
      <c r="G111" s="35">
        <f t="shared" si="18"/>
        <v>1</v>
      </c>
      <c r="H111" s="36">
        <f t="shared" si="3"/>
        <v>3202511051.2442975</v>
      </c>
      <c r="I111" s="34">
        <f t="shared" si="19"/>
        <v>285042475165510.44</v>
      </c>
      <c r="J111" s="37">
        <f t="shared" si="20"/>
        <v>275596592660153.94</v>
      </c>
      <c r="K111" s="34">
        <f t="shared" si="4"/>
        <v>17371860678182.807</v>
      </c>
      <c r="L111" s="34">
        <f t="shared" si="5"/>
        <v>0</v>
      </c>
      <c r="M111" s="34">
        <f t="shared" si="6"/>
        <v>17371860678182.807</v>
      </c>
      <c r="N111" s="34">
        <f t="shared" si="23"/>
        <v>1737186067818.2808</v>
      </c>
      <c r="O111" s="38">
        <f t="shared" si="7"/>
        <v>15556501237312.703</v>
      </c>
      <c r="P111" s="39">
        <f t="shared" si="8"/>
        <v>1300000000000</v>
      </c>
      <c r="Q111" s="34">
        <f t="shared" si="9"/>
        <v>14256501237312.703</v>
      </c>
      <c r="R111" s="40">
        <f t="shared" si="22"/>
        <v>9908840048.019413</v>
      </c>
      <c r="S111" s="35">
        <f t="shared" si="10"/>
        <v>1</v>
      </c>
      <c r="T111" s="41">
        <f t="shared" si="11"/>
        <v>119.89715890242121</v>
      </c>
      <c r="U111" s="4"/>
      <c r="V111" s="4"/>
      <c r="W111" s="4"/>
    </row>
    <row r="112" spans="1:23" ht="15.75" customHeight="1">
      <c r="A112" s="31" t="s">
        <v>145</v>
      </c>
      <c r="B112" s="32">
        <v>2128</v>
      </c>
      <c r="C112" s="45">
        <f t="shared" si="12"/>
        <v>7.241859161105196E-4</v>
      </c>
      <c r="D112" s="42">
        <v>4000</v>
      </c>
      <c r="E112" s="34">
        <f t="shared" si="1"/>
        <v>2896743664.4420786</v>
      </c>
      <c r="F112" s="34">
        <f t="shared" si="2"/>
        <v>2882259946.1198683</v>
      </c>
      <c r="G112" s="35">
        <f t="shared" si="18"/>
        <v>1</v>
      </c>
      <c r="H112" s="36">
        <f t="shared" si="3"/>
        <v>2882259946.1198683</v>
      </c>
      <c r="I112" s="34">
        <f t="shared" si="19"/>
        <v>286782543493274.81</v>
      </c>
      <c r="J112" s="37">
        <f t="shared" si="20"/>
        <v>277197992657424.41</v>
      </c>
      <c r="K112" s="34">
        <f t="shared" si="4"/>
        <v>17472823974653.76</v>
      </c>
      <c r="L112" s="34">
        <f t="shared" si="5"/>
        <v>0</v>
      </c>
      <c r="M112" s="34">
        <f t="shared" si="6"/>
        <v>17472823974653.76</v>
      </c>
      <c r="N112" s="34">
        <f t="shared" si="23"/>
        <v>1747282397465.376</v>
      </c>
      <c r="O112" s="38">
        <f t="shared" si="7"/>
        <v>15646913869302.441</v>
      </c>
      <c r="P112" s="39">
        <f t="shared" si="8"/>
        <v>1300000000000</v>
      </c>
      <c r="Q112" s="34">
        <f t="shared" si="9"/>
        <v>14346913869302.441</v>
      </c>
      <c r="R112" s="40">
        <f t="shared" si="22"/>
        <v>9898931207.9713955</v>
      </c>
      <c r="S112" s="35">
        <f t="shared" si="10"/>
        <v>1</v>
      </c>
      <c r="T112" s="41">
        <f t="shared" si="11"/>
        <v>120.77830734013303</v>
      </c>
      <c r="U112" s="4"/>
      <c r="V112" s="4"/>
      <c r="W112" s="4"/>
    </row>
    <row r="113" spans="1:23" ht="15.75" customHeight="1">
      <c r="A113" s="31" t="s">
        <v>146</v>
      </c>
      <c r="B113" s="32">
        <v>2129</v>
      </c>
      <c r="C113" s="45">
        <f t="shared" si="12"/>
        <v>6.517673244994677E-4</v>
      </c>
      <c r="D113" s="42">
        <v>4000</v>
      </c>
      <c r="E113" s="34">
        <f t="shared" si="1"/>
        <v>2607069297.9978709</v>
      </c>
      <c r="F113" s="34">
        <f t="shared" si="2"/>
        <v>2594033951.5078816</v>
      </c>
      <c r="G113" s="35">
        <f t="shared" si="18"/>
        <v>1</v>
      </c>
      <c r="H113" s="36">
        <f t="shared" si="3"/>
        <v>2594033951.5078816</v>
      </c>
      <c r="I113" s="34">
        <f t="shared" si="19"/>
        <v>288532419924691.69</v>
      </c>
      <c r="J113" s="37">
        <f t="shared" si="20"/>
        <v>278808395154296.88</v>
      </c>
      <c r="K113" s="34">
        <f t="shared" si="4"/>
        <v>17574352734480.707</v>
      </c>
      <c r="L113" s="34">
        <f t="shared" si="5"/>
        <v>0</v>
      </c>
      <c r="M113" s="34">
        <f t="shared" si="6"/>
        <v>17574352734480.707</v>
      </c>
      <c r="N113" s="34">
        <f t="shared" si="23"/>
        <v>1757435273448.0708</v>
      </c>
      <c r="O113" s="38">
        <f t="shared" si="7"/>
        <v>15737832873727.473</v>
      </c>
      <c r="P113" s="39">
        <f t="shared" si="8"/>
        <v>1300000000000</v>
      </c>
      <c r="Q113" s="34">
        <f t="shared" si="9"/>
        <v>14437832873727.473</v>
      </c>
      <c r="R113" s="40">
        <f t="shared" si="22"/>
        <v>9889032276.7634258</v>
      </c>
      <c r="S113" s="35">
        <f t="shared" si="10"/>
        <v>1</v>
      </c>
      <c r="T113" s="41">
        <f t="shared" si="11"/>
        <v>121.66536682303847</v>
      </c>
      <c r="U113" s="4"/>
      <c r="V113" s="4"/>
      <c r="W113" s="4"/>
    </row>
    <row r="114" spans="1:23" ht="15.75" customHeight="1">
      <c r="A114" s="31" t="s">
        <v>147</v>
      </c>
      <c r="B114" s="32">
        <v>2130</v>
      </c>
      <c r="C114" s="45">
        <f t="shared" si="12"/>
        <v>5.8659059204952096E-4</v>
      </c>
      <c r="D114" s="42">
        <v>4000</v>
      </c>
      <c r="E114" s="34">
        <f t="shared" si="1"/>
        <v>2346362368.1980834</v>
      </c>
      <c r="F114" s="34">
        <f t="shared" si="2"/>
        <v>2334630556.3570929</v>
      </c>
      <c r="G114" s="35">
        <f t="shared" si="18"/>
        <v>1</v>
      </c>
      <c r="H114" s="36">
        <f t="shared" si="3"/>
        <v>2334630556.3570929</v>
      </c>
      <c r="I114" s="34">
        <f t="shared" si="19"/>
        <v>290292189828696.13</v>
      </c>
      <c r="J114" s="37">
        <f t="shared" si="20"/>
        <v>280427880975772.16</v>
      </c>
      <c r="K114" s="34">
        <f t="shared" si="4"/>
        <v>17676452252782.422</v>
      </c>
      <c r="L114" s="34">
        <f t="shared" si="5"/>
        <v>0</v>
      </c>
      <c r="M114" s="34">
        <f t="shared" si="6"/>
        <v>17676452252782.422</v>
      </c>
      <c r="N114" s="34">
        <f t="shared" si="23"/>
        <v>1767645225278.2422</v>
      </c>
      <c r="O114" s="38">
        <f t="shared" si="7"/>
        <v>15829262992366.658</v>
      </c>
      <c r="P114" s="39">
        <f t="shared" si="8"/>
        <v>1300000000000</v>
      </c>
      <c r="Q114" s="34">
        <f t="shared" si="9"/>
        <v>14529262992366.658</v>
      </c>
      <c r="R114" s="40">
        <f t="shared" si="22"/>
        <v>9879143244.4866638</v>
      </c>
      <c r="S114" s="35">
        <f t="shared" si="10"/>
        <v>1</v>
      </c>
      <c r="T114" s="41">
        <f t="shared" si="11"/>
        <v>122.55839257177088</v>
      </c>
      <c r="U114" s="4"/>
      <c r="V114" s="4"/>
      <c r="W114" s="4"/>
    </row>
    <row r="115" spans="1:23" ht="15.75" customHeight="1">
      <c r="A115" s="31" t="s">
        <v>148</v>
      </c>
      <c r="B115" s="32">
        <v>2131</v>
      </c>
      <c r="C115" s="45">
        <f t="shared" si="12"/>
        <v>5.2793153284456885E-4</v>
      </c>
      <c r="D115" s="42">
        <v>4000</v>
      </c>
      <c r="E115" s="34">
        <f t="shared" si="1"/>
        <v>2111726131.3782754</v>
      </c>
      <c r="F115" s="34">
        <f t="shared" si="2"/>
        <v>2101167500.721384</v>
      </c>
      <c r="G115" s="35">
        <f t="shared" si="18"/>
        <v>1</v>
      </c>
      <c r="H115" s="36">
        <f t="shared" si="3"/>
        <v>2101167500.721384</v>
      </c>
      <c r="I115" s="34">
        <f t="shared" si="19"/>
        <v>292061936221475.13</v>
      </c>
      <c r="J115" s="37">
        <f t="shared" si="20"/>
        <v>282056528554866.88</v>
      </c>
      <c r="K115" s="34">
        <f t="shared" si="4"/>
        <v>17779127653863.953</v>
      </c>
      <c r="L115" s="34">
        <f t="shared" si="5"/>
        <v>0</v>
      </c>
      <c r="M115" s="34">
        <f t="shared" si="6"/>
        <v>17779127653863.953</v>
      </c>
      <c r="N115" s="34">
        <f t="shared" si="23"/>
        <v>1777912765386.3955</v>
      </c>
      <c r="O115" s="38">
        <f t="shared" si="7"/>
        <v>15921208814035.17</v>
      </c>
      <c r="P115" s="39">
        <f t="shared" si="8"/>
        <v>1300000000000</v>
      </c>
      <c r="Q115" s="34">
        <f t="shared" si="9"/>
        <v>14621208814035.17</v>
      </c>
      <c r="R115" s="40">
        <f t="shared" si="22"/>
        <v>9869264101.242178</v>
      </c>
      <c r="S115" s="35">
        <f t="shared" si="10"/>
        <v>1</v>
      </c>
      <c r="T115" s="41">
        <f t="shared" si="11"/>
        <v>123.45743870436176</v>
      </c>
      <c r="U115" s="4"/>
      <c r="V115" s="4"/>
      <c r="W115" s="4"/>
    </row>
    <row r="116" spans="1:23" ht="15.75" customHeight="1">
      <c r="A116" s="31" t="s">
        <v>149</v>
      </c>
      <c r="B116" s="32">
        <v>2132</v>
      </c>
      <c r="C116" s="46">
        <f t="shared" si="12"/>
        <v>4.7513837956011197E-4</v>
      </c>
      <c r="D116" s="42">
        <v>4000</v>
      </c>
      <c r="E116" s="34">
        <f t="shared" si="1"/>
        <v>1900553518.2404478</v>
      </c>
      <c r="F116" s="34">
        <f t="shared" si="2"/>
        <v>1891050750.6492455</v>
      </c>
      <c r="G116" s="35">
        <f t="shared" si="18"/>
        <v>1</v>
      </c>
      <c r="H116" s="36">
        <f t="shared" si="3"/>
        <v>1891050750.6492455</v>
      </c>
      <c r="I116" s="34">
        <f t="shared" si="19"/>
        <v>293841740037612.13</v>
      </c>
      <c r="J116" s="37">
        <f t="shared" si="20"/>
        <v>283694414204818.38</v>
      </c>
      <c r="K116" s="34">
        <f t="shared" si="4"/>
        <v>17882383910378.559</v>
      </c>
      <c r="L116" s="34">
        <f t="shared" si="5"/>
        <v>0</v>
      </c>
      <c r="M116" s="34">
        <f t="shared" si="6"/>
        <v>17882383910378.559</v>
      </c>
      <c r="N116" s="34">
        <f t="shared" si="23"/>
        <v>1788238391037.856</v>
      </c>
      <c r="O116" s="38">
        <f t="shared" si="7"/>
        <v>16013674791744</v>
      </c>
      <c r="P116" s="39">
        <f t="shared" si="8"/>
        <v>1300000000000</v>
      </c>
      <c r="Q116" s="34">
        <f t="shared" si="9"/>
        <v>14713674791744</v>
      </c>
      <c r="R116" s="40">
        <f t="shared" si="22"/>
        <v>9859394837.1409378</v>
      </c>
      <c r="S116" s="35">
        <f t="shared" si="10"/>
        <v>1</v>
      </c>
      <c r="T116" s="41">
        <f t="shared" si="11"/>
        <v>124.36255837525896</v>
      </c>
      <c r="U116" s="4"/>
      <c r="V116" s="4"/>
      <c r="W116" s="4"/>
    </row>
    <row r="117" spans="1:23" ht="15.75" customHeight="1">
      <c r="A117" s="31" t="s">
        <v>150</v>
      </c>
      <c r="B117" s="32">
        <v>2133</v>
      </c>
      <c r="C117" s="46">
        <f t="shared" si="12"/>
        <v>4.276245416041008E-4</v>
      </c>
      <c r="D117" s="42">
        <v>4000</v>
      </c>
      <c r="E117" s="34">
        <f t="shared" si="1"/>
        <v>1710498166.4164033</v>
      </c>
      <c r="F117" s="34">
        <f t="shared" si="2"/>
        <v>1701945675.5843213</v>
      </c>
      <c r="G117" s="35">
        <f t="shared" si="18"/>
        <v>1</v>
      </c>
      <c r="H117" s="36">
        <f t="shared" si="3"/>
        <v>1701945675.5843213</v>
      </c>
      <c r="I117" s="34">
        <f t="shared" si="19"/>
        <v>295631680374325.56</v>
      </c>
      <c r="J117" s="37">
        <f t="shared" si="20"/>
        <v>285341612364261.06</v>
      </c>
      <c r="K117" s="34">
        <f t="shared" si="4"/>
        <v>17986225860585.484</v>
      </c>
      <c r="L117" s="34">
        <f t="shared" si="5"/>
        <v>0</v>
      </c>
      <c r="M117" s="34">
        <f t="shared" si="6"/>
        <v>17986225860585.484</v>
      </c>
      <c r="N117" s="34">
        <f t="shared" si="23"/>
        <v>1798622586058.5486</v>
      </c>
      <c r="O117" s="38">
        <f t="shared" si="7"/>
        <v>16106665258154.301</v>
      </c>
      <c r="P117" s="39">
        <f t="shared" si="8"/>
        <v>1300000000000</v>
      </c>
      <c r="Q117" s="34">
        <f t="shared" si="9"/>
        <v>14806665258154.301</v>
      </c>
      <c r="R117" s="40">
        <f t="shared" si="22"/>
        <v>9849535442.3037987</v>
      </c>
      <c r="S117" s="35">
        <f t="shared" si="10"/>
        <v>1</v>
      </c>
      <c r="T117" s="41">
        <f t="shared" si="11"/>
        <v>125.27380390077086</v>
      </c>
      <c r="U117" s="4"/>
      <c r="V117" s="4"/>
      <c r="W117" s="4"/>
    </row>
    <row r="118" spans="1:23" ht="15.75" customHeight="1">
      <c r="A118" s="31" t="s">
        <v>151</v>
      </c>
      <c r="B118" s="32">
        <v>2134</v>
      </c>
      <c r="C118" s="46">
        <f t="shared" si="12"/>
        <v>3.8486208744369072E-4</v>
      </c>
      <c r="D118" s="42">
        <v>4000</v>
      </c>
      <c r="E118" s="34">
        <f t="shared" si="1"/>
        <v>1539448349.7747629</v>
      </c>
      <c r="F118" s="34">
        <f t="shared" si="2"/>
        <v>1531751108.0258892</v>
      </c>
      <c r="G118" s="35">
        <f t="shared" si="18"/>
        <v>1</v>
      </c>
      <c r="H118" s="36">
        <f t="shared" si="3"/>
        <v>1531751108.0258892</v>
      </c>
      <c r="I118" s="34">
        <f t="shared" si="19"/>
        <v>297431834711492.13</v>
      </c>
      <c r="J118" s="37">
        <f t="shared" si="20"/>
        <v>286998195818076.94</v>
      </c>
      <c r="K118" s="34">
        <f t="shared" si="4"/>
        <v>18090658223894.152</v>
      </c>
      <c r="L118" s="34">
        <f t="shared" si="5"/>
        <v>0</v>
      </c>
      <c r="M118" s="34">
        <f t="shared" si="6"/>
        <v>18090658223894.152</v>
      </c>
      <c r="N118" s="34">
        <f t="shared" si="23"/>
        <v>1809065822389.4153</v>
      </c>
      <c r="O118" s="38">
        <f t="shared" si="7"/>
        <v>16200184439497.213</v>
      </c>
      <c r="P118" s="39">
        <f t="shared" si="8"/>
        <v>1300000000000</v>
      </c>
      <c r="Q118" s="34">
        <f t="shared" si="9"/>
        <v>14900184439497.213</v>
      </c>
      <c r="R118" s="40">
        <f t="shared" si="22"/>
        <v>9839685906.861496</v>
      </c>
      <c r="S118" s="35">
        <f t="shared" si="10"/>
        <v>1</v>
      </c>
      <c r="T118" s="41">
        <f t="shared" si="11"/>
        <v>126.19122687228331</v>
      </c>
      <c r="U118" s="4"/>
      <c r="V118" s="4"/>
      <c r="W118" s="4"/>
    </row>
    <row r="119" spans="1:23" ht="15.75" customHeight="1">
      <c r="A119" s="31" t="s">
        <v>152</v>
      </c>
      <c r="B119" s="32">
        <v>2135</v>
      </c>
      <c r="C119" s="46">
        <f t="shared" si="12"/>
        <v>3.4637587869932164E-4</v>
      </c>
      <c r="D119" s="42">
        <v>4000</v>
      </c>
      <c r="E119" s="34">
        <f t="shared" si="1"/>
        <v>1385503514.7972865</v>
      </c>
      <c r="F119" s="34">
        <f t="shared" si="2"/>
        <v>1378575997.2233</v>
      </c>
      <c r="G119" s="35">
        <f t="shared" si="18"/>
        <v>1</v>
      </c>
      <c r="H119" s="36">
        <f t="shared" si="3"/>
        <v>1378575997.2233</v>
      </c>
      <c r="I119" s="34">
        <f t="shared" si="19"/>
        <v>299242279109878.81</v>
      </c>
      <c r="J119" s="37">
        <f t="shared" si="20"/>
        <v>288664235896355.44</v>
      </c>
      <c r="K119" s="34">
        <f t="shared" si="4"/>
        <v>18195685614866.078</v>
      </c>
      <c r="L119" s="34">
        <f t="shared" si="5"/>
        <v>0</v>
      </c>
      <c r="M119" s="34">
        <f t="shared" si="6"/>
        <v>18195685614866.078</v>
      </c>
      <c r="N119" s="34">
        <f t="shared" si="23"/>
        <v>1819568561486.6079</v>
      </c>
      <c r="O119" s="38">
        <f t="shared" si="7"/>
        <v>16294236468112.574</v>
      </c>
      <c r="P119" s="39">
        <f t="shared" si="8"/>
        <v>1300000000000</v>
      </c>
      <c r="Q119" s="34">
        <f t="shared" si="9"/>
        <v>14994236468112.574</v>
      </c>
      <c r="R119" s="40">
        <f t="shared" si="22"/>
        <v>9829846220.9546356</v>
      </c>
      <c r="S119" s="35">
        <f t="shared" si="10"/>
        <v>1</v>
      </c>
      <c r="T119" s="41">
        <f t="shared" si="11"/>
        <v>127.11487825846166</v>
      </c>
      <c r="U119" s="4"/>
      <c r="V119" s="4"/>
      <c r="W119" s="4"/>
    </row>
    <row r="120" spans="1:23" ht="15.75" customHeight="1">
      <c r="A120" s="31" t="s">
        <v>153</v>
      </c>
      <c r="B120" s="32">
        <v>2136</v>
      </c>
      <c r="C120" s="46">
        <f t="shared" si="12"/>
        <v>3.1173829082938948E-4</v>
      </c>
      <c r="D120" s="42">
        <v>4000</v>
      </c>
      <c r="E120" s="34">
        <f t="shared" si="1"/>
        <v>1246953163.3175578</v>
      </c>
      <c r="F120" s="34">
        <f t="shared" si="2"/>
        <v>1240718397.5009701</v>
      </c>
      <c r="G120" s="35">
        <f t="shared" si="18"/>
        <v>1</v>
      </c>
      <c r="H120" s="36">
        <f t="shared" si="3"/>
        <v>1240718397.5009701</v>
      </c>
      <c r="I120" s="34">
        <f t="shared" si="19"/>
        <v>301063088389762.94</v>
      </c>
      <c r="J120" s="37">
        <f t="shared" si="20"/>
        <v>290339802653651.44</v>
      </c>
      <c r="K120" s="34">
        <f t="shared" si="4"/>
        <v>18301312555828.934</v>
      </c>
      <c r="L120" s="34">
        <f t="shared" si="5"/>
        <v>0</v>
      </c>
      <c r="M120" s="34">
        <f t="shared" si="6"/>
        <v>18301312555828.934</v>
      </c>
      <c r="N120" s="34">
        <f t="shared" si="23"/>
        <v>1830131255582.8936</v>
      </c>
      <c r="O120" s="38">
        <f t="shared" si="7"/>
        <v>16388825393744.809</v>
      </c>
      <c r="P120" s="39">
        <f t="shared" si="8"/>
        <v>1300000000000</v>
      </c>
      <c r="Q120" s="34">
        <f t="shared" si="9"/>
        <v>15088825393744.809</v>
      </c>
      <c r="R120" s="40">
        <f t="shared" si="22"/>
        <v>9820016374.7336826</v>
      </c>
      <c r="S120" s="35">
        <f t="shared" si="10"/>
        <v>1</v>
      </c>
      <c r="T120" s="41">
        <f t="shared" si="11"/>
        <v>128.04480849753179</v>
      </c>
      <c r="U120" s="4"/>
      <c r="V120" s="4"/>
      <c r="W120" s="4"/>
    </row>
    <row r="121" spans="1:23" ht="15.75" customHeight="1">
      <c r="A121" s="31" t="s">
        <v>154</v>
      </c>
      <c r="B121" s="32">
        <v>2137</v>
      </c>
      <c r="C121" s="46">
        <f t="shared" si="12"/>
        <v>2.8056446174645056E-4</v>
      </c>
      <c r="D121" s="42">
        <v>4000</v>
      </c>
      <c r="E121" s="34">
        <f t="shared" si="1"/>
        <v>1122257846.9858022</v>
      </c>
      <c r="F121" s="34">
        <f t="shared" si="2"/>
        <v>1116646557.7508731</v>
      </c>
      <c r="G121" s="35">
        <f t="shared" si="18"/>
        <v>1</v>
      </c>
      <c r="H121" s="36">
        <f t="shared" si="3"/>
        <v>1116646557.7508731</v>
      </c>
      <c r="I121" s="34">
        <f t="shared" si="19"/>
        <v>302894336291903.56</v>
      </c>
      <c r="J121" s="37">
        <f t="shared" si="20"/>
        <v>292024965030514.19</v>
      </c>
      <c r="K121" s="34">
        <f t="shared" si="4"/>
        <v>18407543488241.5</v>
      </c>
      <c r="L121" s="34">
        <f t="shared" si="5"/>
        <v>0</v>
      </c>
      <c r="M121" s="34">
        <f t="shared" si="6"/>
        <v>18407543488241.5</v>
      </c>
      <c r="N121" s="34">
        <f t="shared" si="23"/>
        <v>1840754348824.1501</v>
      </c>
      <c r="O121" s="38">
        <f t="shared" si="7"/>
        <v>16483955193720.264</v>
      </c>
      <c r="P121" s="39">
        <f t="shared" si="8"/>
        <v>1300000000000</v>
      </c>
      <c r="Q121" s="34">
        <f t="shared" si="9"/>
        <v>15183955193720.264</v>
      </c>
      <c r="R121" s="40">
        <f t="shared" si="22"/>
        <v>9810196358.3589497</v>
      </c>
      <c r="S121" s="35">
        <f t="shared" si="10"/>
        <v>1</v>
      </c>
      <c r="T121" s="41">
        <f t="shared" si="11"/>
        <v>128.98106758062417</v>
      </c>
      <c r="U121" s="4"/>
      <c r="V121" s="4"/>
      <c r="W121" s="4"/>
    </row>
    <row r="122" spans="1:23" ht="15.75" customHeight="1">
      <c r="A122" s="31" t="s">
        <v>155</v>
      </c>
      <c r="B122" s="32">
        <v>2138</v>
      </c>
      <c r="C122" s="46">
        <f t="shared" si="12"/>
        <v>2.5250801557180548E-4</v>
      </c>
      <c r="D122" s="42">
        <v>4000</v>
      </c>
      <c r="E122" s="34">
        <f t="shared" si="1"/>
        <v>1010032062.2872219</v>
      </c>
      <c r="F122" s="34">
        <f t="shared" si="2"/>
        <v>1004981901.9757859</v>
      </c>
      <c r="G122" s="35">
        <f t="shared" si="18"/>
        <v>1</v>
      </c>
      <c r="H122" s="36">
        <f t="shared" si="3"/>
        <v>1004981901.9757859</v>
      </c>
      <c r="I122" s="34">
        <f t="shared" si="19"/>
        <v>304736095622629.69</v>
      </c>
      <c r="J122" s="37">
        <f t="shared" si="20"/>
        <v>293719790999059.69</v>
      </c>
      <c r="K122" s="34">
        <f t="shared" si="4"/>
        <v>18514382782934.598</v>
      </c>
      <c r="L122" s="34">
        <f t="shared" si="5"/>
        <v>0</v>
      </c>
      <c r="M122" s="34">
        <f t="shared" si="6"/>
        <v>18514382782934.598</v>
      </c>
      <c r="N122" s="34">
        <f t="shared" si="23"/>
        <v>1851438278293.46</v>
      </c>
      <c r="O122" s="38">
        <f t="shared" si="7"/>
        <v>16579629782117.932</v>
      </c>
      <c r="P122" s="39">
        <f t="shared" si="8"/>
        <v>1300000000000</v>
      </c>
      <c r="Q122" s="34">
        <f t="shared" si="9"/>
        <v>15279629782117.932</v>
      </c>
      <c r="R122" s="40">
        <f t="shared" si="22"/>
        <v>9800386162.0005913</v>
      </c>
      <c r="S122" s="35">
        <f t="shared" si="10"/>
        <v>1</v>
      </c>
      <c r="T122" s="41">
        <f t="shared" si="11"/>
        <v>129.92370512706785</v>
      </c>
      <c r="U122" s="4"/>
      <c r="V122" s="4"/>
      <c r="W122" s="4"/>
    </row>
    <row r="123" spans="1:23" ht="15.75" customHeight="1">
      <c r="A123" s="31" t="s">
        <v>156</v>
      </c>
      <c r="B123" s="32">
        <v>2139</v>
      </c>
      <c r="C123" s="46">
        <f t="shared" si="12"/>
        <v>2.2725721401462495E-4</v>
      </c>
      <c r="D123" s="42">
        <v>4000</v>
      </c>
      <c r="E123" s="34">
        <f t="shared" si="1"/>
        <v>909028856.05849981</v>
      </c>
      <c r="F123" s="34">
        <f t="shared" si="2"/>
        <v>904483711.7782073</v>
      </c>
      <c r="G123" s="35">
        <f t="shared" si="18"/>
        <v>1</v>
      </c>
      <c r="H123" s="36">
        <f t="shared" si="3"/>
        <v>904483711.7782073</v>
      </c>
      <c r="I123" s="34">
        <f t="shared" si="19"/>
        <v>306588438384634.88</v>
      </c>
      <c r="J123" s="37">
        <f t="shared" si="20"/>
        <v>295424347694184.38</v>
      </c>
      <c r="K123" s="34">
        <f t="shared" si="4"/>
        <v>18621834749340.383</v>
      </c>
      <c r="L123" s="34">
        <f t="shared" si="5"/>
        <v>0</v>
      </c>
      <c r="M123" s="34">
        <f t="shared" si="6"/>
        <v>18621834749340.383</v>
      </c>
      <c r="N123" s="34">
        <f t="shared" si="23"/>
        <v>1862183474934.0383</v>
      </c>
      <c r="O123" s="38">
        <f t="shared" si="7"/>
        <v>16675853018034.313</v>
      </c>
      <c r="P123" s="39">
        <f t="shared" si="8"/>
        <v>1300000000000</v>
      </c>
      <c r="Q123" s="34">
        <f t="shared" si="9"/>
        <v>15375853018034.313</v>
      </c>
      <c r="R123" s="40">
        <f t="shared" si="22"/>
        <v>9790585775.8385925</v>
      </c>
      <c r="S123" s="35">
        <f t="shared" si="10"/>
        <v>1</v>
      </c>
      <c r="T123" s="41">
        <f t="shared" si="11"/>
        <v>130.87277045243431</v>
      </c>
      <c r="U123" s="4"/>
      <c r="V123" s="4"/>
      <c r="W123" s="4"/>
    </row>
    <row r="124" spans="1:23" ht="15.75" customHeight="1">
      <c r="A124" s="31" t="s">
        <v>157</v>
      </c>
      <c r="B124" s="32">
        <v>2140</v>
      </c>
      <c r="C124" s="46">
        <f t="shared" si="12"/>
        <v>2.0453149261316246E-4</v>
      </c>
      <c r="D124" s="42">
        <v>4000</v>
      </c>
      <c r="E124" s="34">
        <f t="shared" si="1"/>
        <v>818125970.45264983</v>
      </c>
      <c r="F124" s="34">
        <f t="shared" si="2"/>
        <v>814035340.60038662</v>
      </c>
      <c r="G124" s="35">
        <f t="shared" si="18"/>
        <v>1</v>
      </c>
      <c r="H124" s="36">
        <f t="shared" si="3"/>
        <v>814035340.60038662</v>
      </c>
      <c r="I124" s="34">
        <f t="shared" si="19"/>
        <v>308451435894909.56</v>
      </c>
      <c r="J124" s="37">
        <f t="shared" si="20"/>
        <v>297138701531856.88</v>
      </c>
      <c r="K124" s="34">
        <f t="shared" si="4"/>
        <v>18729903643811.289</v>
      </c>
      <c r="L124" s="34">
        <f t="shared" si="5"/>
        <v>0</v>
      </c>
      <c r="M124" s="34">
        <f t="shared" si="6"/>
        <v>18729903643811.289</v>
      </c>
      <c r="N124" s="34">
        <f t="shared" si="23"/>
        <v>1872990364381.1289</v>
      </c>
      <c r="O124" s="38">
        <f t="shared" si="7"/>
        <v>16772628713033.01</v>
      </c>
      <c r="P124" s="39">
        <f t="shared" si="8"/>
        <v>1300000000000</v>
      </c>
      <c r="Q124" s="34">
        <f t="shared" si="9"/>
        <v>15472628713033.01</v>
      </c>
      <c r="R124" s="40">
        <f t="shared" si="22"/>
        <v>9780795190.0627556</v>
      </c>
      <c r="S124" s="35">
        <f t="shared" si="10"/>
        <v>1</v>
      </c>
      <c r="T124" s="41">
        <f t="shared" si="11"/>
        <v>131.82831263005019</v>
      </c>
      <c r="U124" s="4"/>
      <c r="V124" s="4"/>
      <c r="W124" s="4"/>
    </row>
    <row r="125" spans="1:23" ht="15.75" customHeight="1">
      <c r="A125" s="31" t="s">
        <v>158</v>
      </c>
      <c r="B125" s="32">
        <v>2141</v>
      </c>
      <c r="C125" s="46">
        <f t="shared" si="12"/>
        <v>1.840783433518462E-4</v>
      </c>
      <c r="D125" s="42">
        <v>4000</v>
      </c>
      <c r="E125" s="34">
        <f t="shared" si="1"/>
        <v>736313373.40738475</v>
      </c>
      <c r="F125" s="34">
        <f t="shared" si="2"/>
        <v>732631806.54034781</v>
      </c>
      <c r="G125" s="35">
        <f t="shared" si="18"/>
        <v>1</v>
      </c>
      <c r="H125" s="36">
        <f t="shared" si="3"/>
        <v>732631806.54034781</v>
      </c>
      <c r="I125" s="34">
        <f t="shared" si="19"/>
        <v>310325158891097.25</v>
      </c>
      <c r="J125" s="37">
        <f t="shared" si="20"/>
        <v>298862918315780.56</v>
      </c>
      <c r="K125" s="34">
        <f t="shared" si="4"/>
        <v>18838593677119.727</v>
      </c>
      <c r="L125" s="34">
        <f t="shared" si="5"/>
        <v>0</v>
      </c>
      <c r="M125" s="34">
        <f t="shared" si="6"/>
        <v>18838593677119.727</v>
      </c>
      <c r="N125" s="34">
        <f t="shared" si="23"/>
        <v>1883859367711.9727</v>
      </c>
      <c r="O125" s="38">
        <f t="shared" si="7"/>
        <v>16869960637860.715</v>
      </c>
      <c r="P125" s="39">
        <f t="shared" si="8"/>
        <v>1300000000000</v>
      </c>
      <c r="Q125" s="34">
        <f t="shared" si="9"/>
        <v>15569960637860.715</v>
      </c>
      <c r="R125" s="40">
        <f t="shared" si="22"/>
        <v>9771014394.872694</v>
      </c>
      <c r="S125" s="35">
        <f t="shared" si="10"/>
        <v>1</v>
      </c>
      <c r="T125" s="41">
        <f t="shared" si="11"/>
        <v>132.79038054662811</v>
      </c>
      <c r="U125" s="4"/>
      <c r="V125" s="4"/>
      <c r="W125" s="4"/>
    </row>
    <row r="126" spans="1:23" ht="15.75" customHeight="1">
      <c r="A126" s="31" t="s">
        <v>159</v>
      </c>
      <c r="B126" s="32">
        <v>2142</v>
      </c>
      <c r="C126" s="46">
        <f t="shared" si="12"/>
        <v>1.6567050901666159E-4</v>
      </c>
      <c r="D126" s="42">
        <v>4000</v>
      </c>
      <c r="E126" s="34">
        <f t="shared" si="1"/>
        <v>662682036.06664634</v>
      </c>
      <c r="F126" s="34">
        <f t="shared" si="2"/>
        <v>659368625.88631308</v>
      </c>
      <c r="G126" s="35">
        <f t="shared" si="18"/>
        <v>1</v>
      </c>
      <c r="H126" s="36">
        <f t="shared" si="3"/>
        <v>659368625.88631308</v>
      </c>
      <c r="I126" s="34">
        <f t="shared" si="19"/>
        <v>312209677627435.13</v>
      </c>
      <c r="J126" s="37">
        <f t="shared" si="20"/>
        <v>300597063333592.38</v>
      </c>
      <c r="K126" s="34">
        <f t="shared" si="4"/>
        <v>18947909021220.488</v>
      </c>
      <c r="L126" s="34">
        <f t="shared" si="5"/>
        <v>0</v>
      </c>
      <c r="M126" s="34">
        <f t="shared" si="6"/>
        <v>18947909021220.488</v>
      </c>
      <c r="N126" s="34">
        <f t="shared" si="23"/>
        <v>1894790902122.0488</v>
      </c>
      <c r="O126" s="38">
        <f t="shared" si="7"/>
        <v>16967852528502.947</v>
      </c>
      <c r="P126" s="39">
        <f t="shared" si="8"/>
        <v>1300000000000</v>
      </c>
      <c r="Q126" s="34">
        <f t="shared" si="9"/>
        <v>15667852528502.947</v>
      </c>
      <c r="R126" s="40">
        <f t="shared" si="22"/>
        <v>9761243380.4778233</v>
      </c>
      <c r="S126" s="35">
        <f t="shared" si="10"/>
        <v>1</v>
      </c>
      <c r="T126" s="41">
        <f t="shared" si="11"/>
        <v>133.75902295259976</v>
      </c>
      <c r="U126" s="4"/>
      <c r="V126" s="4"/>
      <c r="W126" s="4"/>
    </row>
    <row r="127" spans="1:23" ht="15.75" customHeight="1">
      <c r="A127" s="31" t="s">
        <v>160</v>
      </c>
      <c r="B127" s="32">
        <v>2143</v>
      </c>
      <c r="C127" s="46">
        <f t="shared" si="12"/>
        <v>1.4910345811499544E-4</v>
      </c>
      <c r="D127" s="42">
        <v>4000</v>
      </c>
      <c r="E127" s="34">
        <f t="shared" si="1"/>
        <v>596413832.4599818</v>
      </c>
      <c r="F127" s="34">
        <f t="shared" si="2"/>
        <v>593431763.29768193</v>
      </c>
      <c r="G127" s="35">
        <f t="shared" si="18"/>
        <v>1</v>
      </c>
      <c r="H127" s="36">
        <f t="shared" si="3"/>
        <v>593431763.29768193</v>
      </c>
      <c r="I127" s="34">
        <f t="shared" si="19"/>
        <v>314105061961320.5</v>
      </c>
      <c r="J127" s="37">
        <f t="shared" si="20"/>
        <v>302341201443644</v>
      </c>
      <c r="K127" s="34">
        <f t="shared" si="4"/>
        <v>19057853815349.758</v>
      </c>
      <c r="L127" s="34">
        <f t="shared" si="5"/>
        <v>0</v>
      </c>
      <c r="M127" s="34">
        <f t="shared" si="6"/>
        <v>19057853815349.758</v>
      </c>
      <c r="N127" s="34">
        <f t="shared" si="23"/>
        <v>1905785381534.9758</v>
      </c>
      <c r="O127" s="38">
        <f t="shared" si="7"/>
        <v>17066308091645.707</v>
      </c>
      <c r="P127" s="39">
        <f t="shared" si="8"/>
        <v>1300000000000</v>
      </c>
      <c r="Q127" s="34">
        <f t="shared" si="9"/>
        <v>15766308091645.707</v>
      </c>
      <c r="R127" s="40">
        <f t="shared" si="22"/>
        <v>9751482137.0973473</v>
      </c>
      <c r="S127" s="35">
        <f t="shared" si="10"/>
        <v>1</v>
      </c>
      <c r="T127" s="41">
        <f t="shared" si="11"/>
        <v>134.73428850767797</v>
      </c>
      <c r="U127" s="4"/>
      <c r="V127" s="4"/>
      <c r="W127" s="4"/>
    </row>
    <row r="128" spans="1:23" ht="15.75" customHeight="1">
      <c r="A128" s="31" t="s">
        <v>161</v>
      </c>
      <c r="B128" s="32">
        <v>2144</v>
      </c>
      <c r="C128" s="46">
        <f t="shared" si="12"/>
        <v>1.3419311230349591E-4</v>
      </c>
      <c r="D128" s="42">
        <v>4000</v>
      </c>
      <c r="E128" s="34">
        <f t="shared" si="1"/>
        <v>536772449.2139836</v>
      </c>
      <c r="F128" s="34">
        <f t="shared" si="2"/>
        <v>534088586.96791369</v>
      </c>
      <c r="G128" s="35">
        <f t="shared" si="18"/>
        <v>1</v>
      </c>
      <c r="H128" s="36">
        <f t="shared" si="3"/>
        <v>534088586.96791369</v>
      </c>
      <c r="I128" s="34">
        <f t="shared" si="19"/>
        <v>316011381431442.44</v>
      </c>
      <c r="J128" s="37">
        <f t="shared" si="20"/>
        <v>304095397153309.06</v>
      </c>
      <c r="K128" s="34">
        <f t="shared" si="4"/>
        <v>19168432171527.027</v>
      </c>
      <c r="L128" s="34">
        <f t="shared" si="5"/>
        <v>0</v>
      </c>
      <c r="M128" s="34">
        <f t="shared" si="6"/>
        <v>19168432171527.027</v>
      </c>
      <c r="N128" s="34">
        <f t="shared" si="23"/>
        <v>1916843217152.7029</v>
      </c>
      <c r="O128" s="38">
        <f t="shared" si="7"/>
        <v>17165331009602.453</v>
      </c>
      <c r="P128" s="39">
        <f t="shared" si="8"/>
        <v>1300000000000</v>
      </c>
      <c r="Q128" s="34">
        <f t="shared" si="9"/>
        <v>15865331009602.453</v>
      </c>
      <c r="R128" s="40">
        <f t="shared" si="22"/>
        <v>9741730654.9602509</v>
      </c>
      <c r="S128" s="35">
        <f t="shared" si="10"/>
        <v>1</v>
      </c>
      <c r="T128" s="41">
        <f t="shared" si="11"/>
        <v>135.71622582212171</v>
      </c>
      <c r="U128" s="4"/>
      <c r="V128" s="4"/>
      <c r="W128" s="4"/>
    </row>
    <row r="129" spans="1:23" ht="15.75" customHeight="1">
      <c r="A129" s="31" t="s">
        <v>162</v>
      </c>
      <c r="B129" s="32">
        <v>2145</v>
      </c>
      <c r="C129" s="46">
        <f t="shared" si="12"/>
        <v>1.2077380107314632E-4</v>
      </c>
      <c r="D129" s="42">
        <v>4000</v>
      </c>
      <c r="E129" s="34">
        <f t="shared" si="1"/>
        <v>483095204.29258531</v>
      </c>
      <c r="F129" s="34">
        <f t="shared" si="2"/>
        <v>480679728.2711224</v>
      </c>
      <c r="G129" s="35">
        <f t="shared" si="18"/>
        <v>1</v>
      </c>
      <c r="H129" s="36">
        <f t="shared" si="3"/>
        <v>480679728.2711224</v>
      </c>
      <c r="I129" s="34">
        <f t="shared" si="19"/>
        <v>317928705328323.38</v>
      </c>
      <c r="J129" s="37">
        <f t="shared" si="20"/>
        <v>305859714689664.94</v>
      </c>
      <c r="K129" s="34">
        <f t="shared" si="4"/>
        <v>19279648179519.793</v>
      </c>
      <c r="L129" s="34">
        <f t="shared" si="5"/>
        <v>0</v>
      </c>
      <c r="M129" s="34">
        <f t="shared" si="6"/>
        <v>19279648179519.793</v>
      </c>
      <c r="N129" s="34">
        <f t="shared" si="23"/>
        <v>1927964817951.9795</v>
      </c>
      <c r="O129" s="38">
        <f t="shared" si="7"/>
        <v>17264924944759.973</v>
      </c>
      <c r="P129" s="39">
        <f t="shared" si="8"/>
        <v>1300000000000</v>
      </c>
      <c r="Q129" s="34">
        <f t="shared" si="9"/>
        <v>15964924944759.973</v>
      </c>
      <c r="R129" s="40">
        <f t="shared" si="22"/>
        <v>9731988924.3052921</v>
      </c>
      <c r="S129" s="35">
        <f t="shared" si="10"/>
        <v>1</v>
      </c>
      <c r="T129" s="41">
        <f t="shared" si="11"/>
        <v>136.70488349413128</v>
      </c>
      <c r="U129" s="4"/>
      <c r="V129" s="4"/>
      <c r="W129" s="4"/>
    </row>
    <row r="130" spans="1:23" ht="15.75" customHeight="1">
      <c r="A130" s="31" t="s">
        <v>163</v>
      </c>
      <c r="B130" s="32">
        <v>2146</v>
      </c>
      <c r="C130" s="46">
        <f t="shared" si="12"/>
        <v>1.086964209658317E-4</v>
      </c>
      <c r="D130" s="42">
        <v>4000</v>
      </c>
      <c r="E130" s="34">
        <f t="shared" si="1"/>
        <v>434785683.86332679</v>
      </c>
      <c r="F130" s="34">
        <f t="shared" si="2"/>
        <v>432611755.44401014</v>
      </c>
      <c r="G130" s="35">
        <f t="shared" si="18"/>
        <v>1</v>
      </c>
      <c r="H130" s="36">
        <f t="shared" si="3"/>
        <v>432611755.44401014</v>
      </c>
      <c r="I130" s="34">
        <f t="shared" si="19"/>
        <v>319857102758030.81</v>
      </c>
      <c r="J130" s="37">
        <f t="shared" si="20"/>
        <v>307634218063312.69</v>
      </c>
      <c r="K130" s="34">
        <f t="shared" si="4"/>
        <v>19391505911324.758</v>
      </c>
      <c r="L130" s="34">
        <f t="shared" si="5"/>
        <v>0</v>
      </c>
      <c r="M130" s="34">
        <f t="shared" si="6"/>
        <v>19391505911324.758</v>
      </c>
      <c r="N130" s="34">
        <f t="shared" si="23"/>
        <v>1939150591132.4758</v>
      </c>
      <c r="O130" s="38">
        <f t="shared" si="7"/>
        <v>17365093543591.32</v>
      </c>
      <c r="P130" s="39">
        <f t="shared" si="8"/>
        <v>1300000000000</v>
      </c>
      <c r="Q130" s="34">
        <f t="shared" si="9"/>
        <v>16065093543591.32</v>
      </c>
      <c r="R130" s="40">
        <f t="shared" si="22"/>
        <v>9722256935.3809872</v>
      </c>
      <c r="S130" s="35">
        <f t="shared" si="10"/>
        <v>1</v>
      </c>
      <c r="T130" s="41">
        <f t="shared" si="11"/>
        <v>137.70031014375931</v>
      </c>
      <c r="U130" s="4"/>
      <c r="V130" s="4"/>
      <c r="W130" s="4"/>
    </row>
    <row r="131" spans="1:23" ht="15.75" customHeight="1">
      <c r="A131" s="31" t="s">
        <v>164</v>
      </c>
      <c r="B131" s="32">
        <v>2147</v>
      </c>
      <c r="C131" s="46">
        <f t="shared" si="12"/>
        <v>9.7826778869248524E-5</v>
      </c>
      <c r="D131" s="42">
        <v>4000</v>
      </c>
      <c r="E131" s="34">
        <f t="shared" si="1"/>
        <v>391307115.4769941</v>
      </c>
      <c r="F131" s="34">
        <f t="shared" si="2"/>
        <v>389350579.89960915</v>
      </c>
      <c r="G131" s="35">
        <f t="shared" si="18"/>
        <v>1</v>
      </c>
      <c r="H131" s="36">
        <f t="shared" si="3"/>
        <v>389350579.89960915</v>
      </c>
      <c r="I131" s="34">
        <f t="shared" si="19"/>
        <v>321796642699743.19</v>
      </c>
      <c r="J131" s="37">
        <f t="shared" si="20"/>
        <v>309418971126022.56</v>
      </c>
      <c r="K131" s="34">
        <f t="shared" si="4"/>
        <v>19504009425214.023</v>
      </c>
      <c r="L131" s="34">
        <f t="shared" si="5"/>
        <v>0</v>
      </c>
      <c r="M131" s="34">
        <f t="shared" si="6"/>
        <v>19504009425214.023</v>
      </c>
      <c r="N131" s="34">
        <f t="shared" si="23"/>
        <v>1950400942521.4023</v>
      </c>
      <c r="O131" s="38">
        <f t="shared" si="7"/>
        <v>17465840440279.158</v>
      </c>
      <c r="P131" s="39">
        <f t="shared" si="8"/>
        <v>1300000000000</v>
      </c>
      <c r="Q131" s="34">
        <f t="shared" si="9"/>
        <v>16165840440279.158</v>
      </c>
      <c r="R131" s="40">
        <f t="shared" si="22"/>
        <v>9712534678.4456081</v>
      </c>
      <c r="S131" s="35">
        <f t="shared" si="10"/>
        <v>1</v>
      </c>
      <c r="T131" s="41">
        <f t="shared" si="11"/>
        <v>138.70255444368323</v>
      </c>
      <c r="U131" s="4"/>
      <c r="V131" s="4"/>
      <c r="W131" s="4"/>
    </row>
    <row r="132" spans="1:23" ht="15.75" customHeight="1">
      <c r="A132" s="31" t="s">
        <v>165</v>
      </c>
      <c r="B132" s="32">
        <v>2148</v>
      </c>
      <c r="C132" s="46">
        <f t="shared" si="12"/>
        <v>8.8044100982323672E-5</v>
      </c>
      <c r="D132" s="42">
        <v>4000</v>
      </c>
      <c r="E132" s="34">
        <f t="shared" si="1"/>
        <v>352176403.92929465</v>
      </c>
      <c r="F132" s="34">
        <f t="shared" si="2"/>
        <v>350415521.90964818</v>
      </c>
      <c r="G132" s="35">
        <f t="shared" si="18"/>
        <v>1</v>
      </c>
      <c r="H132" s="36">
        <f t="shared" si="3"/>
        <v>350415521.90964818</v>
      </c>
      <c r="I132" s="34">
        <f t="shared" si="19"/>
        <v>323747394057786.5</v>
      </c>
      <c r="J132" s="37">
        <f t="shared" si="20"/>
        <v>311214037622823.88</v>
      </c>
      <c r="K132" s="34">
        <f t="shared" si="4"/>
        <v>19617162769389.828</v>
      </c>
      <c r="L132" s="34">
        <f t="shared" si="5"/>
        <v>0</v>
      </c>
      <c r="M132" s="34">
        <f t="shared" si="6"/>
        <v>19617162769389.828</v>
      </c>
      <c r="N132" s="34">
        <f t="shared" si="23"/>
        <v>1961716276938.9829</v>
      </c>
      <c r="O132" s="38">
        <f t="shared" si="7"/>
        <v>17567169259988.59</v>
      </c>
      <c r="P132" s="39">
        <f t="shared" si="8"/>
        <v>1300000000000</v>
      </c>
      <c r="Q132" s="34">
        <f t="shared" si="9"/>
        <v>16267169259988.59</v>
      </c>
      <c r="R132" s="40">
        <f t="shared" si="22"/>
        <v>9702822143.7671642</v>
      </c>
      <c r="S132" s="35">
        <f t="shared" si="10"/>
        <v>1</v>
      </c>
      <c r="T132" s="41">
        <f t="shared" si="11"/>
        <v>139.71166514715333</v>
      </c>
      <c r="U132" s="4"/>
      <c r="V132" s="4"/>
      <c r="W132" s="4"/>
    </row>
    <row r="133" spans="1:23" ht="15.75" customHeight="1">
      <c r="A133" s="31" t="s">
        <v>166</v>
      </c>
      <c r="B133" s="32">
        <v>2149</v>
      </c>
      <c r="C133" s="46">
        <f t="shared" si="12"/>
        <v>7.9239690884091302E-5</v>
      </c>
      <c r="D133" s="42">
        <v>4000</v>
      </c>
      <c r="E133" s="34">
        <f t="shared" si="1"/>
        <v>316958763.53636521</v>
      </c>
      <c r="F133" s="34">
        <f t="shared" si="2"/>
        <v>315373969.71868336</v>
      </c>
      <c r="G133" s="35">
        <f t="shared" si="18"/>
        <v>1</v>
      </c>
      <c r="H133" s="36">
        <f t="shared" si="3"/>
        <v>315373969.71868336</v>
      </c>
      <c r="I133" s="34">
        <f t="shared" si="19"/>
        <v>325709425708695.19</v>
      </c>
      <c r="J133" s="37">
        <f t="shared" si="20"/>
        <v>313019481239095.69</v>
      </c>
      <c r="K133" s="34">
        <f t="shared" si="4"/>
        <v>19730969985287.031</v>
      </c>
      <c r="L133" s="34">
        <f t="shared" si="5"/>
        <v>0</v>
      </c>
      <c r="M133" s="34">
        <f t="shared" si="6"/>
        <v>19730969985287.031</v>
      </c>
      <c r="N133" s="34">
        <f t="shared" si="23"/>
        <v>1973096998528.7031</v>
      </c>
      <c r="O133" s="38">
        <f t="shared" si="7"/>
        <v>17669083621824.535</v>
      </c>
      <c r="P133" s="39">
        <f t="shared" si="8"/>
        <v>1300000000000</v>
      </c>
      <c r="Q133" s="34">
        <f t="shared" si="9"/>
        <v>16369083621824.535</v>
      </c>
      <c r="R133" s="40">
        <f t="shared" si="22"/>
        <v>9693119321.6233978</v>
      </c>
      <c r="S133" s="35">
        <f t="shared" si="10"/>
        <v>1</v>
      </c>
      <c r="T133" s="41">
        <f t="shared" si="11"/>
        <v>140.72769111339633</v>
      </c>
      <c r="U133" s="4"/>
      <c r="V133" s="4"/>
      <c r="W133" s="4"/>
    </row>
    <row r="134" spans="1:23" ht="15.75" customHeight="1">
      <c r="A134" s="31" t="s">
        <v>167</v>
      </c>
      <c r="B134" s="32">
        <v>2150</v>
      </c>
      <c r="C134" s="46">
        <f t="shared" si="12"/>
        <v>7.1315721795682174E-5</v>
      </c>
      <c r="D134" s="42">
        <v>4000</v>
      </c>
      <c r="E134" s="34">
        <f t="shared" si="1"/>
        <v>285262887.18272871</v>
      </c>
      <c r="F134" s="34">
        <f t="shared" si="2"/>
        <v>283836572.74681509</v>
      </c>
      <c r="G134" s="35">
        <f t="shared" si="18"/>
        <v>1</v>
      </c>
      <c r="H134" s="36">
        <f t="shared" si="3"/>
        <v>283836572.74681509</v>
      </c>
      <c r="I134" s="34">
        <f t="shared" si="19"/>
        <v>327682806543796.63</v>
      </c>
      <c r="J134" s="37">
        <f t="shared" si="20"/>
        <v>314835365643160.06</v>
      </c>
      <c r="K134" s="34">
        <f t="shared" si="4"/>
        <v>19845435110558.664</v>
      </c>
      <c r="L134" s="34">
        <f t="shared" si="5"/>
        <v>0</v>
      </c>
      <c r="M134" s="34">
        <f t="shared" si="6"/>
        <v>19845435110558.664</v>
      </c>
      <c r="N134" s="34">
        <f t="shared" si="23"/>
        <v>1984543511055.8665</v>
      </c>
      <c r="O134" s="38">
        <f t="shared" si="7"/>
        <v>17771587141505.281</v>
      </c>
      <c r="P134" s="39">
        <f t="shared" si="8"/>
        <v>1300000000000</v>
      </c>
      <c r="Q134" s="34">
        <f t="shared" si="9"/>
        <v>16471587141505.281</v>
      </c>
      <c r="R134" s="40">
        <f t="shared" si="22"/>
        <v>9683426202.301775</v>
      </c>
      <c r="S134" s="35">
        <f t="shared" si="10"/>
        <v>1</v>
      </c>
      <c r="T134" s="41">
        <f t="shared" si="11"/>
        <v>141.75068133072864</v>
      </c>
      <c r="U134" s="4"/>
      <c r="V134" s="4"/>
      <c r="W134" s="4"/>
    </row>
    <row r="135" spans="1:23" ht="15.75" customHeight="1">
      <c r="A135" s="31" t="s">
        <v>168</v>
      </c>
      <c r="B135" s="32">
        <v>2151</v>
      </c>
      <c r="C135" s="46">
        <f t="shared" si="12"/>
        <v>6.4184149616113953E-5</v>
      </c>
      <c r="D135" s="42">
        <v>4000</v>
      </c>
      <c r="E135" s="34">
        <f t="shared" si="1"/>
        <v>256736598.46445578</v>
      </c>
      <c r="F135" s="34">
        <f t="shared" si="2"/>
        <v>255452915.47213352</v>
      </c>
      <c r="G135" s="35">
        <f t="shared" si="18"/>
        <v>1</v>
      </c>
      <c r="H135" s="36">
        <f t="shared" si="3"/>
        <v>255452915.47213352</v>
      </c>
      <c r="I135" s="34">
        <f t="shared" si="19"/>
        <v>329667605507768</v>
      </c>
      <c r="J135" s="37">
        <f t="shared" si="20"/>
        <v>316661754524827.88</v>
      </c>
      <c r="K135" s="34">
        <f t="shared" si="4"/>
        <v>19960562181776.348</v>
      </c>
      <c r="L135" s="34">
        <f t="shared" si="5"/>
        <v>0</v>
      </c>
      <c r="M135" s="34">
        <f t="shared" si="6"/>
        <v>19960562181776.348</v>
      </c>
      <c r="N135" s="34">
        <f t="shared" si="23"/>
        <v>1996056218177.6348</v>
      </c>
      <c r="O135" s="38">
        <f t="shared" si="7"/>
        <v>17874683433780.719</v>
      </c>
      <c r="P135" s="39">
        <f t="shared" si="8"/>
        <v>1300000000000</v>
      </c>
      <c r="Q135" s="34">
        <f t="shared" si="9"/>
        <v>16574683433780.719</v>
      </c>
      <c r="R135" s="40">
        <f t="shared" si="22"/>
        <v>9673742776.099474</v>
      </c>
      <c r="S135" s="35">
        <f t="shared" si="10"/>
        <v>1</v>
      </c>
      <c r="T135" s="41">
        <f t="shared" si="11"/>
        <v>142.78068493760864</v>
      </c>
      <c r="U135" s="4"/>
      <c r="V135" s="4"/>
      <c r="W135" s="4"/>
    </row>
    <row r="136" spans="1:23" ht="15.75" customHeight="1">
      <c r="A136" s="31" t="s">
        <v>169</v>
      </c>
      <c r="B136" s="32">
        <v>2152</v>
      </c>
      <c r="C136" s="46">
        <f t="shared" si="12"/>
        <v>5.7765734654502556E-5</v>
      </c>
      <c r="D136" s="42">
        <v>4000</v>
      </c>
      <c r="E136" s="34">
        <f t="shared" si="1"/>
        <v>231062938.61801022</v>
      </c>
      <c r="F136" s="34">
        <f t="shared" si="2"/>
        <v>229907623.92492017</v>
      </c>
      <c r="G136" s="35">
        <f t="shared" si="18"/>
        <v>1</v>
      </c>
      <c r="H136" s="36">
        <f t="shared" si="3"/>
        <v>229907623.92492017</v>
      </c>
      <c r="I136" s="34">
        <f t="shared" si="19"/>
        <v>331663891633569.56</v>
      </c>
      <c r="J136" s="37">
        <f t="shared" si="20"/>
        <v>318498711630304.13</v>
      </c>
      <c r="K136" s="34">
        <f t="shared" si="4"/>
        <v>20076355236874.086</v>
      </c>
      <c r="L136" s="34">
        <f t="shared" si="5"/>
        <v>0</v>
      </c>
      <c r="M136" s="34">
        <f t="shared" si="6"/>
        <v>20076355236874.086</v>
      </c>
      <c r="N136" s="34">
        <f t="shared" si="23"/>
        <v>2007635523687.4087</v>
      </c>
      <c r="O136" s="38">
        <f t="shared" si="7"/>
        <v>17978376114620.742</v>
      </c>
      <c r="P136" s="39">
        <f t="shared" si="8"/>
        <v>1300000000000</v>
      </c>
      <c r="Q136" s="34">
        <f t="shared" si="9"/>
        <v>16678376114620.742</v>
      </c>
      <c r="R136" s="40">
        <f t="shared" si="22"/>
        <v>9664069033.3233757</v>
      </c>
      <c r="S136" s="35">
        <f t="shared" si="10"/>
        <v>1</v>
      </c>
      <c r="T136" s="41">
        <f t="shared" si="11"/>
        <v>143.81775124183221</v>
      </c>
      <c r="U136" s="4"/>
      <c r="V136" s="4"/>
      <c r="W136" s="4"/>
    </row>
    <row r="137" spans="1:23" ht="15.75" customHeight="1">
      <c r="A137" s="31" t="s">
        <v>170</v>
      </c>
      <c r="B137" s="32">
        <v>2153</v>
      </c>
      <c r="C137" s="46">
        <f t="shared" si="12"/>
        <v>5.1989161189052299E-5</v>
      </c>
      <c r="D137" s="42">
        <v>4000</v>
      </c>
      <c r="E137" s="34">
        <f t="shared" si="1"/>
        <v>207956644.75620919</v>
      </c>
      <c r="F137" s="34">
        <f t="shared" si="2"/>
        <v>206916861.53242815</v>
      </c>
      <c r="G137" s="35">
        <f t="shared" si="18"/>
        <v>1</v>
      </c>
      <c r="H137" s="36">
        <f t="shared" si="3"/>
        <v>206916861.53242815</v>
      </c>
      <c r="I137" s="34">
        <f t="shared" si="19"/>
        <v>333671734074118.56</v>
      </c>
      <c r="J137" s="37">
        <f t="shared" si="20"/>
        <v>320346300793817.69</v>
      </c>
      <c r="K137" s="34">
        <f t="shared" si="4"/>
        <v>20192818317361.281</v>
      </c>
      <c r="L137" s="34">
        <f t="shared" si="5"/>
        <v>0</v>
      </c>
      <c r="M137" s="34">
        <f t="shared" si="6"/>
        <v>20192818317361.281</v>
      </c>
      <c r="N137" s="34">
        <f t="shared" si="23"/>
        <v>2019281831736.1282</v>
      </c>
      <c r="O137" s="38">
        <f t="shared" si="7"/>
        <v>18082668803197.027</v>
      </c>
      <c r="P137" s="39">
        <f t="shared" si="8"/>
        <v>1300000000000</v>
      </c>
      <c r="Q137" s="34">
        <f t="shared" si="9"/>
        <v>16782668803197.027</v>
      </c>
      <c r="R137" s="40">
        <f t="shared" si="22"/>
        <v>9654404964.2900543</v>
      </c>
      <c r="S137" s="35">
        <f t="shared" si="10"/>
        <v>1</v>
      </c>
      <c r="T137" s="41">
        <f t="shared" si="11"/>
        <v>144.86192973805882</v>
      </c>
      <c r="U137" s="4"/>
      <c r="V137" s="4"/>
      <c r="W137" s="4"/>
    </row>
    <row r="138" spans="1:23" ht="15.75" customHeight="1">
      <c r="A138" s="31" t="s">
        <v>171</v>
      </c>
      <c r="B138" s="32">
        <v>2154</v>
      </c>
      <c r="C138" s="46">
        <f t="shared" si="12"/>
        <v>4.6790245070147069E-5</v>
      </c>
      <c r="D138" s="42">
        <v>4000</v>
      </c>
      <c r="E138" s="34">
        <f t="shared" si="1"/>
        <v>187160980.28058827</v>
      </c>
      <c r="F138" s="34">
        <f t="shared" si="2"/>
        <v>186225175.37918532</v>
      </c>
      <c r="G138" s="35">
        <f t="shared" si="18"/>
        <v>1</v>
      </c>
      <c r="H138" s="36">
        <f t="shared" si="3"/>
        <v>186225175.37918532</v>
      </c>
      <c r="I138" s="34">
        <f t="shared" si="19"/>
        <v>335691202131030.06</v>
      </c>
      <c r="J138" s="37">
        <f t="shared" si="20"/>
        <v>322204585966303.81</v>
      </c>
      <c r="K138" s="34">
        <f t="shared" si="4"/>
        <v>20309955470328.039</v>
      </c>
      <c r="L138" s="34">
        <f t="shared" si="5"/>
        <v>0</v>
      </c>
      <c r="M138" s="34">
        <f t="shared" si="6"/>
        <v>20309955470328.039</v>
      </c>
      <c r="N138" s="34">
        <f t="shared" si="23"/>
        <v>2030995547032.804</v>
      </c>
      <c r="O138" s="38">
        <f t="shared" si="7"/>
        <v>18187565123678.758</v>
      </c>
      <c r="P138" s="39">
        <f t="shared" si="8"/>
        <v>1300000000000</v>
      </c>
      <c r="Q138" s="34">
        <f t="shared" si="9"/>
        <v>16887565123678.758</v>
      </c>
      <c r="R138" s="40">
        <f t="shared" si="22"/>
        <v>9644750559.3257656</v>
      </c>
      <c r="S138" s="35">
        <f t="shared" si="10"/>
        <v>1</v>
      </c>
      <c r="T138" s="41">
        <f t="shared" si="11"/>
        <v>145.91327012383368</v>
      </c>
      <c r="U138" s="4"/>
      <c r="V138" s="4"/>
      <c r="W138" s="4"/>
    </row>
    <row r="139" spans="1:23" ht="15.75" customHeight="1">
      <c r="A139" s="31" t="s">
        <v>172</v>
      </c>
      <c r="B139" s="32">
        <v>2155</v>
      </c>
      <c r="C139" s="46">
        <f t="shared" si="12"/>
        <v>4.2111220563132364E-5</v>
      </c>
      <c r="D139" s="42">
        <v>4000</v>
      </c>
      <c r="E139" s="34">
        <f t="shared" si="1"/>
        <v>168444882.25252947</v>
      </c>
      <c r="F139" s="34">
        <f t="shared" si="2"/>
        <v>167602657.84126681</v>
      </c>
      <c r="G139" s="35">
        <f t="shared" si="18"/>
        <v>1</v>
      </c>
      <c r="H139" s="36">
        <f t="shared" si="3"/>
        <v>167602657.84126681</v>
      </c>
      <c r="I139" s="34">
        <f t="shared" si="19"/>
        <v>337722365280720.69</v>
      </c>
      <c r="J139" s="37">
        <f t="shared" si="20"/>
        <v>324073631241436.44</v>
      </c>
      <c r="K139" s="34">
        <f t="shared" si="4"/>
        <v>20427770750263.66</v>
      </c>
      <c r="L139" s="34">
        <f t="shared" si="5"/>
        <v>0</v>
      </c>
      <c r="M139" s="34">
        <f t="shared" si="6"/>
        <v>20427770750263.66</v>
      </c>
      <c r="N139" s="34">
        <f t="shared" si="23"/>
        <v>2042777075026.3662</v>
      </c>
      <c r="O139" s="38">
        <f t="shared" si="7"/>
        <v>18293068706861.105</v>
      </c>
      <c r="P139" s="39">
        <f t="shared" si="8"/>
        <v>1300000000000</v>
      </c>
      <c r="Q139" s="34">
        <f t="shared" si="9"/>
        <v>16993068706861.105</v>
      </c>
      <c r="R139" s="40">
        <f t="shared" si="22"/>
        <v>9635105808.7664413</v>
      </c>
      <c r="S139" s="35">
        <f t="shared" si="10"/>
        <v>1</v>
      </c>
      <c r="T139" s="41">
        <f t="shared" si="11"/>
        <v>146.97182231425754</v>
      </c>
      <c r="U139" s="4"/>
      <c r="V139" s="4"/>
      <c r="W139" s="4"/>
    </row>
    <row r="140" spans="1:23" ht="15.75" customHeight="1">
      <c r="A140" s="31" t="s">
        <v>173</v>
      </c>
      <c r="B140" s="32">
        <v>2156</v>
      </c>
      <c r="C140" s="46">
        <f t="shared" si="12"/>
        <v>3.7900098506819129E-5</v>
      </c>
      <c r="D140" s="42">
        <v>4000</v>
      </c>
      <c r="E140" s="34">
        <f t="shared" si="1"/>
        <v>151600394.02727652</v>
      </c>
      <c r="F140" s="34">
        <f t="shared" si="2"/>
        <v>150842392.05714014</v>
      </c>
      <c r="G140" s="35">
        <f t="shared" si="18"/>
        <v>1</v>
      </c>
      <c r="H140" s="36">
        <f t="shared" si="3"/>
        <v>150842392.05714014</v>
      </c>
      <c r="I140" s="34">
        <f t="shared" si="19"/>
        <v>339765293198139.13</v>
      </c>
      <c r="J140" s="37">
        <f t="shared" si="20"/>
        <v>325953500879275.44</v>
      </c>
      <c r="K140" s="34">
        <f t="shared" si="4"/>
        <v>20546268220707.07</v>
      </c>
      <c r="L140" s="34">
        <f t="shared" si="5"/>
        <v>0</v>
      </c>
      <c r="M140" s="34">
        <f t="shared" si="6"/>
        <v>20546268220707.07</v>
      </c>
      <c r="N140" s="34">
        <f t="shared" si="23"/>
        <v>2054626822070.707</v>
      </c>
      <c r="O140" s="38">
        <f t="shared" si="7"/>
        <v>18399183191643.18</v>
      </c>
      <c r="P140" s="39">
        <f t="shared" si="8"/>
        <v>1300000000000</v>
      </c>
      <c r="Q140" s="34">
        <f t="shared" si="9"/>
        <v>17099183191643.18</v>
      </c>
      <c r="R140" s="40">
        <f t="shared" si="22"/>
        <v>9625470702.9576759</v>
      </c>
      <c r="S140" s="35">
        <f t="shared" si="10"/>
        <v>1</v>
      </c>
      <c r="T140" s="41">
        <f t="shared" si="11"/>
        <v>148.03763645543947</v>
      </c>
      <c r="U140" s="4"/>
      <c r="V140" s="4"/>
      <c r="W140" s="4"/>
    </row>
    <row r="141" spans="1:23" ht="15.75" customHeight="1">
      <c r="A141" s="31" t="s">
        <v>174</v>
      </c>
      <c r="B141" s="32">
        <v>2157</v>
      </c>
      <c r="C141" s="46">
        <f t="shared" si="12"/>
        <v>3.4110088656137218E-5</v>
      </c>
      <c r="D141" s="42">
        <v>4000</v>
      </c>
      <c r="E141" s="34">
        <f t="shared" si="1"/>
        <v>136440354.62454888</v>
      </c>
      <c r="F141" s="34">
        <f t="shared" si="2"/>
        <v>135758152.85142612</v>
      </c>
      <c r="G141" s="35">
        <f t="shared" si="18"/>
        <v>1</v>
      </c>
      <c r="H141" s="36">
        <f t="shared" si="3"/>
        <v>135758152.85142612</v>
      </c>
      <c r="I141" s="34">
        <f t="shared" si="19"/>
        <v>341820055778362.69</v>
      </c>
      <c r="J141" s="37">
        <f t="shared" si="20"/>
        <v>327844259327769.25</v>
      </c>
      <c r="K141" s="34">
        <f t="shared" si="4"/>
        <v>20665451955746.063</v>
      </c>
      <c r="L141" s="34">
        <f t="shared" si="5"/>
        <v>0</v>
      </c>
      <c r="M141" s="34">
        <f t="shared" si="6"/>
        <v>20665451955746.063</v>
      </c>
      <c r="N141" s="34">
        <f t="shared" si="23"/>
        <v>2066545195574.6064</v>
      </c>
      <c r="O141" s="38">
        <f t="shared" si="7"/>
        <v>18505912226370.602</v>
      </c>
      <c r="P141" s="39">
        <f t="shared" si="8"/>
        <v>1300000000000</v>
      </c>
      <c r="Q141" s="34">
        <f t="shared" si="9"/>
        <v>17205912226370.602</v>
      </c>
      <c r="R141" s="40">
        <f t="shared" si="22"/>
        <v>9615845232.2547188</v>
      </c>
      <c r="S141" s="35">
        <f t="shared" si="10"/>
        <v>1</v>
      </c>
      <c r="T141" s="41">
        <f t="shared" si="11"/>
        <v>149.11076293685457</v>
      </c>
      <c r="U141" s="4"/>
      <c r="V141" s="4"/>
      <c r="W141" s="4"/>
    </row>
    <row r="142" spans="1:23" ht="15.75" customHeight="1">
      <c r="A142" s="31" t="s">
        <v>175</v>
      </c>
      <c r="B142" s="32">
        <v>2158</v>
      </c>
      <c r="C142" s="46">
        <f t="shared" si="12"/>
        <v>3.0699079790523498E-5</v>
      </c>
      <c r="D142" s="42">
        <v>4000</v>
      </c>
      <c r="E142" s="34">
        <f t="shared" si="1"/>
        <v>122796319.162094</v>
      </c>
      <c r="F142" s="34">
        <f t="shared" si="2"/>
        <v>122182337.56628352</v>
      </c>
      <c r="G142" s="35">
        <f t="shared" si="18"/>
        <v>1</v>
      </c>
      <c r="H142" s="36">
        <f t="shared" si="3"/>
        <v>122182337.56628352</v>
      </c>
      <c r="I142" s="34">
        <f t="shared" si="19"/>
        <v>343886723156274.88</v>
      </c>
      <c r="J142" s="37">
        <f t="shared" si="20"/>
        <v>329745971242328.63</v>
      </c>
      <c r="K142" s="34">
        <f t="shared" si="4"/>
        <v>20785326041380.57</v>
      </c>
      <c r="L142" s="34">
        <f t="shared" si="5"/>
        <v>0</v>
      </c>
      <c r="M142" s="34">
        <f t="shared" si="6"/>
        <v>20785326041380.57</v>
      </c>
      <c r="N142" s="34">
        <f t="shared" si="23"/>
        <v>2078532604138.0571</v>
      </c>
      <c r="O142" s="38">
        <f t="shared" si="7"/>
        <v>18613259470056.301</v>
      </c>
      <c r="P142" s="39">
        <f t="shared" si="8"/>
        <v>1300000000000</v>
      </c>
      <c r="Q142" s="34">
        <f t="shared" si="9"/>
        <v>17313259470056.301</v>
      </c>
      <c r="R142" s="40">
        <f t="shared" si="22"/>
        <v>9606229387.0224648</v>
      </c>
      <c r="S142" s="35">
        <f t="shared" si="10"/>
        <v>1</v>
      </c>
      <c r="T142" s="41">
        <f t="shared" si="11"/>
        <v>150.19125240271734</v>
      </c>
      <c r="U142" s="4"/>
      <c r="V142" s="4"/>
      <c r="W142" s="4"/>
    </row>
    <row r="143" spans="1:23" ht="15.75" customHeight="1">
      <c r="A143" s="31" t="s">
        <v>176</v>
      </c>
      <c r="B143" s="32">
        <v>2159</v>
      </c>
      <c r="C143" s="46">
        <f t="shared" si="12"/>
        <v>2.762917181147115E-5</v>
      </c>
      <c r="D143" s="42">
        <v>4000</v>
      </c>
      <c r="E143" s="34">
        <f t="shared" si="1"/>
        <v>110516687.24588461</v>
      </c>
      <c r="F143" s="34">
        <f t="shared" si="2"/>
        <v>109964103.80965519</v>
      </c>
      <c r="G143" s="35">
        <f t="shared" si="18"/>
        <v>1</v>
      </c>
      <c r="H143" s="36">
        <f t="shared" si="3"/>
        <v>109964103.80965519</v>
      </c>
      <c r="I143" s="34">
        <f t="shared" si="19"/>
        <v>345965365724516.75</v>
      </c>
      <c r="J143" s="37">
        <f t="shared" si="20"/>
        <v>331658701503665.25</v>
      </c>
      <c r="K143" s="34">
        <f t="shared" si="4"/>
        <v>20905894576763.633</v>
      </c>
      <c r="L143" s="34">
        <f t="shared" si="5"/>
        <v>0</v>
      </c>
      <c r="M143" s="34">
        <f t="shared" si="6"/>
        <v>20905894576763.633</v>
      </c>
      <c r="N143" s="34">
        <f t="shared" si="23"/>
        <v>2090589457676.3633</v>
      </c>
      <c r="O143" s="38">
        <f t="shared" si="7"/>
        <v>18721228593491.832</v>
      </c>
      <c r="P143" s="39">
        <f t="shared" si="8"/>
        <v>1300000000000</v>
      </c>
      <c r="Q143" s="34">
        <f t="shared" si="9"/>
        <v>17421228593491.832</v>
      </c>
      <c r="R143" s="40">
        <f t="shared" si="22"/>
        <v>9596623157.6354427</v>
      </c>
      <c r="S143" s="35">
        <f t="shared" si="10"/>
        <v>1</v>
      </c>
      <c r="T143" s="41">
        <f t="shared" si="11"/>
        <v>151.27915576246934</v>
      </c>
      <c r="U143" s="4"/>
      <c r="V143" s="4"/>
      <c r="W143" s="4"/>
    </row>
    <row r="144" spans="1:23" ht="15.75" customHeight="1">
      <c r="A144" s="31" t="s">
        <v>177</v>
      </c>
      <c r="B144" s="32">
        <v>2160</v>
      </c>
      <c r="C144" s="46">
        <f t="shared" si="12"/>
        <v>2.4866254630324037E-5</v>
      </c>
      <c r="D144" s="42">
        <v>4000</v>
      </c>
      <c r="E144" s="34">
        <f t="shared" si="1"/>
        <v>99465018.521296144</v>
      </c>
      <c r="F144" s="34">
        <f t="shared" si="2"/>
        <v>98967693.428689659</v>
      </c>
      <c r="G144" s="35">
        <f t="shared" si="18"/>
        <v>1</v>
      </c>
      <c r="H144" s="36">
        <f t="shared" si="3"/>
        <v>98967693.428689659</v>
      </c>
      <c r="I144" s="34">
        <f t="shared" si="19"/>
        <v>348056054149886.56</v>
      </c>
      <c r="J144" s="37">
        <f t="shared" si="20"/>
        <v>333582515234070.56</v>
      </c>
      <c r="K144" s="34">
        <f t="shared" si="4"/>
        <v>21027161675332.375</v>
      </c>
      <c r="L144" s="34">
        <f t="shared" si="5"/>
        <v>0</v>
      </c>
      <c r="M144" s="34">
        <f t="shared" si="6"/>
        <v>21027161675332.375</v>
      </c>
      <c r="N144" s="34">
        <f t="shared" si="23"/>
        <v>2102716167533.2375</v>
      </c>
      <c r="O144" s="38">
        <f t="shared" si="7"/>
        <v>18829823280260.141</v>
      </c>
      <c r="P144" s="39">
        <f t="shared" si="8"/>
        <v>1300000000000</v>
      </c>
      <c r="Q144" s="34">
        <f t="shared" si="9"/>
        <v>17529823280260.141</v>
      </c>
      <c r="R144" s="40">
        <f t="shared" si="22"/>
        <v>9587026534.477808</v>
      </c>
      <c r="S144" s="35">
        <f t="shared" si="10"/>
        <v>1</v>
      </c>
      <c r="T144" s="41">
        <f t="shared" si="11"/>
        <v>152.37452420047086</v>
      </c>
      <c r="U144" s="4"/>
      <c r="V144" s="4"/>
      <c r="W144" s="4"/>
    </row>
    <row r="145" spans="1:23" ht="15.75" customHeight="1">
      <c r="A145" s="31" t="s">
        <v>178</v>
      </c>
      <c r="B145" s="32">
        <v>2161</v>
      </c>
      <c r="C145" s="46">
        <f t="shared" si="12"/>
        <v>2.2379629167291634E-5</v>
      </c>
      <c r="D145" s="42">
        <v>4000</v>
      </c>
      <c r="E145" s="34">
        <f t="shared" si="1"/>
        <v>89518516.669166535</v>
      </c>
      <c r="F145" s="34">
        <f t="shared" si="2"/>
        <v>89070924.085820705</v>
      </c>
      <c r="G145" s="35">
        <f t="shared" si="18"/>
        <v>1</v>
      </c>
      <c r="H145" s="36">
        <f t="shared" si="3"/>
        <v>89070924.085820705</v>
      </c>
      <c r="I145" s="34">
        <f t="shared" si="19"/>
        <v>350158859388343.88</v>
      </c>
      <c r="J145" s="37">
        <f t="shared" si="20"/>
        <v>335517477812291.63</v>
      </c>
      <c r="K145" s="34">
        <f t="shared" si="4"/>
        <v>21149131465840.074</v>
      </c>
      <c r="L145" s="34">
        <f t="shared" si="5"/>
        <v>0</v>
      </c>
      <c r="M145" s="34">
        <f t="shared" si="6"/>
        <v>21149131465840.074</v>
      </c>
      <c r="N145" s="34">
        <f t="shared" si="23"/>
        <v>2114913146584.0076</v>
      </c>
      <c r="O145" s="38">
        <f t="shared" si="7"/>
        <v>18939047227659.785</v>
      </c>
      <c r="P145" s="39">
        <f t="shared" si="8"/>
        <v>1300000000000</v>
      </c>
      <c r="Q145" s="34">
        <f t="shared" si="9"/>
        <v>17639047227659.785</v>
      </c>
      <c r="R145" s="40">
        <f t="shared" si="22"/>
        <v>9577439507.9433308</v>
      </c>
      <c r="S145" s="35">
        <f t="shared" si="10"/>
        <v>1</v>
      </c>
      <c r="T145" s="41">
        <f t="shared" si="11"/>
        <v>153.47740918497686</v>
      </c>
      <c r="U145" s="4"/>
      <c r="V145" s="4"/>
      <c r="W145" s="4"/>
    </row>
    <row r="146" spans="1:23" ht="15.75" customHeight="1">
      <c r="A146" s="31" t="s">
        <v>179</v>
      </c>
      <c r="B146" s="32">
        <v>2162</v>
      </c>
      <c r="C146" s="46">
        <f t="shared" si="12"/>
        <v>2.0141666250562471E-5</v>
      </c>
      <c r="D146" s="42">
        <v>4000</v>
      </c>
      <c r="E146" s="34">
        <f t="shared" si="1"/>
        <v>80566665.002249882</v>
      </c>
      <c r="F146" s="34">
        <f t="shared" si="2"/>
        <v>80163831.677238628</v>
      </c>
      <c r="G146" s="35">
        <f t="shared" si="18"/>
        <v>1</v>
      </c>
      <c r="H146" s="36">
        <f t="shared" si="3"/>
        <v>80163831.677238628</v>
      </c>
      <c r="I146" s="34">
        <f t="shared" si="19"/>
        <v>352273852698759.56</v>
      </c>
      <c r="J146" s="37">
        <f t="shared" si="20"/>
        <v>337463654887146</v>
      </c>
      <c r="K146" s="34">
        <f t="shared" si="4"/>
        <v>21271808093299.289</v>
      </c>
      <c r="L146" s="34">
        <f t="shared" si="5"/>
        <v>0</v>
      </c>
      <c r="M146" s="34">
        <f t="shared" si="6"/>
        <v>21271808093299.289</v>
      </c>
      <c r="N146" s="34">
        <f t="shared" si="23"/>
        <v>2127180809329.929</v>
      </c>
      <c r="O146" s="38">
        <f t="shared" si="7"/>
        <v>19048904147549.512</v>
      </c>
      <c r="P146" s="39">
        <f t="shared" si="8"/>
        <v>1300000000000</v>
      </c>
      <c r="Q146" s="34">
        <f t="shared" si="9"/>
        <v>17748904147549.512</v>
      </c>
      <c r="R146" s="40">
        <f t="shared" si="22"/>
        <v>9567862068.4353886</v>
      </c>
      <c r="S146" s="35">
        <f t="shared" si="10"/>
        <v>1</v>
      </c>
      <c r="T146" s="41">
        <f t="shared" si="11"/>
        <v>154.58786247647024</v>
      </c>
      <c r="U146" s="4"/>
      <c r="V146" s="4"/>
      <c r="W146" s="4"/>
    </row>
    <row r="147" spans="1:23" ht="15.75" customHeight="1">
      <c r="A147" s="31" t="s">
        <v>180</v>
      </c>
      <c r="B147" s="32">
        <v>2163</v>
      </c>
      <c r="C147" s="46">
        <f t="shared" si="12"/>
        <v>1.8127499625506224E-5</v>
      </c>
      <c r="D147" s="42">
        <v>4000</v>
      </c>
      <c r="E147" s="34">
        <f t="shared" si="1"/>
        <v>72509998.502024904</v>
      </c>
      <c r="F147" s="34">
        <f t="shared" si="2"/>
        <v>72147448.509514779</v>
      </c>
      <c r="G147" s="35">
        <f t="shared" si="18"/>
        <v>1</v>
      </c>
      <c r="H147" s="36">
        <f t="shared" si="3"/>
        <v>72147448.509514779</v>
      </c>
      <c r="I147" s="34">
        <f t="shared" si="19"/>
        <v>354401105655538</v>
      </c>
      <c r="J147" s="37">
        <f t="shared" si="20"/>
        <v>339421112390002.5</v>
      </c>
      <c r="K147" s="34">
        <f t="shared" si="4"/>
        <v>21395195719845.055</v>
      </c>
      <c r="L147" s="34">
        <f t="shared" si="5"/>
        <v>0</v>
      </c>
      <c r="M147" s="34">
        <f t="shared" si="6"/>
        <v>21395195719845.055</v>
      </c>
      <c r="N147" s="34">
        <f t="shared" si="23"/>
        <v>2139519571984.5056</v>
      </c>
      <c r="O147" s="38">
        <f t="shared" si="7"/>
        <v>19159397767121.246</v>
      </c>
      <c r="P147" s="39">
        <f t="shared" si="8"/>
        <v>1300000000000</v>
      </c>
      <c r="Q147" s="34">
        <f t="shared" si="9"/>
        <v>17859397767121.246</v>
      </c>
      <c r="R147" s="40">
        <f t="shared" si="22"/>
        <v>9558294206.3669548</v>
      </c>
      <c r="S147" s="35">
        <f t="shared" si="10"/>
        <v>1</v>
      </c>
      <c r="T147" s="41">
        <f t="shared" si="11"/>
        <v>155.70593613541746</v>
      </c>
      <c r="U147" s="4"/>
      <c r="V147" s="4"/>
      <c r="W147" s="4"/>
    </row>
    <row r="148" spans="1:23" ht="15.75" customHeight="1">
      <c r="A148" s="31" t="s">
        <v>181</v>
      </c>
      <c r="B148" s="32">
        <v>2164</v>
      </c>
      <c r="C148" s="46">
        <f t="shared" si="12"/>
        <v>1.6314749662955604E-5</v>
      </c>
      <c r="D148" s="42">
        <v>4000</v>
      </c>
      <c r="E148" s="34">
        <f t="shared" si="1"/>
        <v>65258998.651822411</v>
      </c>
      <c r="F148" s="34">
        <f t="shared" si="2"/>
        <v>64932703.658563301</v>
      </c>
      <c r="G148" s="35">
        <f t="shared" si="18"/>
        <v>1</v>
      </c>
      <c r="H148" s="36">
        <f t="shared" si="3"/>
        <v>64932703.658563301</v>
      </c>
      <c r="I148" s="34">
        <f t="shared" si="19"/>
        <v>356540690160226.19</v>
      </c>
      <c r="J148" s="37">
        <f t="shared" si="20"/>
        <v>341389916546243.38</v>
      </c>
      <c r="K148" s="34">
        <f t="shared" si="4"/>
        <v>21519298525526.156</v>
      </c>
      <c r="L148" s="34">
        <f t="shared" si="5"/>
        <v>0</v>
      </c>
      <c r="M148" s="34">
        <f t="shared" si="6"/>
        <v>21519298525526.156</v>
      </c>
      <c r="N148" s="34">
        <f t="shared" si="23"/>
        <v>2151929852552.6157</v>
      </c>
      <c r="O148" s="38">
        <f t="shared" si="7"/>
        <v>19270531829608.672</v>
      </c>
      <c r="P148" s="39">
        <f t="shared" si="8"/>
        <v>1300000000000</v>
      </c>
      <c r="Q148" s="34">
        <f t="shared" si="9"/>
        <v>17970531829608.672</v>
      </c>
      <c r="R148" s="40">
        <f t="shared" si="22"/>
        <v>9548735912.1605892</v>
      </c>
      <c r="S148" s="35">
        <f t="shared" si="10"/>
        <v>1</v>
      </c>
      <c r="T148" s="41">
        <f t="shared" si="11"/>
        <v>156.83168252950534</v>
      </c>
      <c r="U148" s="4"/>
      <c r="V148" s="4"/>
      <c r="W148" s="4"/>
    </row>
    <row r="149" spans="1:23" ht="15.75" customHeight="1">
      <c r="A149" s="31" t="s">
        <v>182</v>
      </c>
      <c r="B149" s="32">
        <v>2165</v>
      </c>
      <c r="C149" s="46">
        <f t="shared" si="12"/>
        <v>1.4683274696660043E-5</v>
      </c>
      <c r="D149" s="42">
        <v>4000</v>
      </c>
      <c r="E149" s="34">
        <f t="shared" si="1"/>
        <v>58733098.786640175</v>
      </c>
      <c r="F149" s="34">
        <f t="shared" si="2"/>
        <v>58439433.292706974</v>
      </c>
      <c r="G149" s="35">
        <f t="shared" si="18"/>
        <v>1</v>
      </c>
      <c r="H149" s="36">
        <f t="shared" si="3"/>
        <v>58439433.292706974</v>
      </c>
      <c r="I149" s="34">
        <f t="shared" si="19"/>
        <v>358692678452212.13</v>
      </c>
      <c r="J149" s="37">
        <f t="shared" si="20"/>
        <v>343370133885810.19</v>
      </c>
      <c r="K149" s="34">
        <f t="shared" si="4"/>
        <v>21644120709031.828</v>
      </c>
      <c r="L149" s="34">
        <f t="shared" si="5"/>
        <v>0</v>
      </c>
      <c r="M149" s="34">
        <f t="shared" si="6"/>
        <v>21644120709031.828</v>
      </c>
      <c r="N149" s="34">
        <f t="shared" si="23"/>
        <v>2164412070903.1829</v>
      </c>
      <c r="O149" s="38">
        <f t="shared" si="7"/>
        <v>19382310094938</v>
      </c>
      <c r="P149" s="39">
        <f t="shared" si="8"/>
        <v>1300000000000</v>
      </c>
      <c r="Q149" s="34">
        <f t="shared" si="9"/>
        <v>18082310094938</v>
      </c>
      <c r="R149" s="40">
        <f t="shared" si="22"/>
        <v>9539187176.2484303</v>
      </c>
      <c r="S149" s="35">
        <f t="shared" si="10"/>
        <v>1</v>
      </c>
      <c r="T149" s="41">
        <f t="shared" si="11"/>
        <v>157.96515434041245</v>
      </c>
      <c r="U149" s="4"/>
      <c r="V149" s="4"/>
      <c r="W149" s="4"/>
    </row>
    <row r="150" spans="1:23" ht="15.75" customHeight="1">
      <c r="A150" s="31" t="s">
        <v>183</v>
      </c>
      <c r="B150" s="32">
        <v>2166</v>
      </c>
      <c r="C150" s="46">
        <f t="shared" si="12"/>
        <v>1.3214947226994038E-5</v>
      </c>
      <c r="D150" s="42">
        <v>4000</v>
      </c>
      <c r="E150" s="34">
        <f t="shared" si="1"/>
        <v>52859788.907976151</v>
      </c>
      <c r="F150" s="34">
        <f t="shared" si="2"/>
        <v>52595489.963436268</v>
      </c>
      <c r="G150" s="35">
        <f t="shared" si="18"/>
        <v>1</v>
      </c>
      <c r="H150" s="36">
        <f t="shared" si="3"/>
        <v>52595489.963436268</v>
      </c>
      <c r="I150" s="34">
        <f t="shared" si="19"/>
        <v>360857143118605.25</v>
      </c>
      <c r="J150" s="37">
        <f t="shared" si="20"/>
        <v>345361831252927.25</v>
      </c>
      <c r="K150" s="34">
        <f t="shared" si="4"/>
        <v>21769666488360.363</v>
      </c>
      <c r="L150" s="34">
        <f t="shared" si="5"/>
        <v>0</v>
      </c>
      <c r="M150" s="34">
        <f t="shared" si="6"/>
        <v>21769666488360.363</v>
      </c>
      <c r="N150" s="34">
        <f t="shared" si="23"/>
        <v>2176966648836.0364</v>
      </c>
      <c r="O150" s="38">
        <f t="shared" si="7"/>
        <v>19494736340326.707</v>
      </c>
      <c r="P150" s="39">
        <f t="shared" si="8"/>
        <v>1300000000000</v>
      </c>
      <c r="Q150" s="34">
        <f t="shared" si="9"/>
        <v>18194736340326.707</v>
      </c>
      <c r="R150" s="40">
        <f t="shared" si="22"/>
        <v>9529647989.0721836</v>
      </c>
      <c r="S150" s="35">
        <f t="shared" si="10"/>
        <v>1</v>
      </c>
      <c r="T150" s="41">
        <f t="shared" si="11"/>
        <v>159.10640457016299</v>
      </c>
      <c r="U150" s="4"/>
      <c r="V150" s="4"/>
      <c r="W150" s="4"/>
    </row>
    <row r="151" spans="1:23" ht="15.75" customHeight="1">
      <c r="A151" s="31" t="s">
        <v>184</v>
      </c>
      <c r="B151" s="32">
        <v>2167</v>
      </c>
      <c r="C151" s="46">
        <f t="shared" si="12"/>
        <v>1.1893452504294636E-5</v>
      </c>
      <c r="D151" s="42">
        <v>4000</v>
      </c>
      <c r="E151" s="34">
        <f t="shared" si="1"/>
        <v>47573810.017178543</v>
      </c>
      <c r="F151" s="34">
        <f t="shared" si="2"/>
        <v>47335940.967092648</v>
      </c>
      <c r="G151" s="35">
        <f t="shared" si="18"/>
        <v>1</v>
      </c>
      <c r="H151" s="36">
        <f t="shared" si="3"/>
        <v>47335940.967092648</v>
      </c>
      <c r="I151" s="34">
        <f t="shared" si="19"/>
        <v>363034157103382.25</v>
      </c>
      <c r="J151" s="37">
        <f t="shared" si="20"/>
        <v>347365075815085.44</v>
      </c>
      <c r="K151" s="34">
        <f t="shared" si="4"/>
        <v>21895940101435.586</v>
      </c>
      <c r="L151" s="34">
        <f t="shared" si="5"/>
        <v>0</v>
      </c>
      <c r="M151" s="34">
        <f t="shared" si="6"/>
        <v>21895940101435.586</v>
      </c>
      <c r="N151" s="34">
        <f t="shared" si="23"/>
        <v>2189594010143.5586</v>
      </c>
      <c r="O151" s="38">
        <f t="shared" si="7"/>
        <v>19607814360835.566</v>
      </c>
      <c r="P151" s="39">
        <f t="shared" si="8"/>
        <v>1300000000000</v>
      </c>
      <c r="Q151" s="34">
        <f t="shared" si="9"/>
        <v>18307814360835.566</v>
      </c>
      <c r="R151" s="40">
        <f t="shared" si="22"/>
        <v>9520118341.0831127</v>
      </c>
      <c r="S151" s="35">
        <f t="shared" si="10"/>
        <v>1</v>
      </c>
      <c r="T151" s="41">
        <f t="shared" si="11"/>
        <v>160.25548654710551</v>
      </c>
      <c r="U151" s="4"/>
      <c r="V151" s="4"/>
      <c r="W151" s="4"/>
    </row>
    <row r="152" spans="1:23" ht="15.75" customHeight="1">
      <c r="A152" s="31" t="s">
        <v>185</v>
      </c>
      <c r="B152" s="32">
        <v>2168</v>
      </c>
      <c r="C152" s="46">
        <f t="shared" si="12"/>
        <v>1.0704107253865172E-5</v>
      </c>
      <c r="D152" s="42">
        <v>4000</v>
      </c>
      <c r="E152" s="34">
        <f t="shared" si="1"/>
        <v>42816429.015460685</v>
      </c>
      <c r="F152" s="34">
        <f t="shared" si="2"/>
        <v>42602346.870383382</v>
      </c>
      <c r="G152" s="35">
        <f t="shared" si="18"/>
        <v>1</v>
      </c>
      <c r="H152" s="36">
        <f t="shared" si="3"/>
        <v>42602346.870383382</v>
      </c>
      <c r="I152" s="34">
        <f t="shared" si="19"/>
        <v>365223793715872.69</v>
      </c>
      <c r="J152" s="37">
        <f t="shared" si="20"/>
        <v>349379935071362.13</v>
      </c>
      <c r="K152" s="34">
        <f t="shared" si="4"/>
        <v>22022945806676.418</v>
      </c>
      <c r="L152" s="34">
        <f t="shared" si="5"/>
        <v>0</v>
      </c>
      <c r="M152" s="34">
        <f t="shared" si="6"/>
        <v>22022945806676.418</v>
      </c>
      <c r="N152" s="34">
        <f t="shared" si="23"/>
        <v>2202294580667.6421</v>
      </c>
      <c r="O152" s="38">
        <f t="shared" si="7"/>
        <v>19721547969878.734</v>
      </c>
      <c r="P152" s="39">
        <f t="shared" si="8"/>
        <v>1300000000000</v>
      </c>
      <c r="Q152" s="34">
        <f t="shared" si="9"/>
        <v>18421547969878.734</v>
      </c>
      <c r="R152" s="40">
        <f t="shared" si="22"/>
        <v>9510598222.7420311</v>
      </c>
      <c r="S152" s="35">
        <f t="shared" si="10"/>
        <v>1</v>
      </c>
      <c r="T152" s="41">
        <f t="shared" si="11"/>
        <v>161.41245393155685</v>
      </c>
      <c r="U152" s="4"/>
      <c r="V152" s="4"/>
      <c r="W152" s="4"/>
    </row>
    <row r="153" spans="1:23" ht="15.75" customHeight="1">
      <c r="A153" s="31" t="s">
        <v>186</v>
      </c>
      <c r="B153" s="32">
        <v>2169</v>
      </c>
      <c r="C153" s="46">
        <f t="shared" si="12"/>
        <v>9.6336965284786548E-6</v>
      </c>
      <c r="D153" s="42">
        <v>4000</v>
      </c>
      <c r="E153" s="34">
        <f t="shared" si="1"/>
        <v>38534786.113914624</v>
      </c>
      <c r="F153" s="34">
        <f t="shared" si="2"/>
        <v>38342112.18334505</v>
      </c>
      <c r="G153" s="35">
        <f t="shared" si="18"/>
        <v>1</v>
      </c>
      <c r="H153" s="36">
        <f t="shared" si="3"/>
        <v>38342112.18334505</v>
      </c>
      <c r="I153" s="34">
        <f t="shared" si="19"/>
        <v>367426126638652.5</v>
      </c>
      <c r="J153" s="37">
        <f t="shared" si="20"/>
        <v>351406476860144.88</v>
      </c>
      <c r="K153" s="34">
        <f t="shared" si="4"/>
        <v>22150687883524.359</v>
      </c>
      <c r="L153" s="34">
        <f t="shared" si="5"/>
        <v>0</v>
      </c>
      <c r="M153" s="34">
        <f t="shared" si="6"/>
        <v>22150687883524.359</v>
      </c>
      <c r="N153" s="34">
        <f t="shared" si="23"/>
        <v>2215068788352.436</v>
      </c>
      <c r="O153" s="38">
        <f t="shared" si="7"/>
        <v>19835940999696.063</v>
      </c>
      <c r="P153" s="39">
        <f t="shared" si="8"/>
        <v>1300000000000</v>
      </c>
      <c r="Q153" s="34">
        <f t="shared" si="9"/>
        <v>18535940999696.063</v>
      </c>
      <c r="R153" s="40">
        <f t="shared" si="22"/>
        <v>9501087624.5192909</v>
      </c>
      <c r="S153" s="35">
        <f t="shared" si="10"/>
        <v>1</v>
      </c>
      <c r="T153" s="41">
        <f t="shared" si="11"/>
        <v>162.5773607211442</v>
      </c>
      <c r="U153" s="4"/>
      <c r="V153" s="4"/>
      <c r="W153" s="4"/>
    </row>
    <row r="154" spans="1:23" ht="15.75" customHeight="1">
      <c r="A154" s="31" t="s">
        <v>187</v>
      </c>
      <c r="B154" s="32">
        <v>2170</v>
      </c>
      <c r="C154" s="46">
        <f t="shared" si="12"/>
        <v>8.6703268756307888E-6</v>
      </c>
      <c r="D154" s="42">
        <v>4000</v>
      </c>
      <c r="E154" s="34">
        <f t="shared" si="1"/>
        <v>34681307.502523154</v>
      </c>
      <c r="F154" s="34">
        <f t="shared" si="2"/>
        <v>34507900.965010539</v>
      </c>
      <c r="G154" s="35">
        <f t="shared" si="18"/>
        <v>1</v>
      </c>
      <c r="H154" s="36">
        <f t="shared" si="3"/>
        <v>34507900.965010539</v>
      </c>
      <c r="I154" s="34">
        <f t="shared" si="19"/>
        <v>369641229934905.88</v>
      </c>
      <c r="J154" s="37">
        <f t="shared" si="20"/>
        <v>353444769366320.06</v>
      </c>
      <c r="K154" s="34">
        <f t="shared" si="4"/>
        <v>22279170632933.184</v>
      </c>
      <c r="L154" s="34">
        <f t="shared" si="5"/>
        <v>0</v>
      </c>
      <c r="M154" s="34">
        <f t="shared" si="6"/>
        <v>22279170632933.184</v>
      </c>
      <c r="N154" s="34">
        <f t="shared" si="23"/>
        <v>2227917063293.3184</v>
      </c>
      <c r="O154" s="38">
        <f t="shared" si="7"/>
        <v>19950997301791.668</v>
      </c>
      <c r="P154" s="39">
        <f t="shared" si="8"/>
        <v>1300000000000</v>
      </c>
      <c r="Q154" s="34">
        <f t="shared" si="9"/>
        <v>18650997301791.668</v>
      </c>
      <c r="R154" s="40">
        <f t="shared" si="22"/>
        <v>9491586536.8947735</v>
      </c>
      <c r="S154" s="35">
        <f t="shared" si="10"/>
        <v>1</v>
      </c>
      <c r="T154" s="41">
        <f t="shared" si="11"/>
        <v>163.75026125587928</v>
      </c>
      <c r="U154" s="4"/>
      <c r="V154" s="4"/>
      <c r="W154" s="4"/>
    </row>
    <row r="155" spans="1:23" ht="15.75" customHeight="1">
      <c r="A155" s="31" t="s">
        <v>188</v>
      </c>
      <c r="B155" s="32">
        <v>2171</v>
      </c>
      <c r="C155" s="46">
        <f t="shared" si="12"/>
        <v>7.8032941880677101E-6</v>
      </c>
      <c r="D155" s="42">
        <v>4000</v>
      </c>
      <c r="E155" s="34">
        <f t="shared" si="1"/>
        <v>31213176.75227084</v>
      </c>
      <c r="F155" s="34">
        <f t="shared" si="2"/>
        <v>31057110.868509486</v>
      </c>
      <c r="G155" s="35">
        <f t="shared" si="18"/>
        <v>1</v>
      </c>
      <c r="H155" s="36">
        <f t="shared" si="3"/>
        <v>31057110.868509486</v>
      </c>
      <c r="I155" s="34">
        <f t="shared" si="19"/>
        <v>371869178055310.06</v>
      </c>
      <c r="J155" s="37">
        <f t="shared" si="20"/>
        <v>355494881127980.94</v>
      </c>
      <c r="K155" s="34">
        <f t="shared" si="4"/>
        <v>22408398377824.691</v>
      </c>
      <c r="L155" s="34">
        <f t="shared" si="5"/>
        <v>0</v>
      </c>
      <c r="M155" s="34">
        <f t="shared" si="6"/>
        <v>22408398377824.691</v>
      </c>
      <c r="N155" s="34">
        <f t="shared" si="23"/>
        <v>2240839837782.4692</v>
      </c>
      <c r="O155" s="38">
        <f t="shared" si="7"/>
        <v>20066720747342.012</v>
      </c>
      <c r="P155" s="39">
        <f t="shared" si="8"/>
        <v>1300000000000</v>
      </c>
      <c r="Q155" s="34">
        <f t="shared" si="9"/>
        <v>18766720747342.012</v>
      </c>
      <c r="R155" s="40">
        <f t="shared" si="22"/>
        <v>9482094950.3578796</v>
      </c>
      <c r="S155" s="35">
        <f t="shared" si="10"/>
        <v>1</v>
      </c>
      <c r="T155" s="41">
        <f t="shared" si="11"/>
        <v>164.93121022299073</v>
      </c>
      <c r="U155" s="4"/>
      <c r="V155" s="4"/>
      <c r="W155" s="4"/>
    </row>
    <row r="156" spans="1:23" ht="15.75" customHeight="1">
      <c r="A156" s="31" t="s">
        <v>189</v>
      </c>
      <c r="B156" s="32">
        <v>2172</v>
      </c>
      <c r="C156" s="46">
        <f t="shared" si="12"/>
        <v>7.0229647692609394E-6</v>
      </c>
      <c r="D156" s="42">
        <v>4000</v>
      </c>
      <c r="E156" s="34">
        <f t="shared" si="1"/>
        <v>28091859.077043757</v>
      </c>
      <c r="F156" s="34">
        <f t="shared" si="2"/>
        <v>27951399.781658538</v>
      </c>
      <c r="G156" s="35">
        <f t="shared" si="18"/>
        <v>1</v>
      </c>
      <c r="H156" s="36">
        <f t="shared" si="3"/>
        <v>27951399.781658538</v>
      </c>
      <c r="I156" s="34">
        <f t="shared" si="19"/>
        <v>374110045844492.38</v>
      </c>
      <c r="J156" s="37">
        <f t="shared" si="20"/>
        <v>357556881042704.69</v>
      </c>
      <c r="K156" s="34">
        <f t="shared" si="4"/>
        <v>22538375463513.992</v>
      </c>
      <c r="L156" s="34">
        <f t="shared" si="5"/>
        <v>0</v>
      </c>
      <c r="M156" s="34">
        <f t="shared" si="6"/>
        <v>22538375463513.992</v>
      </c>
      <c r="N156" s="34">
        <f t="shared" si="23"/>
        <v>2253837546351.3994</v>
      </c>
      <c r="O156" s="38">
        <f t="shared" si="7"/>
        <v>20183115227576.781</v>
      </c>
      <c r="P156" s="39">
        <f t="shared" si="8"/>
        <v>1300000000000</v>
      </c>
      <c r="Q156" s="34">
        <f t="shared" si="9"/>
        <v>18883115227576.781</v>
      </c>
      <c r="R156" s="40">
        <f t="shared" si="22"/>
        <v>9472612855.4075222</v>
      </c>
      <c r="S156" s="35">
        <f t="shared" si="10"/>
        <v>1</v>
      </c>
      <c r="T156" s="41">
        <f t="shared" si="11"/>
        <v>166.12026266154217</v>
      </c>
      <c r="U156" s="4"/>
      <c r="V156" s="4"/>
      <c r="W156" s="4"/>
    </row>
    <row r="157" spans="1:23" ht="15.75" customHeight="1">
      <c r="A157" s="31" t="s">
        <v>190</v>
      </c>
      <c r="B157" s="32">
        <v>2173</v>
      </c>
      <c r="C157" s="46">
        <f t="shared" si="12"/>
        <v>6.3206682923348457E-6</v>
      </c>
      <c r="D157" s="42">
        <v>4000</v>
      </c>
      <c r="E157" s="34">
        <f t="shared" si="1"/>
        <v>25282673.169339381</v>
      </c>
      <c r="F157" s="34">
        <f t="shared" si="2"/>
        <v>25156259.803492684</v>
      </c>
      <c r="G157" s="35">
        <f t="shared" si="18"/>
        <v>1</v>
      </c>
      <c r="H157" s="36">
        <f t="shared" si="3"/>
        <v>25156259.803492684</v>
      </c>
      <c r="I157" s="34">
        <f t="shared" si="19"/>
        <v>376363908547103.56</v>
      </c>
      <c r="J157" s="37">
        <f t="shared" si="20"/>
        <v>359630838373443.25</v>
      </c>
      <c r="K157" s="34">
        <f t="shared" si="4"/>
        <v>22669106258107.477</v>
      </c>
      <c r="L157" s="34">
        <f t="shared" si="5"/>
        <v>0</v>
      </c>
      <c r="M157" s="34">
        <f t="shared" si="6"/>
        <v>22669106258107.477</v>
      </c>
      <c r="N157" s="34">
        <f t="shared" si="23"/>
        <v>2266910625810.7476</v>
      </c>
      <c r="O157" s="38">
        <f t="shared" si="7"/>
        <v>20300184654135.246</v>
      </c>
      <c r="P157" s="39">
        <f t="shared" si="8"/>
        <v>1300000000000</v>
      </c>
      <c r="Q157" s="34">
        <f t="shared" si="9"/>
        <v>19000184654135.246</v>
      </c>
      <c r="R157" s="40">
        <f t="shared" si="22"/>
        <v>9463140242.5521164</v>
      </c>
      <c r="S157" s="35">
        <f t="shared" si="10"/>
        <v>1</v>
      </c>
      <c r="T157" s="41">
        <f t="shared" si="11"/>
        <v>167.3174739668577</v>
      </c>
      <c r="U157" s="4"/>
      <c r="V157" s="4"/>
      <c r="W157" s="4"/>
    </row>
    <row r="158" spans="1:23" ht="15.75" customHeight="1">
      <c r="A158" s="31" t="s">
        <v>191</v>
      </c>
      <c r="B158" s="32">
        <v>2174</v>
      </c>
      <c r="C158" s="46">
        <f t="shared" si="12"/>
        <v>5.688601463101361E-6</v>
      </c>
      <c r="D158" s="42">
        <v>4000</v>
      </c>
      <c r="E158" s="34">
        <f t="shared" si="1"/>
        <v>22754405.852405444</v>
      </c>
      <c r="F158" s="34">
        <f t="shared" si="2"/>
        <v>22640633.823143415</v>
      </c>
      <c r="G158" s="35">
        <f t="shared" si="18"/>
        <v>1</v>
      </c>
      <c r="H158" s="36">
        <f t="shared" si="3"/>
        <v>22640633.823143415</v>
      </c>
      <c r="I158" s="34">
        <f t="shared" si="19"/>
        <v>378630841813548.13</v>
      </c>
      <c r="J158" s="37">
        <f t="shared" si="20"/>
        <v>361716822754067.88</v>
      </c>
      <c r="K158" s="34">
        <f t="shared" si="4"/>
        <v>22800595152876.301</v>
      </c>
      <c r="L158" s="34">
        <f t="shared" si="5"/>
        <v>0</v>
      </c>
      <c r="M158" s="34">
        <f t="shared" si="6"/>
        <v>22800595152876.301</v>
      </c>
      <c r="N158" s="34">
        <f t="shared" si="23"/>
        <v>2280059515287.6304</v>
      </c>
      <c r="O158" s="38">
        <f t="shared" si="7"/>
        <v>20417932959400.727</v>
      </c>
      <c r="P158" s="39">
        <f t="shared" si="8"/>
        <v>1300000000000</v>
      </c>
      <c r="Q158" s="34">
        <f t="shared" si="9"/>
        <v>19117932959400.727</v>
      </c>
      <c r="R158" s="40">
        <f t="shared" si="22"/>
        <v>9453677102.3095646</v>
      </c>
      <c r="S158" s="35">
        <f t="shared" si="10"/>
        <v>1</v>
      </c>
      <c r="T158" s="41">
        <f t="shared" si="11"/>
        <v>168.52289989477703</v>
      </c>
      <c r="U158" s="4"/>
      <c r="V158" s="4"/>
      <c r="W158" s="4"/>
    </row>
    <row r="159" spans="1:23" ht="15.75" customHeight="1">
      <c r="A159" s="31" t="s">
        <v>192</v>
      </c>
      <c r="B159" s="32">
        <v>2175</v>
      </c>
      <c r="C159" s="46">
        <f t="shared" si="12"/>
        <v>5.1197413167912252E-6</v>
      </c>
      <c r="D159" s="42">
        <v>4000</v>
      </c>
      <c r="E159" s="34">
        <f t="shared" si="1"/>
        <v>20478965.267164901</v>
      </c>
      <c r="F159" s="34">
        <f t="shared" si="2"/>
        <v>20376570.440829076</v>
      </c>
      <c r="G159" s="35">
        <f t="shared" si="18"/>
        <v>1</v>
      </c>
      <c r="H159" s="36">
        <f t="shared" si="3"/>
        <v>20376570.440829076</v>
      </c>
      <c r="I159" s="34">
        <f t="shared" si="19"/>
        <v>380910921705406.19</v>
      </c>
      <c r="J159" s="37">
        <f t="shared" si="20"/>
        <v>363814904194603</v>
      </c>
      <c r="K159" s="34">
        <f t="shared" si="4"/>
        <v>22932846562607.902</v>
      </c>
      <c r="L159" s="34">
        <f t="shared" si="5"/>
        <v>0</v>
      </c>
      <c r="M159" s="34">
        <f t="shared" si="6"/>
        <v>22932846562607.902</v>
      </c>
      <c r="N159" s="34">
        <f t="shared" si="23"/>
        <v>2293284656260.7905</v>
      </c>
      <c r="O159" s="38">
        <f t="shared" si="7"/>
        <v>20536364096815.379</v>
      </c>
      <c r="P159" s="39">
        <f t="shared" si="8"/>
        <v>1300000000000</v>
      </c>
      <c r="Q159" s="34">
        <f t="shared" si="9"/>
        <v>19236364096815.379</v>
      </c>
      <c r="R159" s="40">
        <f t="shared" si="22"/>
        <v>9444223425.2072563</v>
      </c>
      <c r="S159" s="35">
        <f t="shared" si="10"/>
        <v>1</v>
      </c>
      <c r="T159" s="41">
        <f t="shared" si="11"/>
        <v>169.73659656575759</v>
      </c>
      <c r="U159" s="4"/>
      <c r="V159" s="4"/>
      <c r="W159" s="4"/>
    </row>
    <row r="160" spans="1:23" ht="15.75" customHeight="1">
      <c r="A160" s="31" t="s">
        <v>193</v>
      </c>
      <c r="B160" s="32">
        <v>2176</v>
      </c>
      <c r="C160" s="46">
        <f t="shared" si="12"/>
        <v>4.6077671851121031E-6</v>
      </c>
      <c r="D160" s="42">
        <v>4000</v>
      </c>
      <c r="E160" s="34">
        <f t="shared" si="1"/>
        <v>18431068.740448412</v>
      </c>
      <c r="F160" s="34">
        <f t="shared" si="2"/>
        <v>18338913.39674617</v>
      </c>
      <c r="G160" s="35">
        <f t="shared" si="18"/>
        <v>1</v>
      </c>
      <c r="H160" s="36">
        <f t="shared" si="3"/>
        <v>18338913.39674617</v>
      </c>
      <c r="I160" s="34">
        <f t="shared" si="19"/>
        <v>383204224700580.38</v>
      </c>
      <c r="J160" s="37">
        <f t="shared" si="20"/>
        <v>365925153086182.31</v>
      </c>
      <c r="K160" s="34">
        <f t="shared" si="4"/>
        <v>23065864925937.828</v>
      </c>
      <c r="L160" s="34">
        <f t="shared" si="5"/>
        <v>0</v>
      </c>
      <c r="M160" s="34">
        <f t="shared" si="6"/>
        <v>23065864925937.828</v>
      </c>
      <c r="N160" s="34">
        <f t="shared" si="23"/>
        <v>2306586492593.7827</v>
      </c>
      <c r="O160" s="38">
        <f t="shared" si="7"/>
        <v>20655482041177.328</v>
      </c>
      <c r="P160" s="39">
        <f t="shared" si="8"/>
        <v>1300000000000</v>
      </c>
      <c r="Q160" s="34">
        <f t="shared" si="9"/>
        <v>19355482041177.328</v>
      </c>
      <c r="R160" s="40">
        <f t="shared" si="22"/>
        <v>9434779201.7820492</v>
      </c>
      <c r="S160" s="35">
        <f t="shared" si="10"/>
        <v>1</v>
      </c>
      <c r="T160" s="41">
        <f t="shared" si="11"/>
        <v>170.95862046884156</v>
      </c>
      <c r="U160" s="4"/>
      <c r="V160" s="4"/>
      <c r="W160" s="4"/>
    </row>
    <row r="161" spans="1:23" ht="15.75" customHeight="1">
      <c r="A161" s="31" t="s">
        <v>194</v>
      </c>
      <c r="B161" s="32">
        <v>2177</v>
      </c>
      <c r="C161" s="46">
        <f t="shared" si="12"/>
        <v>4.146990466600893E-6</v>
      </c>
      <c r="D161" s="42">
        <v>4000</v>
      </c>
      <c r="E161" s="34">
        <f t="shared" si="1"/>
        <v>16587961.866403572</v>
      </c>
      <c r="F161" s="34">
        <f t="shared" si="2"/>
        <v>16505022.057071554</v>
      </c>
      <c r="G161" s="35">
        <f t="shared" si="18"/>
        <v>1</v>
      </c>
      <c r="H161" s="36">
        <f t="shared" si="3"/>
        <v>16505022.057071554</v>
      </c>
      <c r="I161" s="34">
        <f t="shared" si="19"/>
        <v>385510827698196.25</v>
      </c>
      <c r="J161" s="37">
        <f t="shared" si="20"/>
        <v>368047640205756.31</v>
      </c>
      <c r="K161" s="34">
        <f t="shared" si="4"/>
        <v>23199654705663.957</v>
      </c>
      <c r="L161" s="34">
        <f t="shared" si="5"/>
        <v>0</v>
      </c>
      <c r="M161" s="34">
        <f t="shared" si="6"/>
        <v>23199654705663.957</v>
      </c>
      <c r="N161" s="34">
        <f t="shared" si="23"/>
        <v>2319965470566.396</v>
      </c>
      <c r="O161" s="38">
        <f t="shared" si="7"/>
        <v>20775290788922.074</v>
      </c>
      <c r="P161" s="39">
        <f t="shared" si="8"/>
        <v>1300000000000</v>
      </c>
      <c r="Q161" s="34">
        <f t="shared" si="9"/>
        <v>19475290788922.074</v>
      </c>
      <c r="R161" s="40">
        <f t="shared" si="22"/>
        <v>9425344422.5802689</v>
      </c>
      <c r="S161" s="35">
        <f t="shared" si="10"/>
        <v>1</v>
      </c>
      <c r="T161" s="41">
        <f t="shared" si="11"/>
        <v>172.18902846550256</v>
      </c>
      <c r="U161" s="4"/>
      <c r="V161" s="4"/>
      <c r="W161" s="4"/>
    </row>
    <row r="162" spans="1:23" ht="15.75" customHeight="1">
      <c r="A162" s="31" t="s">
        <v>195</v>
      </c>
      <c r="B162" s="32">
        <v>2178</v>
      </c>
      <c r="C162" s="46">
        <f t="shared" si="12"/>
        <v>3.7322914199408039E-6</v>
      </c>
      <c r="D162" s="42">
        <v>4000</v>
      </c>
      <c r="E162" s="34">
        <f t="shared" si="1"/>
        <v>14929165.679763217</v>
      </c>
      <c r="F162" s="34">
        <f t="shared" si="2"/>
        <v>14854519.8513644</v>
      </c>
      <c r="G162" s="35">
        <f t="shared" si="18"/>
        <v>1</v>
      </c>
      <c r="H162" s="36">
        <f t="shared" si="3"/>
        <v>14854519.8513644</v>
      </c>
      <c r="I162" s="34">
        <f t="shared" si="19"/>
        <v>387830808023282.5</v>
      </c>
      <c r="J162" s="37">
        <f t="shared" si="20"/>
        <v>370182436720577.19</v>
      </c>
      <c r="K162" s="34">
        <f t="shared" si="4"/>
        <v>23334220389044.949</v>
      </c>
      <c r="L162" s="34">
        <f t="shared" si="5"/>
        <v>0</v>
      </c>
      <c r="M162" s="34">
        <f t="shared" si="6"/>
        <v>23334220389044.949</v>
      </c>
      <c r="N162" s="34">
        <f t="shared" si="23"/>
        <v>2333422038904.4951</v>
      </c>
      <c r="O162" s="38">
        <f t="shared" si="7"/>
        <v>20895794358389.75</v>
      </c>
      <c r="P162" s="39">
        <f t="shared" si="8"/>
        <v>1300000000000</v>
      </c>
      <c r="Q162" s="34">
        <f t="shared" si="9"/>
        <v>19595794358389.75</v>
      </c>
      <c r="R162" s="40">
        <f t="shared" si="22"/>
        <v>9415919078.15769</v>
      </c>
      <c r="S162" s="35">
        <f t="shared" si="10"/>
        <v>1</v>
      </c>
      <c r="T162" s="41">
        <f t="shared" si="11"/>
        <v>173.42787779338622</v>
      </c>
      <c r="U162" s="4"/>
      <c r="V162" s="4"/>
      <c r="W162" s="4"/>
    </row>
    <row r="163" spans="1:23" ht="15.75" customHeight="1">
      <c r="A163" s="31" t="s">
        <v>196</v>
      </c>
      <c r="B163" s="32">
        <v>2179</v>
      </c>
      <c r="C163" s="46">
        <f t="shared" si="12"/>
        <v>3.3590622779467237E-6</v>
      </c>
      <c r="D163" s="42">
        <v>4000</v>
      </c>
      <c r="E163" s="34">
        <f t="shared" si="1"/>
        <v>13436249.111786895</v>
      </c>
      <c r="F163" s="34">
        <f t="shared" si="2"/>
        <v>13369067.86622796</v>
      </c>
      <c r="G163" s="35">
        <f t="shared" si="18"/>
        <v>1</v>
      </c>
      <c r="H163" s="36">
        <f t="shared" si="3"/>
        <v>13369067.86622796</v>
      </c>
      <c r="I163" s="34">
        <f t="shared" si="19"/>
        <v>390164243431254.88</v>
      </c>
      <c r="J163" s="37">
        <f t="shared" si="20"/>
        <v>372329614192485.31</v>
      </c>
      <c r="K163" s="34">
        <f t="shared" si="4"/>
        <v>23469566488084.594</v>
      </c>
      <c r="L163" s="34">
        <f t="shared" si="5"/>
        <v>0</v>
      </c>
      <c r="M163" s="34">
        <f t="shared" si="6"/>
        <v>23469566488084.594</v>
      </c>
      <c r="N163" s="34">
        <f t="shared" si="23"/>
        <v>2346956648808.4595</v>
      </c>
      <c r="O163" s="38">
        <f t="shared" si="7"/>
        <v>21016996790079.754</v>
      </c>
      <c r="P163" s="39">
        <f t="shared" si="8"/>
        <v>1300000000000</v>
      </c>
      <c r="Q163" s="34">
        <f t="shared" si="9"/>
        <v>19716996790079.754</v>
      </c>
      <c r="R163" s="40">
        <f t="shared" si="22"/>
        <v>9406503159.0795326</v>
      </c>
      <c r="S163" s="35">
        <f t="shared" si="10"/>
        <v>1</v>
      </c>
      <c r="T163" s="41">
        <f t="shared" si="11"/>
        <v>174.67522606995672</v>
      </c>
      <c r="U163" s="4"/>
      <c r="V163" s="4"/>
      <c r="W163" s="4"/>
    </row>
    <row r="164" spans="1:23" ht="15.75" customHeight="1">
      <c r="A164" s="31" t="s">
        <v>197</v>
      </c>
      <c r="B164" s="32">
        <v>2180</v>
      </c>
      <c r="C164" s="46">
        <f t="shared" si="12"/>
        <v>3.0231560501520515E-6</v>
      </c>
      <c r="D164" s="42">
        <v>4000</v>
      </c>
      <c r="E164" s="34">
        <f t="shared" si="1"/>
        <v>12092624.200608205</v>
      </c>
      <c r="F164" s="34">
        <f t="shared" si="2"/>
        <v>12032161.079605164</v>
      </c>
      <c r="G164" s="35">
        <f t="shared" si="18"/>
        <v>1</v>
      </c>
      <c r="H164" s="36">
        <f t="shared" si="3"/>
        <v>12032161.079605164</v>
      </c>
      <c r="I164" s="34">
        <f t="shared" si="19"/>
        <v>392511212112224.38</v>
      </c>
      <c r="J164" s="37">
        <f t="shared" si="20"/>
        <v>374489244582018.13</v>
      </c>
      <c r="K164" s="34">
        <f t="shared" si="4"/>
        <v>23605697539803.566</v>
      </c>
      <c r="L164" s="34">
        <f t="shared" si="5"/>
        <v>0</v>
      </c>
      <c r="M164" s="34">
        <f t="shared" si="6"/>
        <v>23605697539803.566</v>
      </c>
      <c r="N164" s="34">
        <f t="shared" si="23"/>
        <v>2360569753980.3569</v>
      </c>
      <c r="O164" s="38">
        <f t="shared" si="7"/>
        <v>21138902146894.094</v>
      </c>
      <c r="P164" s="39">
        <f t="shared" si="8"/>
        <v>1300000000000</v>
      </c>
      <c r="Q164" s="34">
        <f t="shared" si="9"/>
        <v>19838902146894.094</v>
      </c>
      <c r="R164" s="40">
        <f t="shared" si="22"/>
        <v>9397096655.920454</v>
      </c>
      <c r="S164" s="35">
        <f t="shared" si="10"/>
        <v>1</v>
      </c>
      <c r="T164" s="41">
        <f t="shared" si="11"/>
        <v>175.93113129606002</v>
      </c>
      <c r="U164" s="4"/>
      <c r="V164" s="4"/>
      <c r="W164" s="4"/>
    </row>
    <row r="165" spans="1:23" ht="15.75" customHeight="1">
      <c r="A165" s="31" t="s">
        <v>198</v>
      </c>
      <c r="B165" s="32">
        <v>2181</v>
      </c>
      <c r="C165" s="46">
        <f t="shared" si="12"/>
        <v>2.7208404451368466E-6</v>
      </c>
      <c r="D165" s="42">
        <v>4000</v>
      </c>
      <c r="E165" s="34">
        <f t="shared" si="1"/>
        <v>10883361.780547386</v>
      </c>
      <c r="F165" s="34">
        <f t="shared" si="2"/>
        <v>10828944.971644649</v>
      </c>
      <c r="G165" s="35">
        <f t="shared" si="18"/>
        <v>1</v>
      </c>
      <c r="H165" s="36">
        <f t="shared" si="3"/>
        <v>10828944.971644649</v>
      </c>
      <c r="I165" s="34">
        <f t="shared" si="19"/>
        <v>394871792695149.75</v>
      </c>
      <c r="J165" s="37">
        <f t="shared" si="20"/>
        <v>376661400252361.06</v>
      </c>
      <c r="K165" s="34">
        <f t="shared" si="4"/>
        <v>23742618106499.949</v>
      </c>
      <c r="L165" s="34">
        <f t="shared" si="5"/>
        <v>0</v>
      </c>
      <c r="M165" s="34">
        <f t="shared" si="6"/>
        <v>23742618106499.949</v>
      </c>
      <c r="N165" s="34">
        <f t="shared" si="23"/>
        <v>2374261810649.9951</v>
      </c>
      <c r="O165" s="38">
        <f t="shared" si="7"/>
        <v>21261514514370.703</v>
      </c>
      <c r="P165" s="39">
        <f t="shared" si="8"/>
        <v>1300000000000</v>
      </c>
      <c r="Q165" s="34">
        <f t="shared" si="9"/>
        <v>19961514514370.703</v>
      </c>
      <c r="R165" s="40">
        <f t="shared" si="22"/>
        <v>9387699559.264534</v>
      </c>
      <c r="S165" s="35">
        <f t="shared" si="10"/>
        <v>1</v>
      </c>
      <c r="T165" s="41">
        <f t="shared" si="11"/>
        <v>177.19565185941534</v>
      </c>
      <c r="U165" s="4"/>
      <c r="V165" s="4"/>
      <c r="W165" s="4"/>
    </row>
    <row r="166" spans="1:23" ht="15.75" customHeight="1">
      <c r="A166" s="31" t="s">
        <v>199</v>
      </c>
      <c r="B166" s="32">
        <v>2182</v>
      </c>
      <c r="C166" s="46">
        <f t="shared" si="12"/>
        <v>2.4487564006231621E-6</v>
      </c>
      <c r="D166" s="42">
        <v>4000</v>
      </c>
      <c r="E166" s="34">
        <f t="shared" si="1"/>
        <v>9795025.6024926491</v>
      </c>
      <c r="F166" s="34">
        <f t="shared" si="2"/>
        <v>9746050.4744801857</v>
      </c>
      <c r="G166" s="35">
        <f t="shared" si="18"/>
        <v>1</v>
      </c>
      <c r="H166" s="36">
        <f t="shared" si="3"/>
        <v>9746050.4744801857</v>
      </c>
      <c r="I166" s="34">
        <f t="shared" si="19"/>
        <v>397246064251850.25</v>
      </c>
      <c r="J166" s="37">
        <f t="shared" si="20"/>
        <v>378846153973157.06</v>
      </c>
      <c r="K166" s="34">
        <f t="shared" si="4"/>
        <v>23880332775999.691</v>
      </c>
      <c r="L166" s="34">
        <f t="shared" si="5"/>
        <v>0</v>
      </c>
      <c r="M166" s="34">
        <f t="shared" si="6"/>
        <v>23880332775999.691</v>
      </c>
      <c r="N166" s="34">
        <f t="shared" si="23"/>
        <v>2388033277599.9692</v>
      </c>
      <c r="O166" s="38">
        <f t="shared" si="7"/>
        <v>21384838000907.723</v>
      </c>
      <c r="P166" s="39">
        <f t="shared" si="8"/>
        <v>1300000000000</v>
      </c>
      <c r="Q166" s="34">
        <f t="shared" si="9"/>
        <v>20084838000907.723</v>
      </c>
      <c r="R166" s="40">
        <f t="shared" si="22"/>
        <v>9378311859.7052708</v>
      </c>
      <c r="S166" s="35">
        <f t="shared" si="10"/>
        <v>1</v>
      </c>
      <c r="T166" s="41">
        <f t="shared" si="11"/>
        <v>178.46884653804247</v>
      </c>
      <c r="U166" s="4"/>
      <c r="V166" s="4"/>
      <c r="W166" s="4"/>
    </row>
    <row r="167" spans="1:23" ht="15.75" customHeight="1">
      <c r="A167" s="31" t="s">
        <v>200</v>
      </c>
      <c r="B167" s="32">
        <v>2183</v>
      </c>
      <c r="C167" s="46">
        <f t="shared" si="12"/>
        <v>2.2038807605608458E-6</v>
      </c>
      <c r="D167" s="42">
        <v>4000</v>
      </c>
      <c r="E167" s="34">
        <f t="shared" si="1"/>
        <v>8815523.042243382</v>
      </c>
      <c r="F167" s="34">
        <f t="shared" si="2"/>
        <v>8771445.4270321652</v>
      </c>
      <c r="G167" s="35">
        <f t="shared" si="18"/>
        <v>1</v>
      </c>
      <c r="H167" s="36">
        <f t="shared" si="3"/>
        <v>8771445.4270321652</v>
      </c>
      <c r="I167" s="34">
        <f t="shared" si="19"/>
        <v>399634106300895.69</v>
      </c>
      <c r="J167" s="37">
        <f t="shared" si="20"/>
        <v>381043578924191.44</v>
      </c>
      <c r="K167" s="34">
        <f t="shared" si="4"/>
        <v>24018846161898.156</v>
      </c>
      <c r="L167" s="34">
        <f t="shared" si="5"/>
        <v>0</v>
      </c>
      <c r="M167" s="34">
        <f t="shared" si="6"/>
        <v>24018846161898.156</v>
      </c>
      <c r="N167" s="34">
        <f t="shared" si="23"/>
        <v>2401884616189.8159</v>
      </c>
      <c r="O167" s="38">
        <f t="shared" si="7"/>
        <v>21508876737979.797</v>
      </c>
      <c r="P167" s="39">
        <f t="shared" si="8"/>
        <v>1300000000000</v>
      </c>
      <c r="Q167" s="34">
        <f t="shared" si="9"/>
        <v>20208876737979.797</v>
      </c>
      <c r="R167" s="40">
        <f t="shared" si="22"/>
        <v>9368933547.8455658</v>
      </c>
      <c r="S167" s="35">
        <f t="shared" si="10"/>
        <v>1</v>
      </c>
      <c r="T167" s="41">
        <f t="shared" si="11"/>
        <v>179.75077450363361</v>
      </c>
      <c r="U167" s="4"/>
      <c r="V167" s="4"/>
      <c r="W167" s="4"/>
    </row>
    <row r="168" spans="1:23" ht="15.75" customHeight="1">
      <c r="A168" s="31" t="s">
        <v>201</v>
      </c>
      <c r="B168" s="32">
        <v>2184</v>
      </c>
      <c r="C168" s="46">
        <f t="shared" si="12"/>
        <v>1.9834926845047612E-6</v>
      </c>
      <c r="D168" s="42">
        <v>4000</v>
      </c>
      <c r="E168" s="34">
        <f t="shared" si="1"/>
        <v>7933970.7380190454</v>
      </c>
      <c r="F168" s="34">
        <f t="shared" si="2"/>
        <v>7894300.8843289502</v>
      </c>
      <c r="G168" s="35">
        <f t="shared" si="18"/>
        <v>1</v>
      </c>
      <c r="H168" s="36">
        <f t="shared" si="3"/>
        <v>7894300.8843289502</v>
      </c>
      <c r="I168" s="34">
        <f t="shared" si="19"/>
        <v>402035998811386.38</v>
      </c>
      <c r="J168" s="37">
        <f t="shared" si="20"/>
        <v>383253748698964.81</v>
      </c>
      <c r="K168" s="34">
        <f t="shared" si="4"/>
        <v>24158162903793.738</v>
      </c>
      <c r="L168" s="34">
        <f t="shared" si="5"/>
        <v>0</v>
      </c>
      <c r="M168" s="34">
        <f t="shared" si="6"/>
        <v>24158162903793.738</v>
      </c>
      <c r="N168" s="34">
        <f t="shared" si="23"/>
        <v>2415816290379.374</v>
      </c>
      <c r="O168" s="38">
        <f t="shared" si="7"/>
        <v>21633634880347.293</v>
      </c>
      <c r="P168" s="39">
        <f t="shared" si="8"/>
        <v>1300000000000</v>
      </c>
      <c r="Q168" s="34">
        <f t="shared" si="9"/>
        <v>20333634880347.293</v>
      </c>
      <c r="R168" s="40">
        <f t="shared" si="22"/>
        <v>9359564614.2977219</v>
      </c>
      <c r="S168" s="35">
        <f t="shared" si="10"/>
        <v>1</v>
      </c>
      <c r="T168" s="41">
        <f t="shared" si="11"/>
        <v>181.04149532487796</v>
      </c>
      <c r="U168" s="4"/>
      <c r="V168" s="4"/>
      <c r="W168" s="4"/>
    </row>
    <row r="169" spans="1:23" ht="15.75" customHeight="1">
      <c r="A169" s="31" t="s">
        <v>202</v>
      </c>
      <c r="B169" s="32">
        <v>2185</v>
      </c>
      <c r="C169" s="46">
        <f t="shared" si="12"/>
        <v>1.7851434160542851E-6</v>
      </c>
      <c r="D169" s="42">
        <v>4000</v>
      </c>
      <c r="E169" s="34">
        <f t="shared" si="1"/>
        <v>7140573.6642171405</v>
      </c>
      <c r="F169" s="34">
        <f t="shared" si="2"/>
        <v>7104870.7958960552</v>
      </c>
      <c r="G169" s="35">
        <f t="shared" si="18"/>
        <v>1</v>
      </c>
      <c r="H169" s="36">
        <f t="shared" si="3"/>
        <v>7104870.7958960552</v>
      </c>
      <c r="I169" s="34">
        <f t="shared" si="19"/>
        <v>404451822206636.56</v>
      </c>
      <c r="J169" s="37">
        <f t="shared" si="20"/>
        <v>385476737308167.94</v>
      </c>
      <c r="K169" s="34">
        <f t="shared" si="4"/>
        <v>24298287667514.367</v>
      </c>
      <c r="L169" s="34">
        <f t="shared" si="5"/>
        <v>0</v>
      </c>
      <c r="M169" s="34">
        <f t="shared" si="6"/>
        <v>24298287667514.367</v>
      </c>
      <c r="N169" s="34">
        <f t="shared" si="23"/>
        <v>2429828766751.437</v>
      </c>
      <c r="O169" s="38">
        <f t="shared" si="7"/>
        <v>21759116606259.113</v>
      </c>
      <c r="P169" s="39">
        <f t="shared" si="8"/>
        <v>1300000000000</v>
      </c>
      <c r="Q169" s="34">
        <f t="shared" si="9"/>
        <v>20459116606259.113</v>
      </c>
      <c r="R169" s="40">
        <f t="shared" si="22"/>
        <v>9350205049.6834259</v>
      </c>
      <c r="S169" s="35">
        <f t="shared" si="10"/>
        <v>1</v>
      </c>
      <c r="T169" s="41">
        <f t="shared" si="11"/>
        <v>182.3410689707442</v>
      </c>
      <c r="U169" s="4"/>
      <c r="V169" s="4"/>
      <c r="W169" s="4"/>
    </row>
    <row r="170" spans="1:23" ht="15.75" customHeight="1">
      <c r="A170" s="31" t="s">
        <v>203</v>
      </c>
      <c r="B170" s="32">
        <v>2186</v>
      </c>
      <c r="C170" s="46">
        <f t="shared" si="12"/>
        <v>1.6066290744488565E-6</v>
      </c>
      <c r="D170" s="42">
        <v>4000</v>
      </c>
      <c r="E170" s="34">
        <f t="shared" si="1"/>
        <v>6426516.2977954261</v>
      </c>
      <c r="F170" s="34">
        <f t="shared" si="2"/>
        <v>6394383.7163064489</v>
      </c>
      <c r="G170" s="35">
        <f t="shared" si="18"/>
        <v>1</v>
      </c>
      <c r="H170" s="36">
        <f t="shared" si="3"/>
        <v>6394383.7163064489</v>
      </c>
      <c r="I170" s="34">
        <f t="shared" si="19"/>
        <v>406881657367771.69</v>
      </c>
      <c r="J170" s="37">
        <f t="shared" si="20"/>
        <v>387712619183068.44</v>
      </c>
      <c r="K170" s="34">
        <f t="shared" si="4"/>
        <v>24439225145337.848</v>
      </c>
      <c r="L170" s="34">
        <f t="shared" si="5"/>
        <v>0</v>
      </c>
      <c r="M170" s="34">
        <f t="shared" si="6"/>
        <v>24439225145337.848</v>
      </c>
      <c r="N170" s="34">
        <f t="shared" si="23"/>
        <v>2443922514533.7847</v>
      </c>
      <c r="O170" s="38">
        <f t="shared" si="7"/>
        <v>21885326117650.043</v>
      </c>
      <c r="P170" s="39">
        <f t="shared" si="8"/>
        <v>1300000000000</v>
      </c>
      <c r="Q170" s="34">
        <f t="shared" si="9"/>
        <v>20585326117650.043</v>
      </c>
      <c r="R170" s="40">
        <f t="shared" si="22"/>
        <v>9340854844.6337433</v>
      </c>
      <c r="S170" s="35">
        <f t="shared" si="10"/>
        <v>1</v>
      </c>
      <c r="T170" s="41">
        <f t="shared" si="11"/>
        <v>183.64955581372877</v>
      </c>
      <c r="U170" s="4"/>
      <c r="V170" s="4"/>
      <c r="W170" s="4"/>
    </row>
    <row r="171" spans="1:23" ht="15.75" customHeight="1">
      <c r="A171" s="31" t="s">
        <v>204</v>
      </c>
      <c r="B171" s="32">
        <v>2187</v>
      </c>
      <c r="C171" s="46">
        <f t="shared" si="12"/>
        <v>1.4459661670039709E-6</v>
      </c>
      <c r="D171" s="42">
        <v>4000</v>
      </c>
      <c r="E171" s="34">
        <f t="shared" si="1"/>
        <v>5783864.6680158833</v>
      </c>
      <c r="F171" s="34">
        <f t="shared" si="2"/>
        <v>5754945.3446758036</v>
      </c>
      <c r="G171" s="35">
        <f t="shared" si="18"/>
        <v>1</v>
      </c>
      <c r="H171" s="36">
        <f t="shared" si="3"/>
        <v>5754945.3446758036</v>
      </c>
      <c r="I171" s="34">
        <f t="shared" si="19"/>
        <v>409325585637250.88</v>
      </c>
      <c r="J171" s="37">
        <f t="shared" si="20"/>
        <v>389961469178821.38</v>
      </c>
      <c r="K171" s="34">
        <f t="shared" si="4"/>
        <v>24580980056206.539</v>
      </c>
      <c r="L171" s="34">
        <f t="shared" si="5"/>
        <v>0</v>
      </c>
      <c r="M171" s="34">
        <f t="shared" si="6"/>
        <v>24580980056206.539</v>
      </c>
      <c r="N171" s="34">
        <f t="shared" si="23"/>
        <v>2458098005620.6538</v>
      </c>
      <c r="O171" s="38">
        <f t="shared" si="7"/>
        <v>22012267640332.957</v>
      </c>
      <c r="P171" s="39">
        <f t="shared" si="8"/>
        <v>1300000000000</v>
      </c>
      <c r="Q171" s="34">
        <f t="shared" si="9"/>
        <v>20712267640332.957</v>
      </c>
      <c r="R171" s="40">
        <f t="shared" si="22"/>
        <v>9331513989.7891102</v>
      </c>
      <c r="S171" s="35">
        <f t="shared" si="10"/>
        <v>1</v>
      </c>
      <c r="T171" s="41">
        <f t="shared" si="11"/>
        <v>184.96701663307343</v>
      </c>
      <c r="U171" s="4"/>
      <c r="V171" s="4"/>
      <c r="W171" s="4"/>
    </row>
    <row r="172" spans="1:23" ht="15.75" customHeight="1">
      <c r="A172" s="31" t="s">
        <v>205</v>
      </c>
      <c r="B172" s="32">
        <v>2188</v>
      </c>
      <c r="C172" s="46">
        <f t="shared" si="12"/>
        <v>1.3013695503035739E-6</v>
      </c>
      <c r="D172" s="42">
        <v>4000</v>
      </c>
      <c r="E172" s="34">
        <f t="shared" si="1"/>
        <v>5205478.2012142958</v>
      </c>
      <c r="F172" s="34">
        <f t="shared" si="2"/>
        <v>5179450.8102082247</v>
      </c>
      <c r="G172" s="35">
        <f t="shared" si="18"/>
        <v>1</v>
      </c>
      <c r="H172" s="36">
        <f t="shared" si="3"/>
        <v>5179450.8102082247</v>
      </c>
      <c r="I172" s="34">
        <f t="shared" si="19"/>
        <v>411783688822322.31</v>
      </c>
      <c r="J172" s="37">
        <f t="shared" si="20"/>
        <v>392223362577710.88</v>
      </c>
      <c r="K172" s="34">
        <f t="shared" si="4"/>
        <v>24723557145937.273</v>
      </c>
      <c r="L172" s="34">
        <f t="shared" si="5"/>
        <v>0</v>
      </c>
      <c r="M172" s="34">
        <f t="shared" si="6"/>
        <v>24723557145937.273</v>
      </c>
      <c r="N172" s="34">
        <f t="shared" si="23"/>
        <v>2472355714593.7275</v>
      </c>
      <c r="O172" s="38">
        <f t="shared" si="7"/>
        <v>22139945424186.828</v>
      </c>
      <c r="P172" s="39">
        <f t="shared" si="8"/>
        <v>1300000000000</v>
      </c>
      <c r="Q172" s="34">
        <f t="shared" si="9"/>
        <v>20839945424186.828</v>
      </c>
      <c r="R172" s="40">
        <f t="shared" si="22"/>
        <v>9322182475.7993221</v>
      </c>
      <c r="S172" s="35">
        <f t="shared" si="10"/>
        <v>1</v>
      </c>
      <c r="T172" s="41">
        <f t="shared" si="11"/>
        <v>186.29351261795884</v>
      </c>
      <c r="U172" s="4"/>
      <c r="V172" s="4"/>
      <c r="W172" s="4"/>
    </row>
    <row r="173" spans="1:23" ht="15.75" customHeight="1">
      <c r="A173" s="31" t="s">
        <v>206</v>
      </c>
      <c r="B173" s="32">
        <v>2189</v>
      </c>
      <c r="C173" s="46">
        <f t="shared" si="12"/>
        <v>1.1712325952732165E-6</v>
      </c>
      <c r="D173" s="42">
        <v>4000</v>
      </c>
      <c r="E173" s="34">
        <f t="shared" si="1"/>
        <v>4684930.381092866</v>
      </c>
      <c r="F173" s="34">
        <f t="shared" si="2"/>
        <v>4661505.7291874019</v>
      </c>
      <c r="G173" s="35">
        <f t="shared" si="18"/>
        <v>1</v>
      </c>
      <c r="H173" s="36">
        <f t="shared" si="3"/>
        <v>4661505.7291874019</v>
      </c>
      <c r="I173" s="34">
        <f t="shared" si="19"/>
        <v>414256049198421.81</v>
      </c>
      <c r="J173" s="37">
        <f t="shared" si="20"/>
        <v>394498375092333.5</v>
      </c>
      <c r="K173" s="34">
        <f t="shared" si="4"/>
        <v>24866961187426.867</v>
      </c>
      <c r="L173" s="34">
        <f t="shared" si="5"/>
        <v>0</v>
      </c>
      <c r="M173" s="34">
        <f t="shared" si="6"/>
        <v>24866961187426.867</v>
      </c>
      <c r="N173" s="34">
        <f t="shared" si="23"/>
        <v>2486696118742.687</v>
      </c>
      <c r="O173" s="38">
        <f t="shared" si="7"/>
        <v>22268363743340.758</v>
      </c>
      <c r="P173" s="39">
        <f t="shared" si="8"/>
        <v>1300000000000</v>
      </c>
      <c r="Q173" s="34">
        <f t="shared" si="9"/>
        <v>20968363743340.758</v>
      </c>
      <c r="R173" s="40">
        <f t="shared" si="22"/>
        <v>9312860293.3235245</v>
      </c>
      <c r="S173" s="35">
        <f t="shared" si="10"/>
        <v>1</v>
      </c>
      <c r="T173" s="41">
        <f t="shared" si="11"/>
        <v>187.62910537067731</v>
      </c>
      <c r="U173" s="4"/>
      <c r="V173" s="4"/>
      <c r="W173" s="4"/>
    </row>
    <row r="174" spans="1:23" ht="15.75" customHeight="1">
      <c r="A174" s="31" t="s">
        <v>207</v>
      </c>
      <c r="B174" s="32">
        <v>2190</v>
      </c>
      <c r="C174" s="46">
        <f t="shared" si="12"/>
        <v>1.054109335745895E-6</v>
      </c>
      <c r="D174" s="42">
        <v>4000</v>
      </c>
      <c r="E174" s="34">
        <f t="shared" si="1"/>
        <v>4216437.3429835802</v>
      </c>
      <c r="F174" s="34">
        <f t="shared" si="2"/>
        <v>4195355.1562686618</v>
      </c>
      <c r="G174" s="35">
        <f t="shared" si="18"/>
        <v>1</v>
      </c>
      <c r="H174" s="36">
        <f t="shared" si="3"/>
        <v>4195355.1562686618</v>
      </c>
      <c r="I174" s="34">
        <f t="shared" si="19"/>
        <v>416742749512519.69</v>
      </c>
      <c r="J174" s="37">
        <f t="shared" si="20"/>
        <v>396786582868728.19</v>
      </c>
      <c r="K174" s="34">
        <f t="shared" si="4"/>
        <v>25011196980853.941</v>
      </c>
      <c r="L174" s="34">
        <f t="shared" si="5"/>
        <v>0</v>
      </c>
      <c r="M174" s="34">
        <f t="shared" si="6"/>
        <v>25011196980853.941</v>
      </c>
      <c r="N174" s="34">
        <f t="shared" si="23"/>
        <v>2501119698085.394</v>
      </c>
      <c r="O174" s="38">
        <f t="shared" si="7"/>
        <v>22397526896354.703</v>
      </c>
      <c r="P174" s="39">
        <f t="shared" si="8"/>
        <v>1300000000000</v>
      </c>
      <c r="Q174" s="34">
        <f t="shared" si="9"/>
        <v>21097526896354.703</v>
      </c>
      <c r="R174" s="40">
        <f t="shared" si="22"/>
        <v>9303547433.0302029</v>
      </c>
      <c r="S174" s="35">
        <f t="shared" si="10"/>
        <v>1</v>
      </c>
      <c r="T174" s="41">
        <f t="shared" si="11"/>
        <v>188.97385690978982</v>
      </c>
      <c r="U174" s="4"/>
      <c r="V174" s="4"/>
      <c r="W174" s="4"/>
    </row>
    <row r="175" spans="1:23" ht="15.75" customHeight="1">
      <c r="A175" s="31" t="s">
        <v>208</v>
      </c>
      <c r="B175" s="32">
        <v>2191</v>
      </c>
      <c r="C175" s="46">
        <f t="shared" si="12"/>
        <v>9.4869840217130547E-7</v>
      </c>
      <c r="D175" s="42">
        <v>4000</v>
      </c>
      <c r="E175" s="34">
        <f t="shared" si="1"/>
        <v>3794793.608685222</v>
      </c>
      <c r="F175" s="34">
        <f t="shared" si="2"/>
        <v>3775819.6406417959</v>
      </c>
      <c r="G175" s="35">
        <f t="shared" si="18"/>
        <v>1</v>
      </c>
      <c r="H175" s="36">
        <f t="shared" si="3"/>
        <v>3775819.6406417959</v>
      </c>
      <c r="I175" s="34">
        <f t="shared" si="19"/>
        <v>419243872986424.69</v>
      </c>
      <c r="J175" s="37">
        <f t="shared" si="20"/>
        <v>399088062489461.88</v>
      </c>
      <c r="K175" s="34">
        <f t="shared" si="4"/>
        <v>25156269353877.367</v>
      </c>
      <c r="L175" s="34">
        <f t="shared" si="5"/>
        <v>0</v>
      </c>
      <c r="M175" s="34">
        <f t="shared" si="6"/>
        <v>25156269353877.367</v>
      </c>
      <c r="N175" s="34">
        <f t="shared" si="23"/>
        <v>2515626935387.7368</v>
      </c>
      <c r="O175" s="38">
        <f t="shared" si="7"/>
        <v>22527439206397.18</v>
      </c>
      <c r="P175" s="39">
        <f t="shared" si="8"/>
        <v>1300000000000</v>
      </c>
      <c r="Q175" s="34">
        <f t="shared" si="9"/>
        <v>21227439206397.18</v>
      </c>
      <c r="R175" s="40">
        <f t="shared" si="22"/>
        <v>9294243885.5971737</v>
      </c>
      <c r="S175" s="35">
        <f t="shared" si="10"/>
        <v>1</v>
      </c>
      <c r="T175" s="41">
        <f t="shared" si="11"/>
        <v>190.32782967326946</v>
      </c>
      <c r="U175" s="4"/>
      <c r="V175" s="4"/>
      <c r="W175" s="4"/>
    </row>
    <row r="176" spans="1:23" ht="15.75" customHeight="1">
      <c r="A176" s="31" t="s">
        <v>209</v>
      </c>
      <c r="B176" s="32">
        <v>2192</v>
      </c>
      <c r="C176" s="46">
        <f t="shared" si="12"/>
        <v>8.5382856195417492E-7</v>
      </c>
      <c r="D176" s="42">
        <v>4000</v>
      </c>
      <c r="E176" s="34">
        <f t="shared" si="1"/>
        <v>3415314.2478166996</v>
      </c>
      <c r="F176" s="34">
        <f t="shared" si="2"/>
        <v>3398237.676577616</v>
      </c>
      <c r="G176" s="35">
        <f t="shared" si="18"/>
        <v>1</v>
      </c>
      <c r="H176" s="36">
        <f t="shared" si="3"/>
        <v>3398237.676577616</v>
      </c>
      <c r="I176" s="34">
        <f t="shared" si="19"/>
        <v>421759503320050.13</v>
      </c>
      <c r="J176" s="37">
        <f t="shared" si="20"/>
        <v>401402890976675.81</v>
      </c>
      <c r="K176" s="34">
        <f t="shared" si="4"/>
        <v>25302183161831.883</v>
      </c>
      <c r="L176" s="34">
        <f t="shared" si="5"/>
        <v>0</v>
      </c>
      <c r="M176" s="34">
        <f t="shared" si="6"/>
        <v>25302183161831.883</v>
      </c>
      <c r="N176" s="34">
        <f t="shared" si="23"/>
        <v>2530218316183.1885</v>
      </c>
      <c r="O176" s="38">
        <f t="shared" si="7"/>
        <v>22658105021420.453</v>
      </c>
      <c r="P176" s="39">
        <f t="shared" si="8"/>
        <v>1300000000000</v>
      </c>
      <c r="Q176" s="34">
        <f t="shared" si="9"/>
        <v>21358105021420.453</v>
      </c>
      <c r="R176" s="40">
        <f t="shared" si="22"/>
        <v>9284949641.7115784</v>
      </c>
      <c r="S176" s="35">
        <f t="shared" si="10"/>
        <v>1</v>
      </c>
      <c r="T176" s="41">
        <f t="shared" si="11"/>
        <v>191.69108652163641</v>
      </c>
      <c r="U176" s="4"/>
      <c r="V176" s="4"/>
      <c r="W176" s="4"/>
    </row>
    <row r="177" spans="1:23" ht="15.75" customHeight="1">
      <c r="A177" s="31" t="s">
        <v>210</v>
      </c>
      <c r="B177" s="32">
        <v>2193</v>
      </c>
      <c r="C177" s="46">
        <f t="shared" si="12"/>
        <v>7.6844570575875741E-7</v>
      </c>
      <c r="D177" s="42">
        <v>4000</v>
      </c>
      <c r="E177" s="34">
        <f t="shared" si="1"/>
        <v>3073782.8230350297</v>
      </c>
      <c r="F177" s="34">
        <f t="shared" si="2"/>
        <v>3058413.9089198546</v>
      </c>
      <c r="G177" s="35">
        <f t="shared" si="18"/>
        <v>1</v>
      </c>
      <c r="H177" s="36">
        <f t="shared" si="3"/>
        <v>3058413.9089198546</v>
      </c>
      <c r="I177" s="34">
        <f t="shared" si="19"/>
        <v>424289724694647.25</v>
      </c>
      <c r="J177" s="37">
        <f t="shared" si="20"/>
        <v>403731145795097.31</v>
      </c>
      <c r="K177" s="34">
        <f t="shared" si="4"/>
        <v>25448943287921.246</v>
      </c>
      <c r="L177" s="34">
        <f t="shared" si="5"/>
        <v>0</v>
      </c>
      <c r="M177" s="34">
        <f t="shared" si="6"/>
        <v>25448943287921.246</v>
      </c>
      <c r="N177" s="34">
        <f t="shared" si="23"/>
        <v>2544894328792.1245</v>
      </c>
      <c r="O177" s="38">
        <f t="shared" si="7"/>
        <v>22789528714333.477</v>
      </c>
      <c r="P177" s="39">
        <f t="shared" si="8"/>
        <v>1300000000000</v>
      </c>
      <c r="Q177" s="34">
        <f t="shared" si="9"/>
        <v>21489528714333.477</v>
      </c>
      <c r="R177" s="40">
        <f t="shared" si="22"/>
        <v>9275664692.0698681</v>
      </c>
      <c r="S177" s="35">
        <f t="shared" si="10"/>
        <v>1</v>
      </c>
      <c r="T177" s="41">
        <f t="shared" si="11"/>
        <v>193.06369074108622</v>
      </c>
      <c r="U177" s="4"/>
      <c r="V177" s="4"/>
      <c r="W177" s="4"/>
    </row>
    <row r="178" spans="1:23" ht="15.75" customHeight="1">
      <c r="A178" s="31" t="s">
        <v>211</v>
      </c>
      <c r="B178" s="32">
        <v>2194</v>
      </c>
      <c r="C178" s="46">
        <f t="shared" si="12"/>
        <v>6.9160113518288168E-7</v>
      </c>
      <c r="D178" s="42">
        <v>4000</v>
      </c>
      <c r="E178" s="34">
        <f t="shared" si="1"/>
        <v>2766404.5407315269</v>
      </c>
      <c r="F178" s="34">
        <f t="shared" si="2"/>
        <v>2752572.5180278691</v>
      </c>
      <c r="G178" s="35">
        <f t="shared" si="18"/>
        <v>1</v>
      </c>
      <c r="H178" s="36">
        <f t="shared" si="3"/>
        <v>2752572.5180278691</v>
      </c>
      <c r="I178" s="34">
        <f t="shared" si="19"/>
        <v>426834621776011.88</v>
      </c>
      <c r="J178" s="37">
        <f t="shared" si="20"/>
        <v>406072904855023.75</v>
      </c>
      <c r="K178" s="34">
        <f t="shared" si="4"/>
        <v>25596554643409.168</v>
      </c>
      <c r="L178" s="34">
        <f t="shared" si="5"/>
        <v>0</v>
      </c>
      <c r="M178" s="34">
        <f t="shared" si="6"/>
        <v>25596554643409.168</v>
      </c>
      <c r="N178" s="34">
        <f t="shared" si="23"/>
        <v>2559655464340.917</v>
      </c>
      <c r="O178" s="38">
        <f t="shared" si="7"/>
        <v>22921714683172.91</v>
      </c>
      <c r="P178" s="39">
        <f t="shared" si="8"/>
        <v>1300000000000</v>
      </c>
      <c r="Q178" s="34">
        <f t="shared" si="9"/>
        <v>21621714683172.91</v>
      </c>
      <c r="R178" s="40">
        <f t="shared" si="22"/>
        <v>9266389027.3778</v>
      </c>
      <c r="S178" s="35">
        <f t="shared" si="10"/>
        <v>1</v>
      </c>
      <c r="T178" s="41">
        <f t="shared" si="11"/>
        <v>194.4457060466143</v>
      </c>
      <c r="U178" s="4"/>
      <c r="V178" s="4"/>
      <c r="W178" s="4"/>
    </row>
    <row r="179" spans="1:23" ht="15.75" customHeight="1">
      <c r="A179" s="31" t="s">
        <v>212</v>
      </c>
      <c r="B179" s="32">
        <v>2195</v>
      </c>
      <c r="C179" s="46">
        <f t="shared" si="12"/>
        <v>6.2244102166459349E-7</v>
      </c>
      <c r="D179" s="42">
        <v>4000</v>
      </c>
      <c r="E179" s="34">
        <f t="shared" si="1"/>
        <v>2489764.0866583739</v>
      </c>
      <c r="F179" s="34">
        <f t="shared" si="2"/>
        <v>2477315.2662250819</v>
      </c>
      <c r="G179" s="35">
        <f t="shared" si="18"/>
        <v>1</v>
      </c>
      <c r="H179" s="36">
        <f t="shared" si="3"/>
        <v>2477315.2662250819</v>
      </c>
      <c r="I179" s="34">
        <f t="shared" si="19"/>
        <v>429394279717668.06</v>
      </c>
      <c r="J179" s="37">
        <f t="shared" si="20"/>
        <v>408428246515281.63</v>
      </c>
      <c r="K179" s="34">
        <f t="shared" si="4"/>
        <v>25745022167808.504</v>
      </c>
      <c r="L179" s="34">
        <f t="shared" si="5"/>
        <v>0</v>
      </c>
      <c r="M179" s="34">
        <f t="shared" si="6"/>
        <v>25745022167808.504</v>
      </c>
      <c r="N179" s="34">
        <f t="shared" si="23"/>
        <v>2574502216780.8506</v>
      </c>
      <c r="O179" s="38">
        <f t="shared" si="7"/>
        <v>23054667351272.516</v>
      </c>
      <c r="P179" s="39">
        <f t="shared" si="8"/>
        <v>1300000000000</v>
      </c>
      <c r="Q179" s="34">
        <f t="shared" si="9"/>
        <v>21754667351272.516</v>
      </c>
      <c r="R179" s="40">
        <f t="shared" si="22"/>
        <v>9257122638.3504238</v>
      </c>
      <c r="S179" s="35">
        <f t="shared" si="10"/>
        <v>1</v>
      </c>
      <c r="T179" s="41">
        <f t="shared" si="11"/>
        <v>195.8371965851394</v>
      </c>
      <c r="U179" s="4"/>
      <c r="V179" s="4"/>
      <c r="W179" s="4"/>
    </row>
    <row r="180" spans="1:23" ht="15.75" customHeight="1">
      <c r="A180" s="31" t="s">
        <v>213</v>
      </c>
      <c r="B180" s="32">
        <v>2196</v>
      </c>
      <c r="C180" s="46">
        <f t="shared" si="12"/>
        <v>5.6019691949813414E-7</v>
      </c>
      <c r="D180" s="42">
        <v>4000</v>
      </c>
      <c r="E180" s="34">
        <f t="shared" si="1"/>
        <v>2240787.6779925362</v>
      </c>
      <c r="F180" s="34">
        <f t="shared" si="2"/>
        <v>2229583.7396025737</v>
      </c>
      <c r="G180" s="35">
        <f t="shared" si="18"/>
        <v>1</v>
      </c>
      <c r="H180" s="36">
        <f t="shared" si="3"/>
        <v>2229583.7396025737</v>
      </c>
      <c r="I180" s="34">
        <f t="shared" si="19"/>
        <v>431968784164032.69</v>
      </c>
      <c r="J180" s="37">
        <f t="shared" si="20"/>
        <v>410797249586165.44</v>
      </c>
      <c r="K180" s="34">
        <f t="shared" si="4"/>
        <v>25894350829068.855</v>
      </c>
      <c r="L180" s="34">
        <f t="shared" si="5"/>
        <v>0</v>
      </c>
      <c r="M180" s="34">
        <f t="shared" si="6"/>
        <v>25894350829068.855</v>
      </c>
      <c r="N180" s="34">
        <f t="shared" si="23"/>
        <v>2589435082906.8857</v>
      </c>
      <c r="O180" s="38">
        <f t="shared" si="7"/>
        <v>23188391167431.16</v>
      </c>
      <c r="P180" s="39">
        <f t="shared" si="8"/>
        <v>1300000000000</v>
      </c>
      <c r="Q180" s="34">
        <f t="shared" si="9"/>
        <v>21888391167431.16</v>
      </c>
      <c r="R180" s="40">
        <f t="shared" si="22"/>
        <v>9247865515.7120743</v>
      </c>
      <c r="S180" s="35">
        <f t="shared" si="10"/>
        <v>1</v>
      </c>
      <c r="T180" s="41">
        <f t="shared" si="11"/>
        <v>197.238226938628</v>
      </c>
      <c r="U180" s="4"/>
      <c r="V180" s="4"/>
      <c r="W180" s="4"/>
    </row>
    <row r="181" spans="1:23" ht="15.75" customHeight="1">
      <c r="A181" s="31" t="s">
        <v>214</v>
      </c>
      <c r="B181" s="32">
        <v>2197</v>
      </c>
      <c r="C181" s="46">
        <f t="shared" si="12"/>
        <v>5.041772275483207E-7</v>
      </c>
      <c r="D181" s="42">
        <v>4000</v>
      </c>
      <c r="E181" s="34">
        <f t="shared" si="1"/>
        <v>2016708.9101932826</v>
      </c>
      <c r="F181" s="34">
        <f t="shared" si="2"/>
        <v>2006625.3656423162</v>
      </c>
      <c r="G181" s="35">
        <f t="shared" si="18"/>
        <v>1</v>
      </c>
      <c r="H181" s="36">
        <f t="shared" si="3"/>
        <v>2006625.3656423162</v>
      </c>
      <c r="I181" s="34">
        <f t="shared" si="19"/>
        <v>434558221253564.94</v>
      </c>
      <c r="J181" s="37">
        <f t="shared" si="20"/>
        <v>413179993332359.88</v>
      </c>
      <c r="K181" s="34">
        <f t="shared" si="4"/>
        <v>26044545623762.887</v>
      </c>
      <c r="L181" s="34">
        <f t="shared" si="5"/>
        <v>0</v>
      </c>
      <c r="M181" s="34">
        <f t="shared" si="6"/>
        <v>26044545623762.887</v>
      </c>
      <c r="N181" s="34">
        <f t="shared" si="23"/>
        <v>2604454562376.2886</v>
      </c>
      <c r="O181" s="38">
        <f t="shared" si="7"/>
        <v>23322890606079.664</v>
      </c>
      <c r="P181" s="39">
        <f t="shared" si="8"/>
        <v>1300000000000</v>
      </c>
      <c r="Q181" s="34">
        <f t="shared" si="9"/>
        <v>22022890606079.664</v>
      </c>
      <c r="R181" s="40">
        <f t="shared" si="22"/>
        <v>9238617650.1963634</v>
      </c>
      <c r="S181" s="35">
        <f t="shared" si="10"/>
        <v>1</v>
      </c>
      <c r="T181" s="41">
        <f t="shared" si="11"/>
        <v>198.64886212722146</v>
      </c>
      <c r="U181" s="4"/>
      <c r="V181" s="4"/>
      <c r="W181" s="4"/>
    </row>
    <row r="182" spans="1:23" ht="15.75" customHeight="1">
      <c r="A182" s="31" t="s">
        <v>215</v>
      </c>
      <c r="B182" s="32">
        <v>2198</v>
      </c>
      <c r="C182" s="46">
        <f t="shared" si="12"/>
        <v>4.5375950479348862E-7</v>
      </c>
      <c r="D182" s="42">
        <v>4000</v>
      </c>
      <c r="E182" s="34">
        <f t="shared" si="1"/>
        <v>1815038.0191739544</v>
      </c>
      <c r="F182" s="34">
        <f t="shared" si="2"/>
        <v>1805962.8290780846</v>
      </c>
      <c r="G182" s="35">
        <f t="shared" si="18"/>
        <v>1</v>
      </c>
      <c r="H182" s="36">
        <f t="shared" si="3"/>
        <v>1805962.8290780846</v>
      </c>
      <c r="I182" s="34">
        <f t="shared" si="19"/>
        <v>437162677621904.06</v>
      </c>
      <c r="J182" s="37">
        <f t="shared" si="20"/>
        <v>415576557475848.69</v>
      </c>
      <c r="K182" s="34">
        <f t="shared" si="4"/>
        <v>26195611577271.617</v>
      </c>
      <c r="L182" s="34">
        <f t="shared" si="5"/>
        <v>0</v>
      </c>
      <c r="M182" s="34">
        <f t="shared" si="6"/>
        <v>26195611577271.617</v>
      </c>
      <c r="N182" s="34">
        <f t="shared" si="23"/>
        <v>2619561157727.1616</v>
      </c>
      <c r="O182" s="38">
        <f t="shared" si="7"/>
        <v>23458170167446.734</v>
      </c>
      <c r="P182" s="39">
        <f t="shared" si="8"/>
        <v>1300000000000</v>
      </c>
      <c r="Q182" s="34">
        <f t="shared" si="9"/>
        <v>22158170167446.734</v>
      </c>
      <c r="R182" s="40">
        <f t="shared" si="22"/>
        <v>9229379032.5461674</v>
      </c>
      <c r="S182" s="35">
        <f t="shared" si="10"/>
        <v>1</v>
      </c>
      <c r="T182" s="41">
        <f t="shared" si="11"/>
        <v>200.0691676123688</v>
      </c>
      <c r="U182" s="4"/>
      <c r="V182" s="4"/>
      <c r="W182" s="4"/>
    </row>
    <row r="183" spans="1:23" ht="15.75" customHeight="1">
      <c r="A183" s="31" t="s">
        <v>216</v>
      </c>
      <c r="B183" s="32">
        <v>2199</v>
      </c>
      <c r="C183" s="46">
        <f t="shared" si="12"/>
        <v>4.0838355431413978E-7</v>
      </c>
      <c r="D183" s="42">
        <v>4000</v>
      </c>
      <c r="E183" s="34">
        <f t="shared" si="1"/>
        <v>1633534.2172565591</v>
      </c>
      <c r="F183" s="34">
        <f t="shared" si="2"/>
        <v>1625366.5461702764</v>
      </c>
      <c r="G183" s="35">
        <f t="shared" si="18"/>
        <v>1</v>
      </c>
      <c r="H183" s="36">
        <f t="shared" si="3"/>
        <v>1625366.5461702764</v>
      </c>
      <c r="I183" s="34">
        <f t="shared" si="19"/>
        <v>439782240404997.81</v>
      </c>
      <c r="J183" s="37">
        <f t="shared" si="20"/>
        <v>417987022198813</v>
      </c>
      <c r="K183" s="34">
        <f t="shared" si="4"/>
        <v>26347553743968.805</v>
      </c>
      <c r="L183" s="34">
        <f t="shared" si="5"/>
        <v>0</v>
      </c>
      <c r="M183" s="34">
        <f t="shared" si="6"/>
        <v>26347553743968.805</v>
      </c>
      <c r="N183" s="34">
        <f t="shared" si="23"/>
        <v>2634755374396.8804</v>
      </c>
      <c r="O183" s="38">
        <f t="shared" si="7"/>
        <v>23594234377724.066</v>
      </c>
      <c r="P183" s="39">
        <f t="shared" si="8"/>
        <v>1300000000000</v>
      </c>
      <c r="Q183" s="34">
        <f t="shared" si="9"/>
        <v>22294234377724.066</v>
      </c>
      <c r="R183" s="40">
        <f t="shared" si="22"/>
        <v>9220149653.5136223</v>
      </c>
      <c r="S183" s="35">
        <f t="shared" si="10"/>
        <v>1</v>
      </c>
      <c r="T183" s="41">
        <f t="shared" si="11"/>
        <v>201.49920929996475</v>
      </c>
      <c r="U183" s="4"/>
      <c r="V183" s="4"/>
      <c r="W183" s="4"/>
    </row>
    <row r="184" spans="1:23" ht="15.75" customHeight="1">
      <c r="A184" s="47" t="s">
        <v>217</v>
      </c>
      <c r="B184" s="48">
        <v>2200</v>
      </c>
      <c r="C184" s="49">
        <f t="shared" si="12"/>
        <v>3.6754519888272583E-7</v>
      </c>
      <c r="D184" s="42">
        <v>4000</v>
      </c>
      <c r="E184" s="50">
        <f t="shared" si="1"/>
        <v>1470180.7955309034</v>
      </c>
      <c r="F184" s="50">
        <f t="shared" si="2"/>
        <v>1462829.891553249</v>
      </c>
      <c r="G184" s="51">
        <f t="shared" si="18"/>
        <v>1</v>
      </c>
      <c r="H184" s="36">
        <f t="shared" si="3"/>
        <v>1462829.891553249</v>
      </c>
      <c r="I184" s="34">
        <f t="shared" si="19"/>
        <v>442416997242224.56</v>
      </c>
      <c r="J184" s="37">
        <f t="shared" si="20"/>
        <v>420411468146521.75</v>
      </c>
      <c r="K184" s="34">
        <f t="shared" si="4"/>
        <v>26500377207404.742</v>
      </c>
      <c r="L184" s="34">
        <f t="shared" si="5"/>
        <v>0</v>
      </c>
      <c r="M184" s="50">
        <f t="shared" si="6"/>
        <v>26500377207404.742</v>
      </c>
      <c r="N184" s="34">
        <f t="shared" si="23"/>
        <v>2650037720740.4746</v>
      </c>
      <c r="O184" s="38">
        <f t="shared" si="7"/>
        <v>23731087789230.945</v>
      </c>
      <c r="P184" s="52">
        <f t="shared" si="8"/>
        <v>1300000000000</v>
      </c>
      <c r="Q184" s="34">
        <f t="shared" si="9"/>
        <v>22431087789230.945</v>
      </c>
      <c r="R184" s="40">
        <f t="shared" si="22"/>
        <v>9210929503.8601093</v>
      </c>
      <c r="S184" s="51">
        <f t="shared" si="10"/>
        <v>1</v>
      </c>
      <c r="T184" s="41">
        <f t="shared" si="11"/>
        <v>202.93905354349727</v>
      </c>
      <c r="U184" s="4"/>
      <c r="V184" s="4"/>
      <c r="W184" s="4"/>
    </row>
    <row r="185" spans="1:23" ht="15.75" customHeight="1">
      <c r="A185" s="4"/>
      <c r="B185" s="4"/>
      <c r="C185" s="4"/>
      <c r="D185" s="4"/>
      <c r="E185" s="4"/>
      <c r="F185" s="4"/>
      <c r="G185" s="4"/>
      <c r="H185" s="4"/>
      <c r="I185" s="4"/>
      <c r="J185" s="4"/>
      <c r="K185" s="4"/>
      <c r="L185" s="4"/>
      <c r="M185" s="4"/>
      <c r="N185" s="4"/>
      <c r="O185" s="4"/>
      <c r="P185" s="4"/>
      <c r="Q185" s="4"/>
      <c r="R185" s="53"/>
      <c r="S185" s="4"/>
      <c r="T185" s="4"/>
      <c r="U185" s="4"/>
      <c r="V185" s="4"/>
      <c r="W185" s="4"/>
    </row>
    <row r="186" spans="1:23" ht="15.75" customHeight="1">
      <c r="A186" s="54" t="s">
        <v>218</v>
      </c>
      <c r="B186" s="55"/>
      <c r="C186" s="56">
        <f>SUM(C9:C184)</f>
        <v>373.99999669209353</v>
      </c>
      <c r="D186" s="57" t="s">
        <v>219</v>
      </c>
      <c r="E186" s="58">
        <f>SUM(E8:E184)</f>
        <v>348882091172986.31</v>
      </c>
      <c r="F186" s="59"/>
      <c r="G186" s="60" t="s">
        <v>220</v>
      </c>
      <c r="H186" s="61">
        <f>SUM(H8:H184)</f>
        <v>213608431245292.09</v>
      </c>
      <c r="I186" s="59"/>
      <c r="J186" s="59"/>
      <c r="K186" s="59"/>
      <c r="L186" s="62"/>
      <c r="M186" s="63"/>
      <c r="N186" s="64" t="s">
        <v>221</v>
      </c>
      <c r="O186" s="65">
        <f>SUM(O8:O184)</f>
        <v>2585051963605455.5</v>
      </c>
      <c r="P186" s="59"/>
      <c r="Q186" s="59"/>
      <c r="R186" s="66"/>
      <c r="S186" s="59"/>
      <c r="T186" s="59"/>
      <c r="U186" s="59"/>
      <c r="V186" s="59"/>
      <c r="W186" s="59"/>
    </row>
    <row r="187" spans="1:23" ht="15.75" customHeight="1">
      <c r="A187" s="4"/>
      <c r="B187" s="4"/>
      <c r="C187" s="4"/>
      <c r="D187" s="4"/>
      <c r="E187" s="4"/>
      <c r="F187" s="4"/>
      <c r="G187" s="4"/>
      <c r="H187" s="4"/>
      <c r="I187" s="4"/>
      <c r="J187" s="4"/>
      <c r="K187" s="4"/>
      <c r="L187" s="4"/>
      <c r="M187" s="4"/>
      <c r="N187" s="4"/>
      <c r="O187" s="4"/>
      <c r="P187" s="4"/>
      <c r="Q187" s="4"/>
      <c r="R187" s="53"/>
      <c r="S187" s="4"/>
      <c r="T187" s="4"/>
      <c r="U187" s="4"/>
      <c r="V187" s="4"/>
      <c r="W187" s="4"/>
    </row>
    <row r="188" spans="1:23" ht="15.75" customHeight="1">
      <c r="A188" s="4"/>
      <c r="B188" s="4"/>
      <c r="C188" s="4"/>
      <c r="D188" s="4"/>
      <c r="E188" s="4"/>
      <c r="F188" s="4"/>
      <c r="G188" s="4"/>
      <c r="H188" s="4"/>
      <c r="I188" s="4"/>
      <c r="J188" s="4"/>
      <c r="K188" s="4"/>
      <c r="L188" s="4"/>
      <c r="M188" s="4"/>
      <c r="N188" s="4"/>
      <c r="O188" s="4"/>
      <c r="P188" s="4"/>
      <c r="Q188" s="4"/>
      <c r="R188" s="53"/>
      <c r="S188" s="4"/>
      <c r="T188" s="4"/>
      <c r="U188" s="4"/>
      <c r="V188" s="4"/>
      <c r="W188" s="4"/>
    </row>
    <row r="189" spans="1:23" ht="15.75" customHeight="1">
      <c r="A189" s="4"/>
      <c r="B189" s="4"/>
      <c r="C189" s="4"/>
      <c r="D189" s="4"/>
      <c r="E189" s="4"/>
      <c r="F189" s="4"/>
      <c r="G189" s="4"/>
      <c r="H189" s="4"/>
      <c r="I189" s="4"/>
      <c r="J189" s="4"/>
      <c r="K189" s="4"/>
      <c r="L189" s="4"/>
      <c r="M189" s="4"/>
      <c r="N189" s="4"/>
      <c r="O189" s="4"/>
      <c r="P189" s="4"/>
      <c r="Q189" s="4"/>
      <c r="R189" s="53"/>
      <c r="S189" s="4"/>
      <c r="T189" s="4"/>
      <c r="U189" s="4"/>
      <c r="V189" s="4"/>
      <c r="W189" s="4"/>
    </row>
    <row r="190" spans="1:23" ht="15.75" customHeight="1">
      <c r="A190" s="4"/>
      <c r="B190" s="4"/>
      <c r="C190" s="4"/>
      <c r="D190" s="4"/>
      <c r="E190" s="4"/>
      <c r="F190" s="4"/>
      <c r="G190" s="4"/>
      <c r="H190" s="4"/>
      <c r="I190" s="4"/>
      <c r="J190" s="4"/>
      <c r="K190" s="4"/>
      <c r="L190" s="4"/>
      <c r="M190" s="4"/>
      <c r="N190" s="4"/>
      <c r="O190" s="4"/>
      <c r="P190" s="4"/>
      <c r="Q190" s="4"/>
      <c r="R190" s="53"/>
      <c r="S190" s="4"/>
      <c r="T190" s="4"/>
      <c r="U190" s="4"/>
      <c r="V190" s="4"/>
      <c r="W190" s="4"/>
    </row>
    <row r="191" spans="1:23" ht="15.75" customHeight="1">
      <c r="A191" s="4"/>
      <c r="B191" s="4"/>
      <c r="C191" s="4"/>
      <c r="D191" s="4"/>
      <c r="E191" s="4"/>
      <c r="F191" s="4"/>
      <c r="G191" s="4"/>
      <c r="H191" s="4"/>
      <c r="I191" s="4"/>
      <c r="J191" s="4"/>
      <c r="K191" s="4"/>
      <c r="L191" s="4"/>
      <c r="M191" s="4"/>
      <c r="N191" s="4"/>
      <c r="O191" s="4"/>
      <c r="P191" s="4"/>
      <c r="Q191" s="4"/>
      <c r="R191" s="53"/>
      <c r="S191" s="4"/>
      <c r="T191" s="4"/>
      <c r="U191" s="4"/>
      <c r="V191" s="4"/>
      <c r="W191" s="4"/>
    </row>
    <row r="192" spans="1:23" ht="15.75" customHeight="1">
      <c r="A192" s="4"/>
      <c r="B192" s="4"/>
      <c r="C192" s="4"/>
      <c r="D192" s="4"/>
      <c r="E192" s="4"/>
      <c r="F192" s="4"/>
      <c r="G192" s="4"/>
      <c r="H192" s="4"/>
      <c r="I192" s="4"/>
      <c r="J192" s="4"/>
      <c r="K192" s="4"/>
      <c r="L192" s="4"/>
      <c r="M192" s="4"/>
      <c r="N192" s="4"/>
      <c r="O192" s="4"/>
      <c r="P192" s="4"/>
      <c r="Q192" s="4"/>
      <c r="R192" s="53"/>
      <c r="S192" s="4"/>
      <c r="T192" s="4"/>
      <c r="U192" s="4"/>
      <c r="V192" s="4"/>
      <c r="W192" s="4"/>
    </row>
    <row r="193" spans="1:23" ht="15.75" customHeight="1">
      <c r="A193" s="4"/>
      <c r="B193" s="4"/>
      <c r="C193" s="4"/>
      <c r="D193" s="4"/>
      <c r="E193" s="4"/>
      <c r="F193" s="4"/>
      <c r="G193" s="4"/>
      <c r="H193" s="4"/>
      <c r="I193" s="4"/>
      <c r="J193" s="4"/>
      <c r="K193" s="4"/>
      <c r="L193" s="4"/>
      <c r="M193" s="4"/>
      <c r="N193" s="4"/>
      <c r="O193" s="4"/>
      <c r="P193" s="4"/>
      <c r="Q193" s="4"/>
      <c r="R193" s="53"/>
      <c r="S193" s="4"/>
      <c r="T193" s="4"/>
      <c r="U193" s="4"/>
      <c r="V193" s="4"/>
      <c r="W193" s="4"/>
    </row>
    <row r="194" spans="1:23" ht="15.75" customHeight="1">
      <c r="A194" s="4"/>
      <c r="B194" s="4"/>
      <c r="C194" s="4"/>
      <c r="D194" s="4"/>
      <c r="E194" s="4"/>
      <c r="F194" s="4"/>
      <c r="G194" s="4"/>
      <c r="H194" s="4"/>
      <c r="I194" s="4"/>
      <c r="J194" s="4"/>
      <c r="K194" s="4"/>
      <c r="L194" s="4"/>
      <c r="M194" s="4"/>
      <c r="N194" s="4"/>
      <c r="O194" s="4"/>
      <c r="P194" s="4"/>
      <c r="Q194" s="4"/>
      <c r="R194" s="53"/>
      <c r="S194" s="4"/>
      <c r="T194" s="4"/>
      <c r="U194" s="4"/>
      <c r="V194" s="4"/>
      <c r="W194" s="4"/>
    </row>
    <row r="195" spans="1:23" ht="15.75" customHeight="1">
      <c r="A195" s="4"/>
      <c r="B195" s="4"/>
      <c r="C195" s="4"/>
      <c r="D195" s="4"/>
      <c r="E195" s="4"/>
      <c r="F195" s="4"/>
      <c r="G195" s="4"/>
      <c r="H195" s="4"/>
      <c r="I195" s="4"/>
      <c r="J195" s="4"/>
      <c r="K195" s="4"/>
      <c r="L195" s="4"/>
      <c r="M195" s="4"/>
      <c r="N195" s="4"/>
      <c r="O195" s="4"/>
      <c r="P195" s="4"/>
      <c r="Q195" s="4"/>
      <c r="R195" s="53"/>
      <c r="S195" s="4"/>
      <c r="T195" s="4"/>
      <c r="U195" s="4"/>
      <c r="V195" s="4"/>
      <c r="W195" s="4"/>
    </row>
    <row r="196" spans="1:23" ht="15.75" customHeight="1">
      <c r="A196" s="4"/>
      <c r="B196" s="4"/>
      <c r="C196" s="4"/>
      <c r="D196" s="4"/>
      <c r="E196" s="4"/>
      <c r="F196" s="4"/>
      <c r="G196" s="4"/>
      <c r="H196" s="4"/>
      <c r="I196" s="4"/>
      <c r="J196" s="4"/>
      <c r="K196" s="4"/>
      <c r="L196" s="4"/>
      <c r="M196" s="4"/>
      <c r="N196" s="4"/>
      <c r="O196" s="4"/>
      <c r="P196" s="4"/>
      <c r="Q196" s="4"/>
      <c r="R196" s="53"/>
      <c r="S196" s="4"/>
      <c r="T196" s="4"/>
      <c r="U196" s="4"/>
      <c r="V196" s="4"/>
      <c r="W196" s="4"/>
    </row>
    <row r="197" spans="1:23" ht="15.75" customHeight="1">
      <c r="A197" s="4"/>
      <c r="B197" s="4"/>
      <c r="C197" s="4"/>
      <c r="D197" s="4"/>
      <c r="E197" s="4"/>
      <c r="F197" s="4"/>
      <c r="G197" s="4"/>
      <c r="H197" s="4"/>
      <c r="I197" s="4"/>
      <c r="J197" s="4"/>
      <c r="K197" s="4"/>
      <c r="L197" s="4"/>
      <c r="M197" s="4"/>
      <c r="N197" s="4"/>
      <c r="O197" s="4"/>
      <c r="P197" s="4"/>
      <c r="Q197" s="4"/>
      <c r="R197" s="53"/>
      <c r="S197" s="4"/>
      <c r="T197" s="4"/>
      <c r="U197" s="4"/>
      <c r="V197" s="4"/>
      <c r="W197" s="4"/>
    </row>
    <row r="198" spans="1:23" ht="15.75" customHeight="1">
      <c r="A198" s="4"/>
      <c r="B198" s="4"/>
      <c r="C198" s="4"/>
      <c r="D198" s="4"/>
      <c r="E198" s="4"/>
      <c r="F198" s="4"/>
      <c r="G198" s="4"/>
      <c r="H198" s="4"/>
      <c r="I198" s="4"/>
      <c r="J198" s="4"/>
      <c r="K198" s="4"/>
      <c r="L198" s="4"/>
      <c r="M198" s="4"/>
      <c r="N198" s="4"/>
      <c r="O198" s="4"/>
      <c r="P198" s="4"/>
      <c r="Q198" s="4"/>
      <c r="R198" s="53"/>
      <c r="S198" s="4"/>
      <c r="T198" s="4"/>
      <c r="U198" s="4"/>
      <c r="V198" s="4"/>
      <c r="W198" s="4"/>
    </row>
    <row r="199" spans="1:23" ht="15.75" customHeight="1">
      <c r="A199" s="4"/>
      <c r="B199" s="4"/>
      <c r="C199" s="4"/>
      <c r="D199" s="4"/>
      <c r="E199" s="4"/>
      <c r="F199" s="4"/>
      <c r="G199" s="4"/>
      <c r="H199" s="4"/>
      <c r="I199" s="4"/>
      <c r="J199" s="4"/>
      <c r="K199" s="4"/>
      <c r="L199" s="4"/>
      <c r="M199" s="4"/>
      <c r="N199" s="4"/>
      <c r="O199" s="4"/>
      <c r="P199" s="4"/>
      <c r="Q199" s="4"/>
      <c r="R199" s="53"/>
      <c r="S199" s="4"/>
      <c r="T199" s="4"/>
      <c r="U199" s="4"/>
      <c r="V199" s="4"/>
      <c r="W199" s="4"/>
    </row>
    <row r="200" spans="1:23" ht="15.75" customHeight="1">
      <c r="A200" s="4"/>
      <c r="B200" s="4"/>
      <c r="C200" s="4"/>
      <c r="D200" s="4"/>
      <c r="E200" s="4"/>
      <c r="F200" s="4"/>
      <c r="G200" s="4"/>
      <c r="H200" s="4"/>
      <c r="I200" s="4"/>
      <c r="J200" s="4"/>
      <c r="K200" s="4"/>
      <c r="L200" s="4"/>
      <c r="M200" s="4"/>
      <c r="N200" s="4"/>
      <c r="O200" s="4"/>
      <c r="P200" s="4"/>
      <c r="Q200" s="4"/>
      <c r="R200" s="53"/>
      <c r="S200" s="4"/>
      <c r="T200" s="4"/>
      <c r="U200" s="4"/>
      <c r="V200" s="4"/>
      <c r="W200" s="4"/>
    </row>
    <row r="201" spans="1:23" ht="15.75" customHeight="1">
      <c r="A201" s="4"/>
      <c r="B201" s="4"/>
      <c r="C201" s="4"/>
      <c r="D201" s="4"/>
      <c r="E201" s="4"/>
      <c r="F201" s="4"/>
      <c r="G201" s="4"/>
      <c r="H201" s="4"/>
      <c r="I201" s="4"/>
      <c r="J201" s="4"/>
      <c r="K201" s="4"/>
      <c r="L201" s="4"/>
      <c r="M201" s="4"/>
      <c r="N201" s="4"/>
      <c r="O201" s="4"/>
      <c r="P201" s="4"/>
      <c r="Q201" s="4"/>
      <c r="R201" s="53"/>
      <c r="S201" s="4"/>
      <c r="T201" s="4"/>
      <c r="U201" s="4"/>
      <c r="V201" s="4"/>
      <c r="W201" s="4"/>
    </row>
    <row r="202" spans="1:23" ht="15.75" customHeight="1">
      <c r="A202" s="4"/>
      <c r="B202" s="4"/>
      <c r="C202" s="4"/>
      <c r="D202" s="4"/>
      <c r="E202" s="4"/>
      <c r="F202" s="4"/>
      <c r="G202" s="4"/>
      <c r="H202" s="4"/>
      <c r="I202" s="4"/>
      <c r="J202" s="4"/>
      <c r="K202" s="4"/>
      <c r="L202" s="4"/>
      <c r="M202" s="4"/>
      <c r="N202" s="4"/>
      <c r="O202" s="4"/>
      <c r="P202" s="4"/>
      <c r="Q202" s="4"/>
      <c r="R202" s="53"/>
      <c r="S202" s="4"/>
      <c r="T202" s="4"/>
      <c r="U202" s="4"/>
      <c r="V202" s="4"/>
      <c r="W202" s="4"/>
    </row>
    <row r="203" spans="1:23" ht="15.75" customHeight="1">
      <c r="A203" s="4"/>
      <c r="B203" s="4"/>
      <c r="C203" s="4"/>
      <c r="D203" s="4"/>
      <c r="E203" s="4"/>
      <c r="F203" s="4"/>
      <c r="G203" s="4"/>
      <c r="H203" s="4"/>
      <c r="I203" s="4"/>
      <c r="J203" s="4"/>
      <c r="K203" s="4"/>
      <c r="L203" s="4"/>
      <c r="M203" s="4"/>
      <c r="N203" s="4"/>
      <c r="O203" s="4"/>
      <c r="P203" s="4"/>
      <c r="Q203" s="4"/>
      <c r="R203" s="53"/>
      <c r="S203" s="4"/>
      <c r="T203" s="4"/>
      <c r="U203" s="4"/>
      <c r="V203" s="4"/>
      <c r="W203" s="4"/>
    </row>
    <row r="204" spans="1:23" ht="15.75" customHeight="1">
      <c r="A204" s="4"/>
      <c r="B204" s="4"/>
      <c r="C204" s="4"/>
      <c r="D204" s="4"/>
      <c r="E204" s="4"/>
      <c r="F204" s="4"/>
      <c r="G204" s="4"/>
      <c r="H204" s="4"/>
      <c r="I204" s="4"/>
      <c r="J204" s="4"/>
      <c r="K204" s="4"/>
      <c r="L204" s="4"/>
      <c r="M204" s="4"/>
      <c r="N204" s="4"/>
      <c r="O204" s="4"/>
      <c r="P204" s="4"/>
      <c r="Q204" s="4"/>
      <c r="R204" s="53"/>
      <c r="S204" s="4"/>
      <c r="T204" s="4"/>
      <c r="U204" s="4"/>
      <c r="V204" s="4"/>
      <c r="W204" s="4"/>
    </row>
    <row r="205" spans="1:23" ht="15.75" customHeight="1">
      <c r="A205" s="4"/>
      <c r="B205" s="4"/>
      <c r="C205" s="4"/>
      <c r="D205" s="4"/>
      <c r="E205" s="4"/>
      <c r="F205" s="4"/>
      <c r="G205" s="4"/>
      <c r="H205" s="4"/>
      <c r="I205" s="4"/>
      <c r="J205" s="4"/>
      <c r="K205" s="4"/>
      <c r="L205" s="4"/>
      <c r="M205" s="4"/>
      <c r="N205" s="4"/>
      <c r="O205" s="4"/>
      <c r="P205" s="4"/>
      <c r="Q205" s="4"/>
      <c r="R205" s="53"/>
      <c r="S205" s="4"/>
      <c r="T205" s="4"/>
      <c r="U205" s="4"/>
      <c r="V205" s="4"/>
      <c r="W205" s="4"/>
    </row>
    <row r="206" spans="1:23" ht="15.75" customHeight="1">
      <c r="A206" s="4"/>
      <c r="B206" s="4"/>
      <c r="C206" s="4"/>
      <c r="D206" s="4"/>
      <c r="E206" s="4"/>
      <c r="F206" s="4"/>
      <c r="G206" s="4"/>
      <c r="H206" s="4"/>
      <c r="I206" s="4"/>
      <c r="J206" s="4"/>
      <c r="K206" s="4"/>
      <c r="L206" s="4"/>
      <c r="M206" s="4"/>
      <c r="N206" s="4"/>
      <c r="O206" s="4"/>
      <c r="P206" s="4"/>
      <c r="Q206" s="4"/>
      <c r="R206" s="53"/>
      <c r="S206" s="4"/>
      <c r="T206" s="4"/>
      <c r="U206" s="4"/>
      <c r="V206" s="4"/>
      <c r="W206" s="4"/>
    </row>
    <row r="207" spans="1:23" ht="15.75" customHeight="1">
      <c r="A207" s="4"/>
      <c r="B207" s="4"/>
      <c r="C207" s="4"/>
      <c r="D207" s="4"/>
      <c r="E207" s="4"/>
      <c r="F207" s="4"/>
      <c r="G207" s="4"/>
      <c r="H207" s="4"/>
      <c r="I207" s="4"/>
      <c r="J207" s="4"/>
      <c r="K207" s="4"/>
      <c r="L207" s="4"/>
      <c r="M207" s="4"/>
      <c r="N207" s="4"/>
      <c r="O207" s="4"/>
      <c r="P207" s="4"/>
      <c r="Q207" s="4"/>
      <c r="R207" s="53"/>
      <c r="S207" s="4"/>
      <c r="T207" s="4"/>
      <c r="U207" s="4"/>
      <c r="V207" s="4"/>
      <c r="W207" s="4"/>
    </row>
    <row r="208" spans="1:23" ht="15.75" customHeight="1">
      <c r="A208" s="4"/>
      <c r="B208" s="4"/>
      <c r="C208" s="4"/>
      <c r="D208" s="4"/>
      <c r="E208" s="4"/>
      <c r="F208" s="4"/>
      <c r="G208" s="4"/>
      <c r="H208" s="4"/>
      <c r="I208" s="4"/>
      <c r="J208" s="4"/>
      <c r="K208" s="4"/>
      <c r="L208" s="4"/>
      <c r="M208" s="4"/>
      <c r="N208" s="4"/>
      <c r="O208" s="4"/>
      <c r="P208" s="4"/>
      <c r="Q208" s="4"/>
      <c r="R208" s="53"/>
      <c r="S208" s="4"/>
      <c r="T208" s="4"/>
      <c r="U208" s="4"/>
      <c r="V208" s="4"/>
      <c r="W208" s="4"/>
    </row>
    <row r="209" spans="1:23" ht="15.75" customHeight="1">
      <c r="A209" s="4"/>
      <c r="B209" s="4"/>
      <c r="C209" s="4"/>
      <c r="D209" s="4"/>
      <c r="E209" s="4"/>
      <c r="F209" s="4"/>
      <c r="G209" s="4"/>
      <c r="H209" s="4"/>
      <c r="I209" s="4"/>
      <c r="J209" s="4"/>
      <c r="K209" s="4"/>
      <c r="L209" s="4"/>
      <c r="M209" s="4"/>
      <c r="N209" s="4"/>
      <c r="O209" s="4"/>
      <c r="P209" s="4"/>
      <c r="Q209" s="4"/>
      <c r="R209" s="53"/>
      <c r="S209" s="4"/>
      <c r="T209" s="4"/>
      <c r="U209" s="4"/>
      <c r="V209" s="4"/>
      <c r="W209" s="4"/>
    </row>
    <row r="210" spans="1:23" ht="15.75" customHeight="1">
      <c r="A210" s="4"/>
      <c r="B210" s="4"/>
      <c r="C210" s="4"/>
      <c r="D210" s="4"/>
      <c r="E210" s="4"/>
      <c r="F210" s="4"/>
      <c r="G210" s="4"/>
      <c r="H210" s="4"/>
      <c r="I210" s="4"/>
      <c r="J210" s="4"/>
      <c r="K210" s="4"/>
      <c r="L210" s="4"/>
      <c r="M210" s="4"/>
      <c r="N210" s="4"/>
      <c r="O210" s="4"/>
      <c r="P210" s="4"/>
      <c r="Q210" s="4"/>
      <c r="R210" s="53"/>
      <c r="S210" s="4"/>
      <c r="T210" s="4"/>
      <c r="U210" s="4"/>
      <c r="V210" s="4"/>
      <c r="W210" s="4"/>
    </row>
    <row r="211" spans="1:23" ht="15.75" customHeight="1">
      <c r="A211" s="4"/>
      <c r="B211" s="4"/>
      <c r="C211" s="4"/>
      <c r="D211" s="4"/>
      <c r="E211" s="4"/>
      <c r="F211" s="4"/>
      <c r="G211" s="4"/>
      <c r="H211" s="4"/>
      <c r="I211" s="4"/>
      <c r="J211" s="4"/>
      <c r="K211" s="4"/>
      <c r="L211" s="4"/>
      <c r="M211" s="4"/>
      <c r="N211" s="4"/>
      <c r="O211" s="4"/>
      <c r="P211" s="4"/>
      <c r="Q211" s="4"/>
      <c r="R211" s="53"/>
      <c r="S211" s="4"/>
      <c r="T211" s="4"/>
      <c r="U211" s="4"/>
      <c r="V211" s="4"/>
      <c r="W211" s="4"/>
    </row>
    <row r="212" spans="1:23" ht="15.75" customHeight="1">
      <c r="A212" s="4"/>
      <c r="B212" s="4"/>
      <c r="C212" s="4"/>
      <c r="D212" s="4"/>
      <c r="E212" s="4"/>
      <c r="F212" s="4"/>
      <c r="G212" s="4"/>
      <c r="H212" s="4"/>
      <c r="I212" s="4"/>
      <c r="J212" s="4"/>
      <c r="K212" s="4"/>
      <c r="L212" s="4"/>
      <c r="M212" s="4"/>
      <c r="N212" s="4"/>
      <c r="O212" s="4"/>
      <c r="P212" s="4"/>
      <c r="Q212" s="4"/>
      <c r="R212" s="53"/>
      <c r="S212" s="4"/>
      <c r="T212" s="4"/>
      <c r="U212" s="4"/>
      <c r="V212" s="4"/>
      <c r="W212" s="4"/>
    </row>
    <row r="213" spans="1:23" ht="15.75" customHeight="1">
      <c r="A213" s="4"/>
      <c r="B213" s="4"/>
      <c r="C213" s="4"/>
      <c r="D213" s="4"/>
      <c r="E213" s="4"/>
      <c r="F213" s="4"/>
      <c r="G213" s="4"/>
      <c r="H213" s="4"/>
      <c r="I213" s="4"/>
      <c r="J213" s="4"/>
      <c r="K213" s="4"/>
      <c r="L213" s="4"/>
      <c r="M213" s="4"/>
      <c r="N213" s="4"/>
      <c r="O213" s="4"/>
      <c r="P213" s="4"/>
      <c r="Q213" s="4"/>
      <c r="R213" s="53"/>
      <c r="S213" s="4"/>
      <c r="T213" s="4"/>
      <c r="U213" s="4"/>
      <c r="V213" s="4"/>
      <c r="W213" s="4"/>
    </row>
    <row r="214" spans="1:23" ht="15.75" customHeight="1">
      <c r="A214" s="4"/>
      <c r="B214" s="4"/>
      <c r="C214" s="4"/>
      <c r="D214" s="4"/>
      <c r="E214" s="4"/>
      <c r="F214" s="4"/>
      <c r="G214" s="4"/>
      <c r="H214" s="4"/>
      <c r="I214" s="4"/>
      <c r="J214" s="4"/>
      <c r="K214" s="4"/>
      <c r="L214" s="4"/>
      <c r="M214" s="4"/>
      <c r="N214" s="4"/>
      <c r="O214" s="4"/>
      <c r="P214" s="4"/>
      <c r="Q214" s="4"/>
      <c r="R214" s="53"/>
      <c r="S214" s="4"/>
      <c r="T214" s="4"/>
      <c r="U214" s="4"/>
      <c r="V214" s="4"/>
      <c r="W214" s="4"/>
    </row>
    <row r="215" spans="1:23" ht="15.75" customHeight="1">
      <c r="A215" s="4"/>
      <c r="B215" s="4"/>
      <c r="C215" s="4"/>
      <c r="D215" s="4"/>
      <c r="E215" s="4"/>
      <c r="F215" s="4"/>
      <c r="G215" s="4"/>
      <c r="H215" s="4"/>
      <c r="I215" s="4"/>
      <c r="J215" s="4"/>
      <c r="K215" s="4"/>
      <c r="L215" s="4"/>
      <c r="M215" s="4"/>
      <c r="N215" s="4"/>
      <c r="O215" s="4"/>
      <c r="P215" s="4"/>
      <c r="Q215" s="4"/>
      <c r="R215" s="53"/>
      <c r="S215" s="4"/>
      <c r="T215" s="4"/>
      <c r="U215" s="4"/>
      <c r="V215" s="4"/>
      <c r="W215" s="4"/>
    </row>
    <row r="216" spans="1:23" ht="15.75" customHeight="1">
      <c r="A216" s="4"/>
      <c r="B216" s="4"/>
      <c r="C216" s="4"/>
      <c r="D216" s="4"/>
      <c r="E216" s="4"/>
      <c r="F216" s="4"/>
      <c r="G216" s="4"/>
      <c r="H216" s="4"/>
      <c r="I216" s="4"/>
      <c r="J216" s="4"/>
      <c r="K216" s="4"/>
      <c r="L216" s="4"/>
      <c r="M216" s="4"/>
      <c r="N216" s="4"/>
      <c r="O216" s="4"/>
      <c r="P216" s="4"/>
      <c r="Q216" s="4"/>
      <c r="R216" s="53"/>
      <c r="S216" s="4"/>
      <c r="T216" s="4"/>
      <c r="U216" s="4"/>
      <c r="V216" s="4"/>
      <c r="W216" s="4"/>
    </row>
    <row r="217" spans="1:23" ht="15.75" customHeight="1">
      <c r="A217" s="4"/>
      <c r="B217" s="4"/>
      <c r="C217" s="4"/>
      <c r="D217" s="4"/>
      <c r="E217" s="4"/>
      <c r="F217" s="4"/>
      <c r="G217" s="4"/>
      <c r="H217" s="4"/>
      <c r="I217" s="4"/>
      <c r="J217" s="4"/>
      <c r="K217" s="4"/>
      <c r="L217" s="4"/>
      <c r="M217" s="4"/>
      <c r="N217" s="4"/>
      <c r="O217" s="4"/>
      <c r="P217" s="4"/>
      <c r="Q217" s="4"/>
      <c r="R217" s="53"/>
      <c r="S217" s="4"/>
      <c r="T217" s="4"/>
      <c r="U217" s="4"/>
      <c r="V217" s="4"/>
      <c r="W217" s="4"/>
    </row>
    <row r="218" spans="1:23" ht="15.75" customHeight="1">
      <c r="A218" s="4"/>
      <c r="B218" s="4"/>
      <c r="C218" s="4"/>
      <c r="D218" s="4"/>
      <c r="E218" s="4"/>
      <c r="F218" s="4"/>
      <c r="G218" s="4"/>
      <c r="H218" s="4"/>
      <c r="I218" s="4"/>
      <c r="J218" s="4"/>
      <c r="K218" s="4"/>
      <c r="L218" s="4"/>
      <c r="M218" s="4"/>
      <c r="N218" s="4"/>
      <c r="O218" s="4"/>
      <c r="P218" s="4"/>
      <c r="Q218" s="4"/>
      <c r="R218" s="53"/>
      <c r="S218" s="4"/>
      <c r="T218" s="4"/>
      <c r="U218" s="4"/>
      <c r="V218" s="4"/>
      <c r="W218" s="4"/>
    </row>
    <row r="219" spans="1:23" ht="15.75" customHeight="1">
      <c r="A219" s="4"/>
      <c r="B219" s="4"/>
      <c r="C219" s="4"/>
      <c r="D219" s="4"/>
      <c r="E219" s="4"/>
      <c r="F219" s="4"/>
      <c r="G219" s="4"/>
      <c r="H219" s="4"/>
      <c r="I219" s="4"/>
      <c r="J219" s="4"/>
      <c r="K219" s="4"/>
      <c r="L219" s="4"/>
      <c r="M219" s="4"/>
      <c r="N219" s="4"/>
      <c r="O219" s="4"/>
      <c r="P219" s="4"/>
      <c r="Q219" s="4"/>
      <c r="R219" s="53"/>
      <c r="S219" s="4"/>
      <c r="T219" s="4"/>
      <c r="U219" s="4"/>
      <c r="V219" s="4"/>
      <c r="W219" s="4"/>
    </row>
    <row r="220" spans="1:23" ht="15.75" customHeight="1">
      <c r="A220" s="4"/>
      <c r="B220" s="4"/>
      <c r="C220" s="4"/>
      <c r="D220" s="4"/>
      <c r="E220" s="4"/>
      <c r="F220" s="4"/>
      <c r="G220" s="4"/>
      <c r="H220" s="4"/>
      <c r="I220" s="4"/>
      <c r="J220" s="4"/>
      <c r="K220" s="4"/>
      <c r="L220" s="4"/>
      <c r="M220" s="4"/>
      <c r="N220" s="4"/>
      <c r="O220" s="4"/>
      <c r="P220" s="4"/>
      <c r="Q220" s="4"/>
      <c r="R220" s="53"/>
      <c r="S220" s="4"/>
      <c r="T220" s="4"/>
      <c r="U220" s="4"/>
      <c r="V220" s="4"/>
      <c r="W220" s="4"/>
    </row>
    <row r="221" spans="1:23" ht="15.75" customHeight="1">
      <c r="A221" s="4"/>
      <c r="B221" s="4"/>
      <c r="C221" s="4"/>
      <c r="D221" s="4"/>
      <c r="E221" s="4"/>
      <c r="F221" s="4"/>
      <c r="G221" s="4"/>
      <c r="H221" s="4"/>
      <c r="I221" s="4"/>
      <c r="J221" s="4"/>
      <c r="K221" s="4"/>
      <c r="L221" s="4"/>
      <c r="M221" s="4"/>
      <c r="N221" s="4"/>
      <c r="O221" s="4"/>
      <c r="P221" s="4"/>
      <c r="Q221" s="4"/>
      <c r="R221" s="53"/>
      <c r="S221" s="4"/>
      <c r="T221" s="4"/>
      <c r="U221" s="4"/>
      <c r="V221" s="4"/>
      <c r="W221" s="4"/>
    </row>
    <row r="222" spans="1:23" ht="15.75" customHeight="1">
      <c r="A222" s="4"/>
      <c r="B222" s="4"/>
      <c r="C222" s="4"/>
      <c r="D222" s="4"/>
      <c r="E222" s="4"/>
      <c r="F222" s="4"/>
      <c r="G222" s="4"/>
      <c r="H222" s="4"/>
      <c r="I222" s="4"/>
      <c r="J222" s="4"/>
      <c r="K222" s="4"/>
      <c r="L222" s="4"/>
      <c r="M222" s="4"/>
      <c r="N222" s="4"/>
      <c r="O222" s="4"/>
      <c r="P222" s="4"/>
      <c r="Q222" s="4"/>
      <c r="R222" s="53"/>
      <c r="S222" s="4"/>
      <c r="T222" s="4"/>
      <c r="U222" s="4"/>
      <c r="V222" s="4"/>
      <c r="W222" s="4"/>
    </row>
    <row r="223" spans="1:23" ht="15.75" customHeight="1">
      <c r="A223" s="4"/>
      <c r="B223" s="4"/>
      <c r="C223" s="4"/>
      <c r="D223" s="4"/>
      <c r="E223" s="4"/>
      <c r="F223" s="4"/>
      <c r="G223" s="4"/>
      <c r="H223" s="4"/>
      <c r="I223" s="4"/>
      <c r="J223" s="4"/>
      <c r="K223" s="4"/>
      <c r="L223" s="4"/>
      <c r="M223" s="4"/>
      <c r="N223" s="4"/>
      <c r="O223" s="4"/>
      <c r="P223" s="4"/>
      <c r="Q223" s="4"/>
      <c r="R223" s="53"/>
      <c r="S223" s="4"/>
      <c r="T223" s="4"/>
      <c r="U223" s="4"/>
      <c r="V223" s="4"/>
      <c r="W223" s="4"/>
    </row>
    <row r="224" spans="1:23" ht="15.75" customHeight="1">
      <c r="A224" s="4"/>
      <c r="B224" s="4"/>
      <c r="C224" s="4"/>
      <c r="D224" s="4"/>
      <c r="E224" s="4"/>
      <c r="F224" s="4"/>
      <c r="G224" s="4"/>
      <c r="H224" s="4"/>
      <c r="I224" s="4"/>
      <c r="J224" s="4"/>
      <c r="K224" s="4"/>
      <c r="L224" s="4"/>
      <c r="M224" s="4"/>
      <c r="N224" s="4"/>
      <c r="O224" s="4"/>
      <c r="P224" s="4"/>
      <c r="Q224" s="4"/>
      <c r="R224" s="53"/>
      <c r="S224" s="4"/>
      <c r="T224" s="4"/>
      <c r="U224" s="4"/>
      <c r="V224" s="4"/>
      <c r="W224" s="4"/>
    </row>
    <row r="225" spans="1:23" ht="15.75" customHeight="1">
      <c r="A225" s="4"/>
      <c r="B225" s="4"/>
      <c r="C225" s="4"/>
      <c r="D225" s="4"/>
      <c r="E225" s="4"/>
      <c r="F225" s="4"/>
      <c r="G225" s="4"/>
      <c r="H225" s="4"/>
      <c r="I225" s="4"/>
      <c r="J225" s="4"/>
      <c r="K225" s="4"/>
      <c r="L225" s="4"/>
      <c r="M225" s="4"/>
      <c r="N225" s="4"/>
      <c r="O225" s="4"/>
      <c r="P225" s="4"/>
      <c r="Q225" s="4"/>
      <c r="R225" s="53"/>
      <c r="S225" s="4"/>
      <c r="T225" s="4"/>
      <c r="U225" s="4"/>
      <c r="V225" s="4"/>
      <c r="W225" s="4"/>
    </row>
    <row r="226" spans="1:23" ht="15.75" customHeight="1">
      <c r="A226" s="4"/>
      <c r="B226" s="4"/>
      <c r="C226" s="4"/>
      <c r="D226" s="4"/>
      <c r="E226" s="4"/>
      <c r="F226" s="4"/>
      <c r="G226" s="4"/>
      <c r="H226" s="4"/>
      <c r="I226" s="4"/>
      <c r="J226" s="4"/>
      <c r="K226" s="4"/>
      <c r="L226" s="4"/>
      <c r="M226" s="4"/>
      <c r="N226" s="4"/>
      <c r="O226" s="4"/>
      <c r="P226" s="4"/>
      <c r="Q226" s="4"/>
      <c r="R226" s="53"/>
      <c r="S226" s="4"/>
      <c r="T226" s="4"/>
      <c r="U226" s="4"/>
      <c r="V226" s="4"/>
      <c r="W226" s="4"/>
    </row>
    <row r="227" spans="1:23" ht="15.75" customHeight="1">
      <c r="A227" s="4"/>
      <c r="B227" s="4"/>
      <c r="C227" s="4"/>
      <c r="D227" s="4"/>
      <c r="E227" s="4"/>
      <c r="F227" s="4"/>
      <c r="G227" s="4"/>
      <c r="H227" s="4"/>
      <c r="I227" s="4"/>
      <c r="J227" s="4"/>
      <c r="K227" s="4"/>
      <c r="L227" s="4"/>
      <c r="M227" s="4"/>
      <c r="N227" s="4"/>
      <c r="O227" s="4"/>
      <c r="P227" s="4"/>
      <c r="Q227" s="4"/>
      <c r="R227" s="53"/>
      <c r="S227" s="4"/>
      <c r="T227" s="4"/>
      <c r="U227" s="4"/>
      <c r="V227" s="4"/>
      <c r="W227" s="4"/>
    </row>
    <row r="228" spans="1:23" ht="15.75" customHeight="1">
      <c r="A228" s="4"/>
      <c r="B228" s="4"/>
      <c r="C228" s="4"/>
      <c r="D228" s="4"/>
      <c r="E228" s="4"/>
      <c r="F228" s="4"/>
      <c r="G228" s="4"/>
      <c r="H228" s="4"/>
      <c r="I228" s="4"/>
      <c r="J228" s="4"/>
      <c r="K228" s="4"/>
      <c r="L228" s="4"/>
      <c r="M228" s="4"/>
      <c r="N228" s="4"/>
      <c r="O228" s="4"/>
      <c r="P228" s="4"/>
      <c r="Q228" s="4"/>
      <c r="R228" s="53"/>
      <c r="S228" s="4"/>
      <c r="T228" s="4"/>
      <c r="U228" s="4"/>
      <c r="V228" s="4"/>
      <c r="W228" s="4"/>
    </row>
    <row r="229" spans="1:23" ht="15.75" customHeight="1">
      <c r="A229" s="4"/>
      <c r="B229" s="4"/>
      <c r="C229" s="4"/>
      <c r="D229" s="4"/>
      <c r="E229" s="4"/>
      <c r="F229" s="4"/>
      <c r="G229" s="4"/>
      <c r="H229" s="4"/>
      <c r="I229" s="4"/>
      <c r="J229" s="4"/>
      <c r="K229" s="4"/>
      <c r="L229" s="4"/>
      <c r="M229" s="4"/>
      <c r="N229" s="4"/>
      <c r="O229" s="4"/>
      <c r="P229" s="4"/>
      <c r="Q229" s="4"/>
      <c r="R229" s="53"/>
      <c r="S229" s="4"/>
      <c r="T229" s="4"/>
      <c r="U229" s="4"/>
      <c r="V229" s="4"/>
      <c r="W229" s="4"/>
    </row>
    <row r="230" spans="1:23" ht="15.75" customHeight="1">
      <c r="A230" s="4"/>
      <c r="B230" s="4"/>
      <c r="C230" s="4"/>
      <c r="D230" s="4"/>
      <c r="E230" s="4"/>
      <c r="F230" s="4"/>
      <c r="G230" s="4"/>
      <c r="H230" s="4"/>
      <c r="I230" s="4"/>
      <c r="J230" s="4"/>
      <c r="K230" s="4"/>
      <c r="L230" s="4"/>
      <c r="M230" s="4"/>
      <c r="N230" s="4"/>
      <c r="O230" s="4"/>
      <c r="P230" s="4"/>
      <c r="Q230" s="4"/>
      <c r="R230" s="53"/>
      <c r="S230" s="4"/>
      <c r="T230" s="4"/>
      <c r="U230" s="4"/>
      <c r="V230" s="4"/>
      <c r="W230" s="4"/>
    </row>
    <row r="231" spans="1:23" ht="15.75" customHeight="1">
      <c r="A231" s="4"/>
      <c r="B231" s="4"/>
      <c r="C231" s="4"/>
      <c r="D231" s="4"/>
      <c r="E231" s="4"/>
      <c r="F231" s="4"/>
      <c r="G231" s="4"/>
      <c r="H231" s="4"/>
      <c r="I231" s="4"/>
      <c r="J231" s="4"/>
      <c r="K231" s="4"/>
      <c r="L231" s="4"/>
      <c r="M231" s="4"/>
      <c r="N231" s="4"/>
      <c r="O231" s="4"/>
      <c r="P231" s="4"/>
      <c r="Q231" s="4"/>
      <c r="R231" s="53"/>
      <c r="S231" s="4"/>
      <c r="T231" s="4"/>
      <c r="U231" s="4"/>
      <c r="V231" s="4"/>
      <c r="W231" s="4"/>
    </row>
    <row r="232" spans="1:23" ht="15.75" customHeight="1">
      <c r="A232" s="4"/>
      <c r="B232" s="4"/>
      <c r="C232" s="4"/>
      <c r="D232" s="4"/>
      <c r="E232" s="4"/>
      <c r="F232" s="4"/>
      <c r="G232" s="4"/>
      <c r="H232" s="4"/>
      <c r="I232" s="4"/>
      <c r="J232" s="4"/>
      <c r="K232" s="4"/>
      <c r="L232" s="4"/>
      <c r="M232" s="4"/>
      <c r="N232" s="4"/>
      <c r="O232" s="4"/>
      <c r="P232" s="4"/>
      <c r="Q232" s="4"/>
      <c r="R232" s="53"/>
      <c r="S232" s="4"/>
      <c r="T232" s="4"/>
      <c r="U232" s="4"/>
      <c r="V232" s="4"/>
      <c r="W232" s="4"/>
    </row>
    <row r="233" spans="1:23" ht="15.75" customHeight="1">
      <c r="A233" s="4"/>
      <c r="B233" s="4"/>
      <c r="C233" s="4"/>
      <c r="D233" s="4"/>
      <c r="E233" s="4"/>
      <c r="F233" s="4"/>
      <c r="G233" s="4"/>
      <c r="H233" s="4"/>
      <c r="I233" s="4"/>
      <c r="J233" s="4"/>
      <c r="K233" s="4"/>
      <c r="L233" s="4"/>
      <c r="M233" s="4"/>
      <c r="N233" s="4"/>
      <c r="O233" s="4"/>
      <c r="P233" s="4"/>
      <c r="Q233" s="4"/>
      <c r="R233" s="53"/>
      <c r="S233" s="4"/>
      <c r="T233" s="4"/>
      <c r="U233" s="4"/>
      <c r="V233" s="4"/>
      <c r="W233" s="4"/>
    </row>
    <row r="234" spans="1:23" ht="15.75" customHeight="1">
      <c r="A234" s="4"/>
      <c r="B234" s="4"/>
      <c r="C234" s="4"/>
      <c r="D234" s="4"/>
      <c r="E234" s="4"/>
      <c r="F234" s="4"/>
      <c r="G234" s="4"/>
      <c r="H234" s="4"/>
      <c r="I234" s="4"/>
      <c r="J234" s="4"/>
      <c r="K234" s="4"/>
      <c r="L234" s="4"/>
      <c r="M234" s="4"/>
      <c r="N234" s="4"/>
      <c r="O234" s="4"/>
      <c r="P234" s="4"/>
      <c r="Q234" s="4"/>
      <c r="R234" s="53"/>
      <c r="S234" s="4"/>
      <c r="T234" s="4"/>
      <c r="U234" s="4"/>
      <c r="V234" s="4"/>
      <c r="W234" s="4"/>
    </row>
    <row r="235" spans="1:23" ht="15.75" customHeight="1">
      <c r="A235" s="4"/>
      <c r="B235" s="4"/>
      <c r="C235" s="4"/>
      <c r="D235" s="4"/>
      <c r="E235" s="4"/>
      <c r="F235" s="4"/>
      <c r="G235" s="4"/>
      <c r="H235" s="4"/>
      <c r="I235" s="4"/>
      <c r="J235" s="4"/>
      <c r="K235" s="4"/>
      <c r="L235" s="4"/>
      <c r="M235" s="4"/>
      <c r="N235" s="4"/>
      <c r="O235" s="4"/>
      <c r="P235" s="4"/>
      <c r="Q235" s="4"/>
      <c r="R235" s="53"/>
      <c r="S235" s="4"/>
      <c r="T235" s="4"/>
      <c r="U235" s="4"/>
      <c r="V235" s="4"/>
      <c r="W235" s="4"/>
    </row>
    <row r="236" spans="1:23" ht="15.75" customHeight="1">
      <c r="A236" s="4"/>
      <c r="B236" s="4"/>
      <c r="C236" s="4"/>
      <c r="D236" s="4"/>
      <c r="E236" s="4"/>
      <c r="F236" s="4"/>
      <c r="G236" s="4"/>
      <c r="H236" s="4"/>
      <c r="I236" s="4"/>
      <c r="J236" s="4"/>
      <c r="K236" s="4"/>
      <c r="L236" s="4"/>
      <c r="M236" s="4"/>
      <c r="N236" s="4"/>
      <c r="O236" s="4"/>
      <c r="P236" s="4"/>
      <c r="Q236" s="4"/>
      <c r="R236" s="53"/>
      <c r="S236" s="4"/>
      <c r="T236" s="4"/>
      <c r="U236" s="4"/>
      <c r="V236" s="4"/>
      <c r="W236" s="4"/>
    </row>
    <row r="237" spans="1:23" ht="15.75" customHeight="1">
      <c r="A237" s="4"/>
      <c r="B237" s="4"/>
      <c r="C237" s="4"/>
      <c r="D237" s="4"/>
      <c r="E237" s="4"/>
      <c r="F237" s="4"/>
      <c r="G237" s="4"/>
      <c r="H237" s="4"/>
      <c r="I237" s="4"/>
      <c r="J237" s="4"/>
      <c r="K237" s="4"/>
      <c r="L237" s="4"/>
      <c r="M237" s="4"/>
      <c r="N237" s="4"/>
      <c r="O237" s="4"/>
      <c r="P237" s="4"/>
      <c r="Q237" s="4"/>
      <c r="R237" s="53"/>
      <c r="S237" s="4"/>
      <c r="T237" s="4"/>
      <c r="U237" s="4"/>
      <c r="V237" s="4"/>
      <c r="W237" s="4"/>
    </row>
    <row r="238" spans="1:23" ht="15.75" customHeight="1">
      <c r="A238" s="4"/>
      <c r="B238" s="4"/>
      <c r="C238" s="4"/>
      <c r="D238" s="4"/>
      <c r="E238" s="4"/>
      <c r="F238" s="4"/>
      <c r="G238" s="4"/>
      <c r="H238" s="4"/>
      <c r="I238" s="4"/>
      <c r="J238" s="4"/>
      <c r="K238" s="4"/>
      <c r="L238" s="4"/>
      <c r="M238" s="4"/>
      <c r="N238" s="4"/>
      <c r="O238" s="4"/>
      <c r="P238" s="4"/>
      <c r="Q238" s="4"/>
      <c r="R238" s="53"/>
      <c r="S238" s="4"/>
      <c r="T238" s="4"/>
      <c r="U238" s="4"/>
      <c r="V238" s="4"/>
      <c r="W238" s="4"/>
    </row>
    <row r="239" spans="1:23" ht="15.75" customHeight="1">
      <c r="A239" s="4"/>
      <c r="B239" s="4"/>
      <c r="C239" s="4"/>
      <c r="D239" s="4"/>
      <c r="E239" s="4"/>
      <c r="F239" s="4"/>
      <c r="G239" s="4"/>
      <c r="H239" s="4"/>
      <c r="I239" s="4"/>
      <c r="J239" s="4"/>
      <c r="K239" s="4"/>
      <c r="L239" s="4"/>
      <c r="M239" s="4"/>
      <c r="N239" s="4"/>
      <c r="O239" s="4"/>
      <c r="P239" s="4"/>
      <c r="Q239" s="4"/>
      <c r="R239" s="53"/>
      <c r="S239" s="4"/>
      <c r="T239" s="4"/>
      <c r="U239" s="4"/>
      <c r="V239" s="4"/>
      <c r="W239" s="4"/>
    </row>
    <row r="240" spans="1:23" ht="15.75" customHeight="1">
      <c r="A240" s="4"/>
      <c r="B240" s="4"/>
      <c r="C240" s="4"/>
      <c r="D240" s="4"/>
      <c r="E240" s="4"/>
      <c r="F240" s="4"/>
      <c r="G240" s="4"/>
      <c r="H240" s="4"/>
      <c r="I240" s="4"/>
      <c r="J240" s="4"/>
      <c r="K240" s="4"/>
      <c r="L240" s="4"/>
      <c r="M240" s="4"/>
      <c r="N240" s="4"/>
      <c r="O240" s="4"/>
      <c r="P240" s="4"/>
      <c r="Q240" s="4"/>
      <c r="R240" s="53"/>
      <c r="S240" s="4"/>
      <c r="T240" s="4"/>
      <c r="U240" s="4"/>
      <c r="V240" s="4"/>
      <c r="W240" s="4"/>
    </row>
    <row r="241" spans="1:23" ht="15.75" customHeight="1">
      <c r="A241" s="4"/>
      <c r="B241" s="4"/>
      <c r="C241" s="4"/>
      <c r="D241" s="4"/>
      <c r="E241" s="4"/>
      <c r="F241" s="4"/>
      <c r="G241" s="4"/>
      <c r="H241" s="4"/>
      <c r="I241" s="4"/>
      <c r="J241" s="4"/>
      <c r="K241" s="4"/>
      <c r="L241" s="4"/>
      <c r="M241" s="4"/>
      <c r="N241" s="4"/>
      <c r="O241" s="4"/>
      <c r="P241" s="4"/>
      <c r="Q241" s="4"/>
      <c r="R241" s="53"/>
      <c r="S241" s="4"/>
      <c r="T241" s="4"/>
      <c r="U241" s="4"/>
      <c r="V241" s="4"/>
      <c r="W241" s="4"/>
    </row>
    <row r="242" spans="1:23" ht="15.75" customHeight="1">
      <c r="A242" s="4"/>
      <c r="B242" s="4"/>
      <c r="C242" s="4"/>
      <c r="D242" s="4"/>
      <c r="E242" s="4"/>
      <c r="F242" s="4"/>
      <c r="G242" s="4"/>
      <c r="H242" s="4"/>
      <c r="I242" s="4"/>
      <c r="J242" s="4"/>
      <c r="K242" s="4"/>
      <c r="L242" s="4"/>
      <c r="M242" s="4"/>
      <c r="N242" s="4"/>
      <c r="O242" s="4"/>
      <c r="P242" s="4"/>
      <c r="Q242" s="4"/>
      <c r="R242" s="53"/>
      <c r="S242" s="4"/>
      <c r="T242" s="4"/>
      <c r="U242" s="4"/>
      <c r="V242" s="4"/>
      <c r="W242" s="4"/>
    </row>
    <row r="243" spans="1:23" ht="15.75" customHeight="1">
      <c r="A243" s="4"/>
      <c r="B243" s="4"/>
      <c r="C243" s="4"/>
      <c r="D243" s="4"/>
      <c r="E243" s="4"/>
      <c r="F243" s="4"/>
      <c r="G243" s="4"/>
      <c r="H243" s="4"/>
      <c r="I243" s="4"/>
      <c r="J243" s="4"/>
      <c r="K243" s="4"/>
      <c r="L243" s="4"/>
      <c r="M243" s="4"/>
      <c r="N243" s="4"/>
      <c r="O243" s="4"/>
      <c r="P243" s="4"/>
      <c r="Q243" s="4"/>
      <c r="R243" s="53"/>
      <c r="S243" s="4"/>
      <c r="T243" s="4"/>
      <c r="U243" s="4"/>
      <c r="V243" s="4"/>
      <c r="W243" s="4"/>
    </row>
    <row r="244" spans="1:23" ht="15.75" customHeight="1">
      <c r="A244" s="4"/>
      <c r="B244" s="4"/>
      <c r="C244" s="4"/>
      <c r="D244" s="4"/>
      <c r="E244" s="4"/>
      <c r="F244" s="4"/>
      <c r="G244" s="4"/>
      <c r="H244" s="4"/>
      <c r="I244" s="4"/>
      <c r="J244" s="4"/>
      <c r="K244" s="4"/>
      <c r="L244" s="4"/>
      <c r="M244" s="4"/>
      <c r="N244" s="4"/>
      <c r="O244" s="4"/>
      <c r="P244" s="4"/>
      <c r="Q244" s="4"/>
      <c r="R244" s="53"/>
      <c r="S244" s="4"/>
      <c r="T244" s="4"/>
      <c r="U244" s="4"/>
      <c r="V244" s="4"/>
      <c r="W244" s="4"/>
    </row>
    <row r="245" spans="1:23" ht="15.75" customHeight="1">
      <c r="A245" s="4"/>
      <c r="B245" s="4"/>
      <c r="C245" s="4"/>
      <c r="D245" s="4"/>
      <c r="E245" s="4"/>
      <c r="F245" s="4"/>
      <c r="G245" s="4"/>
      <c r="H245" s="4"/>
      <c r="I245" s="4"/>
      <c r="J245" s="4"/>
      <c r="K245" s="4"/>
      <c r="L245" s="4"/>
      <c r="M245" s="4"/>
      <c r="N245" s="4"/>
      <c r="O245" s="4"/>
      <c r="P245" s="4"/>
      <c r="Q245" s="4"/>
      <c r="R245" s="53"/>
      <c r="S245" s="4"/>
      <c r="T245" s="4"/>
      <c r="U245" s="4"/>
      <c r="V245" s="4"/>
      <c r="W245" s="4"/>
    </row>
    <row r="246" spans="1:23" ht="15.75" customHeight="1">
      <c r="A246" s="4"/>
      <c r="B246" s="4"/>
      <c r="C246" s="4"/>
      <c r="D246" s="4"/>
      <c r="E246" s="4"/>
      <c r="F246" s="4"/>
      <c r="G246" s="4"/>
      <c r="H246" s="4"/>
      <c r="I246" s="4"/>
      <c r="J246" s="4"/>
      <c r="K246" s="4"/>
      <c r="L246" s="4"/>
      <c r="M246" s="4"/>
      <c r="N246" s="4"/>
      <c r="O246" s="4"/>
      <c r="P246" s="4"/>
      <c r="Q246" s="4"/>
      <c r="R246" s="53"/>
      <c r="S246" s="4"/>
      <c r="T246" s="4"/>
      <c r="U246" s="4"/>
      <c r="V246" s="4"/>
      <c r="W246" s="4"/>
    </row>
    <row r="247" spans="1:23" ht="15.75" customHeight="1">
      <c r="A247" s="4"/>
      <c r="B247" s="4"/>
      <c r="C247" s="4"/>
      <c r="D247" s="4"/>
      <c r="E247" s="4"/>
      <c r="F247" s="4"/>
      <c r="G247" s="4"/>
      <c r="H247" s="4"/>
      <c r="I247" s="4"/>
      <c r="J247" s="4"/>
      <c r="K247" s="4"/>
      <c r="L247" s="4"/>
      <c r="M247" s="4"/>
      <c r="N247" s="4"/>
      <c r="O247" s="4"/>
      <c r="P247" s="4"/>
      <c r="Q247" s="4"/>
      <c r="R247" s="53"/>
      <c r="S247" s="4"/>
      <c r="T247" s="4"/>
      <c r="U247" s="4"/>
      <c r="V247" s="4"/>
      <c r="W247" s="4"/>
    </row>
    <row r="248" spans="1:23" ht="15.75" customHeight="1">
      <c r="A248" s="4"/>
      <c r="B248" s="4"/>
      <c r="C248" s="4"/>
      <c r="D248" s="4"/>
      <c r="E248" s="4"/>
      <c r="F248" s="4"/>
      <c r="G248" s="4"/>
      <c r="H248" s="4"/>
      <c r="I248" s="4"/>
      <c r="J248" s="4"/>
      <c r="K248" s="4"/>
      <c r="L248" s="4"/>
      <c r="M248" s="4"/>
      <c r="N248" s="4"/>
      <c r="O248" s="4"/>
      <c r="P248" s="4"/>
      <c r="Q248" s="4"/>
      <c r="R248" s="53"/>
      <c r="S248" s="4"/>
      <c r="T248" s="4"/>
      <c r="U248" s="4"/>
      <c r="V248" s="4"/>
      <c r="W248" s="4"/>
    </row>
    <row r="249" spans="1:23" ht="15.75" customHeight="1">
      <c r="A249" s="4"/>
      <c r="B249" s="4"/>
      <c r="C249" s="4"/>
      <c r="D249" s="4"/>
      <c r="E249" s="4"/>
      <c r="F249" s="4"/>
      <c r="G249" s="4"/>
      <c r="H249" s="4"/>
      <c r="I249" s="4"/>
      <c r="J249" s="4"/>
      <c r="K249" s="4"/>
      <c r="L249" s="4"/>
      <c r="M249" s="4"/>
      <c r="N249" s="4"/>
      <c r="O249" s="4"/>
      <c r="P249" s="4"/>
      <c r="Q249" s="4"/>
      <c r="R249" s="53"/>
      <c r="S249" s="4"/>
      <c r="T249" s="4"/>
      <c r="U249" s="4"/>
      <c r="V249" s="4"/>
      <c r="W249" s="4"/>
    </row>
    <row r="250" spans="1:23" ht="15.75" customHeight="1">
      <c r="A250" s="4"/>
      <c r="B250" s="4"/>
      <c r="C250" s="4"/>
      <c r="D250" s="4"/>
      <c r="E250" s="4"/>
      <c r="F250" s="4"/>
      <c r="G250" s="4"/>
      <c r="H250" s="4"/>
      <c r="I250" s="4"/>
      <c r="J250" s="4"/>
      <c r="K250" s="4"/>
      <c r="L250" s="4"/>
      <c r="M250" s="4"/>
      <c r="N250" s="4"/>
      <c r="O250" s="4"/>
      <c r="P250" s="4"/>
      <c r="Q250" s="4"/>
      <c r="R250" s="53"/>
      <c r="S250" s="4"/>
      <c r="T250" s="4"/>
      <c r="U250" s="4"/>
      <c r="V250" s="4"/>
      <c r="W250" s="4"/>
    </row>
    <row r="251" spans="1:23" ht="15.75" customHeight="1">
      <c r="A251" s="4"/>
      <c r="B251" s="4"/>
      <c r="C251" s="4"/>
      <c r="D251" s="4"/>
      <c r="E251" s="4"/>
      <c r="F251" s="4"/>
      <c r="G251" s="4"/>
      <c r="H251" s="4"/>
      <c r="I251" s="4"/>
      <c r="J251" s="4"/>
      <c r="K251" s="4"/>
      <c r="L251" s="4"/>
      <c r="M251" s="4"/>
      <c r="N251" s="4"/>
      <c r="O251" s="4"/>
      <c r="P251" s="4"/>
      <c r="Q251" s="4"/>
      <c r="R251" s="53"/>
      <c r="S251" s="4"/>
      <c r="T251" s="4"/>
      <c r="U251" s="4"/>
      <c r="V251" s="4"/>
      <c r="W251" s="4"/>
    </row>
    <row r="252" spans="1:23" ht="15.75" customHeight="1">
      <c r="A252" s="4"/>
      <c r="B252" s="4"/>
      <c r="C252" s="4"/>
      <c r="D252" s="4"/>
      <c r="E252" s="4"/>
      <c r="F252" s="4"/>
      <c r="G252" s="4"/>
      <c r="H252" s="4"/>
      <c r="I252" s="4"/>
      <c r="J252" s="4"/>
      <c r="K252" s="4"/>
      <c r="L252" s="4"/>
      <c r="M252" s="4"/>
      <c r="N252" s="4"/>
      <c r="O252" s="4"/>
      <c r="P252" s="4"/>
      <c r="Q252" s="4"/>
      <c r="R252" s="53"/>
      <c r="S252" s="4"/>
      <c r="T252" s="4"/>
      <c r="U252" s="4"/>
      <c r="V252" s="4"/>
      <c r="W252" s="4"/>
    </row>
    <row r="253" spans="1:23" ht="15.75" customHeight="1">
      <c r="A253" s="4"/>
      <c r="B253" s="4"/>
      <c r="C253" s="4"/>
      <c r="D253" s="4"/>
      <c r="E253" s="4"/>
      <c r="F253" s="4"/>
      <c r="G253" s="4"/>
      <c r="H253" s="4"/>
      <c r="I253" s="4"/>
      <c r="J253" s="4"/>
      <c r="K253" s="4"/>
      <c r="L253" s="4"/>
      <c r="M253" s="4"/>
      <c r="N253" s="4"/>
      <c r="O253" s="4"/>
      <c r="P253" s="4"/>
      <c r="Q253" s="4"/>
      <c r="R253" s="53"/>
      <c r="S253" s="4"/>
      <c r="T253" s="4"/>
      <c r="U253" s="4"/>
      <c r="V253" s="4"/>
      <c r="W253" s="4"/>
    </row>
    <row r="254" spans="1:23" ht="15.75" customHeight="1">
      <c r="A254" s="4"/>
      <c r="B254" s="4"/>
      <c r="C254" s="4"/>
      <c r="D254" s="4"/>
      <c r="E254" s="4"/>
      <c r="F254" s="4"/>
      <c r="G254" s="4"/>
      <c r="H254" s="4"/>
      <c r="I254" s="4"/>
      <c r="J254" s="4"/>
      <c r="K254" s="4"/>
      <c r="L254" s="4"/>
      <c r="M254" s="4"/>
      <c r="N254" s="4"/>
      <c r="O254" s="4"/>
      <c r="P254" s="4"/>
      <c r="Q254" s="4"/>
      <c r="R254" s="53"/>
      <c r="S254" s="4"/>
      <c r="T254" s="4"/>
      <c r="U254" s="4"/>
      <c r="V254" s="4"/>
      <c r="W254" s="4"/>
    </row>
    <row r="255" spans="1:23" ht="15.75" customHeight="1">
      <c r="A255" s="4"/>
      <c r="B255" s="4"/>
      <c r="C255" s="4"/>
      <c r="D255" s="4"/>
      <c r="E255" s="4"/>
      <c r="F255" s="4"/>
      <c r="G255" s="4"/>
      <c r="H255" s="4"/>
      <c r="I255" s="4"/>
      <c r="J255" s="4"/>
      <c r="K255" s="4"/>
      <c r="L255" s="4"/>
      <c r="M255" s="4"/>
      <c r="N255" s="4"/>
      <c r="O255" s="4"/>
      <c r="P255" s="4"/>
      <c r="Q255" s="4"/>
      <c r="R255" s="53"/>
      <c r="S255" s="4"/>
      <c r="T255" s="4"/>
      <c r="U255" s="4"/>
      <c r="V255" s="4"/>
      <c r="W255" s="4"/>
    </row>
    <row r="256" spans="1:23" ht="15.75" customHeight="1">
      <c r="A256" s="4"/>
      <c r="B256" s="4"/>
      <c r="C256" s="4"/>
      <c r="D256" s="4"/>
      <c r="E256" s="4"/>
      <c r="F256" s="4"/>
      <c r="G256" s="4"/>
      <c r="H256" s="4"/>
      <c r="I256" s="4"/>
      <c r="J256" s="4"/>
      <c r="K256" s="4"/>
      <c r="L256" s="4"/>
      <c r="M256" s="4"/>
      <c r="N256" s="4"/>
      <c r="O256" s="4"/>
      <c r="P256" s="4"/>
      <c r="Q256" s="4"/>
      <c r="R256" s="53"/>
      <c r="S256" s="4"/>
      <c r="T256" s="4"/>
      <c r="U256" s="4"/>
      <c r="V256" s="4"/>
      <c r="W256" s="4"/>
    </row>
    <row r="257" spans="1:23" ht="15.75" customHeight="1">
      <c r="A257" s="4"/>
      <c r="B257" s="4"/>
      <c r="C257" s="4"/>
      <c r="D257" s="4"/>
      <c r="E257" s="4"/>
      <c r="F257" s="4"/>
      <c r="G257" s="4"/>
      <c r="H257" s="4"/>
      <c r="I257" s="4"/>
      <c r="J257" s="4"/>
      <c r="K257" s="4"/>
      <c r="L257" s="4"/>
      <c r="M257" s="4"/>
      <c r="N257" s="4"/>
      <c r="O257" s="4"/>
      <c r="P257" s="4"/>
      <c r="Q257" s="4"/>
      <c r="R257" s="53"/>
      <c r="S257" s="4"/>
      <c r="T257" s="4"/>
      <c r="U257" s="4"/>
      <c r="V257" s="4"/>
      <c r="W257" s="4"/>
    </row>
    <row r="258" spans="1:23" ht="15.75" customHeight="1">
      <c r="A258" s="4"/>
      <c r="B258" s="4"/>
      <c r="C258" s="4"/>
      <c r="D258" s="4"/>
      <c r="E258" s="4"/>
      <c r="F258" s="4"/>
      <c r="G258" s="4"/>
      <c r="H258" s="4"/>
      <c r="I258" s="4"/>
      <c r="J258" s="4"/>
      <c r="K258" s="4"/>
      <c r="L258" s="4"/>
      <c r="M258" s="4"/>
      <c r="N258" s="4"/>
      <c r="O258" s="4"/>
      <c r="P258" s="4"/>
      <c r="Q258" s="4"/>
      <c r="R258" s="53"/>
      <c r="S258" s="4"/>
      <c r="T258" s="4"/>
      <c r="U258" s="4"/>
      <c r="V258" s="4"/>
      <c r="W258" s="4"/>
    </row>
    <row r="259" spans="1:23" ht="15.75" customHeight="1">
      <c r="A259" s="4"/>
      <c r="B259" s="4"/>
      <c r="C259" s="4"/>
      <c r="D259" s="4"/>
      <c r="E259" s="4"/>
      <c r="F259" s="4"/>
      <c r="G259" s="4"/>
      <c r="H259" s="4"/>
      <c r="I259" s="4"/>
      <c r="J259" s="4"/>
      <c r="K259" s="4"/>
      <c r="L259" s="4"/>
      <c r="M259" s="4"/>
      <c r="N259" s="4"/>
      <c r="O259" s="4"/>
      <c r="P259" s="4"/>
      <c r="Q259" s="4"/>
      <c r="R259" s="53"/>
      <c r="S259" s="4"/>
      <c r="T259" s="4"/>
      <c r="U259" s="4"/>
      <c r="V259" s="4"/>
      <c r="W259" s="4"/>
    </row>
    <row r="260" spans="1:23" ht="15.75" customHeight="1">
      <c r="A260" s="4"/>
      <c r="B260" s="4"/>
      <c r="C260" s="4"/>
      <c r="D260" s="4"/>
      <c r="E260" s="4"/>
      <c r="F260" s="4"/>
      <c r="G260" s="4"/>
      <c r="H260" s="4"/>
      <c r="I260" s="4"/>
      <c r="J260" s="4"/>
      <c r="K260" s="4"/>
      <c r="L260" s="4"/>
      <c r="M260" s="4"/>
      <c r="N260" s="4"/>
      <c r="O260" s="4"/>
      <c r="P260" s="4"/>
      <c r="Q260" s="4"/>
      <c r="R260" s="53"/>
      <c r="S260" s="4"/>
      <c r="T260" s="4"/>
      <c r="U260" s="4"/>
      <c r="V260" s="4"/>
      <c r="W260" s="4"/>
    </row>
    <row r="261" spans="1:23" ht="15.75" customHeight="1">
      <c r="A261" s="4"/>
      <c r="B261" s="4"/>
      <c r="C261" s="4"/>
      <c r="D261" s="4"/>
      <c r="E261" s="4"/>
      <c r="F261" s="4"/>
      <c r="G261" s="4"/>
      <c r="H261" s="4"/>
      <c r="I261" s="4"/>
      <c r="J261" s="4"/>
      <c r="K261" s="4"/>
      <c r="L261" s="4"/>
      <c r="M261" s="4"/>
      <c r="N261" s="4"/>
      <c r="O261" s="4"/>
      <c r="P261" s="4"/>
      <c r="Q261" s="4"/>
      <c r="R261" s="53"/>
      <c r="S261" s="4"/>
      <c r="T261" s="4"/>
      <c r="U261" s="4"/>
      <c r="V261" s="4"/>
      <c r="W261" s="4"/>
    </row>
    <row r="262" spans="1:23" ht="15.75" customHeight="1">
      <c r="A262" s="4"/>
      <c r="B262" s="4"/>
      <c r="C262" s="4"/>
      <c r="D262" s="4"/>
      <c r="E262" s="4"/>
      <c r="F262" s="4"/>
      <c r="G262" s="4"/>
      <c r="H262" s="4"/>
      <c r="I262" s="4"/>
      <c r="J262" s="4"/>
      <c r="K262" s="4"/>
      <c r="L262" s="4"/>
      <c r="M262" s="4"/>
      <c r="N262" s="4"/>
      <c r="O262" s="4"/>
      <c r="P262" s="4"/>
      <c r="Q262" s="4"/>
      <c r="R262" s="53"/>
      <c r="S262" s="4"/>
      <c r="T262" s="4"/>
      <c r="U262" s="4"/>
      <c r="V262" s="4"/>
      <c r="W262" s="4"/>
    </row>
    <row r="263" spans="1:23" ht="15.75" customHeight="1">
      <c r="A263" s="4"/>
      <c r="B263" s="4"/>
      <c r="C263" s="4"/>
      <c r="D263" s="4"/>
      <c r="E263" s="4"/>
      <c r="F263" s="4"/>
      <c r="G263" s="4"/>
      <c r="H263" s="4"/>
      <c r="I263" s="4"/>
      <c r="J263" s="4"/>
      <c r="K263" s="4"/>
      <c r="L263" s="4"/>
      <c r="M263" s="4"/>
      <c r="N263" s="4"/>
      <c r="O263" s="4"/>
      <c r="P263" s="4"/>
      <c r="Q263" s="4"/>
      <c r="R263" s="53"/>
      <c r="S263" s="4"/>
      <c r="T263" s="4"/>
      <c r="U263" s="4"/>
      <c r="V263" s="4"/>
      <c r="W263" s="4"/>
    </row>
    <row r="264" spans="1:23" ht="15.75" customHeight="1">
      <c r="A264" s="4"/>
      <c r="B264" s="4"/>
      <c r="C264" s="4"/>
      <c r="D264" s="4"/>
      <c r="E264" s="4"/>
      <c r="F264" s="4"/>
      <c r="G264" s="4"/>
      <c r="H264" s="4"/>
      <c r="I264" s="4"/>
      <c r="J264" s="4"/>
      <c r="K264" s="4"/>
      <c r="L264" s="4"/>
      <c r="M264" s="4"/>
      <c r="N264" s="4"/>
      <c r="O264" s="4"/>
      <c r="P264" s="4"/>
      <c r="Q264" s="4"/>
      <c r="R264" s="53"/>
      <c r="S264" s="4"/>
      <c r="T264" s="4"/>
      <c r="U264" s="4"/>
      <c r="V264" s="4"/>
      <c r="W264" s="4"/>
    </row>
    <row r="265" spans="1:23" ht="15.75" customHeight="1">
      <c r="A265" s="4"/>
      <c r="B265" s="4"/>
      <c r="C265" s="4"/>
      <c r="D265" s="4"/>
      <c r="E265" s="4"/>
      <c r="F265" s="4"/>
      <c r="G265" s="4"/>
      <c r="H265" s="4"/>
      <c r="I265" s="4"/>
      <c r="J265" s="4"/>
      <c r="K265" s="4"/>
      <c r="L265" s="4"/>
      <c r="M265" s="4"/>
      <c r="N265" s="4"/>
      <c r="O265" s="4"/>
      <c r="P265" s="4"/>
      <c r="Q265" s="4"/>
      <c r="R265" s="53"/>
      <c r="S265" s="4"/>
      <c r="T265" s="4"/>
      <c r="U265" s="4"/>
      <c r="V265" s="4"/>
      <c r="W265" s="4"/>
    </row>
    <row r="266" spans="1:23" ht="15.75" customHeight="1">
      <c r="A266" s="4"/>
      <c r="B266" s="4"/>
      <c r="C266" s="4"/>
      <c r="D266" s="4"/>
      <c r="E266" s="4"/>
      <c r="F266" s="4"/>
      <c r="G266" s="4"/>
      <c r="H266" s="4"/>
      <c r="I266" s="4"/>
      <c r="J266" s="4"/>
      <c r="K266" s="4"/>
      <c r="L266" s="4"/>
      <c r="M266" s="4"/>
      <c r="N266" s="4"/>
      <c r="O266" s="4"/>
      <c r="P266" s="4"/>
      <c r="Q266" s="4"/>
      <c r="R266" s="53"/>
      <c r="S266" s="4"/>
      <c r="T266" s="4"/>
      <c r="U266" s="4"/>
      <c r="V266" s="4"/>
      <c r="W266" s="4"/>
    </row>
    <row r="267" spans="1:23" ht="15.75" customHeight="1">
      <c r="A267" s="4"/>
      <c r="B267" s="4"/>
      <c r="C267" s="4"/>
      <c r="D267" s="4"/>
      <c r="E267" s="4"/>
      <c r="F267" s="4"/>
      <c r="G267" s="4"/>
      <c r="H267" s="4"/>
      <c r="I267" s="4"/>
      <c r="J267" s="4"/>
      <c r="K267" s="4"/>
      <c r="L267" s="4"/>
      <c r="M267" s="4"/>
      <c r="N267" s="4"/>
      <c r="O267" s="4"/>
      <c r="P267" s="4"/>
      <c r="Q267" s="4"/>
      <c r="R267" s="53"/>
      <c r="S267" s="4"/>
      <c r="T267" s="4"/>
      <c r="U267" s="4"/>
      <c r="V267" s="4"/>
      <c r="W267" s="4"/>
    </row>
    <row r="268" spans="1:23" ht="15.75" customHeight="1">
      <c r="A268" s="4"/>
      <c r="B268" s="4"/>
      <c r="C268" s="4"/>
      <c r="D268" s="4"/>
      <c r="E268" s="4"/>
      <c r="F268" s="4"/>
      <c r="G268" s="4"/>
      <c r="H268" s="4"/>
      <c r="I268" s="4"/>
      <c r="J268" s="4"/>
      <c r="K268" s="4"/>
      <c r="L268" s="4"/>
      <c r="M268" s="4"/>
      <c r="N268" s="4"/>
      <c r="O268" s="4"/>
      <c r="P268" s="4"/>
      <c r="Q268" s="4"/>
      <c r="R268" s="53"/>
      <c r="S268" s="4"/>
      <c r="T268" s="4"/>
      <c r="U268" s="4"/>
      <c r="V268" s="4"/>
      <c r="W268" s="4"/>
    </row>
    <row r="269" spans="1:23" ht="15.75" customHeight="1">
      <c r="A269" s="4"/>
      <c r="B269" s="4"/>
      <c r="C269" s="4"/>
      <c r="D269" s="4"/>
      <c r="E269" s="4"/>
      <c r="F269" s="4"/>
      <c r="G269" s="4"/>
      <c r="H269" s="4"/>
      <c r="I269" s="4"/>
      <c r="J269" s="4"/>
      <c r="K269" s="4"/>
      <c r="L269" s="4"/>
      <c r="M269" s="4"/>
      <c r="N269" s="4"/>
      <c r="O269" s="4"/>
      <c r="P269" s="4"/>
      <c r="Q269" s="4"/>
      <c r="R269" s="53"/>
      <c r="S269" s="4"/>
      <c r="T269" s="4"/>
      <c r="U269" s="4"/>
      <c r="V269" s="4"/>
      <c r="W269" s="4"/>
    </row>
    <row r="270" spans="1:23" ht="15.75" customHeight="1">
      <c r="A270" s="4"/>
      <c r="B270" s="4"/>
      <c r="C270" s="4"/>
      <c r="D270" s="4"/>
      <c r="E270" s="4"/>
      <c r="F270" s="4"/>
      <c r="G270" s="4"/>
      <c r="H270" s="4"/>
      <c r="I270" s="4"/>
      <c r="J270" s="4"/>
      <c r="K270" s="4"/>
      <c r="L270" s="4"/>
      <c r="M270" s="4"/>
      <c r="N270" s="4"/>
      <c r="O270" s="4"/>
      <c r="P270" s="4"/>
      <c r="Q270" s="4"/>
      <c r="R270" s="53"/>
      <c r="S270" s="4"/>
      <c r="T270" s="4"/>
      <c r="U270" s="4"/>
      <c r="V270" s="4"/>
      <c r="W270" s="4"/>
    </row>
    <row r="271" spans="1:23" ht="15.75" customHeight="1">
      <c r="A271" s="4"/>
      <c r="B271" s="4"/>
      <c r="C271" s="4"/>
      <c r="D271" s="4"/>
      <c r="E271" s="4"/>
      <c r="F271" s="4"/>
      <c r="G271" s="4"/>
      <c r="H271" s="4"/>
      <c r="I271" s="4"/>
      <c r="J271" s="4"/>
      <c r="K271" s="4"/>
      <c r="L271" s="4"/>
      <c r="M271" s="4"/>
      <c r="N271" s="4"/>
      <c r="O271" s="4"/>
      <c r="P271" s="4"/>
      <c r="Q271" s="4"/>
      <c r="R271" s="53"/>
      <c r="S271" s="4"/>
      <c r="T271" s="4"/>
      <c r="U271" s="4"/>
      <c r="V271" s="4"/>
      <c r="W271" s="4"/>
    </row>
    <row r="272" spans="1:23" ht="15.75" customHeight="1">
      <c r="A272" s="4"/>
      <c r="B272" s="4"/>
      <c r="C272" s="4"/>
      <c r="D272" s="4"/>
      <c r="E272" s="4"/>
      <c r="F272" s="4"/>
      <c r="G272" s="4"/>
      <c r="H272" s="4"/>
      <c r="I272" s="4"/>
      <c r="J272" s="4"/>
      <c r="K272" s="4"/>
      <c r="L272" s="4"/>
      <c r="M272" s="4"/>
      <c r="N272" s="4"/>
      <c r="O272" s="4"/>
      <c r="P272" s="4"/>
      <c r="Q272" s="4"/>
      <c r="R272" s="53"/>
      <c r="S272" s="4"/>
      <c r="T272" s="4"/>
      <c r="U272" s="4"/>
      <c r="V272" s="4"/>
      <c r="W272" s="4"/>
    </row>
    <row r="273" spans="1:23" ht="15.75" customHeight="1">
      <c r="A273" s="4"/>
      <c r="B273" s="4"/>
      <c r="C273" s="4"/>
      <c r="D273" s="4"/>
      <c r="E273" s="4"/>
      <c r="F273" s="4"/>
      <c r="G273" s="4"/>
      <c r="H273" s="4"/>
      <c r="I273" s="4"/>
      <c r="J273" s="4"/>
      <c r="K273" s="4"/>
      <c r="L273" s="4"/>
      <c r="M273" s="4"/>
      <c r="N273" s="4"/>
      <c r="O273" s="4"/>
      <c r="P273" s="4"/>
      <c r="Q273" s="4"/>
      <c r="R273" s="53"/>
      <c r="S273" s="4"/>
      <c r="T273" s="4"/>
      <c r="U273" s="4"/>
      <c r="V273" s="4"/>
      <c r="W273" s="4"/>
    </row>
    <row r="274" spans="1:23" ht="15.75" customHeight="1">
      <c r="A274" s="4"/>
      <c r="B274" s="4"/>
      <c r="C274" s="4"/>
      <c r="D274" s="4"/>
      <c r="E274" s="4"/>
      <c r="F274" s="4"/>
      <c r="G274" s="4"/>
      <c r="H274" s="4"/>
      <c r="I274" s="4"/>
      <c r="J274" s="4"/>
      <c r="K274" s="4"/>
      <c r="L274" s="4"/>
      <c r="M274" s="4"/>
      <c r="N274" s="4"/>
      <c r="O274" s="4"/>
      <c r="P274" s="4"/>
      <c r="Q274" s="4"/>
      <c r="R274" s="53"/>
      <c r="S274" s="4"/>
      <c r="T274" s="4"/>
      <c r="U274" s="4"/>
      <c r="V274" s="4"/>
      <c r="W274" s="4"/>
    </row>
    <row r="275" spans="1:23" ht="15.75" customHeight="1">
      <c r="A275" s="4"/>
      <c r="B275" s="4"/>
      <c r="C275" s="4"/>
      <c r="D275" s="4"/>
      <c r="E275" s="4"/>
      <c r="F275" s="4"/>
      <c r="G275" s="4"/>
      <c r="H275" s="4"/>
      <c r="I275" s="4"/>
      <c r="J275" s="4"/>
      <c r="K275" s="4"/>
      <c r="L275" s="4"/>
      <c r="M275" s="4"/>
      <c r="N275" s="4"/>
      <c r="O275" s="4"/>
      <c r="P275" s="4"/>
      <c r="Q275" s="4"/>
      <c r="R275" s="53"/>
      <c r="S275" s="4"/>
      <c r="T275" s="4"/>
      <c r="U275" s="4"/>
      <c r="V275" s="4"/>
      <c r="W275" s="4"/>
    </row>
    <row r="276" spans="1:23" ht="15.75" customHeight="1">
      <c r="A276" s="4"/>
      <c r="B276" s="4"/>
      <c r="C276" s="4"/>
      <c r="D276" s="4"/>
      <c r="E276" s="4"/>
      <c r="F276" s="4"/>
      <c r="G276" s="4"/>
      <c r="H276" s="4"/>
      <c r="I276" s="4"/>
      <c r="J276" s="4"/>
      <c r="K276" s="4"/>
      <c r="L276" s="4"/>
      <c r="M276" s="4"/>
      <c r="N276" s="4"/>
      <c r="O276" s="4"/>
      <c r="P276" s="4"/>
      <c r="Q276" s="4"/>
      <c r="R276" s="53"/>
      <c r="S276" s="4"/>
      <c r="T276" s="4"/>
      <c r="U276" s="4"/>
      <c r="V276" s="4"/>
      <c r="W276" s="4"/>
    </row>
    <row r="277" spans="1:23" ht="15.75" customHeight="1">
      <c r="A277" s="4"/>
      <c r="B277" s="4"/>
      <c r="C277" s="4"/>
      <c r="D277" s="4"/>
      <c r="E277" s="4"/>
      <c r="F277" s="4"/>
      <c r="G277" s="4"/>
      <c r="H277" s="4"/>
      <c r="I277" s="4"/>
      <c r="J277" s="4"/>
      <c r="K277" s="4"/>
      <c r="L277" s="4"/>
      <c r="M277" s="4"/>
      <c r="N277" s="4"/>
      <c r="O277" s="4"/>
      <c r="P277" s="4"/>
      <c r="Q277" s="4"/>
      <c r="R277" s="53"/>
      <c r="S277" s="4"/>
      <c r="T277" s="4"/>
      <c r="U277" s="4"/>
      <c r="V277" s="4"/>
      <c r="W277" s="4"/>
    </row>
    <row r="278" spans="1:23" ht="15.75" customHeight="1">
      <c r="A278" s="4"/>
      <c r="B278" s="4"/>
      <c r="C278" s="4"/>
      <c r="D278" s="4"/>
      <c r="E278" s="4"/>
      <c r="F278" s="4"/>
      <c r="G278" s="4"/>
      <c r="H278" s="4"/>
      <c r="I278" s="4"/>
      <c r="J278" s="4"/>
      <c r="K278" s="4"/>
      <c r="L278" s="4"/>
      <c r="M278" s="4"/>
      <c r="N278" s="4"/>
      <c r="O278" s="4"/>
      <c r="P278" s="4"/>
      <c r="Q278" s="4"/>
      <c r="R278" s="53"/>
      <c r="S278" s="4"/>
      <c r="T278" s="4"/>
      <c r="U278" s="4"/>
      <c r="V278" s="4"/>
      <c r="W278" s="4"/>
    </row>
    <row r="279" spans="1:23" ht="15.75" customHeight="1">
      <c r="A279" s="4"/>
      <c r="B279" s="4"/>
      <c r="C279" s="4"/>
      <c r="D279" s="4"/>
      <c r="E279" s="4"/>
      <c r="F279" s="4"/>
      <c r="G279" s="4"/>
      <c r="H279" s="4"/>
      <c r="I279" s="4"/>
      <c r="J279" s="4"/>
      <c r="K279" s="4"/>
      <c r="L279" s="4"/>
      <c r="M279" s="4"/>
      <c r="N279" s="4"/>
      <c r="O279" s="4"/>
      <c r="P279" s="4"/>
      <c r="Q279" s="4"/>
      <c r="R279" s="53"/>
      <c r="S279" s="4"/>
      <c r="T279" s="4"/>
      <c r="U279" s="4"/>
      <c r="V279" s="4"/>
      <c r="W279" s="4"/>
    </row>
    <row r="280" spans="1:23" ht="15.75" customHeight="1">
      <c r="A280" s="4"/>
      <c r="B280" s="4"/>
      <c r="C280" s="4"/>
      <c r="D280" s="4"/>
      <c r="E280" s="4"/>
      <c r="F280" s="4"/>
      <c r="G280" s="4"/>
      <c r="H280" s="4"/>
      <c r="I280" s="4"/>
      <c r="J280" s="4"/>
      <c r="K280" s="4"/>
      <c r="L280" s="4"/>
      <c r="M280" s="4"/>
      <c r="N280" s="4"/>
      <c r="O280" s="4"/>
      <c r="P280" s="4"/>
      <c r="Q280" s="4"/>
      <c r="R280" s="53"/>
      <c r="S280" s="4"/>
      <c r="T280" s="4"/>
      <c r="U280" s="4"/>
      <c r="V280" s="4"/>
      <c r="W280" s="4"/>
    </row>
    <row r="281" spans="1:23" ht="15.75" customHeight="1">
      <c r="A281" s="4"/>
      <c r="B281" s="4"/>
      <c r="C281" s="4"/>
      <c r="D281" s="4"/>
      <c r="E281" s="4"/>
      <c r="F281" s="4"/>
      <c r="G281" s="4"/>
      <c r="H281" s="4"/>
      <c r="I281" s="4"/>
      <c r="J281" s="4"/>
      <c r="K281" s="4"/>
      <c r="L281" s="4"/>
      <c r="M281" s="4"/>
      <c r="N281" s="4"/>
      <c r="O281" s="4"/>
      <c r="P281" s="4"/>
      <c r="Q281" s="4"/>
      <c r="R281" s="53"/>
      <c r="S281" s="4"/>
      <c r="T281" s="4"/>
      <c r="U281" s="4"/>
      <c r="V281" s="4"/>
      <c r="W281" s="4"/>
    </row>
    <row r="282" spans="1:23" ht="15.75" customHeight="1">
      <c r="A282" s="4"/>
      <c r="B282" s="4"/>
      <c r="C282" s="4"/>
      <c r="D282" s="4"/>
      <c r="E282" s="4"/>
      <c r="F282" s="4"/>
      <c r="G282" s="4"/>
      <c r="H282" s="4"/>
      <c r="I282" s="4"/>
      <c r="J282" s="4"/>
      <c r="K282" s="4"/>
      <c r="L282" s="4"/>
      <c r="M282" s="4"/>
      <c r="N282" s="4"/>
      <c r="O282" s="4"/>
      <c r="P282" s="4"/>
      <c r="Q282" s="4"/>
      <c r="R282" s="53"/>
      <c r="S282" s="4"/>
      <c r="T282" s="4"/>
      <c r="U282" s="4"/>
      <c r="V282" s="4"/>
      <c r="W282" s="4"/>
    </row>
    <row r="283" spans="1:23" ht="15.75" customHeight="1">
      <c r="A283" s="4"/>
      <c r="B283" s="4"/>
      <c r="C283" s="4"/>
      <c r="D283" s="4"/>
      <c r="E283" s="4"/>
      <c r="F283" s="4"/>
      <c r="G283" s="4"/>
      <c r="H283" s="4"/>
      <c r="I283" s="4"/>
      <c r="J283" s="4"/>
      <c r="K283" s="4"/>
      <c r="L283" s="4"/>
      <c r="M283" s="4"/>
      <c r="N283" s="4"/>
      <c r="O283" s="4"/>
      <c r="P283" s="4"/>
      <c r="Q283" s="4"/>
      <c r="R283" s="53"/>
      <c r="S283" s="4"/>
      <c r="T283" s="4"/>
      <c r="U283" s="4"/>
      <c r="V283" s="4"/>
      <c r="W283" s="4"/>
    </row>
    <row r="284" spans="1:23" ht="15.75" customHeight="1">
      <c r="A284" s="4"/>
      <c r="B284" s="4"/>
      <c r="C284" s="4"/>
      <c r="D284" s="4"/>
      <c r="E284" s="4"/>
      <c r="F284" s="4"/>
      <c r="G284" s="4"/>
      <c r="H284" s="4"/>
      <c r="I284" s="4"/>
      <c r="J284" s="4"/>
      <c r="K284" s="4"/>
      <c r="L284" s="4"/>
      <c r="M284" s="4"/>
      <c r="N284" s="4"/>
      <c r="O284" s="4"/>
      <c r="P284" s="4"/>
      <c r="Q284" s="4"/>
      <c r="R284" s="53"/>
      <c r="S284" s="4"/>
      <c r="T284" s="4"/>
      <c r="U284" s="4"/>
      <c r="V284" s="4"/>
      <c r="W284" s="4"/>
    </row>
    <row r="285" spans="1:23" ht="15.75" customHeight="1">
      <c r="A285" s="4"/>
      <c r="B285" s="4"/>
      <c r="C285" s="4"/>
      <c r="D285" s="4"/>
      <c r="E285" s="4"/>
      <c r="F285" s="4"/>
      <c r="G285" s="4"/>
      <c r="H285" s="4"/>
      <c r="I285" s="4"/>
      <c r="J285" s="4"/>
      <c r="K285" s="4"/>
      <c r="L285" s="4"/>
      <c r="M285" s="4"/>
      <c r="N285" s="4"/>
      <c r="O285" s="4"/>
      <c r="P285" s="4"/>
      <c r="Q285" s="4"/>
      <c r="R285" s="53"/>
      <c r="S285" s="4"/>
      <c r="T285" s="4"/>
      <c r="U285" s="4"/>
      <c r="V285" s="4"/>
      <c r="W285" s="4"/>
    </row>
    <row r="286" spans="1:23" ht="15.75" customHeight="1">
      <c r="A286" s="4"/>
      <c r="B286" s="4"/>
      <c r="C286" s="4"/>
      <c r="D286" s="4"/>
      <c r="E286" s="4"/>
      <c r="F286" s="4"/>
      <c r="G286" s="4"/>
      <c r="H286" s="4"/>
      <c r="I286" s="4"/>
      <c r="J286" s="4"/>
      <c r="K286" s="4"/>
      <c r="L286" s="4"/>
      <c r="M286" s="4"/>
      <c r="N286" s="4"/>
      <c r="O286" s="4"/>
      <c r="P286" s="4"/>
      <c r="Q286" s="4"/>
      <c r="R286" s="53"/>
      <c r="S286" s="4"/>
      <c r="T286" s="4"/>
      <c r="U286" s="4"/>
      <c r="V286" s="4"/>
      <c r="W286" s="4"/>
    </row>
    <row r="287" spans="1:23" ht="15.75" customHeight="1">
      <c r="A287" s="4"/>
      <c r="B287" s="4"/>
      <c r="C287" s="4"/>
      <c r="D287" s="4"/>
      <c r="E287" s="4"/>
      <c r="F287" s="4"/>
      <c r="G287" s="4"/>
      <c r="H287" s="4"/>
      <c r="I287" s="4"/>
      <c r="J287" s="4"/>
      <c r="K287" s="4"/>
      <c r="L287" s="4"/>
      <c r="M287" s="4"/>
      <c r="N287" s="4"/>
      <c r="O287" s="4"/>
      <c r="P287" s="4"/>
      <c r="Q287" s="4"/>
      <c r="R287" s="53"/>
      <c r="S287" s="4"/>
      <c r="T287" s="4"/>
      <c r="U287" s="4"/>
      <c r="V287" s="4"/>
      <c r="W287" s="4"/>
    </row>
    <row r="288" spans="1:23" ht="15.75" customHeight="1">
      <c r="A288" s="4"/>
      <c r="B288" s="4"/>
      <c r="C288" s="4"/>
      <c r="D288" s="4"/>
      <c r="E288" s="4"/>
      <c r="F288" s="4"/>
      <c r="G288" s="4"/>
      <c r="H288" s="4"/>
      <c r="I288" s="4"/>
      <c r="J288" s="4"/>
      <c r="K288" s="4"/>
      <c r="L288" s="4"/>
      <c r="M288" s="4"/>
      <c r="N288" s="4"/>
      <c r="O288" s="4"/>
      <c r="P288" s="4"/>
      <c r="Q288" s="4"/>
      <c r="R288" s="53"/>
      <c r="S288" s="4"/>
      <c r="T288" s="4"/>
      <c r="U288" s="4"/>
      <c r="V288" s="4"/>
      <c r="W288" s="4"/>
    </row>
    <row r="289" spans="1:23" ht="15.75" customHeight="1">
      <c r="A289" s="4"/>
      <c r="B289" s="4"/>
      <c r="C289" s="4"/>
      <c r="D289" s="4"/>
      <c r="E289" s="4"/>
      <c r="F289" s="4"/>
      <c r="G289" s="4"/>
      <c r="H289" s="4"/>
      <c r="I289" s="4"/>
      <c r="J289" s="4"/>
      <c r="K289" s="4"/>
      <c r="L289" s="4"/>
      <c r="M289" s="4"/>
      <c r="N289" s="4"/>
      <c r="O289" s="4"/>
      <c r="P289" s="4"/>
      <c r="Q289" s="4"/>
      <c r="R289" s="53"/>
      <c r="S289" s="4"/>
      <c r="T289" s="4"/>
      <c r="U289" s="4"/>
      <c r="V289" s="4"/>
      <c r="W289" s="4"/>
    </row>
    <row r="290" spans="1:23" ht="15.75" customHeight="1">
      <c r="A290" s="4"/>
      <c r="B290" s="4"/>
      <c r="C290" s="4"/>
      <c r="D290" s="4"/>
      <c r="E290" s="4"/>
      <c r="F290" s="4"/>
      <c r="G290" s="4"/>
      <c r="H290" s="4"/>
      <c r="I290" s="4"/>
      <c r="J290" s="4"/>
      <c r="K290" s="4"/>
      <c r="L290" s="4"/>
      <c r="M290" s="4"/>
      <c r="N290" s="4"/>
      <c r="O290" s="4"/>
      <c r="P290" s="4"/>
      <c r="Q290" s="4"/>
      <c r="R290" s="53"/>
      <c r="S290" s="4"/>
      <c r="T290" s="4"/>
      <c r="U290" s="4"/>
      <c r="V290" s="4"/>
      <c r="W290" s="4"/>
    </row>
    <row r="291" spans="1:23" ht="15.75" customHeight="1">
      <c r="A291" s="4"/>
      <c r="B291" s="4"/>
      <c r="C291" s="4"/>
      <c r="D291" s="4"/>
      <c r="E291" s="4"/>
      <c r="F291" s="4"/>
      <c r="G291" s="4"/>
      <c r="H291" s="4"/>
      <c r="I291" s="4"/>
      <c r="J291" s="4"/>
      <c r="K291" s="4"/>
      <c r="L291" s="4"/>
      <c r="M291" s="4"/>
      <c r="N291" s="4"/>
      <c r="O291" s="4"/>
      <c r="P291" s="4"/>
      <c r="Q291" s="4"/>
      <c r="R291" s="53"/>
      <c r="S291" s="4"/>
      <c r="T291" s="4"/>
      <c r="U291" s="4"/>
      <c r="V291" s="4"/>
      <c r="W291" s="4"/>
    </row>
    <row r="292" spans="1:23" ht="15.75" customHeight="1">
      <c r="A292" s="4"/>
      <c r="B292" s="4"/>
      <c r="C292" s="4"/>
      <c r="D292" s="4"/>
      <c r="E292" s="4"/>
      <c r="F292" s="4"/>
      <c r="G292" s="4"/>
      <c r="H292" s="4"/>
      <c r="I292" s="4"/>
      <c r="J292" s="4"/>
      <c r="K292" s="4"/>
      <c r="L292" s="4"/>
      <c r="M292" s="4"/>
      <c r="N292" s="4"/>
      <c r="O292" s="4"/>
      <c r="P292" s="4"/>
      <c r="Q292" s="4"/>
      <c r="R292" s="53"/>
      <c r="S292" s="4"/>
      <c r="T292" s="4"/>
      <c r="U292" s="4"/>
      <c r="V292" s="4"/>
      <c r="W292" s="4"/>
    </row>
    <row r="293" spans="1:23" ht="15.75" customHeight="1">
      <c r="A293" s="4"/>
      <c r="B293" s="4"/>
      <c r="C293" s="4"/>
      <c r="D293" s="4"/>
      <c r="E293" s="4"/>
      <c r="F293" s="4"/>
      <c r="G293" s="4"/>
      <c r="H293" s="4"/>
      <c r="I293" s="4"/>
      <c r="J293" s="4"/>
      <c r="K293" s="4"/>
      <c r="L293" s="4"/>
      <c r="M293" s="4"/>
      <c r="N293" s="4"/>
      <c r="O293" s="4"/>
      <c r="P293" s="4"/>
      <c r="Q293" s="4"/>
      <c r="R293" s="53"/>
      <c r="S293" s="4"/>
      <c r="T293" s="4"/>
      <c r="U293" s="4"/>
      <c r="V293" s="4"/>
      <c r="W293" s="4"/>
    </row>
    <row r="294" spans="1:23" ht="15.75" customHeight="1">
      <c r="A294" s="4"/>
      <c r="B294" s="4"/>
      <c r="C294" s="4"/>
      <c r="D294" s="4"/>
      <c r="E294" s="4"/>
      <c r="F294" s="4"/>
      <c r="G294" s="4"/>
      <c r="H294" s="4"/>
      <c r="I294" s="4"/>
      <c r="J294" s="4"/>
      <c r="K294" s="4"/>
      <c r="L294" s="4"/>
      <c r="M294" s="4"/>
      <c r="N294" s="4"/>
      <c r="O294" s="4"/>
      <c r="P294" s="4"/>
      <c r="Q294" s="4"/>
      <c r="R294" s="53"/>
      <c r="S294" s="4"/>
      <c r="T294" s="4"/>
      <c r="U294" s="4"/>
      <c r="V294" s="4"/>
      <c r="W294" s="4"/>
    </row>
    <row r="295" spans="1:23" ht="15.75" customHeight="1">
      <c r="A295" s="4"/>
      <c r="B295" s="4"/>
      <c r="C295" s="4"/>
      <c r="D295" s="4"/>
      <c r="E295" s="4"/>
      <c r="F295" s="4"/>
      <c r="G295" s="4"/>
      <c r="H295" s="4"/>
      <c r="I295" s="4"/>
      <c r="J295" s="4"/>
      <c r="K295" s="4"/>
      <c r="L295" s="4"/>
      <c r="M295" s="4"/>
      <c r="N295" s="4"/>
      <c r="O295" s="4"/>
      <c r="P295" s="4"/>
      <c r="Q295" s="4"/>
      <c r="R295" s="53"/>
      <c r="S295" s="4"/>
      <c r="T295" s="4"/>
      <c r="U295" s="4"/>
      <c r="V295" s="4"/>
      <c r="W295" s="4"/>
    </row>
    <row r="296" spans="1:23" ht="15.75" customHeight="1">
      <c r="A296" s="4"/>
      <c r="B296" s="4"/>
      <c r="C296" s="4"/>
      <c r="D296" s="4"/>
      <c r="E296" s="4"/>
      <c r="F296" s="4"/>
      <c r="G296" s="4"/>
      <c r="H296" s="4"/>
      <c r="I296" s="4"/>
      <c r="J296" s="4"/>
      <c r="K296" s="4"/>
      <c r="L296" s="4"/>
      <c r="M296" s="4"/>
      <c r="N296" s="4"/>
      <c r="O296" s="4"/>
      <c r="P296" s="4"/>
      <c r="Q296" s="4"/>
      <c r="R296" s="53"/>
      <c r="S296" s="4"/>
      <c r="T296" s="4"/>
      <c r="U296" s="4"/>
      <c r="V296" s="4"/>
      <c r="W296" s="4"/>
    </row>
    <row r="297" spans="1:23" ht="15.75" customHeight="1">
      <c r="A297" s="4"/>
      <c r="B297" s="4"/>
      <c r="C297" s="4"/>
      <c r="D297" s="4"/>
      <c r="E297" s="4"/>
      <c r="F297" s="4"/>
      <c r="G297" s="4"/>
      <c r="H297" s="4"/>
      <c r="I297" s="4"/>
      <c r="J297" s="4"/>
      <c r="K297" s="4"/>
      <c r="L297" s="4"/>
      <c r="M297" s="4"/>
      <c r="N297" s="4"/>
      <c r="O297" s="4"/>
      <c r="P297" s="4"/>
      <c r="Q297" s="4"/>
      <c r="R297" s="53"/>
      <c r="S297" s="4"/>
      <c r="T297" s="4"/>
      <c r="U297" s="4"/>
      <c r="V297" s="4"/>
      <c r="W297" s="4"/>
    </row>
    <row r="298" spans="1:23" ht="15.75" customHeight="1">
      <c r="A298" s="4"/>
      <c r="B298" s="4"/>
      <c r="C298" s="4"/>
      <c r="D298" s="4"/>
      <c r="E298" s="4"/>
      <c r="F298" s="4"/>
      <c r="G298" s="4"/>
      <c r="H298" s="4"/>
      <c r="I298" s="4"/>
      <c r="J298" s="4"/>
      <c r="K298" s="4"/>
      <c r="L298" s="4"/>
      <c r="M298" s="4"/>
      <c r="N298" s="4"/>
      <c r="O298" s="4"/>
      <c r="P298" s="4"/>
      <c r="Q298" s="4"/>
      <c r="R298" s="53"/>
      <c r="S298" s="4"/>
      <c r="T298" s="4"/>
      <c r="U298" s="4"/>
      <c r="V298" s="4"/>
      <c r="W298" s="4"/>
    </row>
    <row r="299" spans="1:23" ht="15.75" customHeight="1">
      <c r="A299" s="4"/>
      <c r="B299" s="4"/>
      <c r="C299" s="4"/>
      <c r="D299" s="4"/>
      <c r="E299" s="4"/>
      <c r="F299" s="4"/>
      <c r="G299" s="4"/>
      <c r="H299" s="4"/>
      <c r="I299" s="4"/>
      <c r="J299" s="4"/>
      <c r="K299" s="4"/>
      <c r="L299" s="4"/>
      <c r="M299" s="4"/>
      <c r="N299" s="4"/>
      <c r="O299" s="4"/>
      <c r="P299" s="4"/>
      <c r="Q299" s="4"/>
      <c r="R299" s="53"/>
      <c r="S299" s="4"/>
      <c r="T299" s="4"/>
      <c r="U299" s="4"/>
      <c r="V299" s="4"/>
      <c r="W299" s="4"/>
    </row>
    <row r="300" spans="1:23" ht="15.75" customHeight="1">
      <c r="A300" s="4"/>
      <c r="B300" s="4"/>
      <c r="C300" s="4"/>
      <c r="D300" s="4"/>
      <c r="E300" s="4"/>
      <c r="F300" s="4"/>
      <c r="G300" s="4"/>
      <c r="H300" s="4"/>
      <c r="I300" s="4"/>
      <c r="J300" s="4"/>
      <c r="K300" s="4"/>
      <c r="L300" s="4"/>
      <c r="M300" s="4"/>
      <c r="N300" s="4"/>
      <c r="O300" s="4"/>
      <c r="P300" s="4"/>
      <c r="Q300" s="4"/>
      <c r="R300" s="53"/>
      <c r="S300" s="4"/>
      <c r="T300" s="4"/>
      <c r="U300" s="4"/>
      <c r="V300" s="4"/>
      <c r="W300" s="4"/>
    </row>
    <row r="301" spans="1:23" ht="15.75" customHeight="1">
      <c r="A301" s="4"/>
      <c r="B301" s="4"/>
      <c r="C301" s="4"/>
      <c r="D301" s="4"/>
      <c r="E301" s="4"/>
      <c r="F301" s="4"/>
      <c r="G301" s="4"/>
      <c r="H301" s="4"/>
      <c r="I301" s="4"/>
      <c r="J301" s="4"/>
      <c r="K301" s="4"/>
      <c r="L301" s="4"/>
      <c r="M301" s="4"/>
      <c r="N301" s="4"/>
      <c r="O301" s="4"/>
      <c r="P301" s="4"/>
      <c r="Q301" s="4"/>
      <c r="R301" s="53"/>
      <c r="S301" s="4"/>
      <c r="T301" s="4"/>
      <c r="U301" s="4"/>
      <c r="V301" s="4"/>
      <c r="W301" s="4"/>
    </row>
    <row r="302" spans="1:23" ht="15.75" customHeight="1">
      <c r="A302" s="4"/>
      <c r="B302" s="4"/>
      <c r="C302" s="4"/>
      <c r="D302" s="4"/>
      <c r="E302" s="4"/>
      <c r="F302" s="4"/>
      <c r="G302" s="4"/>
      <c r="H302" s="4"/>
      <c r="I302" s="4"/>
      <c r="J302" s="4"/>
      <c r="K302" s="4"/>
      <c r="L302" s="4"/>
      <c r="M302" s="4"/>
      <c r="N302" s="4"/>
      <c r="O302" s="4"/>
      <c r="P302" s="4"/>
      <c r="Q302" s="4"/>
      <c r="R302" s="4"/>
      <c r="S302" s="4"/>
      <c r="T302" s="4"/>
      <c r="U302" s="4"/>
      <c r="V302" s="4"/>
      <c r="W302" s="4"/>
    </row>
    <row r="303" spans="1:23" ht="15.75" customHeight="1">
      <c r="A303" s="4"/>
      <c r="B303" s="4"/>
      <c r="C303" s="4"/>
      <c r="D303" s="4"/>
      <c r="E303" s="4"/>
      <c r="F303" s="4"/>
      <c r="G303" s="4"/>
      <c r="H303" s="4"/>
      <c r="I303" s="4"/>
      <c r="J303" s="4"/>
      <c r="K303" s="4"/>
      <c r="L303" s="4"/>
      <c r="M303" s="4"/>
      <c r="N303" s="4"/>
      <c r="O303" s="4"/>
      <c r="P303" s="4"/>
      <c r="Q303" s="4"/>
      <c r="R303" s="4"/>
      <c r="S303" s="4"/>
      <c r="T303" s="4"/>
      <c r="U303" s="4"/>
      <c r="V303" s="4"/>
      <c r="W303" s="4"/>
    </row>
    <row r="304" spans="1:23" ht="15.75" customHeight="1">
      <c r="A304" s="4"/>
      <c r="B304" s="4"/>
      <c r="C304" s="4"/>
      <c r="D304" s="4"/>
      <c r="E304" s="4"/>
      <c r="F304" s="4"/>
      <c r="G304" s="4"/>
      <c r="H304" s="4"/>
      <c r="I304" s="4"/>
      <c r="J304" s="4"/>
      <c r="K304" s="4"/>
      <c r="L304" s="4"/>
      <c r="M304" s="4"/>
      <c r="N304" s="4"/>
      <c r="O304" s="4"/>
      <c r="P304" s="4"/>
      <c r="Q304" s="4"/>
      <c r="R304" s="4"/>
      <c r="S304" s="4"/>
      <c r="T304" s="4"/>
      <c r="U304" s="4"/>
      <c r="V304" s="4"/>
      <c r="W304" s="4"/>
    </row>
    <row r="305" spans="1:23" ht="15.75" customHeight="1">
      <c r="A305" s="4"/>
      <c r="B305" s="4"/>
      <c r="C305" s="4"/>
      <c r="D305" s="4"/>
      <c r="E305" s="4"/>
      <c r="F305" s="4"/>
      <c r="G305" s="4"/>
      <c r="H305" s="4"/>
      <c r="I305" s="4"/>
      <c r="J305" s="4"/>
      <c r="K305" s="4"/>
      <c r="L305" s="4"/>
      <c r="M305" s="4"/>
      <c r="N305" s="4"/>
      <c r="O305" s="4"/>
      <c r="P305" s="4"/>
      <c r="Q305" s="4"/>
      <c r="R305" s="4"/>
      <c r="S305" s="4"/>
      <c r="T305" s="4"/>
      <c r="U305" s="4"/>
      <c r="V305" s="4"/>
      <c r="W305" s="4"/>
    </row>
    <row r="306" spans="1:23" ht="15.75" customHeight="1">
      <c r="A306" s="4"/>
      <c r="B306" s="4"/>
      <c r="C306" s="4"/>
      <c r="D306" s="4"/>
      <c r="E306" s="4"/>
      <c r="F306" s="4"/>
      <c r="G306" s="4"/>
      <c r="H306" s="4"/>
      <c r="I306" s="4"/>
      <c r="J306" s="4"/>
      <c r="K306" s="4"/>
      <c r="L306" s="4"/>
      <c r="M306" s="4"/>
      <c r="N306" s="4"/>
      <c r="O306" s="4"/>
      <c r="P306" s="4"/>
      <c r="Q306" s="4"/>
      <c r="R306" s="4"/>
      <c r="S306" s="4"/>
      <c r="T306" s="4"/>
      <c r="U306" s="4"/>
      <c r="V306" s="4"/>
      <c r="W306" s="4"/>
    </row>
    <row r="307" spans="1:23" ht="15.75" customHeight="1">
      <c r="A307" s="4"/>
      <c r="B307" s="4"/>
      <c r="C307" s="4"/>
      <c r="D307" s="4"/>
      <c r="E307" s="4"/>
      <c r="F307" s="4"/>
      <c r="G307" s="4"/>
      <c r="H307" s="4"/>
      <c r="I307" s="4"/>
      <c r="J307" s="4"/>
      <c r="K307" s="4"/>
      <c r="L307" s="4"/>
      <c r="M307" s="4"/>
      <c r="N307" s="4"/>
      <c r="O307" s="4"/>
      <c r="P307" s="4"/>
      <c r="Q307" s="4"/>
      <c r="R307" s="4"/>
      <c r="S307" s="4"/>
      <c r="T307" s="4"/>
      <c r="U307" s="4"/>
      <c r="V307" s="4"/>
      <c r="W307" s="4"/>
    </row>
    <row r="308" spans="1:23" ht="15.75" customHeight="1">
      <c r="A308" s="4"/>
      <c r="B308" s="4"/>
      <c r="C308" s="4"/>
      <c r="D308" s="4"/>
      <c r="E308" s="4"/>
      <c r="F308" s="4"/>
      <c r="G308" s="4"/>
      <c r="H308" s="4"/>
      <c r="I308" s="4"/>
      <c r="J308" s="4"/>
      <c r="K308" s="4"/>
      <c r="L308" s="4"/>
      <c r="M308" s="4"/>
      <c r="N308" s="4"/>
      <c r="O308" s="4"/>
      <c r="P308" s="4"/>
      <c r="Q308" s="4"/>
      <c r="R308" s="4"/>
      <c r="S308" s="4"/>
      <c r="T308" s="4"/>
      <c r="U308" s="4"/>
      <c r="V308" s="4"/>
      <c r="W308" s="4"/>
    </row>
    <row r="309" spans="1:23" ht="15.75" customHeight="1">
      <c r="A309" s="4"/>
      <c r="B309" s="4"/>
      <c r="C309" s="4"/>
      <c r="D309" s="4"/>
      <c r="E309" s="4"/>
      <c r="F309" s="4"/>
      <c r="G309" s="4"/>
      <c r="H309" s="4"/>
      <c r="I309" s="4"/>
      <c r="J309" s="4"/>
      <c r="K309" s="4"/>
      <c r="L309" s="4"/>
      <c r="M309" s="4"/>
      <c r="N309" s="4"/>
      <c r="O309" s="4"/>
      <c r="P309" s="4"/>
      <c r="Q309" s="4"/>
      <c r="R309" s="4"/>
      <c r="S309" s="4"/>
      <c r="T309" s="4"/>
      <c r="U309" s="4"/>
      <c r="V309" s="4"/>
      <c r="W309" s="4"/>
    </row>
    <row r="310" spans="1:23" ht="15.75" customHeight="1">
      <c r="A310" s="4"/>
      <c r="B310" s="4"/>
      <c r="C310" s="4"/>
      <c r="D310" s="4"/>
      <c r="E310" s="4"/>
      <c r="F310" s="4"/>
      <c r="G310" s="4"/>
      <c r="H310" s="4"/>
      <c r="I310" s="4"/>
      <c r="J310" s="4"/>
      <c r="K310" s="4"/>
      <c r="L310" s="4"/>
      <c r="M310" s="4"/>
      <c r="N310" s="4"/>
      <c r="O310" s="4"/>
      <c r="P310" s="4"/>
      <c r="Q310" s="4"/>
      <c r="R310" s="4"/>
      <c r="S310" s="4"/>
      <c r="T310" s="4"/>
      <c r="U310" s="4"/>
      <c r="V310" s="4"/>
      <c r="W310" s="4"/>
    </row>
    <row r="311" spans="1:23" ht="15.75" customHeight="1">
      <c r="A311" s="4"/>
      <c r="B311" s="4"/>
      <c r="C311" s="4"/>
      <c r="D311" s="4"/>
      <c r="E311" s="4"/>
      <c r="F311" s="4"/>
      <c r="G311" s="4"/>
      <c r="H311" s="4"/>
      <c r="I311" s="4"/>
      <c r="J311" s="4"/>
      <c r="K311" s="4"/>
      <c r="L311" s="4"/>
      <c r="M311" s="4"/>
      <c r="N311" s="4"/>
      <c r="O311" s="4"/>
      <c r="P311" s="4"/>
      <c r="Q311" s="4"/>
      <c r="R311" s="4"/>
      <c r="S311" s="4"/>
      <c r="T311" s="4"/>
      <c r="U311" s="4"/>
      <c r="V311" s="4"/>
      <c r="W311" s="4"/>
    </row>
    <row r="312" spans="1:23" ht="15.75" customHeight="1">
      <c r="A312" s="4"/>
      <c r="B312" s="4"/>
      <c r="C312" s="4"/>
      <c r="D312" s="4"/>
      <c r="E312" s="4"/>
      <c r="F312" s="4"/>
      <c r="G312" s="4"/>
      <c r="H312" s="4"/>
      <c r="I312" s="4"/>
      <c r="J312" s="4"/>
      <c r="K312" s="4"/>
      <c r="L312" s="4"/>
      <c r="M312" s="4"/>
      <c r="N312" s="4"/>
      <c r="O312" s="4"/>
      <c r="P312" s="4"/>
      <c r="Q312" s="4"/>
      <c r="R312" s="4"/>
      <c r="S312" s="4"/>
      <c r="T312" s="4"/>
      <c r="U312" s="4"/>
      <c r="V312" s="4"/>
      <c r="W312" s="4"/>
    </row>
    <row r="313" spans="1:23" ht="15.75" customHeight="1">
      <c r="A313" s="4"/>
      <c r="B313" s="4"/>
      <c r="C313" s="4"/>
      <c r="D313" s="4"/>
      <c r="E313" s="4"/>
      <c r="F313" s="4"/>
      <c r="G313" s="4"/>
      <c r="H313" s="4"/>
      <c r="I313" s="4"/>
      <c r="J313" s="4"/>
      <c r="K313" s="4"/>
      <c r="L313" s="4"/>
      <c r="M313" s="4"/>
      <c r="N313" s="4"/>
      <c r="O313" s="4"/>
      <c r="P313" s="4"/>
      <c r="Q313" s="4"/>
      <c r="R313" s="4"/>
      <c r="S313" s="4"/>
      <c r="T313" s="4"/>
      <c r="U313" s="4"/>
      <c r="V313" s="4"/>
      <c r="W313" s="4"/>
    </row>
    <row r="314" spans="1:23" ht="15.75" customHeight="1">
      <c r="A314" s="4"/>
      <c r="B314" s="4"/>
      <c r="C314" s="4"/>
      <c r="D314" s="4"/>
      <c r="E314" s="4"/>
      <c r="F314" s="4"/>
      <c r="G314" s="4"/>
      <c r="H314" s="4"/>
      <c r="I314" s="4"/>
      <c r="J314" s="4"/>
      <c r="K314" s="4"/>
      <c r="L314" s="4"/>
      <c r="M314" s="4"/>
      <c r="N314" s="4"/>
      <c r="O314" s="4"/>
      <c r="P314" s="4"/>
      <c r="Q314" s="4"/>
      <c r="R314" s="4"/>
      <c r="S314" s="4"/>
      <c r="T314" s="4"/>
      <c r="U314" s="4"/>
      <c r="V314" s="4"/>
      <c r="W314" s="4"/>
    </row>
    <row r="315" spans="1:23" ht="15.75" customHeight="1">
      <c r="A315" s="4"/>
      <c r="B315" s="4"/>
      <c r="C315" s="4"/>
      <c r="D315" s="4"/>
      <c r="E315" s="4"/>
      <c r="F315" s="4"/>
      <c r="G315" s="4"/>
      <c r="H315" s="4"/>
      <c r="I315" s="4"/>
      <c r="J315" s="4"/>
      <c r="K315" s="4"/>
      <c r="L315" s="4"/>
      <c r="M315" s="4"/>
      <c r="N315" s="4"/>
      <c r="O315" s="4"/>
      <c r="P315" s="4"/>
      <c r="Q315" s="4"/>
      <c r="R315" s="4"/>
      <c r="S315" s="4"/>
      <c r="T315" s="4"/>
      <c r="U315" s="4"/>
      <c r="V315" s="4"/>
      <c r="W315" s="4"/>
    </row>
    <row r="316" spans="1:23" ht="15.75" customHeight="1">
      <c r="A316" s="4"/>
      <c r="B316" s="4"/>
      <c r="C316" s="4"/>
      <c r="D316" s="4"/>
      <c r="E316" s="4"/>
      <c r="F316" s="4"/>
      <c r="G316" s="4"/>
      <c r="H316" s="4"/>
      <c r="I316" s="4"/>
      <c r="J316" s="4"/>
      <c r="K316" s="4"/>
      <c r="L316" s="4"/>
      <c r="M316" s="4"/>
      <c r="N316" s="4"/>
      <c r="O316" s="4"/>
      <c r="P316" s="4"/>
      <c r="Q316" s="4"/>
      <c r="R316" s="4"/>
      <c r="S316" s="4"/>
      <c r="T316" s="4"/>
      <c r="U316" s="4"/>
      <c r="V316" s="4"/>
      <c r="W316" s="4"/>
    </row>
    <row r="317" spans="1:23" ht="15.75" customHeight="1">
      <c r="A317" s="4"/>
      <c r="B317" s="4"/>
      <c r="C317" s="4"/>
      <c r="D317" s="4"/>
      <c r="E317" s="4"/>
      <c r="F317" s="4"/>
      <c r="G317" s="4"/>
      <c r="H317" s="4"/>
      <c r="I317" s="4"/>
      <c r="J317" s="4"/>
      <c r="K317" s="4"/>
      <c r="L317" s="4"/>
      <c r="M317" s="4"/>
      <c r="N317" s="4"/>
      <c r="O317" s="4"/>
      <c r="P317" s="4"/>
      <c r="Q317" s="4"/>
      <c r="R317" s="4"/>
      <c r="S317" s="4"/>
      <c r="T317" s="4"/>
      <c r="U317" s="4"/>
      <c r="V317" s="4"/>
      <c r="W317" s="4"/>
    </row>
    <row r="318" spans="1:23" ht="15.75" customHeight="1">
      <c r="A318" s="4"/>
      <c r="B318" s="4"/>
      <c r="C318" s="4"/>
      <c r="D318" s="4"/>
      <c r="E318" s="4"/>
      <c r="F318" s="4"/>
      <c r="G318" s="4"/>
      <c r="H318" s="4"/>
      <c r="I318" s="4"/>
      <c r="J318" s="4"/>
      <c r="K318" s="4"/>
      <c r="L318" s="4"/>
      <c r="M318" s="4"/>
      <c r="N318" s="4"/>
      <c r="O318" s="4"/>
      <c r="P318" s="4"/>
      <c r="Q318" s="4"/>
      <c r="R318" s="4"/>
      <c r="S318" s="4"/>
      <c r="T318" s="4"/>
      <c r="U318" s="4"/>
      <c r="V318" s="4"/>
      <c r="W318" s="4"/>
    </row>
    <row r="319" spans="1:23" ht="15.75" customHeight="1">
      <c r="A319" s="4"/>
      <c r="B319" s="4"/>
      <c r="C319" s="4"/>
      <c r="D319" s="4"/>
      <c r="E319" s="4"/>
      <c r="F319" s="4"/>
      <c r="G319" s="4"/>
      <c r="H319" s="4"/>
      <c r="I319" s="4"/>
      <c r="J319" s="4"/>
      <c r="K319" s="4"/>
      <c r="L319" s="4"/>
      <c r="M319" s="4"/>
      <c r="N319" s="4"/>
      <c r="O319" s="4"/>
      <c r="P319" s="4"/>
      <c r="Q319" s="4"/>
      <c r="R319" s="4"/>
      <c r="S319" s="4"/>
      <c r="T319" s="4"/>
      <c r="U319" s="4"/>
      <c r="V319" s="4"/>
      <c r="W319" s="4"/>
    </row>
    <row r="320" spans="1:23" ht="15.75" customHeight="1">
      <c r="A320" s="4"/>
      <c r="B320" s="4"/>
      <c r="C320" s="4"/>
      <c r="D320" s="4"/>
      <c r="E320" s="4"/>
      <c r="F320" s="4"/>
      <c r="G320" s="4"/>
      <c r="H320" s="4"/>
      <c r="I320" s="4"/>
      <c r="J320" s="4"/>
      <c r="K320" s="4"/>
      <c r="L320" s="4"/>
      <c r="M320" s="4"/>
      <c r="N320" s="4"/>
      <c r="O320" s="4"/>
      <c r="P320" s="4"/>
      <c r="Q320" s="4"/>
      <c r="R320" s="4"/>
      <c r="S320" s="4"/>
      <c r="T320" s="4"/>
      <c r="U320" s="4"/>
      <c r="V320" s="4"/>
      <c r="W320" s="4"/>
    </row>
    <row r="321" spans="1:23" ht="15.75" customHeight="1">
      <c r="A321" s="4"/>
      <c r="B321" s="4"/>
      <c r="C321" s="4"/>
      <c r="D321" s="4"/>
      <c r="E321" s="4"/>
      <c r="F321" s="4"/>
      <c r="G321" s="4"/>
      <c r="H321" s="4"/>
      <c r="I321" s="4"/>
      <c r="J321" s="4"/>
      <c r="K321" s="4"/>
      <c r="L321" s="4"/>
      <c r="M321" s="4"/>
      <c r="N321" s="4"/>
      <c r="O321" s="4"/>
      <c r="P321" s="4"/>
      <c r="Q321" s="4"/>
      <c r="R321" s="4"/>
      <c r="S321" s="4"/>
      <c r="T321" s="4"/>
      <c r="U321" s="4"/>
      <c r="V321" s="4"/>
      <c r="W321" s="4"/>
    </row>
    <row r="322" spans="1:23" ht="15.75" customHeight="1">
      <c r="A322" s="4"/>
      <c r="B322" s="4"/>
      <c r="C322" s="4"/>
      <c r="D322" s="4"/>
      <c r="E322" s="4"/>
      <c r="F322" s="4"/>
      <c r="G322" s="4"/>
      <c r="H322" s="4"/>
      <c r="I322" s="4"/>
      <c r="J322" s="4"/>
      <c r="K322" s="4"/>
      <c r="L322" s="4"/>
      <c r="M322" s="4"/>
      <c r="N322" s="4"/>
      <c r="O322" s="4"/>
      <c r="P322" s="4"/>
      <c r="Q322" s="4"/>
      <c r="R322" s="4"/>
      <c r="S322" s="4"/>
      <c r="T322" s="4"/>
      <c r="U322" s="4"/>
      <c r="V322" s="4"/>
      <c r="W322" s="4"/>
    </row>
    <row r="323" spans="1:23" ht="15.75" customHeight="1">
      <c r="A323" s="4"/>
      <c r="B323" s="4"/>
      <c r="C323" s="4"/>
      <c r="D323" s="4"/>
      <c r="E323" s="4"/>
      <c r="F323" s="4"/>
      <c r="G323" s="4"/>
      <c r="H323" s="4"/>
      <c r="I323" s="4"/>
      <c r="J323" s="4"/>
      <c r="K323" s="4"/>
      <c r="L323" s="4"/>
      <c r="M323" s="4"/>
      <c r="N323" s="4"/>
      <c r="O323" s="4"/>
      <c r="P323" s="4"/>
      <c r="Q323" s="4"/>
      <c r="R323" s="4"/>
      <c r="S323" s="4"/>
      <c r="T323" s="4"/>
      <c r="U323" s="4"/>
      <c r="V323" s="4"/>
      <c r="W323" s="4"/>
    </row>
    <row r="324" spans="1:23" ht="15.75" customHeight="1">
      <c r="A324" s="4"/>
      <c r="B324" s="4"/>
      <c r="C324" s="4"/>
      <c r="D324" s="4"/>
      <c r="E324" s="4"/>
      <c r="F324" s="4"/>
      <c r="G324" s="4"/>
      <c r="H324" s="4"/>
      <c r="I324" s="4"/>
      <c r="J324" s="4"/>
      <c r="K324" s="4"/>
      <c r="L324" s="4"/>
      <c r="M324" s="4"/>
      <c r="N324" s="4"/>
      <c r="O324" s="4"/>
      <c r="P324" s="4"/>
      <c r="Q324" s="4"/>
      <c r="R324" s="4"/>
      <c r="S324" s="4"/>
      <c r="T324" s="4"/>
      <c r="U324" s="4"/>
      <c r="V324" s="4"/>
      <c r="W324" s="4"/>
    </row>
    <row r="325" spans="1:23" ht="15.75" customHeight="1">
      <c r="A325" s="4"/>
      <c r="B325" s="4"/>
      <c r="C325" s="4"/>
      <c r="D325" s="4"/>
      <c r="E325" s="4"/>
      <c r="F325" s="4"/>
      <c r="G325" s="4"/>
      <c r="H325" s="4"/>
      <c r="I325" s="4"/>
      <c r="J325" s="4"/>
      <c r="K325" s="4"/>
      <c r="L325" s="4"/>
      <c r="M325" s="4"/>
      <c r="N325" s="4"/>
      <c r="O325" s="4"/>
      <c r="P325" s="4"/>
      <c r="Q325" s="4"/>
      <c r="R325" s="4"/>
      <c r="S325" s="4"/>
      <c r="T325" s="4"/>
      <c r="U325" s="4"/>
      <c r="V325" s="4"/>
      <c r="W325" s="4"/>
    </row>
    <row r="326" spans="1:23" ht="15.75" customHeight="1">
      <c r="A326" s="4"/>
      <c r="B326" s="4"/>
      <c r="C326" s="4"/>
      <c r="D326" s="4"/>
      <c r="E326" s="4"/>
      <c r="F326" s="4"/>
      <c r="G326" s="4"/>
      <c r="H326" s="4"/>
      <c r="I326" s="4"/>
      <c r="J326" s="4"/>
      <c r="K326" s="4"/>
      <c r="L326" s="4"/>
      <c r="M326" s="4"/>
      <c r="N326" s="4"/>
      <c r="O326" s="4"/>
      <c r="P326" s="4"/>
      <c r="Q326" s="4"/>
      <c r="R326" s="4"/>
      <c r="S326" s="4"/>
      <c r="T326" s="4"/>
      <c r="U326" s="4"/>
      <c r="V326" s="4"/>
      <c r="W326" s="4"/>
    </row>
    <row r="327" spans="1:23" ht="15.75" customHeight="1">
      <c r="A327" s="4"/>
      <c r="B327" s="4"/>
      <c r="C327" s="4"/>
      <c r="D327" s="4"/>
      <c r="E327" s="4"/>
      <c r="F327" s="4"/>
      <c r="G327" s="4"/>
      <c r="H327" s="4"/>
      <c r="I327" s="4"/>
      <c r="J327" s="4"/>
      <c r="K327" s="4"/>
      <c r="L327" s="4"/>
      <c r="M327" s="4"/>
      <c r="N327" s="4"/>
      <c r="O327" s="4"/>
      <c r="P327" s="4"/>
      <c r="Q327" s="4"/>
      <c r="R327" s="4"/>
      <c r="S327" s="4"/>
      <c r="T327" s="4"/>
      <c r="U327" s="4"/>
      <c r="V327" s="4"/>
      <c r="W327" s="4"/>
    </row>
    <row r="328" spans="1:23" ht="15.75" customHeight="1">
      <c r="A328" s="4"/>
      <c r="B328" s="4"/>
      <c r="C328" s="4"/>
      <c r="D328" s="4"/>
      <c r="E328" s="4"/>
      <c r="F328" s="4"/>
      <c r="G328" s="4"/>
      <c r="H328" s="4"/>
      <c r="I328" s="4"/>
      <c r="J328" s="4"/>
      <c r="K328" s="4"/>
      <c r="L328" s="4"/>
      <c r="M328" s="4"/>
      <c r="N328" s="4"/>
      <c r="O328" s="4"/>
      <c r="P328" s="4"/>
      <c r="Q328" s="4"/>
      <c r="R328" s="4"/>
      <c r="S328" s="4"/>
      <c r="T328" s="4"/>
      <c r="U328" s="4"/>
      <c r="V328" s="4"/>
      <c r="W328" s="4"/>
    </row>
    <row r="329" spans="1:23" ht="15.75" customHeight="1">
      <c r="A329" s="4"/>
      <c r="B329" s="4"/>
      <c r="C329" s="4"/>
      <c r="D329" s="4"/>
      <c r="E329" s="4"/>
      <c r="F329" s="4"/>
      <c r="G329" s="4"/>
      <c r="H329" s="4"/>
      <c r="I329" s="4"/>
      <c r="J329" s="4"/>
      <c r="K329" s="4"/>
      <c r="L329" s="4"/>
      <c r="M329" s="4"/>
      <c r="N329" s="4"/>
      <c r="O329" s="4"/>
      <c r="P329" s="4"/>
      <c r="Q329" s="4"/>
      <c r="R329" s="4"/>
      <c r="S329" s="4"/>
      <c r="T329" s="4"/>
      <c r="U329" s="4"/>
      <c r="V329" s="4"/>
      <c r="W329" s="4"/>
    </row>
    <row r="330" spans="1:23" ht="15.75" customHeight="1">
      <c r="A330" s="4"/>
      <c r="B330" s="4"/>
      <c r="C330" s="4"/>
      <c r="D330" s="4"/>
      <c r="E330" s="4"/>
      <c r="F330" s="4"/>
      <c r="G330" s="4"/>
      <c r="H330" s="4"/>
      <c r="I330" s="4"/>
      <c r="J330" s="4"/>
      <c r="K330" s="4"/>
      <c r="L330" s="4"/>
      <c r="M330" s="4"/>
      <c r="N330" s="4"/>
      <c r="O330" s="4"/>
      <c r="P330" s="4"/>
      <c r="Q330" s="4"/>
      <c r="R330" s="4"/>
      <c r="S330" s="4"/>
      <c r="T330" s="4"/>
      <c r="U330" s="4"/>
      <c r="V330" s="4"/>
      <c r="W330" s="4"/>
    </row>
    <row r="331" spans="1:23" ht="15.75" customHeight="1">
      <c r="A331" s="4"/>
      <c r="B331" s="4"/>
      <c r="C331" s="4"/>
      <c r="D331" s="4"/>
      <c r="E331" s="4"/>
      <c r="F331" s="4"/>
      <c r="G331" s="4"/>
      <c r="H331" s="4"/>
      <c r="I331" s="4"/>
      <c r="J331" s="4"/>
      <c r="K331" s="4"/>
      <c r="L331" s="4"/>
      <c r="M331" s="4"/>
      <c r="N331" s="4"/>
      <c r="O331" s="4"/>
      <c r="P331" s="4"/>
      <c r="Q331" s="4"/>
      <c r="R331" s="4"/>
      <c r="S331" s="4"/>
      <c r="T331" s="4"/>
      <c r="U331" s="4"/>
      <c r="V331" s="4"/>
      <c r="W331" s="4"/>
    </row>
    <row r="332" spans="1:23" ht="15.75" customHeight="1">
      <c r="A332" s="4"/>
      <c r="B332" s="4"/>
      <c r="C332" s="4"/>
      <c r="D332" s="4"/>
      <c r="E332" s="4"/>
      <c r="F332" s="4"/>
      <c r="G332" s="4"/>
      <c r="H332" s="4"/>
      <c r="I332" s="4"/>
      <c r="J332" s="4"/>
      <c r="K332" s="4"/>
      <c r="L332" s="4"/>
      <c r="M332" s="4"/>
      <c r="N332" s="4"/>
      <c r="O332" s="4"/>
      <c r="P332" s="4"/>
      <c r="Q332" s="4"/>
      <c r="R332" s="4"/>
      <c r="S332" s="4"/>
      <c r="T332" s="4"/>
      <c r="U332" s="4"/>
      <c r="V332" s="4"/>
      <c r="W332" s="4"/>
    </row>
    <row r="333" spans="1:23" ht="15.75" customHeight="1">
      <c r="A333" s="4"/>
      <c r="B333" s="4"/>
      <c r="C333" s="4"/>
      <c r="D333" s="4"/>
      <c r="E333" s="4"/>
      <c r="F333" s="4"/>
      <c r="G333" s="4"/>
      <c r="H333" s="4"/>
      <c r="I333" s="4"/>
      <c r="J333" s="4"/>
      <c r="K333" s="4"/>
      <c r="L333" s="4"/>
      <c r="M333" s="4"/>
      <c r="N333" s="4"/>
      <c r="O333" s="4"/>
      <c r="P333" s="4"/>
      <c r="Q333" s="4"/>
      <c r="R333" s="4"/>
      <c r="S333" s="4"/>
      <c r="T333" s="4"/>
      <c r="U333" s="4"/>
      <c r="V333" s="4"/>
      <c r="W333" s="4"/>
    </row>
    <row r="334" spans="1:23" ht="15.75" customHeight="1">
      <c r="A334" s="4"/>
      <c r="B334" s="4"/>
      <c r="C334" s="4"/>
      <c r="D334" s="4"/>
      <c r="E334" s="4"/>
      <c r="F334" s="4"/>
      <c r="G334" s="4"/>
      <c r="H334" s="4"/>
      <c r="I334" s="4"/>
      <c r="J334" s="4"/>
      <c r="K334" s="4"/>
      <c r="L334" s="4"/>
      <c r="M334" s="4"/>
      <c r="N334" s="4"/>
      <c r="O334" s="4"/>
      <c r="P334" s="4"/>
      <c r="Q334" s="4"/>
      <c r="R334" s="4"/>
      <c r="S334" s="4"/>
      <c r="T334" s="4"/>
      <c r="U334" s="4"/>
      <c r="V334" s="4"/>
      <c r="W334" s="4"/>
    </row>
    <row r="335" spans="1:23" ht="15.75" customHeight="1">
      <c r="A335" s="4"/>
      <c r="B335" s="4"/>
      <c r="C335" s="4"/>
      <c r="D335" s="4"/>
      <c r="E335" s="4"/>
      <c r="F335" s="4"/>
      <c r="G335" s="4"/>
      <c r="H335" s="4"/>
      <c r="I335" s="4"/>
      <c r="J335" s="4"/>
      <c r="K335" s="4"/>
      <c r="L335" s="4"/>
      <c r="M335" s="4"/>
      <c r="N335" s="4"/>
      <c r="O335" s="4"/>
      <c r="P335" s="4"/>
      <c r="Q335" s="4"/>
      <c r="R335" s="4"/>
      <c r="S335" s="4"/>
      <c r="T335" s="4"/>
      <c r="U335" s="4"/>
      <c r="V335" s="4"/>
      <c r="W335" s="4"/>
    </row>
    <row r="336" spans="1:23" ht="15.75" customHeight="1">
      <c r="A336" s="4"/>
      <c r="B336" s="4"/>
      <c r="C336" s="4"/>
      <c r="D336" s="4"/>
      <c r="E336" s="4"/>
      <c r="F336" s="4"/>
      <c r="G336" s="4"/>
      <c r="H336" s="4"/>
      <c r="I336" s="4"/>
      <c r="J336" s="4"/>
      <c r="K336" s="4"/>
      <c r="L336" s="4"/>
      <c r="M336" s="4"/>
      <c r="N336" s="4"/>
      <c r="O336" s="4"/>
      <c r="P336" s="4"/>
      <c r="Q336" s="4"/>
      <c r="R336" s="4"/>
      <c r="S336" s="4"/>
      <c r="T336" s="4"/>
      <c r="U336" s="4"/>
      <c r="V336" s="4"/>
      <c r="W336" s="4"/>
    </row>
    <row r="337" spans="1:23" ht="15.75" customHeight="1">
      <c r="A337" s="4"/>
      <c r="B337" s="4"/>
      <c r="C337" s="4"/>
      <c r="D337" s="4"/>
      <c r="E337" s="4"/>
      <c r="F337" s="4"/>
      <c r="G337" s="4"/>
      <c r="H337" s="4"/>
      <c r="I337" s="4"/>
      <c r="J337" s="4"/>
      <c r="K337" s="4"/>
      <c r="L337" s="4"/>
      <c r="M337" s="4"/>
      <c r="N337" s="4"/>
      <c r="O337" s="4"/>
      <c r="P337" s="4"/>
      <c r="Q337" s="4"/>
      <c r="R337" s="4"/>
      <c r="S337" s="4"/>
      <c r="T337" s="4"/>
      <c r="U337" s="4"/>
      <c r="V337" s="4"/>
      <c r="W337" s="4"/>
    </row>
    <row r="338" spans="1:23" ht="15.75" customHeight="1">
      <c r="A338" s="4"/>
      <c r="B338" s="4"/>
      <c r="C338" s="4"/>
      <c r="D338" s="4"/>
      <c r="E338" s="4"/>
      <c r="F338" s="4"/>
      <c r="G338" s="4"/>
      <c r="H338" s="4"/>
      <c r="I338" s="4"/>
      <c r="J338" s="4"/>
      <c r="K338" s="4"/>
      <c r="L338" s="4"/>
      <c r="M338" s="4"/>
      <c r="N338" s="4"/>
      <c r="O338" s="4"/>
      <c r="P338" s="4"/>
      <c r="Q338" s="4"/>
      <c r="R338" s="4"/>
      <c r="S338" s="4"/>
      <c r="T338" s="4"/>
      <c r="U338" s="4"/>
      <c r="V338" s="4"/>
      <c r="W338" s="4"/>
    </row>
    <row r="339" spans="1:23" ht="15.75" customHeight="1">
      <c r="A339" s="4"/>
      <c r="B339" s="4"/>
      <c r="C339" s="4"/>
      <c r="D339" s="4"/>
      <c r="E339" s="4"/>
      <c r="F339" s="4"/>
      <c r="G339" s="4"/>
      <c r="H339" s="4"/>
      <c r="I339" s="4"/>
      <c r="J339" s="4"/>
      <c r="K339" s="4"/>
      <c r="L339" s="4"/>
      <c r="M339" s="4"/>
      <c r="N339" s="4"/>
      <c r="O339" s="4"/>
      <c r="P339" s="4"/>
      <c r="Q339" s="4"/>
      <c r="R339" s="4"/>
      <c r="S339" s="4"/>
      <c r="T339" s="4"/>
      <c r="U339" s="4"/>
      <c r="V339" s="4"/>
      <c r="W339" s="4"/>
    </row>
    <row r="340" spans="1:23" ht="15.75" customHeight="1">
      <c r="A340" s="4"/>
      <c r="B340" s="4"/>
      <c r="C340" s="4"/>
      <c r="D340" s="4"/>
      <c r="E340" s="4"/>
      <c r="F340" s="4"/>
      <c r="G340" s="4"/>
      <c r="H340" s="4"/>
      <c r="I340" s="4"/>
      <c r="J340" s="4"/>
      <c r="K340" s="4"/>
      <c r="L340" s="4"/>
      <c r="M340" s="4"/>
      <c r="N340" s="4"/>
      <c r="O340" s="4"/>
      <c r="P340" s="4"/>
      <c r="Q340" s="4"/>
      <c r="R340" s="4"/>
      <c r="S340" s="4"/>
      <c r="T340" s="4"/>
      <c r="U340" s="4"/>
      <c r="V340" s="4"/>
      <c r="W340" s="4"/>
    </row>
    <row r="341" spans="1:23" ht="15.75" customHeight="1">
      <c r="A341" s="4"/>
      <c r="B341" s="4"/>
      <c r="C341" s="4"/>
      <c r="D341" s="4"/>
      <c r="E341" s="4"/>
      <c r="F341" s="4"/>
      <c r="G341" s="4"/>
      <c r="H341" s="4"/>
      <c r="I341" s="4"/>
      <c r="J341" s="4"/>
      <c r="K341" s="4"/>
      <c r="L341" s="4"/>
      <c r="M341" s="4"/>
      <c r="N341" s="4"/>
      <c r="O341" s="4"/>
      <c r="P341" s="4"/>
      <c r="Q341" s="4"/>
      <c r="R341" s="4"/>
      <c r="S341" s="4"/>
      <c r="T341" s="4"/>
      <c r="U341" s="4"/>
      <c r="V341" s="4"/>
      <c r="W341" s="4"/>
    </row>
    <row r="342" spans="1:23" ht="15.75" customHeight="1">
      <c r="A342" s="4"/>
      <c r="B342" s="4"/>
      <c r="C342" s="4"/>
      <c r="D342" s="4"/>
      <c r="E342" s="4"/>
      <c r="F342" s="4"/>
      <c r="G342" s="4"/>
      <c r="H342" s="4"/>
      <c r="I342" s="4"/>
      <c r="J342" s="4"/>
      <c r="K342" s="4"/>
      <c r="L342" s="4"/>
      <c r="M342" s="4"/>
      <c r="N342" s="4"/>
      <c r="O342" s="4"/>
      <c r="P342" s="4"/>
      <c r="Q342" s="4"/>
      <c r="R342" s="4"/>
      <c r="S342" s="4"/>
      <c r="T342" s="4"/>
      <c r="U342" s="4"/>
      <c r="V342" s="4"/>
      <c r="W342" s="4"/>
    </row>
    <row r="343" spans="1:23" ht="15.75" customHeight="1">
      <c r="A343" s="4"/>
      <c r="B343" s="4"/>
      <c r="C343" s="4"/>
      <c r="D343" s="4"/>
      <c r="E343" s="4"/>
      <c r="F343" s="4"/>
      <c r="G343" s="4"/>
      <c r="H343" s="4"/>
      <c r="I343" s="4"/>
      <c r="J343" s="4"/>
      <c r="K343" s="4"/>
      <c r="L343" s="4"/>
      <c r="M343" s="4"/>
      <c r="N343" s="4"/>
      <c r="O343" s="4"/>
      <c r="P343" s="4"/>
      <c r="Q343" s="4"/>
      <c r="R343" s="4"/>
      <c r="S343" s="4"/>
      <c r="T343" s="4"/>
      <c r="U343" s="4"/>
      <c r="V343" s="4"/>
      <c r="W343" s="4"/>
    </row>
    <row r="344" spans="1:23" ht="15.75" customHeight="1">
      <c r="A344" s="4"/>
      <c r="B344" s="4"/>
      <c r="C344" s="4"/>
      <c r="D344" s="4"/>
      <c r="E344" s="4"/>
      <c r="F344" s="4"/>
      <c r="G344" s="4"/>
      <c r="H344" s="4"/>
      <c r="I344" s="4"/>
      <c r="J344" s="4"/>
      <c r="K344" s="4"/>
      <c r="L344" s="4"/>
      <c r="M344" s="4"/>
      <c r="N344" s="4"/>
      <c r="O344" s="4"/>
      <c r="P344" s="4"/>
      <c r="Q344" s="4"/>
      <c r="R344" s="4"/>
      <c r="S344" s="4"/>
      <c r="T344" s="4"/>
      <c r="U344" s="4"/>
      <c r="V344" s="4"/>
      <c r="W344" s="4"/>
    </row>
    <row r="345" spans="1:23" ht="15.75" customHeight="1">
      <c r="A345" s="4"/>
      <c r="B345" s="4"/>
      <c r="C345" s="4"/>
      <c r="D345" s="4"/>
      <c r="E345" s="4"/>
      <c r="F345" s="4"/>
      <c r="G345" s="4"/>
      <c r="H345" s="4"/>
      <c r="I345" s="4"/>
      <c r="J345" s="4"/>
      <c r="K345" s="4"/>
      <c r="L345" s="4"/>
      <c r="M345" s="4"/>
      <c r="N345" s="4"/>
      <c r="O345" s="4"/>
      <c r="P345" s="4"/>
      <c r="Q345" s="4"/>
      <c r="R345" s="4"/>
      <c r="S345" s="4"/>
      <c r="T345" s="4"/>
      <c r="U345" s="4"/>
      <c r="V345" s="4"/>
      <c r="W345" s="4"/>
    </row>
    <row r="346" spans="1:23" ht="15.75" customHeight="1">
      <c r="A346" s="4"/>
      <c r="B346" s="4"/>
      <c r="C346" s="4"/>
      <c r="D346" s="4"/>
      <c r="E346" s="4"/>
      <c r="F346" s="4"/>
      <c r="G346" s="4"/>
      <c r="H346" s="4"/>
      <c r="I346" s="4"/>
      <c r="J346" s="4"/>
      <c r="K346" s="4"/>
      <c r="L346" s="4"/>
      <c r="M346" s="4"/>
      <c r="N346" s="4"/>
      <c r="O346" s="4"/>
      <c r="P346" s="4"/>
      <c r="Q346" s="4"/>
      <c r="R346" s="4"/>
      <c r="S346" s="4"/>
      <c r="T346" s="4"/>
      <c r="U346" s="4"/>
      <c r="V346" s="4"/>
      <c r="W346" s="4"/>
    </row>
    <row r="347" spans="1:23" ht="15.75" customHeight="1">
      <c r="A347" s="4"/>
      <c r="B347" s="4"/>
      <c r="C347" s="4"/>
      <c r="D347" s="4"/>
      <c r="E347" s="4"/>
      <c r="F347" s="4"/>
      <c r="G347" s="4"/>
      <c r="H347" s="4"/>
      <c r="I347" s="4"/>
      <c r="J347" s="4"/>
      <c r="K347" s="4"/>
      <c r="L347" s="4"/>
      <c r="M347" s="4"/>
      <c r="N347" s="4"/>
      <c r="O347" s="4"/>
      <c r="P347" s="4"/>
      <c r="Q347" s="4"/>
      <c r="R347" s="4"/>
      <c r="S347" s="4"/>
      <c r="T347" s="4"/>
      <c r="U347" s="4"/>
      <c r="V347" s="4"/>
      <c r="W347" s="4"/>
    </row>
    <row r="348" spans="1:23" ht="15.75" customHeight="1">
      <c r="A348" s="4"/>
      <c r="B348" s="4"/>
      <c r="C348" s="4"/>
      <c r="D348" s="4"/>
      <c r="E348" s="4"/>
      <c r="F348" s="4"/>
      <c r="G348" s="4"/>
      <c r="H348" s="4"/>
      <c r="I348" s="4"/>
      <c r="J348" s="4"/>
      <c r="K348" s="4"/>
      <c r="L348" s="4"/>
      <c r="M348" s="4"/>
      <c r="N348" s="4"/>
      <c r="O348" s="4"/>
      <c r="P348" s="4"/>
      <c r="Q348" s="4"/>
      <c r="R348" s="4"/>
      <c r="S348" s="4"/>
      <c r="T348" s="4"/>
      <c r="U348" s="4"/>
      <c r="V348" s="4"/>
      <c r="W348" s="4"/>
    </row>
    <row r="349" spans="1:23" ht="15.75" customHeight="1">
      <c r="A349" s="4"/>
      <c r="B349" s="4"/>
      <c r="C349" s="4"/>
      <c r="D349" s="4"/>
      <c r="E349" s="4"/>
      <c r="F349" s="4"/>
      <c r="G349" s="4"/>
      <c r="H349" s="4"/>
      <c r="I349" s="4"/>
      <c r="J349" s="4"/>
      <c r="K349" s="4"/>
      <c r="L349" s="4"/>
      <c r="M349" s="4"/>
      <c r="N349" s="4"/>
      <c r="O349" s="4"/>
      <c r="P349" s="4"/>
      <c r="Q349" s="4"/>
      <c r="R349" s="4"/>
      <c r="S349" s="4"/>
      <c r="T349" s="4"/>
      <c r="U349" s="4"/>
      <c r="V349" s="4"/>
      <c r="W349" s="4"/>
    </row>
    <row r="350" spans="1:23" ht="15.75" customHeight="1">
      <c r="A350" s="4"/>
      <c r="B350" s="4"/>
      <c r="C350" s="4"/>
      <c r="D350" s="4"/>
      <c r="E350" s="4"/>
      <c r="F350" s="4"/>
      <c r="G350" s="4"/>
      <c r="H350" s="4"/>
      <c r="I350" s="4"/>
      <c r="J350" s="4"/>
      <c r="K350" s="4"/>
      <c r="L350" s="4"/>
      <c r="M350" s="4"/>
      <c r="N350" s="4"/>
      <c r="O350" s="4"/>
      <c r="P350" s="4"/>
      <c r="Q350" s="4"/>
      <c r="R350" s="4"/>
      <c r="S350" s="4"/>
      <c r="T350" s="4"/>
      <c r="U350" s="4"/>
      <c r="V350" s="4"/>
      <c r="W350" s="4"/>
    </row>
    <row r="351" spans="1:23" ht="15.75" customHeight="1">
      <c r="A351" s="4"/>
      <c r="B351" s="4"/>
      <c r="C351" s="4"/>
      <c r="D351" s="4"/>
      <c r="E351" s="4"/>
      <c r="F351" s="4"/>
      <c r="G351" s="4"/>
      <c r="H351" s="4"/>
      <c r="I351" s="4"/>
      <c r="J351" s="4"/>
      <c r="K351" s="4"/>
      <c r="L351" s="4"/>
      <c r="M351" s="4"/>
      <c r="N351" s="4"/>
      <c r="O351" s="4"/>
      <c r="P351" s="4"/>
      <c r="Q351" s="4"/>
      <c r="R351" s="4"/>
      <c r="S351" s="4"/>
      <c r="T351" s="4"/>
      <c r="U351" s="4"/>
      <c r="V351" s="4"/>
      <c r="W351" s="4"/>
    </row>
    <row r="352" spans="1:23" ht="15.75" customHeight="1">
      <c r="A352" s="4"/>
      <c r="B352" s="4"/>
      <c r="C352" s="4"/>
      <c r="D352" s="4"/>
      <c r="E352" s="4"/>
      <c r="F352" s="4"/>
      <c r="G352" s="4"/>
      <c r="H352" s="4"/>
      <c r="I352" s="4"/>
      <c r="J352" s="4"/>
      <c r="K352" s="4"/>
      <c r="L352" s="4"/>
      <c r="M352" s="4"/>
      <c r="N352" s="4"/>
      <c r="O352" s="4"/>
      <c r="P352" s="4"/>
      <c r="Q352" s="4"/>
      <c r="R352" s="4"/>
      <c r="S352" s="4"/>
      <c r="T352" s="4"/>
      <c r="U352" s="4"/>
      <c r="V352" s="4"/>
      <c r="W352" s="4"/>
    </row>
    <row r="353" spans="1:23" ht="15.75" customHeight="1">
      <c r="A353" s="4"/>
      <c r="B353" s="4"/>
      <c r="C353" s="4"/>
      <c r="D353" s="4"/>
      <c r="E353" s="4"/>
      <c r="F353" s="4"/>
      <c r="G353" s="4"/>
      <c r="H353" s="4"/>
      <c r="I353" s="4"/>
      <c r="J353" s="4"/>
      <c r="K353" s="4"/>
      <c r="L353" s="4"/>
      <c r="M353" s="4"/>
      <c r="N353" s="4"/>
      <c r="O353" s="4"/>
      <c r="P353" s="4"/>
      <c r="Q353" s="4"/>
      <c r="R353" s="4"/>
      <c r="S353" s="4"/>
      <c r="T353" s="4"/>
      <c r="U353" s="4"/>
      <c r="V353" s="4"/>
      <c r="W353" s="4"/>
    </row>
    <row r="354" spans="1:23" ht="15.75" customHeight="1">
      <c r="A354" s="4"/>
      <c r="B354" s="4"/>
      <c r="C354" s="4"/>
      <c r="D354" s="4"/>
      <c r="E354" s="4"/>
      <c r="F354" s="4"/>
      <c r="G354" s="4"/>
      <c r="H354" s="4"/>
      <c r="I354" s="4"/>
      <c r="J354" s="4"/>
      <c r="K354" s="4"/>
      <c r="L354" s="4"/>
      <c r="M354" s="4"/>
      <c r="N354" s="4"/>
      <c r="O354" s="4"/>
      <c r="P354" s="4"/>
      <c r="Q354" s="4"/>
      <c r="R354" s="4"/>
      <c r="S354" s="4"/>
      <c r="T354" s="4"/>
      <c r="U354" s="4"/>
      <c r="V354" s="4"/>
      <c r="W354" s="4"/>
    </row>
    <row r="355" spans="1:23" ht="15.75" customHeight="1">
      <c r="A355" s="4"/>
      <c r="B355" s="4"/>
      <c r="C355" s="4"/>
      <c r="D355" s="4"/>
      <c r="E355" s="4"/>
      <c r="F355" s="4"/>
      <c r="G355" s="4"/>
      <c r="H355" s="4"/>
      <c r="I355" s="4"/>
      <c r="J355" s="4"/>
      <c r="K355" s="4"/>
      <c r="L355" s="4"/>
      <c r="M355" s="4"/>
      <c r="N355" s="4"/>
      <c r="O355" s="4"/>
      <c r="P355" s="4"/>
      <c r="Q355" s="4"/>
      <c r="R355" s="4"/>
      <c r="S355" s="4"/>
      <c r="T355" s="4"/>
      <c r="U355" s="4"/>
      <c r="V355" s="4"/>
      <c r="W355" s="4"/>
    </row>
    <row r="356" spans="1:23" ht="15.75" customHeight="1">
      <c r="A356" s="4"/>
      <c r="B356" s="4"/>
      <c r="C356" s="4"/>
      <c r="D356" s="4"/>
      <c r="E356" s="4"/>
      <c r="F356" s="4"/>
      <c r="G356" s="4"/>
      <c r="H356" s="4"/>
      <c r="I356" s="4"/>
      <c r="J356" s="4"/>
      <c r="K356" s="4"/>
      <c r="L356" s="4"/>
      <c r="M356" s="4"/>
      <c r="N356" s="4"/>
      <c r="O356" s="4"/>
      <c r="P356" s="4"/>
      <c r="Q356" s="4"/>
      <c r="R356" s="4"/>
      <c r="S356" s="4"/>
      <c r="T356" s="4"/>
      <c r="U356" s="4"/>
      <c r="V356" s="4"/>
      <c r="W356" s="4"/>
    </row>
    <row r="357" spans="1:23" ht="15.75" customHeight="1">
      <c r="A357" s="4"/>
      <c r="B357" s="4"/>
      <c r="C357" s="4"/>
      <c r="D357" s="4"/>
      <c r="E357" s="4"/>
      <c r="F357" s="4"/>
      <c r="G357" s="4"/>
      <c r="H357" s="4"/>
      <c r="I357" s="4"/>
      <c r="J357" s="4"/>
      <c r="K357" s="4"/>
      <c r="L357" s="4"/>
      <c r="M357" s="4"/>
      <c r="N357" s="4"/>
      <c r="O357" s="4"/>
      <c r="P357" s="4"/>
      <c r="Q357" s="4"/>
      <c r="R357" s="4"/>
      <c r="S357" s="4"/>
      <c r="T357" s="4"/>
      <c r="U357" s="4"/>
      <c r="V357" s="4"/>
      <c r="W357" s="4"/>
    </row>
    <row r="358" spans="1:23" ht="15.75" customHeight="1">
      <c r="A358" s="4"/>
      <c r="B358" s="4"/>
      <c r="C358" s="4"/>
      <c r="D358" s="4"/>
      <c r="E358" s="4"/>
      <c r="F358" s="4"/>
      <c r="G358" s="4"/>
      <c r="H358" s="4"/>
      <c r="I358" s="4"/>
      <c r="J358" s="4"/>
      <c r="K358" s="4"/>
      <c r="L358" s="4"/>
      <c r="M358" s="4"/>
      <c r="N358" s="4"/>
      <c r="O358" s="4"/>
      <c r="P358" s="4"/>
      <c r="Q358" s="4"/>
      <c r="R358" s="4"/>
      <c r="S358" s="4"/>
      <c r="T358" s="4"/>
      <c r="U358" s="4"/>
      <c r="V358" s="4"/>
      <c r="W358" s="4"/>
    </row>
    <row r="359" spans="1:23" ht="15.75" customHeight="1">
      <c r="A359" s="4"/>
      <c r="B359" s="4"/>
      <c r="C359" s="4"/>
      <c r="D359" s="4"/>
      <c r="E359" s="4"/>
      <c r="F359" s="4"/>
      <c r="G359" s="4"/>
      <c r="H359" s="4"/>
      <c r="I359" s="4"/>
      <c r="J359" s="4"/>
      <c r="K359" s="4"/>
      <c r="L359" s="4"/>
      <c r="M359" s="4"/>
      <c r="N359" s="4"/>
      <c r="O359" s="4"/>
      <c r="P359" s="4"/>
      <c r="Q359" s="4"/>
      <c r="R359" s="4"/>
      <c r="S359" s="4"/>
      <c r="T359" s="4"/>
      <c r="U359" s="4"/>
      <c r="V359" s="4"/>
      <c r="W359" s="4"/>
    </row>
    <row r="360" spans="1:23" ht="15.75" customHeight="1">
      <c r="A360" s="4"/>
      <c r="B360" s="4"/>
      <c r="C360" s="4"/>
      <c r="D360" s="4"/>
      <c r="E360" s="4"/>
      <c r="F360" s="4"/>
      <c r="G360" s="4"/>
      <c r="H360" s="4"/>
      <c r="I360" s="4"/>
      <c r="J360" s="4"/>
      <c r="K360" s="4"/>
      <c r="L360" s="4"/>
      <c r="M360" s="4"/>
      <c r="N360" s="4"/>
      <c r="O360" s="4"/>
      <c r="P360" s="4"/>
      <c r="Q360" s="4"/>
      <c r="R360" s="4"/>
      <c r="S360" s="4"/>
      <c r="T360" s="4"/>
      <c r="U360" s="4"/>
      <c r="V360" s="4"/>
      <c r="W360" s="4"/>
    </row>
    <row r="361" spans="1:23" ht="15.75" customHeight="1">
      <c r="A361" s="4"/>
      <c r="B361" s="4"/>
      <c r="C361" s="4"/>
      <c r="D361" s="4"/>
      <c r="E361" s="4"/>
      <c r="F361" s="4"/>
      <c r="G361" s="4"/>
      <c r="H361" s="4"/>
      <c r="I361" s="4"/>
      <c r="J361" s="4"/>
      <c r="K361" s="4"/>
      <c r="L361" s="4"/>
      <c r="M361" s="4"/>
      <c r="N361" s="4"/>
      <c r="O361" s="4"/>
      <c r="P361" s="4"/>
      <c r="Q361" s="4"/>
      <c r="R361" s="4"/>
      <c r="S361" s="4"/>
      <c r="T361" s="4"/>
      <c r="U361" s="4"/>
      <c r="V361" s="4"/>
      <c r="W361" s="4"/>
    </row>
    <row r="362" spans="1:23" ht="15.75" customHeight="1">
      <c r="A362" s="4"/>
      <c r="B362" s="4"/>
      <c r="C362" s="4"/>
      <c r="D362" s="4"/>
      <c r="E362" s="4"/>
      <c r="F362" s="4"/>
      <c r="G362" s="4"/>
      <c r="H362" s="4"/>
      <c r="I362" s="4"/>
      <c r="J362" s="4"/>
      <c r="K362" s="4"/>
      <c r="L362" s="4"/>
      <c r="M362" s="4"/>
      <c r="N362" s="4"/>
      <c r="O362" s="4"/>
      <c r="P362" s="4"/>
      <c r="Q362" s="4"/>
      <c r="R362" s="4"/>
      <c r="S362" s="4"/>
      <c r="T362" s="4"/>
      <c r="U362" s="4"/>
      <c r="V362" s="4"/>
      <c r="W362" s="4"/>
    </row>
    <row r="363" spans="1:23" ht="15.75" customHeight="1">
      <c r="A363" s="4"/>
      <c r="B363" s="4"/>
      <c r="C363" s="4"/>
      <c r="D363" s="4"/>
      <c r="E363" s="4"/>
      <c r="F363" s="4"/>
      <c r="G363" s="4"/>
      <c r="H363" s="4"/>
      <c r="I363" s="4"/>
      <c r="J363" s="4"/>
      <c r="K363" s="4"/>
      <c r="L363" s="4"/>
      <c r="M363" s="4"/>
      <c r="N363" s="4"/>
      <c r="O363" s="4"/>
      <c r="P363" s="4"/>
      <c r="Q363" s="4"/>
      <c r="R363" s="4"/>
      <c r="S363" s="4"/>
      <c r="T363" s="4"/>
      <c r="U363" s="4"/>
      <c r="V363" s="4"/>
      <c r="W363" s="4"/>
    </row>
    <row r="364" spans="1:23" ht="15.75" customHeight="1">
      <c r="A364" s="4"/>
      <c r="B364" s="4"/>
      <c r="C364" s="4"/>
      <c r="D364" s="4"/>
      <c r="E364" s="4"/>
      <c r="F364" s="4"/>
      <c r="G364" s="4"/>
      <c r="H364" s="4"/>
      <c r="I364" s="4"/>
      <c r="J364" s="4"/>
      <c r="K364" s="4"/>
      <c r="L364" s="4"/>
      <c r="M364" s="4"/>
      <c r="N364" s="4"/>
      <c r="O364" s="4"/>
      <c r="P364" s="4"/>
      <c r="Q364" s="4"/>
      <c r="R364" s="4"/>
      <c r="S364" s="4"/>
      <c r="T364" s="4"/>
      <c r="U364" s="4"/>
      <c r="V364" s="4"/>
      <c r="W364" s="4"/>
    </row>
    <row r="365" spans="1:23" ht="15.75" customHeight="1">
      <c r="A365" s="4"/>
      <c r="B365" s="4"/>
      <c r="C365" s="4"/>
      <c r="D365" s="4"/>
      <c r="E365" s="4"/>
      <c r="F365" s="4"/>
      <c r="G365" s="4"/>
      <c r="H365" s="4"/>
      <c r="I365" s="4"/>
      <c r="J365" s="4"/>
      <c r="K365" s="4"/>
      <c r="L365" s="4"/>
      <c r="M365" s="4"/>
      <c r="N365" s="4"/>
      <c r="O365" s="4"/>
      <c r="P365" s="4"/>
      <c r="Q365" s="4"/>
      <c r="R365" s="4"/>
      <c r="S365" s="4"/>
      <c r="T365" s="4"/>
      <c r="U365" s="4"/>
      <c r="V365" s="4"/>
      <c r="W365" s="4"/>
    </row>
    <row r="366" spans="1:23" ht="15.75" customHeight="1">
      <c r="A366" s="4"/>
      <c r="B366" s="4"/>
      <c r="C366" s="4"/>
      <c r="D366" s="4"/>
      <c r="E366" s="4"/>
      <c r="F366" s="4"/>
      <c r="G366" s="4"/>
      <c r="H366" s="4"/>
      <c r="I366" s="4"/>
      <c r="J366" s="4"/>
      <c r="K366" s="4"/>
      <c r="L366" s="4"/>
      <c r="M366" s="4"/>
      <c r="N366" s="4"/>
      <c r="O366" s="4"/>
      <c r="P366" s="4"/>
      <c r="Q366" s="4"/>
      <c r="R366" s="4"/>
      <c r="S366" s="4"/>
      <c r="T366" s="4"/>
      <c r="U366" s="4"/>
      <c r="V366" s="4"/>
      <c r="W366" s="4"/>
    </row>
    <row r="367" spans="1:23" ht="15.75" customHeight="1">
      <c r="A367" s="4"/>
      <c r="B367" s="4"/>
      <c r="C367" s="4"/>
      <c r="D367" s="4"/>
      <c r="E367" s="4"/>
      <c r="F367" s="4"/>
      <c r="G367" s="4"/>
      <c r="H367" s="4"/>
      <c r="I367" s="4"/>
      <c r="J367" s="4"/>
      <c r="K367" s="4"/>
      <c r="L367" s="4"/>
      <c r="M367" s="4"/>
      <c r="N367" s="4"/>
      <c r="O367" s="4"/>
      <c r="P367" s="4"/>
      <c r="Q367" s="4"/>
      <c r="R367" s="4"/>
      <c r="S367" s="4"/>
      <c r="T367" s="4"/>
      <c r="U367" s="4"/>
      <c r="V367" s="4"/>
      <c r="W367" s="4"/>
    </row>
    <row r="368" spans="1:23" ht="15.75" customHeight="1">
      <c r="A368" s="4"/>
      <c r="B368" s="4"/>
      <c r="C368" s="4"/>
      <c r="D368" s="4"/>
      <c r="E368" s="4"/>
      <c r="F368" s="4"/>
      <c r="G368" s="4"/>
      <c r="H368" s="4"/>
      <c r="I368" s="4"/>
      <c r="J368" s="4"/>
      <c r="K368" s="4"/>
      <c r="L368" s="4"/>
      <c r="M368" s="4"/>
      <c r="N368" s="4"/>
      <c r="O368" s="4"/>
      <c r="P368" s="4"/>
      <c r="Q368" s="4"/>
      <c r="R368" s="4"/>
      <c r="S368" s="4"/>
      <c r="T368" s="4"/>
      <c r="U368" s="4"/>
      <c r="V368" s="4"/>
      <c r="W368" s="4"/>
    </row>
    <row r="369" spans="1:23" ht="15.75" customHeight="1">
      <c r="A369" s="4"/>
      <c r="B369" s="4"/>
      <c r="C369" s="4"/>
      <c r="D369" s="4"/>
      <c r="E369" s="4"/>
      <c r="F369" s="4"/>
      <c r="G369" s="4"/>
      <c r="H369" s="4"/>
      <c r="I369" s="4"/>
      <c r="J369" s="4"/>
      <c r="K369" s="4"/>
      <c r="L369" s="4"/>
      <c r="M369" s="4"/>
      <c r="N369" s="4"/>
      <c r="O369" s="4"/>
      <c r="P369" s="4"/>
      <c r="Q369" s="4"/>
      <c r="R369" s="4"/>
      <c r="S369" s="4"/>
      <c r="T369" s="4"/>
      <c r="U369" s="4"/>
      <c r="V369" s="4"/>
      <c r="W369" s="4"/>
    </row>
    <row r="370" spans="1:23" ht="15.75" customHeight="1">
      <c r="A370" s="4"/>
      <c r="B370" s="4"/>
      <c r="C370" s="4"/>
      <c r="D370" s="4"/>
      <c r="E370" s="4"/>
      <c r="F370" s="4"/>
      <c r="G370" s="4"/>
      <c r="H370" s="4"/>
      <c r="I370" s="4"/>
      <c r="J370" s="4"/>
      <c r="K370" s="4"/>
      <c r="L370" s="4"/>
      <c r="M370" s="4"/>
      <c r="N370" s="4"/>
      <c r="O370" s="4"/>
      <c r="P370" s="4"/>
      <c r="Q370" s="4"/>
      <c r="R370" s="4"/>
      <c r="S370" s="4"/>
      <c r="T370" s="4"/>
      <c r="U370" s="4"/>
      <c r="V370" s="4"/>
      <c r="W370" s="4"/>
    </row>
    <row r="371" spans="1:23" ht="15.75" customHeight="1">
      <c r="A371" s="4"/>
      <c r="B371" s="4"/>
      <c r="C371" s="4"/>
      <c r="D371" s="4"/>
      <c r="E371" s="4"/>
      <c r="F371" s="4"/>
      <c r="G371" s="4"/>
      <c r="H371" s="4"/>
      <c r="I371" s="4"/>
      <c r="J371" s="4"/>
      <c r="K371" s="4"/>
      <c r="L371" s="4"/>
      <c r="M371" s="4"/>
      <c r="N371" s="4"/>
      <c r="O371" s="4"/>
      <c r="P371" s="4"/>
      <c r="Q371" s="4"/>
      <c r="R371" s="4"/>
      <c r="S371" s="4"/>
      <c r="T371" s="4"/>
      <c r="U371" s="4"/>
      <c r="V371" s="4"/>
      <c r="W371" s="4"/>
    </row>
    <row r="372" spans="1:23" ht="15.75" customHeight="1">
      <c r="A372" s="4"/>
      <c r="B372" s="4"/>
      <c r="C372" s="4"/>
      <c r="D372" s="4"/>
      <c r="E372" s="4"/>
      <c r="F372" s="4"/>
      <c r="G372" s="4"/>
      <c r="H372" s="4"/>
      <c r="I372" s="4"/>
      <c r="J372" s="4"/>
      <c r="K372" s="4"/>
      <c r="L372" s="4"/>
      <c r="M372" s="4"/>
      <c r="N372" s="4"/>
      <c r="O372" s="4"/>
      <c r="P372" s="4"/>
      <c r="Q372" s="4"/>
      <c r="R372" s="4"/>
      <c r="S372" s="4"/>
      <c r="T372" s="4"/>
      <c r="U372" s="4"/>
      <c r="V372" s="4"/>
      <c r="W372" s="4"/>
    </row>
    <row r="373" spans="1:23" ht="15.75" customHeight="1">
      <c r="A373" s="4"/>
      <c r="B373" s="4"/>
      <c r="C373" s="4"/>
      <c r="D373" s="4"/>
      <c r="E373" s="4"/>
      <c r="F373" s="4"/>
      <c r="G373" s="4"/>
      <c r="H373" s="4"/>
      <c r="I373" s="4"/>
      <c r="J373" s="4"/>
      <c r="K373" s="4"/>
      <c r="L373" s="4"/>
      <c r="M373" s="4"/>
      <c r="N373" s="4"/>
      <c r="O373" s="4"/>
      <c r="P373" s="4"/>
      <c r="Q373" s="4"/>
      <c r="R373" s="4"/>
      <c r="S373" s="4"/>
      <c r="T373" s="4"/>
      <c r="U373" s="4"/>
      <c r="V373" s="4"/>
      <c r="W373" s="4"/>
    </row>
    <row r="374" spans="1:23" ht="15.75" customHeight="1">
      <c r="A374" s="4"/>
      <c r="B374" s="4"/>
      <c r="C374" s="4"/>
      <c r="D374" s="4"/>
      <c r="E374" s="4"/>
      <c r="F374" s="4"/>
      <c r="G374" s="4"/>
      <c r="H374" s="4"/>
      <c r="I374" s="4"/>
      <c r="J374" s="4"/>
      <c r="K374" s="4"/>
      <c r="L374" s="4"/>
      <c r="M374" s="4"/>
      <c r="N374" s="4"/>
      <c r="O374" s="4"/>
      <c r="P374" s="4"/>
      <c r="Q374" s="4"/>
      <c r="R374" s="4"/>
      <c r="S374" s="4"/>
      <c r="T374" s="4"/>
      <c r="U374" s="4"/>
      <c r="V374" s="4"/>
      <c r="W374" s="4"/>
    </row>
    <row r="375" spans="1:23" ht="15.75" customHeight="1">
      <c r="A375" s="4"/>
      <c r="B375" s="4"/>
      <c r="C375" s="4"/>
      <c r="D375" s="4"/>
      <c r="E375" s="4"/>
      <c r="F375" s="4"/>
      <c r="G375" s="4"/>
      <c r="H375" s="4"/>
      <c r="I375" s="4"/>
      <c r="J375" s="4"/>
      <c r="K375" s="4"/>
      <c r="L375" s="4"/>
      <c r="M375" s="4"/>
      <c r="N375" s="4"/>
      <c r="O375" s="4"/>
      <c r="P375" s="4"/>
      <c r="Q375" s="4"/>
      <c r="R375" s="4"/>
      <c r="S375" s="4"/>
      <c r="T375" s="4"/>
      <c r="U375" s="4"/>
      <c r="V375" s="4"/>
      <c r="W375" s="4"/>
    </row>
    <row r="376" spans="1:23" ht="15.75" customHeight="1">
      <c r="A376" s="4"/>
      <c r="B376" s="4"/>
      <c r="C376" s="4"/>
      <c r="D376" s="4"/>
      <c r="E376" s="4"/>
      <c r="F376" s="4"/>
      <c r="G376" s="4"/>
      <c r="H376" s="4"/>
      <c r="I376" s="4"/>
      <c r="J376" s="4"/>
      <c r="K376" s="4"/>
      <c r="L376" s="4"/>
      <c r="M376" s="4"/>
      <c r="N376" s="4"/>
      <c r="O376" s="4"/>
      <c r="P376" s="4"/>
      <c r="Q376" s="4"/>
      <c r="R376" s="4"/>
      <c r="S376" s="4"/>
      <c r="T376" s="4"/>
      <c r="U376" s="4"/>
      <c r="V376" s="4"/>
      <c r="W376" s="4"/>
    </row>
    <row r="377" spans="1:23" ht="15.75" customHeight="1">
      <c r="A377" s="4"/>
      <c r="B377" s="4"/>
      <c r="C377" s="4"/>
      <c r="D377" s="4"/>
      <c r="E377" s="4"/>
      <c r="F377" s="4"/>
      <c r="G377" s="4"/>
      <c r="H377" s="4"/>
      <c r="I377" s="4"/>
      <c r="J377" s="4"/>
      <c r="K377" s="4"/>
      <c r="L377" s="4"/>
      <c r="M377" s="4"/>
      <c r="N377" s="4"/>
      <c r="O377" s="4"/>
      <c r="P377" s="4"/>
      <c r="Q377" s="4"/>
      <c r="R377" s="4"/>
      <c r="S377" s="4"/>
      <c r="T377" s="4"/>
      <c r="U377" s="4"/>
      <c r="V377" s="4"/>
      <c r="W377" s="4"/>
    </row>
    <row r="378" spans="1:23" ht="15.75" customHeight="1">
      <c r="A378" s="4"/>
      <c r="B378" s="4"/>
      <c r="C378" s="4"/>
      <c r="D378" s="4"/>
      <c r="E378" s="4"/>
      <c r="F378" s="4"/>
      <c r="G378" s="4"/>
      <c r="H378" s="4"/>
      <c r="I378" s="4"/>
      <c r="J378" s="4"/>
      <c r="K378" s="4"/>
      <c r="L378" s="4"/>
      <c r="M378" s="4"/>
      <c r="N378" s="4"/>
      <c r="O378" s="4"/>
      <c r="P378" s="4"/>
      <c r="Q378" s="4"/>
      <c r="R378" s="4"/>
      <c r="S378" s="4"/>
      <c r="T378" s="4"/>
      <c r="U378" s="4"/>
      <c r="V378" s="4"/>
      <c r="W378" s="4"/>
    </row>
    <row r="379" spans="1:23" ht="15.75" customHeight="1">
      <c r="A379" s="4"/>
      <c r="B379" s="4"/>
      <c r="C379" s="4"/>
      <c r="D379" s="4"/>
      <c r="E379" s="4"/>
      <c r="F379" s="4"/>
      <c r="G379" s="4"/>
      <c r="H379" s="4"/>
      <c r="I379" s="4"/>
      <c r="J379" s="4"/>
      <c r="K379" s="4"/>
      <c r="L379" s="4"/>
      <c r="M379" s="4"/>
      <c r="N379" s="4"/>
      <c r="O379" s="4"/>
      <c r="P379" s="4"/>
      <c r="Q379" s="4"/>
      <c r="R379" s="4"/>
      <c r="S379" s="4"/>
      <c r="T379" s="4"/>
      <c r="U379" s="4"/>
      <c r="V379" s="4"/>
      <c r="W379" s="4"/>
    </row>
    <row r="380" spans="1:23" ht="15.75" customHeight="1">
      <c r="A380" s="4"/>
      <c r="B380" s="4"/>
      <c r="C380" s="4"/>
      <c r="D380" s="4"/>
      <c r="E380" s="4"/>
      <c r="F380" s="4"/>
      <c r="G380" s="4"/>
      <c r="H380" s="4"/>
      <c r="I380" s="4"/>
      <c r="J380" s="4"/>
      <c r="K380" s="4"/>
      <c r="L380" s="4"/>
      <c r="M380" s="4"/>
      <c r="N380" s="4"/>
      <c r="O380" s="4"/>
      <c r="P380" s="4"/>
      <c r="Q380" s="4"/>
      <c r="R380" s="4"/>
      <c r="S380" s="4"/>
      <c r="T380" s="4"/>
      <c r="U380" s="4"/>
      <c r="V380" s="4"/>
      <c r="W380" s="4"/>
    </row>
    <row r="381" spans="1:23" ht="15.75" customHeight="1">
      <c r="A381" s="4"/>
      <c r="B381" s="4"/>
      <c r="C381" s="4"/>
      <c r="D381" s="4"/>
      <c r="E381" s="4"/>
      <c r="F381" s="4"/>
      <c r="G381" s="4"/>
      <c r="H381" s="4"/>
      <c r="I381" s="4"/>
      <c r="J381" s="4"/>
      <c r="K381" s="4"/>
      <c r="L381" s="4"/>
      <c r="M381" s="4"/>
      <c r="N381" s="4"/>
      <c r="O381" s="4"/>
      <c r="P381" s="4"/>
      <c r="Q381" s="4"/>
      <c r="R381" s="4"/>
      <c r="S381" s="4"/>
      <c r="T381" s="4"/>
      <c r="U381" s="4"/>
      <c r="V381" s="4"/>
      <c r="W381" s="4"/>
    </row>
    <row r="382" spans="1:23" ht="15.75" customHeight="1">
      <c r="A382" s="4"/>
      <c r="B382" s="4"/>
      <c r="C382" s="4"/>
      <c r="D382" s="4"/>
      <c r="E382" s="4"/>
      <c r="F382" s="4"/>
      <c r="G382" s="4"/>
      <c r="H382" s="4"/>
      <c r="I382" s="4"/>
      <c r="J382" s="4"/>
      <c r="K382" s="4"/>
      <c r="L382" s="4"/>
      <c r="M382" s="4"/>
      <c r="N382" s="4"/>
      <c r="O382" s="4"/>
      <c r="P382" s="4"/>
      <c r="Q382" s="4"/>
      <c r="R382" s="4"/>
      <c r="S382" s="4"/>
      <c r="T382" s="4"/>
      <c r="U382" s="4"/>
      <c r="V382" s="4"/>
      <c r="W382" s="4"/>
    </row>
    <row r="383" spans="1:23" ht="15.75" customHeight="1">
      <c r="A383" s="4"/>
      <c r="B383" s="4"/>
      <c r="C383" s="4"/>
      <c r="D383" s="4"/>
      <c r="E383" s="4"/>
      <c r="F383" s="4"/>
      <c r="G383" s="4"/>
      <c r="H383" s="4"/>
      <c r="I383" s="4"/>
      <c r="J383" s="4"/>
      <c r="K383" s="4"/>
      <c r="L383" s="4"/>
      <c r="M383" s="4"/>
      <c r="N383" s="4"/>
      <c r="O383" s="4"/>
      <c r="P383" s="4"/>
      <c r="Q383" s="4"/>
      <c r="R383" s="4"/>
      <c r="S383" s="4"/>
      <c r="T383" s="4"/>
      <c r="U383" s="4"/>
      <c r="V383" s="4"/>
      <c r="W383" s="4"/>
    </row>
    <row r="384" spans="1:23" ht="15.75" customHeight="1">
      <c r="A384" s="4"/>
      <c r="B384" s="4"/>
      <c r="C384" s="4"/>
      <c r="D384" s="4"/>
      <c r="E384" s="4"/>
      <c r="F384" s="4"/>
      <c r="G384" s="4"/>
      <c r="H384" s="4"/>
      <c r="I384" s="4"/>
      <c r="J384" s="4"/>
      <c r="K384" s="4"/>
      <c r="L384" s="4"/>
      <c r="M384" s="4"/>
      <c r="N384" s="4"/>
      <c r="O384" s="4"/>
      <c r="P384" s="4"/>
      <c r="Q384" s="4"/>
      <c r="R384" s="4"/>
      <c r="S384" s="4"/>
      <c r="T384" s="4"/>
      <c r="U384" s="4"/>
      <c r="V384" s="4"/>
      <c r="W384" s="4"/>
    </row>
    <row r="385" spans="1:23" ht="15.75" customHeight="1">
      <c r="A385" s="4"/>
      <c r="B385" s="4"/>
      <c r="C385" s="4"/>
      <c r="D385" s="4"/>
      <c r="E385" s="4"/>
      <c r="F385" s="4"/>
      <c r="G385" s="4"/>
      <c r="H385" s="4"/>
      <c r="I385" s="4"/>
      <c r="J385" s="4"/>
      <c r="K385" s="4"/>
      <c r="L385" s="4"/>
      <c r="M385" s="4"/>
      <c r="N385" s="4"/>
      <c r="O385" s="4"/>
      <c r="P385" s="4"/>
      <c r="Q385" s="4"/>
      <c r="R385" s="4"/>
      <c r="S385" s="4"/>
      <c r="T385" s="4"/>
      <c r="U385" s="4"/>
      <c r="V385" s="4"/>
      <c r="W385" s="4"/>
    </row>
    <row r="386" spans="1:23" ht="15.75" customHeight="1">
      <c r="A386" s="4"/>
      <c r="B386" s="4"/>
      <c r="C386" s="4"/>
      <c r="D386" s="4"/>
      <c r="E386" s="4"/>
      <c r="F386" s="4"/>
      <c r="G386" s="4"/>
      <c r="H386" s="4"/>
      <c r="I386" s="4"/>
      <c r="J386" s="4"/>
      <c r="K386" s="4"/>
      <c r="L386" s="4"/>
      <c r="M386" s="4"/>
      <c r="N386" s="4"/>
      <c r="O386" s="4"/>
      <c r="P386" s="4"/>
      <c r="Q386" s="4"/>
      <c r="R386" s="4"/>
      <c r="S386" s="4"/>
      <c r="T386" s="4"/>
      <c r="U386" s="4"/>
      <c r="V386" s="4"/>
      <c r="W386" s="4"/>
    </row>
    <row r="387" spans="1:23" ht="15.75" customHeight="1"/>
    <row r="388" spans="1:23" ht="15.75" customHeight="1"/>
    <row r="389" spans="1:23" ht="15.75" customHeight="1"/>
    <row r="390" spans="1:23" ht="15.75" customHeight="1"/>
    <row r="391" spans="1:23" ht="15.75" customHeight="1"/>
    <row r="392" spans="1:23" ht="15.75" customHeight="1"/>
    <row r="393" spans="1:23" ht="15.75" customHeight="1"/>
    <row r="394" spans="1:23" ht="15.75" customHeight="1"/>
    <row r="395" spans="1:23" ht="15.75" customHeight="1"/>
    <row r="396" spans="1:23" ht="15.75" customHeight="1"/>
    <row r="397" spans="1:23" ht="15.75" customHeight="1"/>
    <row r="398" spans="1:23" ht="15.75" customHeight="1"/>
    <row r="399" spans="1:23" ht="15.75" customHeight="1"/>
    <row r="400" spans="1:23"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5"/>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W1000"/>
  <sheetViews>
    <sheetView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12.5703125" defaultRowHeight="15" customHeight="1"/>
  <cols>
    <col min="1" max="1" width="7.5703125" customWidth="1"/>
    <col min="2" max="2" width="5.85546875" customWidth="1"/>
    <col min="5" max="5" width="17.7109375" customWidth="1"/>
    <col min="6" max="6" width="15.28515625" customWidth="1"/>
    <col min="8" max="8" width="17.28515625" customWidth="1"/>
    <col min="9" max="9" width="15.7109375" customWidth="1"/>
    <col min="10" max="10" width="16.5703125" customWidth="1"/>
    <col min="11" max="11" width="17.42578125" customWidth="1"/>
    <col min="12" max="12" width="16.85546875" customWidth="1"/>
    <col min="13" max="13" width="15.5703125" customWidth="1"/>
    <col min="14" max="15" width="17.140625" customWidth="1"/>
    <col min="16" max="16" width="18.42578125" customWidth="1"/>
    <col min="17" max="17" width="16" customWidth="1"/>
  </cols>
  <sheetData>
    <row r="1" spans="1:23" ht="36.75" customHeight="1">
      <c r="A1" s="1" t="s">
        <v>0</v>
      </c>
      <c r="B1" s="2"/>
      <c r="C1" s="2"/>
      <c r="D1" s="2"/>
      <c r="E1" s="2"/>
      <c r="F1" s="2"/>
      <c r="G1" s="2"/>
      <c r="H1" s="2"/>
      <c r="I1" s="2"/>
      <c r="J1" s="2"/>
      <c r="K1" s="2"/>
      <c r="L1" s="2"/>
      <c r="M1" s="2"/>
      <c r="N1" s="2"/>
      <c r="O1" s="2"/>
      <c r="P1" s="2"/>
      <c r="Q1" s="2"/>
      <c r="R1" s="2"/>
      <c r="S1" s="2"/>
      <c r="T1" s="3"/>
      <c r="U1" s="4"/>
      <c r="V1" s="4"/>
      <c r="W1" s="4"/>
    </row>
    <row r="2" spans="1:23" ht="46.5" customHeight="1">
      <c r="A2" s="340" t="s">
        <v>1</v>
      </c>
      <c r="B2" s="341"/>
      <c r="C2" s="5" t="s">
        <v>2</v>
      </c>
      <c r="D2" s="5" t="s">
        <v>3</v>
      </c>
      <c r="E2" s="5"/>
      <c r="F2" s="5" t="s">
        <v>4</v>
      </c>
      <c r="G2" s="5" t="s">
        <v>5</v>
      </c>
      <c r="H2" s="6"/>
      <c r="I2" s="6"/>
      <c r="J2" s="5" t="s">
        <v>6</v>
      </c>
      <c r="K2" s="5" t="s">
        <v>7</v>
      </c>
      <c r="L2" s="5"/>
      <c r="M2" s="6"/>
      <c r="N2" s="5" t="s">
        <v>8</v>
      </c>
      <c r="O2" s="5" t="s">
        <v>9</v>
      </c>
      <c r="P2" s="5" t="s">
        <v>10</v>
      </c>
      <c r="Q2" s="6"/>
      <c r="R2" s="5" t="s">
        <v>11</v>
      </c>
      <c r="S2" s="5" t="s">
        <v>12</v>
      </c>
      <c r="T2" s="6"/>
      <c r="U2" s="7"/>
      <c r="V2" s="7"/>
      <c r="W2" s="7"/>
    </row>
    <row r="3" spans="1:23" ht="15.75" customHeight="1">
      <c r="A3" s="342"/>
      <c r="B3" s="341"/>
      <c r="C3" s="8">
        <v>37.4</v>
      </c>
      <c r="D3" s="9">
        <v>144</v>
      </c>
      <c r="E3" s="10"/>
      <c r="F3" s="11">
        <v>5.0000000000000001E-3</v>
      </c>
      <c r="G3" s="12">
        <v>0.1</v>
      </c>
      <c r="H3" s="13"/>
      <c r="I3" s="13"/>
      <c r="J3" s="14">
        <v>5.0000000000000001E-4</v>
      </c>
      <c r="K3" s="15">
        <v>6.3399999999999998E-2</v>
      </c>
      <c r="L3" s="16"/>
      <c r="M3" s="13"/>
      <c r="N3" s="17" t="s">
        <v>13</v>
      </c>
      <c r="O3" s="11">
        <v>5.0000000000000001E-3</v>
      </c>
      <c r="P3" s="9">
        <v>1300000000000</v>
      </c>
      <c r="Q3" s="13"/>
      <c r="R3" s="13"/>
      <c r="S3" s="16">
        <v>1</v>
      </c>
      <c r="T3" s="13"/>
      <c r="U3" s="7"/>
      <c r="V3" s="7"/>
      <c r="W3" s="7"/>
    </row>
    <row r="4" spans="1:23" ht="40.5" customHeight="1">
      <c r="A4" s="342"/>
      <c r="B4" s="341"/>
      <c r="C4" s="5" t="s">
        <v>14</v>
      </c>
      <c r="D4" s="5" t="s">
        <v>15</v>
      </c>
      <c r="E4" s="18"/>
      <c r="F4" s="5"/>
      <c r="G4" s="19" t="s">
        <v>16</v>
      </c>
      <c r="H4" s="19" t="s">
        <v>17</v>
      </c>
      <c r="I4" s="19" t="s">
        <v>18</v>
      </c>
      <c r="J4" s="5"/>
      <c r="K4" s="5"/>
      <c r="L4" s="5"/>
      <c r="M4" s="5"/>
      <c r="N4" s="5" t="s">
        <v>19</v>
      </c>
      <c r="O4" s="5"/>
      <c r="P4" s="5" t="s">
        <v>20</v>
      </c>
      <c r="Q4" s="5"/>
      <c r="R4" s="5"/>
      <c r="S4" s="5" t="s">
        <v>21</v>
      </c>
      <c r="T4" s="6"/>
      <c r="U4" s="7"/>
      <c r="V4" s="7"/>
      <c r="W4" s="7"/>
    </row>
    <row r="5" spans="1:23" ht="15.75" customHeight="1">
      <c r="A5" s="343"/>
      <c r="B5" s="344"/>
      <c r="C5" s="14">
        <v>0.1</v>
      </c>
      <c r="D5" s="15">
        <v>0.16400000000000001</v>
      </c>
      <c r="E5" s="10"/>
      <c r="F5" s="13"/>
      <c r="G5" s="20">
        <v>0.02</v>
      </c>
      <c r="H5" s="20">
        <v>0.02</v>
      </c>
      <c r="I5" s="21">
        <v>0</v>
      </c>
      <c r="J5" s="13"/>
      <c r="K5" s="13"/>
      <c r="L5" s="16"/>
      <c r="M5" s="13"/>
      <c r="N5" s="16">
        <v>0.1</v>
      </c>
      <c r="O5" s="13"/>
      <c r="P5" s="16">
        <v>0</v>
      </c>
      <c r="Q5" s="13"/>
      <c r="R5" s="13"/>
      <c r="S5" s="22" t="s">
        <v>22</v>
      </c>
      <c r="T5" s="13"/>
      <c r="U5" s="7"/>
      <c r="V5" s="7"/>
      <c r="W5" s="7"/>
    </row>
    <row r="6" spans="1:23" ht="3" customHeight="1">
      <c r="A6" s="23"/>
      <c r="B6" s="23"/>
      <c r="C6" s="23"/>
      <c r="D6" s="23"/>
      <c r="E6" s="23"/>
      <c r="F6" s="23"/>
      <c r="G6" s="23"/>
      <c r="H6" s="23"/>
      <c r="I6" s="23"/>
      <c r="J6" s="23"/>
      <c r="K6" s="23"/>
      <c r="L6" s="23"/>
      <c r="M6" s="23"/>
      <c r="N6" s="23"/>
      <c r="O6" s="23"/>
      <c r="P6" s="23"/>
      <c r="Q6" s="23"/>
      <c r="R6" s="23"/>
      <c r="S6" s="23"/>
      <c r="T6" s="23"/>
      <c r="U6" s="4"/>
      <c r="V6" s="4"/>
      <c r="W6" s="4"/>
    </row>
    <row r="7" spans="1:23" ht="30.75" customHeight="1">
      <c r="A7" s="24" t="s">
        <v>23</v>
      </c>
      <c r="B7" s="25" t="s">
        <v>24</v>
      </c>
      <c r="C7" s="25" t="s">
        <v>25</v>
      </c>
      <c r="D7" s="25" t="s">
        <v>26</v>
      </c>
      <c r="E7" s="25" t="s">
        <v>27</v>
      </c>
      <c r="F7" s="25" t="s">
        <v>28</v>
      </c>
      <c r="G7" s="25" t="s">
        <v>29</v>
      </c>
      <c r="H7" s="25" t="s">
        <v>30</v>
      </c>
      <c r="I7" s="25" t="s">
        <v>31</v>
      </c>
      <c r="J7" s="25" t="s">
        <v>32</v>
      </c>
      <c r="K7" s="25" t="s">
        <v>33</v>
      </c>
      <c r="L7" s="25" t="s">
        <v>34</v>
      </c>
      <c r="M7" s="25" t="s">
        <v>35</v>
      </c>
      <c r="N7" s="25" t="s">
        <v>36</v>
      </c>
      <c r="O7" s="26" t="s">
        <v>37</v>
      </c>
      <c r="P7" s="25" t="s">
        <v>38</v>
      </c>
      <c r="Q7" s="25" t="s">
        <v>39</v>
      </c>
      <c r="R7" s="27" t="s">
        <v>40</v>
      </c>
      <c r="S7" s="25" t="s">
        <v>12</v>
      </c>
      <c r="T7" s="28" t="s">
        <v>41</v>
      </c>
      <c r="U7" s="7"/>
      <c r="V7" s="7"/>
      <c r="W7" s="7"/>
    </row>
    <row r="8" spans="1:23" ht="13.5" customHeight="1">
      <c r="A8" s="29"/>
      <c r="B8" s="30"/>
      <c r="C8" s="30"/>
      <c r="D8" s="30"/>
      <c r="E8" s="30"/>
      <c r="F8" s="30"/>
      <c r="G8" s="30"/>
      <c r="H8" s="30"/>
      <c r="I8" s="30"/>
      <c r="J8" s="30"/>
      <c r="K8" s="30"/>
      <c r="L8" s="30"/>
      <c r="M8" s="30"/>
      <c r="N8" s="30"/>
      <c r="O8" s="30"/>
      <c r="P8" s="30"/>
      <c r="Q8" s="30"/>
      <c r="R8" s="30"/>
      <c r="S8" s="30"/>
      <c r="T8" s="30"/>
      <c r="U8" s="4"/>
      <c r="V8" s="4"/>
      <c r="W8" s="4"/>
    </row>
    <row r="9" spans="1:23" ht="15.75" customHeight="1">
      <c r="A9" s="31" t="s">
        <v>42</v>
      </c>
      <c r="B9" s="32">
        <v>2025</v>
      </c>
      <c r="C9" s="33">
        <f t="shared" ref="C9:D9" si="0">C3</f>
        <v>37.4</v>
      </c>
      <c r="D9" s="34">
        <f t="shared" si="0"/>
        <v>144</v>
      </c>
      <c r="E9" s="34">
        <f t="shared" ref="E9:E184" si="1">D9*C9*1000000000</f>
        <v>5385599999999.999</v>
      </c>
      <c r="F9" s="34">
        <f t="shared" ref="F9:F184" si="2">E9*(1-$F$3)</f>
        <v>5358671999999.999</v>
      </c>
      <c r="G9" s="43">
        <v>0.1</v>
      </c>
      <c r="H9" s="36">
        <f t="shared" ref="H9:H184" si="3">F9*G9</f>
        <v>535867199999.99994</v>
      </c>
      <c r="I9" s="34">
        <f>$I$5+H9</f>
        <v>535867199999.99994</v>
      </c>
      <c r="J9" s="37">
        <f>($I$5+H9*(1-$J$3))</f>
        <v>535599266399.99994</v>
      </c>
      <c r="K9" s="34">
        <f t="shared" ref="K9:K184" si="4">J8*$K$3</f>
        <v>0</v>
      </c>
      <c r="L9" s="34">
        <f t="shared" ref="L9:L184" si="5">F9*(1-G9)</f>
        <v>4822804799999.999</v>
      </c>
      <c r="M9" s="34">
        <f t="shared" ref="M9:M184" si="6">K9+L9</f>
        <v>4822804799999.999</v>
      </c>
      <c r="N9" s="34"/>
      <c r="O9" s="38">
        <f t="shared" ref="O9:O184" si="7">(M9-N9)*(1-$O$3)</f>
        <v>4798690775999.999</v>
      </c>
      <c r="P9" s="39">
        <f t="shared" ref="P9:P34" si="8">$P$3</f>
        <v>1300000000000</v>
      </c>
      <c r="Q9" s="34">
        <f t="shared" ref="Q9:Q184" si="9">O9-P9</f>
        <v>3498690775999.999</v>
      </c>
      <c r="R9" s="40">
        <v>8231613070</v>
      </c>
      <c r="S9" s="35">
        <f t="shared" ref="S9:S184" si="10">$S$3</f>
        <v>1</v>
      </c>
      <c r="T9" s="41">
        <f t="shared" ref="T9:T184" si="11">(Q9/(R9*S9))/12</f>
        <v>35.419250417545022</v>
      </c>
      <c r="U9" s="4"/>
      <c r="V9" s="4"/>
      <c r="W9" s="4"/>
    </row>
    <row r="10" spans="1:23" ht="15.75" customHeight="1">
      <c r="A10" s="31" t="s">
        <v>43</v>
      </c>
      <c r="B10" s="32">
        <v>2026</v>
      </c>
      <c r="C10" s="33">
        <f t="shared" ref="C10:C34" si="12">C9*(1-$C$5)</f>
        <v>33.659999999999997</v>
      </c>
      <c r="D10" s="34">
        <f t="shared" ref="D10:D28" si="13">D9*(1+$D$5)</f>
        <v>167.61599999999999</v>
      </c>
      <c r="E10" s="34">
        <f t="shared" si="1"/>
        <v>5641954559999.999</v>
      </c>
      <c r="F10" s="34">
        <f t="shared" si="2"/>
        <v>5613744787199.999</v>
      </c>
      <c r="G10" s="43">
        <v>0.12</v>
      </c>
      <c r="H10" s="36">
        <f t="shared" si="3"/>
        <v>673649374463.99988</v>
      </c>
      <c r="I10" s="34">
        <f t="shared" ref="I10:I59" si="14">I9+H10</f>
        <v>1209516574463.9998</v>
      </c>
      <c r="J10" s="37">
        <f t="shared" ref="J10:J60" si="15">(J9+H10)*(1-$J$3)</f>
        <v>1208644016543.5679</v>
      </c>
      <c r="K10" s="34">
        <f t="shared" si="4"/>
        <v>33956993489.759995</v>
      </c>
      <c r="L10" s="34">
        <f t="shared" si="5"/>
        <v>4940095412735.999</v>
      </c>
      <c r="M10" s="34">
        <f t="shared" si="6"/>
        <v>4974052406225.7588</v>
      </c>
      <c r="N10" s="34"/>
      <c r="O10" s="38">
        <f t="shared" si="7"/>
        <v>4949182144194.6299</v>
      </c>
      <c r="P10" s="39">
        <f t="shared" si="8"/>
        <v>1300000000000</v>
      </c>
      <c r="Q10" s="34">
        <f t="shared" si="9"/>
        <v>3649182144194.6299</v>
      </c>
      <c r="R10" s="40">
        <v>8300678395</v>
      </c>
      <c r="S10" s="35">
        <f t="shared" si="10"/>
        <v>1</v>
      </c>
      <c r="T10" s="41">
        <f t="shared" si="11"/>
        <v>36.635380573158464</v>
      </c>
      <c r="U10" s="4"/>
      <c r="V10" s="4"/>
      <c r="W10" s="4"/>
    </row>
    <row r="11" spans="1:23" ht="15.75" customHeight="1">
      <c r="A11" s="31" t="s">
        <v>44</v>
      </c>
      <c r="B11" s="32">
        <v>2027</v>
      </c>
      <c r="C11" s="33">
        <f t="shared" si="12"/>
        <v>30.293999999999997</v>
      </c>
      <c r="D11" s="34">
        <f t="shared" si="13"/>
        <v>195.10502399999996</v>
      </c>
      <c r="E11" s="34">
        <f t="shared" si="1"/>
        <v>5910511597055.998</v>
      </c>
      <c r="F11" s="34">
        <f t="shared" si="2"/>
        <v>5880959039070.7178</v>
      </c>
      <c r="G11" s="35">
        <f t="shared" ref="G11:G19" si="16">G10+$G$5</f>
        <v>0.13999999999999999</v>
      </c>
      <c r="H11" s="36">
        <f t="shared" si="3"/>
        <v>823334265469.90039</v>
      </c>
      <c r="I11" s="34">
        <f t="shared" si="14"/>
        <v>2032850839933.9001</v>
      </c>
      <c r="J11" s="37">
        <f t="shared" si="15"/>
        <v>2030962292872.4617</v>
      </c>
      <c r="K11" s="34">
        <f t="shared" si="4"/>
        <v>76628030648.862198</v>
      </c>
      <c r="L11" s="34">
        <f t="shared" si="5"/>
        <v>5057624773600.8174</v>
      </c>
      <c r="M11" s="34">
        <f t="shared" si="6"/>
        <v>5134252804249.6797</v>
      </c>
      <c r="N11" s="34"/>
      <c r="O11" s="38">
        <f t="shared" si="7"/>
        <v>5108581540228.4316</v>
      </c>
      <c r="P11" s="39">
        <f t="shared" si="8"/>
        <v>1300000000000</v>
      </c>
      <c r="Q11" s="34">
        <f t="shared" si="9"/>
        <v>3808581540228.4316</v>
      </c>
      <c r="R11" s="40">
        <v>8369094344</v>
      </c>
      <c r="S11" s="35">
        <f t="shared" si="10"/>
        <v>1</v>
      </c>
      <c r="T11" s="41">
        <f t="shared" si="11"/>
        <v>37.923075302236789</v>
      </c>
      <c r="U11" s="4"/>
      <c r="V11" s="4"/>
      <c r="W11" s="4"/>
    </row>
    <row r="12" spans="1:23" ht="15.75" customHeight="1">
      <c r="A12" s="31" t="s">
        <v>45</v>
      </c>
      <c r="B12" s="32">
        <v>2028</v>
      </c>
      <c r="C12" s="33">
        <f t="shared" si="12"/>
        <v>27.264599999999998</v>
      </c>
      <c r="D12" s="34">
        <f t="shared" si="13"/>
        <v>227.10224793599994</v>
      </c>
      <c r="E12" s="34">
        <f t="shared" si="1"/>
        <v>6191851949075.8633</v>
      </c>
      <c r="F12" s="34">
        <f t="shared" si="2"/>
        <v>6160892689330.4844</v>
      </c>
      <c r="G12" s="35">
        <f t="shared" si="16"/>
        <v>0.15999999999999998</v>
      </c>
      <c r="H12" s="36">
        <f t="shared" si="3"/>
        <v>985742830292.87732</v>
      </c>
      <c r="I12" s="34">
        <f t="shared" si="14"/>
        <v>3018593670226.7773</v>
      </c>
      <c r="J12" s="37">
        <f t="shared" si="15"/>
        <v>3015196770603.7563</v>
      </c>
      <c r="K12" s="34">
        <f t="shared" si="4"/>
        <v>128763009368.11406</v>
      </c>
      <c r="L12" s="34">
        <f t="shared" si="5"/>
        <v>5175149859037.6074</v>
      </c>
      <c r="M12" s="34">
        <f t="shared" si="6"/>
        <v>5303912868405.7217</v>
      </c>
      <c r="N12" s="34"/>
      <c r="O12" s="38">
        <f t="shared" si="7"/>
        <v>5277393304063.6934</v>
      </c>
      <c r="P12" s="39">
        <f t="shared" si="8"/>
        <v>1300000000000</v>
      </c>
      <c r="Q12" s="34">
        <f t="shared" si="9"/>
        <v>3977393304063.6934</v>
      </c>
      <c r="R12" s="40">
        <v>8436618886</v>
      </c>
      <c r="S12" s="35">
        <f t="shared" si="10"/>
        <v>1</v>
      </c>
      <c r="T12" s="41">
        <f t="shared" si="11"/>
        <v>39.286999505847753</v>
      </c>
      <c r="U12" s="4"/>
      <c r="V12" s="4"/>
      <c r="W12" s="4"/>
    </row>
    <row r="13" spans="1:23" ht="15.75" customHeight="1">
      <c r="A13" s="31" t="s">
        <v>46</v>
      </c>
      <c r="B13" s="32">
        <v>2029</v>
      </c>
      <c r="C13" s="33">
        <f t="shared" si="12"/>
        <v>24.538139999999999</v>
      </c>
      <c r="D13" s="34">
        <f t="shared" si="13"/>
        <v>264.34701659750391</v>
      </c>
      <c r="E13" s="34">
        <f t="shared" si="1"/>
        <v>6486584101851.874</v>
      </c>
      <c r="F13" s="34">
        <f t="shared" si="2"/>
        <v>6454151181342.6143</v>
      </c>
      <c r="G13" s="35">
        <f t="shared" si="16"/>
        <v>0.17999999999999997</v>
      </c>
      <c r="H13" s="36">
        <f t="shared" si="3"/>
        <v>1161747212641.6704</v>
      </c>
      <c r="I13" s="34">
        <f t="shared" si="14"/>
        <v>4180340882868.4478</v>
      </c>
      <c r="J13" s="37">
        <f t="shared" si="15"/>
        <v>4174855511253.8042</v>
      </c>
      <c r="K13" s="34">
        <f t="shared" si="4"/>
        <v>191163475256.27814</v>
      </c>
      <c r="L13" s="34">
        <f t="shared" si="5"/>
        <v>5292403968700.9443</v>
      </c>
      <c r="M13" s="34">
        <f t="shared" si="6"/>
        <v>5483567443957.2227</v>
      </c>
      <c r="N13" s="34"/>
      <c r="O13" s="38">
        <f t="shared" si="7"/>
        <v>5456149606737.4365</v>
      </c>
      <c r="P13" s="39">
        <f t="shared" si="8"/>
        <v>1300000000000</v>
      </c>
      <c r="Q13" s="34">
        <f t="shared" si="9"/>
        <v>4156149606737.4365</v>
      </c>
      <c r="R13" s="40">
        <v>8503285323</v>
      </c>
      <c r="S13" s="35">
        <f t="shared" si="10"/>
        <v>1</v>
      </c>
      <c r="T13" s="41">
        <f t="shared" si="11"/>
        <v>40.730821959442444</v>
      </c>
      <c r="U13" s="4"/>
      <c r="V13" s="4"/>
      <c r="W13" s="4"/>
    </row>
    <row r="14" spans="1:23" ht="15.75" customHeight="1">
      <c r="A14" s="31" t="s">
        <v>47</v>
      </c>
      <c r="B14" s="32">
        <v>2030</v>
      </c>
      <c r="C14" s="33">
        <f t="shared" si="12"/>
        <v>22.084326000000001</v>
      </c>
      <c r="D14" s="34">
        <f t="shared" si="13"/>
        <v>307.69992731949452</v>
      </c>
      <c r="E14" s="34">
        <f t="shared" si="1"/>
        <v>6795345505100.0234</v>
      </c>
      <c r="F14" s="34">
        <f t="shared" si="2"/>
        <v>6761368777574.5234</v>
      </c>
      <c r="G14" s="35">
        <f t="shared" si="16"/>
        <v>0.19999999999999996</v>
      </c>
      <c r="H14" s="36">
        <f t="shared" si="3"/>
        <v>1352273755514.9043</v>
      </c>
      <c r="I14" s="34">
        <f t="shared" si="14"/>
        <v>5532614638383.3516</v>
      </c>
      <c r="J14" s="37">
        <f t="shared" si="15"/>
        <v>5524365702135.3252</v>
      </c>
      <c r="K14" s="34">
        <f t="shared" si="4"/>
        <v>264685839413.49118</v>
      </c>
      <c r="L14" s="34">
        <f t="shared" si="5"/>
        <v>5409095022059.6191</v>
      </c>
      <c r="M14" s="34">
        <f t="shared" si="6"/>
        <v>5673780861473.1104</v>
      </c>
      <c r="N14" s="34"/>
      <c r="O14" s="38">
        <f t="shared" si="7"/>
        <v>5645411957165.7451</v>
      </c>
      <c r="P14" s="39">
        <f t="shared" si="8"/>
        <v>1300000000000</v>
      </c>
      <c r="Q14" s="34">
        <f t="shared" si="9"/>
        <v>4345411957165.7451</v>
      </c>
      <c r="R14" s="40">
        <v>8569124911</v>
      </c>
      <c r="S14" s="35">
        <f t="shared" si="10"/>
        <v>1</v>
      </c>
      <c r="T14" s="41">
        <f t="shared" si="11"/>
        <v>42.258418083310097</v>
      </c>
      <c r="U14" s="4"/>
      <c r="V14" s="4"/>
      <c r="W14" s="4"/>
    </row>
    <row r="15" spans="1:23" ht="15.75" customHeight="1">
      <c r="A15" s="31" t="s">
        <v>48</v>
      </c>
      <c r="B15" s="32">
        <v>2031</v>
      </c>
      <c r="C15" s="33">
        <f t="shared" si="12"/>
        <v>19.875893400000002</v>
      </c>
      <c r="D15" s="34">
        <f t="shared" si="13"/>
        <v>358.16271539989162</v>
      </c>
      <c r="E15" s="34">
        <f t="shared" si="1"/>
        <v>7118803951142.7852</v>
      </c>
      <c r="F15" s="34">
        <f t="shared" si="2"/>
        <v>7083209931387.0713</v>
      </c>
      <c r="G15" s="35">
        <f t="shared" si="16"/>
        <v>0.21999999999999995</v>
      </c>
      <c r="H15" s="36">
        <f t="shared" si="3"/>
        <v>1558306184905.1553</v>
      </c>
      <c r="I15" s="34">
        <f t="shared" si="14"/>
        <v>7090920823288.5068</v>
      </c>
      <c r="J15" s="37">
        <f t="shared" si="15"/>
        <v>7079130551096.9609</v>
      </c>
      <c r="K15" s="34">
        <f t="shared" si="4"/>
        <v>350244785515.37958</v>
      </c>
      <c r="L15" s="34">
        <f t="shared" si="5"/>
        <v>5524903746481.916</v>
      </c>
      <c r="M15" s="34">
        <f t="shared" si="6"/>
        <v>5875148531997.2959</v>
      </c>
      <c r="N15" s="34"/>
      <c r="O15" s="38">
        <f t="shared" si="7"/>
        <v>5845772789337.3096</v>
      </c>
      <c r="P15" s="39">
        <f t="shared" si="8"/>
        <v>1300000000000</v>
      </c>
      <c r="Q15" s="34">
        <f t="shared" si="9"/>
        <v>4545772789337.3096</v>
      </c>
      <c r="R15" s="40">
        <v>8634119333</v>
      </c>
      <c r="S15" s="35">
        <f t="shared" si="10"/>
        <v>1</v>
      </c>
      <c r="T15" s="41">
        <f t="shared" si="11"/>
        <v>43.874121320468255</v>
      </c>
      <c r="U15" s="4"/>
      <c r="V15" s="4"/>
      <c r="W15" s="4"/>
    </row>
    <row r="16" spans="1:23" ht="15.75" customHeight="1">
      <c r="A16" s="31" t="s">
        <v>49</v>
      </c>
      <c r="B16" s="32">
        <v>2032</v>
      </c>
      <c r="C16" s="33">
        <f t="shared" si="12"/>
        <v>17.888304060000003</v>
      </c>
      <c r="D16" s="34">
        <f t="shared" si="13"/>
        <v>416.90140072547382</v>
      </c>
      <c r="E16" s="34">
        <f t="shared" si="1"/>
        <v>7457659019217.1816</v>
      </c>
      <c r="F16" s="34">
        <f t="shared" si="2"/>
        <v>7420370724121.0957</v>
      </c>
      <c r="G16" s="35">
        <f t="shared" si="16"/>
        <v>0.23999999999999994</v>
      </c>
      <c r="H16" s="36">
        <f t="shared" si="3"/>
        <v>1780888973789.0625</v>
      </c>
      <c r="I16" s="34">
        <f t="shared" si="14"/>
        <v>8871809797077.5703</v>
      </c>
      <c r="J16" s="37">
        <f t="shared" si="15"/>
        <v>8855589515123.5801</v>
      </c>
      <c r="K16" s="34">
        <f t="shared" si="4"/>
        <v>448816876939.5473</v>
      </c>
      <c r="L16" s="34">
        <f t="shared" si="5"/>
        <v>5639481750332.0332</v>
      </c>
      <c r="M16" s="34">
        <f t="shared" si="6"/>
        <v>6088298627271.5801</v>
      </c>
      <c r="N16" s="34"/>
      <c r="O16" s="38">
        <f t="shared" si="7"/>
        <v>6057857134135.2217</v>
      </c>
      <c r="P16" s="39">
        <f t="shared" si="8"/>
        <v>1300000000000</v>
      </c>
      <c r="Q16" s="34">
        <f t="shared" si="9"/>
        <v>4757857134135.2217</v>
      </c>
      <c r="R16" s="40">
        <v>8698229812</v>
      </c>
      <c r="S16" s="35">
        <f t="shared" si="10"/>
        <v>1</v>
      </c>
      <c r="T16" s="41">
        <f t="shared" si="11"/>
        <v>45.582618886923065</v>
      </c>
      <c r="U16" s="4"/>
      <c r="V16" s="4"/>
      <c r="W16" s="4"/>
    </row>
    <row r="17" spans="1:23" ht="15.75" customHeight="1">
      <c r="A17" s="31" t="s">
        <v>50</v>
      </c>
      <c r="B17" s="32">
        <v>2033</v>
      </c>
      <c r="C17" s="33">
        <f t="shared" si="12"/>
        <v>16.099473654000004</v>
      </c>
      <c r="D17" s="34">
        <f t="shared" si="13"/>
        <v>485.27323044445149</v>
      </c>
      <c r="E17" s="34">
        <f t="shared" si="1"/>
        <v>7812643588531.9199</v>
      </c>
      <c r="F17" s="34">
        <f t="shared" si="2"/>
        <v>7773580370589.2607</v>
      </c>
      <c r="G17" s="35">
        <f t="shared" si="16"/>
        <v>0.25999999999999995</v>
      </c>
      <c r="H17" s="36">
        <f t="shared" si="3"/>
        <v>2021130896353.2075</v>
      </c>
      <c r="I17" s="34">
        <f t="shared" si="14"/>
        <v>10892940693430.777</v>
      </c>
      <c r="J17" s="37">
        <f t="shared" si="15"/>
        <v>10871282051271.049</v>
      </c>
      <c r="K17" s="34">
        <f t="shared" si="4"/>
        <v>561444375258.83496</v>
      </c>
      <c r="L17" s="34">
        <f t="shared" si="5"/>
        <v>5752449474236.0527</v>
      </c>
      <c r="M17" s="34">
        <f t="shared" si="6"/>
        <v>6313893849494.8877</v>
      </c>
      <c r="N17" s="34"/>
      <c r="O17" s="38">
        <f t="shared" si="7"/>
        <v>6282324380247.4131</v>
      </c>
      <c r="P17" s="39">
        <f t="shared" si="8"/>
        <v>1300000000000</v>
      </c>
      <c r="Q17" s="34">
        <f t="shared" si="9"/>
        <v>4982324380247.4131</v>
      </c>
      <c r="R17" s="40">
        <v>8761449081</v>
      </c>
      <c r="S17" s="35">
        <f t="shared" si="10"/>
        <v>1</v>
      </c>
      <c r="T17" s="41">
        <f t="shared" si="11"/>
        <v>47.388701859186334</v>
      </c>
      <c r="U17" s="4"/>
      <c r="V17" s="4"/>
      <c r="W17" s="4"/>
    </row>
    <row r="18" spans="1:23" ht="15.75" customHeight="1">
      <c r="A18" s="31" t="s">
        <v>51</v>
      </c>
      <c r="B18" s="32">
        <v>2034</v>
      </c>
      <c r="C18" s="33">
        <f t="shared" si="12"/>
        <v>14.489526288600004</v>
      </c>
      <c r="D18" s="34">
        <f t="shared" si="13"/>
        <v>564.85804023734147</v>
      </c>
      <c r="E18" s="34">
        <f t="shared" si="1"/>
        <v>8184525423346.0381</v>
      </c>
      <c r="F18" s="34">
        <f t="shared" si="2"/>
        <v>8143602796229.3076</v>
      </c>
      <c r="G18" s="35">
        <f t="shared" si="16"/>
        <v>0.27999999999999997</v>
      </c>
      <c r="H18" s="36">
        <f t="shared" si="3"/>
        <v>2280208782944.2061</v>
      </c>
      <c r="I18" s="34">
        <f t="shared" si="14"/>
        <v>13173149476374.984</v>
      </c>
      <c r="J18" s="37">
        <f t="shared" si="15"/>
        <v>13144915088798.146</v>
      </c>
      <c r="K18" s="34">
        <f t="shared" si="4"/>
        <v>689239282050.58447</v>
      </c>
      <c r="L18" s="34">
        <f t="shared" si="5"/>
        <v>5863394013285.1016</v>
      </c>
      <c r="M18" s="34">
        <f t="shared" si="6"/>
        <v>6552633295335.6855</v>
      </c>
      <c r="N18" s="34"/>
      <c r="O18" s="38">
        <f t="shared" si="7"/>
        <v>6519870128859.0068</v>
      </c>
      <c r="P18" s="39">
        <f t="shared" si="8"/>
        <v>1300000000000</v>
      </c>
      <c r="Q18" s="34">
        <f t="shared" si="9"/>
        <v>5219870128859.0068</v>
      </c>
      <c r="R18" s="40">
        <v>8823784909</v>
      </c>
      <c r="S18" s="35">
        <f t="shared" si="10"/>
        <v>1</v>
      </c>
      <c r="T18" s="41">
        <f t="shared" si="11"/>
        <v>49.297345967855712</v>
      </c>
      <c r="U18" s="4"/>
      <c r="V18" s="4"/>
      <c r="W18" s="4"/>
    </row>
    <row r="19" spans="1:23" ht="15.75" customHeight="1">
      <c r="A19" s="31" t="s">
        <v>52</v>
      </c>
      <c r="B19" s="32">
        <v>2035</v>
      </c>
      <c r="C19" s="33">
        <f t="shared" si="12"/>
        <v>13.040573659740003</v>
      </c>
      <c r="D19" s="34">
        <f t="shared" si="13"/>
        <v>657.49475883626542</v>
      </c>
      <c r="E19" s="34">
        <f t="shared" si="1"/>
        <v>8574108833497.3086</v>
      </c>
      <c r="F19" s="34">
        <f t="shared" si="2"/>
        <v>8531238289329.8223</v>
      </c>
      <c r="G19" s="35">
        <f t="shared" si="16"/>
        <v>0.3</v>
      </c>
      <c r="H19" s="36">
        <f t="shared" si="3"/>
        <v>2559371486798.9468</v>
      </c>
      <c r="I19" s="34">
        <f t="shared" si="14"/>
        <v>15732520963173.932</v>
      </c>
      <c r="J19" s="37">
        <f t="shared" si="15"/>
        <v>15696434432309.297</v>
      </c>
      <c r="K19" s="34">
        <f t="shared" si="4"/>
        <v>833387616629.80249</v>
      </c>
      <c r="L19" s="34">
        <f t="shared" si="5"/>
        <v>5971866802530.875</v>
      </c>
      <c r="M19" s="34">
        <f t="shared" si="6"/>
        <v>6805254419160.6777</v>
      </c>
      <c r="N19" s="34"/>
      <c r="O19" s="38">
        <f t="shared" si="7"/>
        <v>6771228147064.874</v>
      </c>
      <c r="P19" s="39">
        <f t="shared" si="8"/>
        <v>1300000000000</v>
      </c>
      <c r="Q19" s="34">
        <f t="shared" si="9"/>
        <v>5471228147064.874</v>
      </c>
      <c r="R19" s="40">
        <v>8885210181</v>
      </c>
      <c r="S19" s="35">
        <f t="shared" si="10"/>
        <v>1</v>
      </c>
      <c r="T19" s="41">
        <f t="shared" si="11"/>
        <v>51.31400041577394</v>
      </c>
      <c r="U19" s="4"/>
      <c r="V19" s="4"/>
      <c r="W19" s="4"/>
    </row>
    <row r="20" spans="1:23" ht="15.75" customHeight="1">
      <c r="A20" s="31" t="s">
        <v>53</v>
      </c>
      <c r="B20" s="32">
        <v>2036</v>
      </c>
      <c r="C20" s="33">
        <f t="shared" si="12"/>
        <v>11.736516293766003</v>
      </c>
      <c r="D20" s="34">
        <f t="shared" si="13"/>
        <v>765.32389928541295</v>
      </c>
      <c r="E20" s="34">
        <f t="shared" si="1"/>
        <v>8982236413971.7813</v>
      </c>
      <c r="F20" s="34">
        <f t="shared" si="2"/>
        <v>8937325231901.9219</v>
      </c>
      <c r="G20" s="43">
        <v>0.33</v>
      </c>
      <c r="H20" s="36">
        <f t="shared" si="3"/>
        <v>2949317326527.6343</v>
      </c>
      <c r="I20" s="34">
        <f t="shared" si="14"/>
        <v>18681838289701.566</v>
      </c>
      <c r="J20" s="37">
        <f t="shared" si="15"/>
        <v>18636428882957.512</v>
      </c>
      <c r="K20" s="34">
        <f t="shared" si="4"/>
        <v>995153943008.40942</v>
      </c>
      <c r="L20" s="34">
        <f t="shared" si="5"/>
        <v>5988007905374.2871</v>
      </c>
      <c r="M20" s="34">
        <f t="shared" si="6"/>
        <v>6983161848382.6963</v>
      </c>
      <c r="N20" s="34"/>
      <c r="O20" s="38">
        <f t="shared" si="7"/>
        <v>6948246039140.7832</v>
      </c>
      <c r="P20" s="39">
        <f t="shared" si="8"/>
        <v>1300000000000</v>
      </c>
      <c r="Q20" s="34">
        <f t="shared" si="9"/>
        <v>5648246039140.7832</v>
      </c>
      <c r="R20" s="40">
        <v>8945686614</v>
      </c>
      <c r="S20" s="35">
        <f t="shared" si="10"/>
        <v>1</v>
      </c>
      <c r="T20" s="41">
        <f t="shared" si="11"/>
        <v>52.616103183379259</v>
      </c>
      <c r="U20" s="4"/>
      <c r="V20" s="4"/>
      <c r="W20" s="4"/>
    </row>
    <row r="21" spans="1:23" ht="15.75" customHeight="1">
      <c r="A21" s="31" t="s">
        <v>54</v>
      </c>
      <c r="B21" s="32">
        <v>2037</v>
      </c>
      <c r="C21" s="33">
        <f t="shared" si="12"/>
        <v>10.562864664389403</v>
      </c>
      <c r="D21" s="34">
        <f t="shared" si="13"/>
        <v>890.83701876822056</v>
      </c>
      <c r="E21" s="34">
        <f t="shared" si="1"/>
        <v>9409790867276.8379</v>
      </c>
      <c r="F21" s="34">
        <f t="shared" si="2"/>
        <v>9362741912940.4531</v>
      </c>
      <c r="G21" s="35">
        <f t="shared" ref="G21:G53" si="17">G20+$H$5</f>
        <v>0.35000000000000003</v>
      </c>
      <c r="H21" s="36">
        <f t="shared" si="3"/>
        <v>3276959669529.1587</v>
      </c>
      <c r="I21" s="34">
        <f t="shared" si="14"/>
        <v>21958797959230.727</v>
      </c>
      <c r="J21" s="37">
        <f t="shared" si="15"/>
        <v>21902431858210.43</v>
      </c>
      <c r="K21" s="34">
        <f t="shared" si="4"/>
        <v>1181549591179.5061</v>
      </c>
      <c r="L21" s="34">
        <f t="shared" si="5"/>
        <v>6085782243411.2939</v>
      </c>
      <c r="M21" s="34">
        <f t="shared" si="6"/>
        <v>7267331834590.7998</v>
      </c>
      <c r="N21" s="34"/>
      <c r="O21" s="38">
        <f t="shared" si="7"/>
        <v>7230995175417.8457</v>
      </c>
      <c r="P21" s="39">
        <f t="shared" si="8"/>
        <v>1300000000000</v>
      </c>
      <c r="Q21" s="34">
        <f t="shared" si="9"/>
        <v>5930995175417.8457</v>
      </c>
      <c r="R21" s="40">
        <v>9005152624</v>
      </c>
      <c r="S21" s="35">
        <f t="shared" si="10"/>
        <v>1</v>
      </c>
      <c r="T21" s="41">
        <f t="shared" si="11"/>
        <v>54.885199461721761</v>
      </c>
      <c r="U21" s="4"/>
      <c r="V21" s="4"/>
      <c r="W21" s="4"/>
    </row>
    <row r="22" spans="1:23" ht="15.75" customHeight="1">
      <c r="A22" s="31" t="s">
        <v>55</v>
      </c>
      <c r="B22" s="32">
        <v>2038</v>
      </c>
      <c r="C22" s="33">
        <f t="shared" si="12"/>
        <v>9.5065781979504624</v>
      </c>
      <c r="D22" s="34">
        <f t="shared" si="13"/>
        <v>1036.9342898462087</v>
      </c>
      <c r="E22" s="34">
        <f t="shared" si="1"/>
        <v>9857696912559.2129</v>
      </c>
      <c r="F22" s="34">
        <f t="shared" si="2"/>
        <v>9808408427996.416</v>
      </c>
      <c r="G22" s="35">
        <f t="shared" si="17"/>
        <v>0.37000000000000005</v>
      </c>
      <c r="H22" s="36">
        <f t="shared" si="3"/>
        <v>3629111118358.6743</v>
      </c>
      <c r="I22" s="34">
        <f t="shared" si="14"/>
        <v>25587909077589.402</v>
      </c>
      <c r="J22" s="37">
        <f t="shared" si="15"/>
        <v>25518777205080.824</v>
      </c>
      <c r="K22" s="34">
        <f t="shared" si="4"/>
        <v>1388614179810.5413</v>
      </c>
      <c r="L22" s="34">
        <f t="shared" si="5"/>
        <v>6179297309637.7412</v>
      </c>
      <c r="M22" s="34">
        <f t="shared" si="6"/>
        <v>7567911489448.2822</v>
      </c>
      <c r="N22" s="34"/>
      <c r="O22" s="38">
        <f t="shared" si="7"/>
        <v>7530071932001.041</v>
      </c>
      <c r="P22" s="39">
        <f t="shared" si="8"/>
        <v>1300000000000</v>
      </c>
      <c r="Q22" s="34">
        <f t="shared" si="9"/>
        <v>6230071932001.041</v>
      </c>
      <c r="R22" s="40">
        <v>9063572926</v>
      </c>
      <c r="S22" s="35">
        <f t="shared" si="10"/>
        <v>1</v>
      </c>
      <c r="T22" s="41">
        <f t="shared" si="11"/>
        <v>57.281236134899359</v>
      </c>
      <c r="U22" s="4"/>
      <c r="V22" s="4"/>
      <c r="W22" s="4"/>
    </row>
    <row r="23" spans="1:23" ht="15.75" customHeight="1">
      <c r="A23" s="31" t="s">
        <v>56</v>
      </c>
      <c r="B23" s="32">
        <v>2039</v>
      </c>
      <c r="C23" s="33">
        <f t="shared" si="12"/>
        <v>8.5559203781554167</v>
      </c>
      <c r="D23" s="34">
        <f t="shared" si="13"/>
        <v>1206.9915133809868</v>
      </c>
      <c r="E23" s="34">
        <f t="shared" si="1"/>
        <v>10326923285597.031</v>
      </c>
      <c r="F23" s="34">
        <f t="shared" si="2"/>
        <v>10275288669169.047</v>
      </c>
      <c r="G23" s="35">
        <f t="shared" si="17"/>
        <v>0.39000000000000007</v>
      </c>
      <c r="H23" s="36">
        <f t="shared" si="3"/>
        <v>4007362580975.9292</v>
      </c>
      <c r="I23" s="34">
        <f t="shared" si="14"/>
        <v>29595271658565.332</v>
      </c>
      <c r="J23" s="37">
        <f t="shared" si="15"/>
        <v>29511376716163.727</v>
      </c>
      <c r="K23" s="34">
        <f t="shared" si="4"/>
        <v>1617890474802.1243</v>
      </c>
      <c r="L23" s="34">
        <f t="shared" si="5"/>
        <v>6267926088193.1172</v>
      </c>
      <c r="M23" s="34">
        <f t="shared" si="6"/>
        <v>7885816562995.2412</v>
      </c>
      <c r="N23" s="34"/>
      <c r="O23" s="38">
        <f t="shared" si="7"/>
        <v>7846387480180.2646</v>
      </c>
      <c r="P23" s="39">
        <f t="shared" si="8"/>
        <v>1300000000000</v>
      </c>
      <c r="Q23" s="34">
        <f t="shared" si="9"/>
        <v>6546387480180.2646</v>
      </c>
      <c r="R23" s="40">
        <v>9120928380</v>
      </c>
      <c r="S23" s="35">
        <f t="shared" si="10"/>
        <v>1</v>
      </c>
      <c r="T23" s="41">
        <f t="shared" si="11"/>
        <v>59.811048534406105</v>
      </c>
      <c r="U23" s="4"/>
      <c r="V23" s="4"/>
      <c r="W23" s="4"/>
    </row>
    <row r="24" spans="1:23" ht="15.75" customHeight="1">
      <c r="A24" s="31" t="s">
        <v>57</v>
      </c>
      <c r="B24" s="32">
        <v>2040</v>
      </c>
      <c r="C24" s="33">
        <f t="shared" si="12"/>
        <v>7.7003283403398752</v>
      </c>
      <c r="D24" s="34">
        <f t="shared" si="13"/>
        <v>1404.9381215754686</v>
      </c>
      <c r="E24" s="34">
        <f t="shared" si="1"/>
        <v>10818484833991.449</v>
      </c>
      <c r="F24" s="34">
        <f t="shared" si="2"/>
        <v>10764392409821.492</v>
      </c>
      <c r="G24" s="35">
        <f t="shared" si="17"/>
        <v>0.41000000000000009</v>
      </c>
      <c r="H24" s="36">
        <f t="shared" si="3"/>
        <v>4413400888026.8125</v>
      </c>
      <c r="I24" s="34">
        <f t="shared" si="14"/>
        <v>34008672546592.145</v>
      </c>
      <c r="J24" s="37">
        <f t="shared" si="15"/>
        <v>33907815215388.445</v>
      </c>
      <c r="K24" s="34">
        <f t="shared" si="4"/>
        <v>1871021283804.7803</v>
      </c>
      <c r="L24" s="34">
        <f t="shared" si="5"/>
        <v>6350991521794.6787</v>
      </c>
      <c r="M24" s="34">
        <f t="shared" si="6"/>
        <v>8222012805599.459</v>
      </c>
      <c r="N24" s="34"/>
      <c r="O24" s="38">
        <f t="shared" si="7"/>
        <v>8180902741571.4619</v>
      </c>
      <c r="P24" s="39">
        <f t="shared" si="8"/>
        <v>1300000000000</v>
      </c>
      <c r="Q24" s="34">
        <f t="shared" si="9"/>
        <v>6880902741571.4619</v>
      </c>
      <c r="R24" s="40">
        <v>9177190203</v>
      </c>
      <c r="S24" s="35">
        <f t="shared" si="10"/>
        <v>1</v>
      </c>
      <c r="T24" s="41">
        <f t="shared" si="11"/>
        <v>62.481930646939844</v>
      </c>
      <c r="U24" s="4"/>
      <c r="V24" s="4"/>
      <c r="W24" s="4"/>
    </row>
    <row r="25" spans="1:23" ht="15.75" customHeight="1">
      <c r="A25" s="31" t="s">
        <v>58</v>
      </c>
      <c r="B25" s="32">
        <v>2041</v>
      </c>
      <c r="C25" s="33">
        <f t="shared" si="12"/>
        <v>6.930295506305888</v>
      </c>
      <c r="D25" s="34">
        <f t="shared" si="13"/>
        <v>1635.3479735138453</v>
      </c>
      <c r="E25" s="34">
        <f t="shared" si="1"/>
        <v>11333444712089.441</v>
      </c>
      <c r="F25" s="34">
        <f t="shared" si="2"/>
        <v>11276777488528.994</v>
      </c>
      <c r="G25" s="35">
        <f t="shared" si="17"/>
        <v>0.4300000000000001</v>
      </c>
      <c r="H25" s="36">
        <f t="shared" si="3"/>
        <v>4849014320067.4688</v>
      </c>
      <c r="I25" s="34">
        <f t="shared" si="14"/>
        <v>38857686866659.609</v>
      </c>
      <c r="J25" s="37">
        <f t="shared" si="15"/>
        <v>38737451120688.188</v>
      </c>
      <c r="K25" s="34">
        <f t="shared" si="4"/>
        <v>2149755484655.6274</v>
      </c>
      <c r="L25" s="34">
        <f t="shared" si="5"/>
        <v>6427763168461.5244</v>
      </c>
      <c r="M25" s="34">
        <f t="shared" si="6"/>
        <v>8577518653117.1523</v>
      </c>
      <c r="N25" s="34"/>
      <c r="O25" s="38">
        <f t="shared" si="7"/>
        <v>8534631059851.5664</v>
      </c>
      <c r="P25" s="39">
        <f t="shared" si="8"/>
        <v>1300000000000</v>
      </c>
      <c r="Q25" s="34">
        <f t="shared" si="9"/>
        <v>7234631059851.5664</v>
      </c>
      <c r="R25" s="40">
        <v>9232281575</v>
      </c>
      <c r="S25" s="35">
        <f t="shared" si="10"/>
        <v>1</v>
      </c>
      <c r="T25" s="41">
        <f t="shared" si="11"/>
        <v>65.301942619129576</v>
      </c>
      <c r="U25" s="4"/>
      <c r="V25" s="4"/>
      <c r="W25" s="4"/>
    </row>
    <row r="26" spans="1:23" ht="15.75" customHeight="1">
      <c r="A26" s="31" t="s">
        <v>59</v>
      </c>
      <c r="B26" s="32">
        <v>2042</v>
      </c>
      <c r="C26" s="33">
        <f t="shared" si="12"/>
        <v>6.2372659556752996</v>
      </c>
      <c r="D26" s="34">
        <f t="shared" si="13"/>
        <v>1903.5450411701158</v>
      </c>
      <c r="E26" s="34">
        <f t="shared" si="1"/>
        <v>11872916680384.9</v>
      </c>
      <c r="F26" s="34">
        <f t="shared" si="2"/>
        <v>11813552096982.977</v>
      </c>
      <c r="G26" s="35">
        <f t="shared" si="17"/>
        <v>0.45000000000000012</v>
      </c>
      <c r="H26" s="36">
        <f t="shared" si="3"/>
        <v>5316098443642.3408</v>
      </c>
      <c r="I26" s="34">
        <f t="shared" si="14"/>
        <v>44173785310301.953</v>
      </c>
      <c r="J26" s="37">
        <f t="shared" si="15"/>
        <v>44031522789548.367</v>
      </c>
      <c r="K26" s="34">
        <f t="shared" si="4"/>
        <v>2455954401051.6309</v>
      </c>
      <c r="L26" s="34">
        <f t="shared" si="5"/>
        <v>6497453653340.6348</v>
      </c>
      <c r="M26" s="34">
        <f t="shared" si="6"/>
        <v>8953408054392.2656</v>
      </c>
      <c r="N26" s="34"/>
      <c r="O26" s="38">
        <f t="shared" si="7"/>
        <v>8908641014120.3047</v>
      </c>
      <c r="P26" s="39">
        <f t="shared" si="8"/>
        <v>1300000000000</v>
      </c>
      <c r="Q26" s="34">
        <f t="shared" si="9"/>
        <v>7608641014120.3047</v>
      </c>
      <c r="R26" s="40">
        <v>9286110371</v>
      </c>
      <c r="S26" s="35">
        <f t="shared" si="10"/>
        <v>1</v>
      </c>
      <c r="T26" s="41">
        <f t="shared" si="11"/>
        <v>68.27976327133392</v>
      </c>
      <c r="U26" s="4"/>
      <c r="V26" s="4"/>
      <c r="W26" s="4"/>
    </row>
    <row r="27" spans="1:23" ht="15.75" customHeight="1">
      <c r="A27" s="31" t="s">
        <v>60</v>
      </c>
      <c r="B27" s="32">
        <v>2043</v>
      </c>
      <c r="C27" s="33">
        <f t="shared" si="12"/>
        <v>5.6135393601077697</v>
      </c>
      <c r="D27" s="34">
        <f t="shared" si="13"/>
        <v>2215.7264279220149</v>
      </c>
      <c r="E27" s="34">
        <f t="shared" si="1"/>
        <v>12438067514371.221</v>
      </c>
      <c r="F27" s="34">
        <f t="shared" si="2"/>
        <v>12375877176799.365</v>
      </c>
      <c r="G27" s="35">
        <f t="shared" si="17"/>
        <v>0.47000000000000014</v>
      </c>
      <c r="H27" s="36">
        <f t="shared" si="3"/>
        <v>5816662273095.7031</v>
      </c>
      <c r="I27" s="34">
        <f t="shared" si="14"/>
        <v>49990447583397.656</v>
      </c>
      <c r="J27" s="37">
        <f t="shared" si="15"/>
        <v>49823260970112.75</v>
      </c>
      <c r="K27" s="34">
        <f t="shared" si="4"/>
        <v>2791598544857.3662</v>
      </c>
      <c r="L27" s="34">
        <f t="shared" si="5"/>
        <v>6559214903703.6611</v>
      </c>
      <c r="M27" s="34">
        <f t="shared" si="6"/>
        <v>9350813448561.0273</v>
      </c>
      <c r="N27" s="34"/>
      <c r="O27" s="38">
        <f t="shared" si="7"/>
        <v>9304059381318.2227</v>
      </c>
      <c r="P27" s="39">
        <f t="shared" si="8"/>
        <v>1300000000000</v>
      </c>
      <c r="Q27" s="34">
        <f t="shared" si="9"/>
        <v>8004059381318.2227</v>
      </c>
      <c r="R27" s="40">
        <v>9338661314</v>
      </c>
      <c r="S27" s="35">
        <f t="shared" si="10"/>
        <v>1</v>
      </c>
      <c r="T27" s="41">
        <f t="shared" si="11"/>
        <v>71.424043127385787</v>
      </c>
      <c r="U27" s="4"/>
      <c r="V27" s="4"/>
      <c r="W27" s="4"/>
    </row>
    <row r="28" spans="1:23" ht="15.75" customHeight="1">
      <c r="A28" s="31" t="s">
        <v>61</v>
      </c>
      <c r="B28" s="32">
        <v>2044</v>
      </c>
      <c r="C28" s="33">
        <f t="shared" si="12"/>
        <v>5.0521854240969928</v>
      </c>
      <c r="D28" s="34">
        <f t="shared" si="13"/>
        <v>2579.1055621012251</v>
      </c>
      <c r="E28" s="34">
        <f t="shared" si="1"/>
        <v>13030119528055.291</v>
      </c>
      <c r="F28" s="34">
        <f t="shared" si="2"/>
        <v>12964968930415.014</v>
      </c>
      <c r="G28" s="35">
        <f t="shared" si="17"/>
        <v>0.49000000000000016</v>
      </c>
      <c r="H28" s="36">
        <f t="shared" si="3"/>
        <v>6352834775903.3584</v>
      </c>
      <c r="I28" s="34">
        <f t="shared" si="14"/>
        <v>56343282359301.016</v>
      </c>
      <c r="J28" s="37">
        <f t="shared" si="15"/>
        <v>56148007698143.102</v>
      </c>
      <c r="K28" s="34">
        <f t="shared" si="4"/>
        <v>3158794745505.1484</v>
      </c>
      <c r="L28" s="34">
        <f t="shared" si="5"/>
        <v>6612134154511.6543</v>
      </c>
      <c r="M28" s="34">
        <f t="shared" si="6"/>
        <v>9770928900016.8027</v>
      </c>
      <c r="N28" s="34"/>
      <c r="O28" s="38">
        <f t="shared" si="7"/>
        <v>9722074255516.7188</v>
      </c>
      <c r="P28" s="39">
        <f t="shared" si="8"/>
        <v>1300000000000</v>
      </c>
      <c r="Q28" s="34">
        <f t="shared" si="9"/>
        <v>8422074255516.7188</v>
      </c>
      <c r="R28" s="40">
        <v>9389873693</v>
      </c>
      <c r="S28" s="35">
        <f t="shared" si="10"/>
        <v>1</v>
      </c>
      <c r="T28" s="41">
        <f t="shared" si="11"/>
        <v>74.744298404809214</v>
      </c>
      <c r="U28" s="4"/>
      <c r="V28" s="4"/>
      <c r="W28" s="4"/>
    </row>
    <row r="29" spans="1:23" ht="15.75" customHeight="1">
      <c r="A29" s="31" t="s">
        <v>62</v>
      </c>
      <c r="B29" s="32">
        <v>2045</v>
      </c>
      <c r="C29" s="33">
        <f t="shared" si="12"/>
        <v>4.5469668816872932</v>
      </c>
      <c r="D29" s="42">
        <v>3000</v>
      </c>
      <c r="E29" s="34">
        <f t="shared" si="1"/>
        <v>13640900645061.881</v>
      </c>
      <c r="F29" s="34">
        <f t="shared" si="2"/>
        <v>13572696141836.572</v>
      </c>
      <c r="G29" s="35">
        <f t="shared" si="17"/>
        <v>0.51000000000000012</v>
      </c>
      <c r="H29" s="36">
        <f t="shared" si="3"/>
        <v>6922075032336.6533</v>
      </c>
      <c r="I29" s="34">
        <f t="shared" si="14"/>
        <v>63265357391637.672</v>
      </c>
      <c r="J29" s="37">
        <f t="shared" si="15"/>
        <v>63038547689114.523</v>
      </c>
      <c r="K29" s="34">
        <f t="shared" si="4"/>
        <v>3559783688062.2725</v>
      </c>
      <c r="L29" s="34">
        <f t="shared" si="5"/>
        <v>6650621109499.9189</v>
      </c>
      <c r="M29" s="34">
        <f t="shared" si="6"/>
        <v>10210404797562.191</v>
      </c>
      <c r="N29" s="34"/>
      <c r="O29" s="38">
        <f t="shared" si="7"/>
        <v>10159352773574.381</v>
      </c>
      <c r="P29" s="39">
        <f t="shared" si="8"/>
        <v>1300000000000</v>
      </c>
      <c r="Q29" s="34">
        <f t="shared" si="9"/>
        <v>8859352773574.3809</v>
      </c>
      <c r="R29" s="40">
        <v>9439639668</v>
      </c>
      <c r="S29" s="35">
        <f t="shared" si="10"/>
        <v>1</v>
      </c>
      <c r="T29" s="41">
        <f t="shared" si="11"/>
        <v>78.210548682340345</v>
      </c>
      <c r="U29" s="4"/>
      <c r="V29" s="4"/>
      <c r="W29" s="4"/>
    </row>
    <row r="30" spans="1:23" ht="15.75" customHeight="1">
      <c r="A30" s="31" t="s">
        <v>63</v>
      </c>
      <c r="B30" s="32">
        <v>2046</v>
      </c>
      <c r="C30" s="33">
        <f t="shared" si="12"/>
        <v>4.0922701935185639</v>
      </c>
      <c r="D30" s="34">
        <f>D29*(1+$D$5)</f>
        <v>3491.9999999999995</v>
      </c>
      <c r="E30" s="34">
        <f t="shared" si="1"/>
        <v>14290207515766.824</v>
      </c>
      <c r="F30" s="34">
        <f t="shared" si="2"/>
        <v>14218756478187.99</v>
      </c>
      <c r="G30" s="35">
        <f t="shared" si="17"/>
        <v>0.53000000000000014</v>
      </c>
      <c r="H30" s="36">
        <f t="shared" si="3"/>
        <v>7535940933439.6367</v>
      </c>
      <c r="I30" s="34">
        <f t="shared" si="14"/>
        <v>70801298325077.313</v>
      </c>
      <c r="J30" s="37">
        <f t="shared" si="15"/>
        <v>70539201378242.891</v>
      </c>
      <c r="K30" s="34">
        <f t="shared" si="4"/>
        <v>3996643923489.8608</v>
      </c>
      <c r="L30" s="34">
        <f t="shared" si="5"/>
        <v>6682815544748.3535</v>
      </c>
      <c r="M30" s="34">
        <f t="shared" si="6"/>
        <v>10679459468238.215</v>
      </c>
      <c r="N30" s="34"/>
      <c r="O30" s="38">
        <f t="shared" si="7"/>
        <v>10626062170897.023</v>
      </c>
      <c r="P30" s="39">
        <f t="shared" si="8"/>
        <v>1300000000000</v>
      </c>
      <c r="Q30" s="34">
        <f t="shared" si="9"/>
        <v>9326062170897.0234</v>
      </c>
      <c r="R30" s="40">
        <v>9487889604</v>
      </c>
      <c r="S30" s="35">
        <f t="shared" si="10"/>
        <v>1</v>
      </c>
      <c r="T30" s="41">
        <f t="shared" si="11"/>
        <v>81.911982538994138</v>
      </c>
      <c r="U30" s="4"/>
      <c r="V30" s="4"/>
      <c r="W30" s="4"/>
    </row>
    <row r="31" spans="1:23" ht="15.75" customHeight="1">
      <c r="A31" s="31" t="s">
        <v>64</v>
      </c>
      <c r="B31" s="32">
        <v>2047</v>
      </c>
      <c r="C31" s="33">
        <f t="shared" si="12"/>
        <v>3.6830431741667078</v>
      </c>
      <c r="D31" s="42">
        <v>4000</v>
      </c>
      <c r="E31" s="34">
        <f t="shared" si="1"/>
        <v>14732172696666.832</v>
      </c>
      <c r="F31" s="34">
        <f t="shared" si="2"/>
        <v>14658511833183.498</v>
      </c>
      <c r="G31" s="35">
        <f t="shared" si="17"/>
        <v>0.55000000000000016</v>
      </c>
      <c r="H31" s="36">
        <f t="shared" si="3"/>
        <v>8062181508250.9258</v>
      </c>
      <c r="I31" s="34">
        <f t="shared" si="14"/>
        <v>78863479833328.234</v>
      </c>
      <c r="J31" s="37">
        <f t="shared" si="15"/>
        <v>78562082195050.563</v>
      </c>
      <c r="K31" s="34">
        <f t="shared" si="4"/>
        <v>4472185367380.5996</v>
      </c>
      <c r="L31" s="34">
        <f t="shared" si="5"/>
        <v>6596330324932.5723</v>
      </c>
      <c r="M31" s="34">
        <f t="shared" si="6"/>
        <v>11068515692313.172</v>
      </c>
      <c r="N31" s="34"/>
      <c r="O31" s="38">
        <f t="shared" si="7"/>
        <v>11013173113851.605</v>
      </c>
      <c r="P31" s="39">
        <f t="shared" si="8"/>
        <v>1300000000000</v>
      </c>
      <c r="Q31" s="34">
        <f t="shared" si="9"/>
        <v>9713173113851.6055</v>
      </c>
      <c r="R31" s="40">
        <v>9534545977</v>
      </c>
      <c r="S31" s="35">
        <f t="shared" si="10"/>
        <v>1</v>
      </c>
      <c r="T31" s="41">
        <f t="shared" si="11"/>
        <v>84.894560766033536</v>
      </c>
      <c r="U31" s="4"/>
      <c r="V31" s="4"/>
      <c r="W31" s="4"/>
    </row>
    <row r="32" spans="1:23" ht="15.75" customHeight="1">
      <c r="A32" s="31" t="s">
        <v>65</v>
      </c>
      <c r="B32" s="32">
        <v>2048</v>
      </c>
      <c r="C32" s="33">
        <f t="shared" si="12"/>
        <v>3.3147388567500369</v>
      </c>
      <c r="D32" s="42">
        <v>4000</v>
      </c>
      <c r="E32" s="34">
        <f t="shared" si="1"/>
        <v>13258955427000.148</v>
      </c>
      <c r="F32" s="34">
        <f t="shared" si="2"/>
        <v>13192660649865.148</v>
      </c>
      <c r="G32" s="35">
        <f t="shared" si="17"/>
        <v>0.57000000000000017</v>
      </c>
      <c r="H32" s="36">
        <f t="shared" si="3"/>
        <v>7519816570423.1367</v>
      </c>
      <c r="I32" s="34">
        <f t="shared" si="14"/>
        <v>86383296403751.375</v>
      </c>
      <c r="J32" s="37">
        <f t="shared" si="15"/>
        <v>86038857816090.969</v>
      </c>
      <c r="K32" s="34">
        <f t="shared" si="4"/>
        <v>4980836011166.2051</v>
      </c>
      <c r="L32" s="34">
        <f t="shared" si="5"/>
        <v>5672844079442.0117</v>
      </c>
      <c r="M32" s="34">
        <f t="shared" si="6"/>
        <v>10653680090608.217</v>
      </c>
      <c r="N32" s="34"/>
      <c r="O32" s="38">
        <f t="shared" si="7"/>
        <v>10600411690155.176</v>
      </c>
      <c r="P32" s="39">
        <f t="shared" si="8"/>
        <v>1300000000000</v>
      </c>
      <c r="Q32" s="34">
        <f t="shared" si="9"/>
        <v>9300411690155.1758</v>
      </c>
      <c r="R32" s="40">
        <v>9579536043</v>
      </c>
      <c r="S32" s="35">
        <f t="shared" si="10"/>
        <v>1</v>
      </c>
      <c r="T32" s="41">
        <f t="shared" si="11"/>
        <v>80.90520292778352</v>
      </c>
      <c r="U32" s="4"/>
      <c r="V32" s="4"/>
      <c r="W32" s="4"/>
    </row>
    <row r="33" spans="1:23" ht="15.75" customHeight="1">
      <c r="A33" s="31" t="s">
        <v>66</v>
      </c>
      <c r="B33" s="32">
        <v>2049</v>
      </c>
      <c r="C33" s="33">
        <f t="shared" si="12"/>
        <v>2.9832649710750334</v>
      </c>
      <c r="D33" s="42">
        <v>4000</v>
      </c>
      <c r="E33" s="34">
        <f t="shared" si="1"/>
        <v>11933059884300.133</v>
      </c>
      <c r="F33" s="34">
        <f t="shared" si="2"/>
        <v>11873394584878.633</v>
      </c>
      <c r="G33" s="35">
        <f t="shared" si="17"/>
        <v>0.59000000000000019</v>
      </c>
      <c r="H33" s="36">
        <f t="shared" si="3"/>
        <v>7005302805078.3955</v>
      </c>
      <c r="I33" s="34">
        <f t="shared" si="14"/>
        <v>93388599208829.766</v>
      </c>
      <c r="J33" s="37">
        <f t="shared" si="15"/>
        <v>92997638540858.781</v>
      </c>
      <c r="K33" s="34">
        <f t="shared" si="4"/>
        <v>5454863585540.167</v>
      </c>
      <c r="L33" s="34">
        <f t="shared" si="5"/>
        <v>4868091779800.2373</v>
      </c>
      <c r="M33" s="34">
        <f t="shared" si="6"/>
        <v>10322955365340.404</v>
      </c>
      <c r="N33" s="34"/>
      <c r="O33" s="38">
        <f t="shared" si="7"/>
        <v>10271340588513.703</v>
      </c>
      <c r="P33" s="39">
        <f t="shared" si="8"/>
        <v>1300000000000</v>
      </c>
      <c r="Q33" s="34">
        <f t="shared" si="9"/>
        <v>8971340588513.7031</v>
      </c>
      <c r="R33" s="40">
        <v>9622824029</v>
      </c>
      <c r="S33" s="35">
        <f t="shared" si="10"/>
        <v>1</v>
      </c>
      <c r="T33" s="41">
        <f t="shared" si="11"/>
        <v>77.691508590037756</v>
      </c>
      <c r="U33" s="4"/>
      <c r="V33" s="4"/>
      <c r="W33" s="4"/>
    </row>
    <row r="34" spans="1:23" ht="15.75" customHeight="1">
      <c r="A34" s="31" t="s">
        <v>67</v>
      </c>
      <c r="B34" s="32">
        <v>2050</v>
      </c>
      <c r="C34" s="33">
        <f t="shared" si="12"/>
        <v>2.6849384739675299</v>
      </c>
      <c r="D34" s="42">
        <v>4000</v>
      </c>
      <c r="E34" s="34">
        <f t="shared" si="1"/>
        <v>10739753895870.119</v>
      </c>
      <c r="F34" s="34">
        <f t="shared" si="2"/>
        <v>10686055126390.768</v>
      </c>
      <c r="G34" s="35">
        <f t="shared" si="17"/>
        <v>0.61000000000000021</v>
      </c>
      <c r="H34" s="36">
        <f t="shared" si="3"/>
        <v>6518493627098.3701</v>
      </c>
      <c r="I34" s="34">
        <f t="shared" si="14"/>
        <v>99907092835928.141</v>
      </c>
      <c r="J34" s="37">
        <f t="shared" si="15"/>
        <v>99466374101873.188</v>
      </c>
      <c r="K34" s="34">
        <f t="shared" si="4"/>
        <v>5896050283490.4463</v>
      </c>
      <c r="L34" s="34">
        <f t="shared" si="5"/>
        <v>4167561499292.397</v>
      </c>
      <c r="M34" s="34">
        <f t="shared" si="6"/>
        <v>10063611782782.844</v>
      </c>
      <c r="N34" s="34"/>
      <c r="O34" s="38">
        <f t="shared" si="7"/>
        <v>10013293723868.93</v>
      </c>
      <c r="P34" s="39">
        <f t="shared" si="8"/>
        <v>1300000000000</v>
      </c>
      <c r="Q34" s="34">
        <f t="shared" si="9"/>
        <v>8713293723868.9297</v>
      </c>
      <c r="R34" s="40">
        <v>9664378587</v>
      </c>
      <c r="S34" s="35">
        <f t="shared" si="10"/>
        <v>1</v>
      </c>
      <c r="T34" s="41">
        <f t="shared" si="11"/>
        <v>75.132384745267714</v>
      </c>
      <c r="U34" s="4"/>
      <c r="V34" s="4"/>
      <c r="W34" s="4"/>
    </row>
    <row r="35" spans="1:23" ht="15.75" customHeight="1">
      <c r="A35" s="31" t="s">
        <v>68</v>
      </c>
      <c r="B35" s="32">
        <v>2051</v>
      </c>
      <c r="C35" s="67">
        <v>0.1</v>
      </c>
      <c r="D35" s="42">
        <v>4000</v>
      </c>
      <c r="E35" s="34">
        <f t="shared" si="1"/>
        <v>400000000000</v>
      </c>
      <c r="F35" s="34">
        <f t="shared" si="2"/>
        <v>398000000000</v>
      </c>
      <c r="G35" s="35">
        <f t="shared" si="17"/>
        <v>0.63000000000000023</v>
      </c>
      <c r="H35" s="36">
        <f t="shared" si="3"/>
        <v>250740000000.00009</v>
      </c>
      <c r="I35" s="34">
        <f t="shared" si="14"/>
        <v>100157832835928.14</v>
      </c>
      <c r="J35" s="37">
        <f t="shared" si="15"/>
        <v>99667255544822.25</v>
      </c>
      <c r="K35" s="34">
        <f t="shared" si="4"/>
        <v>6306168118058.7598</v>
      </c>
      <c r="L35" s="34">
        <f t="shared" si="5"/>
        <v>147259999999.99991</v>
      </c>
      <c r="M35" s="34">
        <f t="shared" si="6"/>
        <v>6453428118058.7598</v>
      </c>
      <c r="N35" s="34"/>
      <c r="O35" s="38">
        <f t="shared" si="7"/>
        <v>6421160977468.4658</v>
      </c>
      <c r="P35" s="39"/>
      <c r="Q35" s="34">
        <f t="shared" si="9"/>
        <v>6421160977468.4658</v>
      </c>
      <c r="R35" s="40">
        <v>9704192304</v>
      </c>
      <c r="S35" s="35">
        <f t="shared" si="10"/>
        <v>1</v>
      </c>
      <c r="T35" s="41">
        <f t="shared" si="11"/>
        <v>55.140781567344767</v>
      </c>
      <c r="U35" s="4"/>
      <c r="V35" s="4"/>
      <c r="W35" s="4"/>
    </row>
    <row r="36" spans="1:23" ht="15.75" customHeight="1">
      <c r="A36" s="31" t="s">
        <v>69</v>
      </c>
      <c r="B36" s="32">
        <v>2052</v>
      </c>
      <c r="C36" s="33">
        <f t="shared" ref="C36:C184" si="18">C35*(1-$C$5)</f>
        <v>9.0000000000000011E-2</v>
      </c>
      <c r="D36" s="42">
        <v>4000</v>
      </c>
      <c r="E36" s="34">
        <f t="shared" si="1"/>
        <v>360000000000.00006</v>
      </c>
      <c r="F36" s="34">
        <f t="shared" si="2"/>
        <v>358200000000.00006</v>
      </c>
      <c r="G36" s="35">
        <f t="shared" si="17"/>
        <v>0.65000000000000024</v>
      </c>
      <c r="H36" s="36">
        <f t="shared" si="3"/>
        <v>232830000000.00012</v>
      </c>
      <c r="I36" s="34">
        <f t="shared" si="14"/>
        <v>100390662835928.14</v>
      </c>
      <c r="J36" s="37">
        <f t="shared" si="15"/>
        <v>99850135502049.844</v>
      </c>
      <c r="K36" s="34">
        <f t="shared" si="4"/>
        <v>6318904001541.7305</v>
      </c>
      <c r="L36" s="34">
        <f t="shared" si="5"/>
        <v>125369999999.99994</v>
      </c>
      <c r="M36" s="34">
        <f t="shared" si="6"/>
        <v>6444274001541.7305</v>
      </c>
      <c r="N36" s="34"/>
      <c r="O36" s="38">
        <f t="shared" si="7"/>
        <v>6412052631534.0215</v>
      </c>
      <c r="P36" s="39"/>
      <c r="Q36" s="34">
        <f t="shared" si="9"/>
        <v>6412052631534.0215</v>
      </c>
      <c r="R36" s="40">
        <v>9742264515</v>
      </c>
      <c r="S36" s="35">
        <f t="shared" si="10"/>
        <v>1</v>
      </c>
      <c r="T36" s="41">
        <f t="shared" si="11"/>
        <v>54.847383631576726</v>
      </c>
      <c r="U36" s="4"/>
      <c r="V36" s="4"/>
      <c r="W36" s="4"/>
    </row>
    <row r="37" spans="1:23" ht="15.75" customHeight="1">
      <c r="A37" s="31" t="s">
        <v>70</v>
      </c>
      <c r="B37" s="32">
        <v>2053</v>
      </c>
      <c r="C37" s="33">
        <f t="shared" si="18"/>
        <v>8.1000000000000016E-2</v>
      </c>
      <c r="D37" s="42">
        <v>4000</v>
      </c>
      <c r="E37" s="34">
        <f t="shared" si="1"/>
        <v>324000000000.00006</v>
      </c>
      <c r="F37" s="34">
        <f t="shared" si="2"/>
        <v>322380000000.00006</v>
      </c>
      <c r="G37" s="35">
        <f t="shared" si="17"/>
        <v>0.67000000000000026</v>
      </c>
      <c r="H37" s="36">
        <f t="shared" si="3"/>
        <v>215994600000.00012</v>
      </c>
      <c r="I37" s="34">
        <f t="shared" si="14"/>
        <v>100606657435928.14</v>
      </c>
      <c r="J37" s="37">
        <f t="shared" si="15"/>
        <v>100016097036998.83</v>
      </c>
      <c r="K37" s="34">
        <f t="shared" si="4"/>
        <v>6330498590829.96</v>
      </c>
      <c r="L37" s="34">
        <f t="shared" si="5"/>
        <v>106385399999.99994</v>
      </c>
      <c r="M37" s="34">
        <f t="shared" si="6"/>
        <v>6436883990829.96</v>
      </c>
      <c r="N37" s="34"/>
      <c r="O37" s="38">
        <f t="shared" si="7"/>
        <v>6404699570875.8105</v>
      </c>
      <c r="P37" s="39"/>
      <c r="Q37" s="34">
        <f t="shared" si="9"/>
        <v>6404699570875.8105</v>
      </c>
      <c r="R37" s="40">
        <v>9778614614</v>
      </c>
      <c r="S37" s="35">
        <f t="shared" si="10"/>
        <v>1</v>
      </c>
      <c r="T37" s="41">
        <f t="shared" si="11"/>
        <v>54.58083637691572</v>
      </c>
      <c r="U37" s="4"/>
      <c r="V37" s="4"/>
      <c r="W37" s="4"/>
    </row>
    <row r="38" spans="1:23" ht="15.75" customHeight="1">
      <c r="A38" s="31" t="s">
        <v>71</v>
      </c>
      <c r="B38" s="32">
        <v>2054</v>
      </c>
      <c r="C38" s="33">
        <f t="shared" si="18"/>
        <v>7.290000000000002E-2</v>
      </c>
      <c r="D38" s="42">
        <v>4000</v>
      </c>
      <c r="E38" s="34">
        <f t="shared" si="1"/>
        <v>291600000000.00006</v>
      </c>
      <c r="F38" s="34">
        <f t="shared" si="2"/>
        <v>290142000000.00006</v>
      </c>
      <c r="G38" s="35">
        <f t="shared" si="17"/>
        <v>0.69000000000000028</v>
      </c>
      <c r="H38" s="36">
        <f t="shared" si="3"/>
        <v>200197980000.00012</v>
      </c>
      <c r="I38" s="34">
        <f t="shared" si="14"/>
        <v>100806855415928.14</v>
      </c>
      <c r="J38" s="37">
        <f t="shared" si="15"/>
        <v>100166186869490.33</v>
      </c>
      <c r="K38" s="34">
        <f t="shared" si="4"/>
        <v>6341020552145.7256</v>
      </c>
      <c r="L38" s="34">
        <f t="shared" si="5"/>
        <v>89944019999.999939</v>
      </c>
      <c r="M38" s="34">
        <f t="shared" si="6"/>
        <v>6430964572145.7256</v>
      </c>
      <c r="N38" s="34"/>
      <c r="O38" s="38">
        <f t="shared" si="7"/>
        <v>6398809749284.9971</v>
      </c>
      <c r="P38" s="39"/>
      <c r="Q38" s="34">
        <f t="shared" si="9"/>
        <v>6398809749284.9971</v>
      </c>
      <c r="R38" s="40">
        <v>9813251659</v>
      </c>
      <c r="S38" s="35">
        <f t="shared" si="10"/>
        <v>1</v>
      </c>
      <c r="T38" s="41">
        <f t="shared" si="11"/>
        <v>54.338170904310424</v>
      </c>
      <c r="U38" s="4"/>
      <c r="V38" s="4"/>
      <c r="W38" s="4"/>
    </row>
    <row r="39" spans="1:23" ht="15.75" customHeight="1">
      <c r="A39" s="31" t="s">
        <v>72</v>
      </c>
      <c r="B39" s="32">
        <v>2055</v>
      </c>
      <c r="C39" s="33">
        <f t="shared" si="18"/>
        <v>6.5610000000000016E-2</v>
      </c>
      <c r="D39" s="42">
        <v>4000</v>
      </c>
      <c r="E39" s="34">
        <f t="shared" si="1"/>
        <v>262440000000.00006</v>
      </c>
      <c r="F39" s="34">
        <f t="shared" si="2"/>
        <v>261127800000.00006</v>
      </c>
      <c r="G39" s="35">
        <f t="shared" si="17"/>
        <v>0.7100000000000003</v>
      </c>
      <c r="H39" s="36">
        <f t="shared" si="3"/>
        <v>185400738000.00012</v>
      </c>
      <c r="I39" s="34">
        <f t="shared" si="14"/>
        <v>100992256153928.14</v>
      </c>
      <c r="J39" s="37">
        <f t="shared" si="15"/>
        <v>100301411813686.59</v>
      </c>
      <c r="K39" s="34">
        <f t="shared" si="4"/>
        <v>6350536247525.6865</v>
      </c>
      <c r="L39" s="34">
        <f t="shared" si="5"/>
        <v>75727061999.999939</v>
      </c>
      <c r="M39" s="34">
        <f t="shared" si="6"/>
        <v>6426263309525.6865</v>
      </c>
      <c r="N39" s="34"/>
      <c r="O39" s="38">
        <f t="shared" si="7"/>
        <v>6394131992978.0576</v>
      </c>
      <c r="P39" s="39"/>
      <c r="Q39" s="34">
        <f t="shared" si="9"/>
        <v>6394131992978.0576</v>
      </c>
      <c r="R39" s="40">
        <v>9846237570</v>
      </c>
      <c r="S39" s="35">
        <f t="shared" si="10"/>
        <v>1</v>
      </c>
      <c r="T39" s="41">
        <f t="shared" si="11"/>
        <v>54.116542380783876</v>
      </c>
      <c r="U39" s="4"/>
      <c r="V39" s="4"/>
      <c r="W39" s="4"/>
    </row>
    <row r="40" spans="1:23" ht="15.75" customHeight="1">
      <c r="A40" s="31" t="s">
        <v>73</v>
      </c>
      <c r="B40" s="32">
        <v>2056</v>
      </c>
      <c r="C40" s="33">
        <f t="shared" si="18"/>
        <v>5.9049000000000018E-2</v>
      </c>
      <c r="D40" s="42">
        <v>4000</v>
      </c>
      <c r="E40" s="34">
        <f t="shared" si="1"/>
        <v>236196000000.00009</v>
      </c>
      <c r="F40" s="34">
        <f t="shared" si="2"/>
        <v>235015020000.00009</v>
      </c>
      <c r="G40" s="43">
        <f t="shared" si="17"/>
        <v>0.73000000000000032</v>
      </c>
      <c r="H40" s="36">
        <f t="shared" si="3"/>
        <v>171560964600.00015</v>
      </c>
      <c r="I40" s="34">
        <f t="shared" si="14"/>
        <v>101163817118528.14</v>
      </c>
      <c r="J40" s="37">
        <f t="shared" si="15"/>
        <v>100422736291897.45</v>
      </c>
      <c r="K40" s="34">
        <f t="shared" si="4"/>
        <v>6359109508987.7295</v>
      </c>
      <c r="L40" s="34">
        <f t="shared" si="5"/>
        <v>63454055399.999954</v>
      </c>
      <c r="M40" s="34">
        <f t="shared" si="6"/>
        <v>6422563564387.7295</v>
      </c>
      <c r="N40" s="34"/>
      <c r="O40" s="38">
        <f t="shared" si="7"/>
        <v>6390450746565.791</v>
      </c>
      <c r="P40" s="39"/>
      <c r="Q40" s="34">
        <f t="shared" si="9"/>
        <v>6390450746565.791</v>
      </c>
      <c r="R40" s="40">
        <v>9877680392</v>
      </c>
      <c r="S40" s="35">
        <f t="shared" si="10"/>
        <v>1</v>
      </c>
      <c r="T40" s="41">
        <f t="shared" si="11"/>
        <v>53.913220622639471</v>
      </c>
      <c r="U40" s="4"/>
      <c r="V40" s="4"/>
      <c r="W40" s="4"/>
    </row>
    <row r="41" spans="1:23" ht="15.75" customHeight="1">
      <c r="A41" s="31" t="s">
        <v>74</v>
      </c>
      <c r="B41" s="32">
        <v>2057</v>
      </c>
      <c r="C41" s="33">
        <f t="shared" si="18"/>
        <v>5.314410000000002E-2</v>
      </c>
      <c r="D41" s="42">
        <v>4000</v>
      </c>
      <c r="E41" s="34">
        <f t="shared" si="1"/>
        <v>212576400000.00009</v>
      </c>
      <c r="F41" s="34">
        <f t="shared" si="2"/>
        <v>211513518000.00009</v>
      </c>
      <c r="G41" s="43">
        <f t="shared" si="17"/>
        <v>0.75000000000000033</v>
      </c>
      <c r="H41" s="36">
        <f t="shared" si="3"/>
        <v>158635138500.00015</v>
      </c>
      <c r="I41" s="34">
        <f t="shared" si="14"/>
        <v>101322452257028.14</v>
      </c>
      <c r="J41" s="37">
        <f t="shared" si="15"/>
        <v>100531080744682.27</v>
      </c>
      <c r="K41" s="34">
        <f t="shared" si="4"/>
        <v>6366801480906.2979</v>
      </c>
      <c r="L41" s="34">
        <f t="shared" si="5"/>
        <v>52878379499.999954</v>
      </c>
      <c r="M41" s="34">
        <f t="shared" si="6"/>
        <v>6419679860406.2979</v>
      </c>
      <c r="N41" s="34">
        <f>M41*0%</f>
        <v>0</v>
      </c>
      <c r="O41" s="38">
        <f t="shared" si="7"/>
        <v>6387581461104.2666</v>
      </c>
      <c r="P41" s="39"/>
      <c r="Q41" s="34">
        <f t="shared" si="9"/>
        <v>6387581461104.2666</v>
      </c>
      <c r="R41" s="40">
        <v>9907637193</v>
      </c>
      <c r="S41" s="35">
        <f t="shared" si="10"/>
        <v>1</v>
      </c>
      <c r="T41" s="41">
        <f t="shared" si="11"/>
        <v>53.726074615257886</v>
      </c>
      <c r="U41" s="4"/>
      <c r="V41" s="4"/>
      <c r="W41" s="4"/>
    </row>
    <row r="42" spans="1:23" ht="15.75" customHeight="1">
      <c r="A42" s="31" t="s">
        <v>75</v>
      </c>
      <c r="B42" s="32">
        <v>2058</v>
      </c>
      <c r="C42" s="33">
        <f t="shared" si="18"/>
        <v>4.7829690000000022E-2</v>
      </c>
      <c r="D42" s="42">
        <v>4000</v>
      </c>
      <c r="E42" s="34">
        <f t="shared" si="1"/>
        <v>191318760000.00009</v>
      </c>
      <c r="F42" s="34">
        <f t="shared" si="2"/>
        <v>190362166200.00009</v>
      </c>
      <c r="G42" s="43">
        <f t="shared" si="17"/>
        <v>0.77000000000000035</v>
      </c>
      <c r="H42" s="36">
        <f t="shared" si="3"/>
        <v>146578867974.00012</v>
      </c>
      <c r="I42" s="34">
        <f t="shared" si="14"/>
        <v>101469031125002.14</v>
      </c>
      <c r="J42" s="37">
        <f t="shared" si="15"/>
        <v>100627320782849.94</v>
      </c>
      <c r="K42" s="34">
        <f t="shared" si="4"/>
        <v>6373670519212.8555</v>
      </c>
      <c r="L42" s="34">
        <f t="shared" si="5"/>
        <v>43783298225.999954</v>
      </c>
      <c r="M42" s="34">
        <f t="shared" si="6"/>
        <v>6417453817438.8555</v>
      </c>
      <c r="N42" s="34">
        <f>M42*0.4%</f>
        <v>25669815269.755421</v>
      </c>
      <c r="O42" s="38">
        <f t="shared" si="7"/>
        <v>6359825082158.2539</v>
      </c>
      <c r="P42" s="39"/>
      <c r="Q42" s="34">
        <f t="shared" si="9"/>
        <v>6359825082158.2539</v>
      </c>
      <c r="R42" s="40">
        <v>9936164379</v>
      </c>
      <c r="S42" s="35">
        <f t="shared" si="10"/>
        <v>1</v>
      </c>
      <c r="T42" s="41">
        <f t="shared" si="11"/>
        <v>53.339035396124039</v>
      </c>
      <c r="U42" s="4"/>
      <c r="V42" s="4"/>
      <c r="W42" s="4"/>
    </row>
    <row r="43" spans="1:23" ht="15.75" customHeight="1">
      <c r="A43" s="31" t="s">
        <v>76</v>
      </c>
      <c r="B43" s="32">
        <v>2059</v>
      </c>
      <c r="C43" s="33">
        <f t="shared" si="18"/>
        <v>4.3046721000000024E-2</v>
      </c>
      <c r="D43" s="42">
        <v>4000</v>
      </c>
      <c r="E43" s="34">
        <f t="shared" si="1"/>
        <v>172186884000.00009</v>
      </c>
      <c r="F43" s="34">
        <f t="shared" si="2"/>
        <v>171325949580.00009</v>
      </c>
      <c r="G43" s="43">
        <f t="shared" si="17"/>
        <v>0.79000000000000037</v>
      </c>
      <c r="H43" s="36">
        <f t="shared" si="3"/>
        <v>135347500168.20013</v>
      </c>
      <c r="I43" s="34">
        <f t="shared" si="14"/>
        <v>101604378625170.34</v>
      </c>
      <c r="J43" s="37">
        <f t="shared" si="15"/>
        <v>100712286948876.64</v>
      </c>
      <c r="K43" s="34">
        <f t="shared" si="4"/>
        <v>6379772137632.6855</v>
      </c>
      <c r="L43" s="34">
        <f t="shared" si="5"/>
        <v>35978449411.799957</v>
      </c>
      <c r="M43" s="34">
        <f t="shared" si="6"/>
        <v>6415750587044.4854</v>
      </c>
      <c r="N43" s="34">
        <f>M43*0.6%</f>
        <v>38494503522.266914</v>
      </c>
      <c r="O43" s="38">
        <f t="shared" si="7"/>
        <v>6345369803104.6074</v>
      </c>
      <c r="P43" s="39"/>
      <c r="Q43" s="34">
        <f t="shared" si="9"/>
        <v>6345369803104.6074</v>
      </c>
      <c r="R43" s="40">
        <v>9963337082</v>
      </c>
      <c r="S43" s="35">
        <f t="shared" si="10"/>
        <v>1</v>
      </c>
      <c r="T43" s="41">
        <f t="shared" si="11"/>
        <v>53.072661556406821</v>
      </c>
      <c r="U43" s="4"/>
      <c r="V43" s="4"/>
      <c r="W43" s="4"/>
    </row>
    <row r="44" spans="1:23" ht="15.75" customHeight="1">
      <c r="A44" s="31" t="s">
        <v>77</v>
      </c>
      <c r="B44" s="32">
        <v>2060</v>
      </c>
      <c r="C44" s="33">
        <f t="shared" si="18"/>
        <v>3.874204890000002E-2</v>
      </c>
      <c r="D44" s="42">
        <v>4000</v>
      </c>
      <c r="E44" s="34">
        <f t="shared" si="1"/>
        <v>154968195600.00009</v>
      </c>
      <c r="F44" s="34">
        <f t="shared" si="2"/>
        <v>154193354622.00009</v>
      </c>
      <c r="G44" s="43">
        <f t="shared" si="17"/>
        <v>0.81000000000000039</v>
      </c>
      <c r="H44" s="36">
        <f t="shared" si="3"/>
        <v>124896617243.82013</v>
      </c>
      <c r="I44" s="34">
        <f t="shared" si="14"/>
        <v>101729275242414.16</v>
      </c>
      <c r="J44" s="37">
        <f t="shared" si="15"/>
        <v>100786764974337.41</v>
      </c>
      <c r="K44" s="34">
        <f t="shared" si="4"/>
        <v>6385158992558.7793</v>
      </c>
      <c r="L44" s="34">
        <f t="shared" si="5"/>
        <v>29296737378.179958</v>
      </c>
      <c r="M44" s="34">
        <f t="shared" si="6"/>
        <v>6414455729936.959</v>
      </c>
      <c r="N44" s="34">
        <f>M44*0.8%</f>
        <v>51315645839.495674</v>
      </c>
      <c r="O44" s="38">
        <f t="shared" si="7"/>
        <v>6331324383676.9756</v>
      </c>
      <c r="P44" s="39"/>
      <c r="Q44" s="34">
        <f t="shared" si="9"/>
        <v>6331324383676.9756</v>
      </c>
      <c r="R44" s="40">
        <v>9989232292</v>
      </c>
      <c r="S44" s="35">
        <f t="shared" si="10"/>
        <v>1</v>
      </c>
      <c r="T44" s="41">
        <f t="shared" si="11"/>
        <v>52.817909313106867</v>
      </c>
      <c r="U44" s="4"/>
      <c r="V44" s="4"/>
      <c r="W44" s="4"/>
    </row>
    <row r="45" spans="1:23" ht="15.75" customHeight="1">
      <c r="A45" s="31" t="s">
        <v>78</v>
      </c>
      <c r="B45" s="32">
        <v>2061</v>
      </c>
      <c r="C45" s="33">
        <f t="shared" si="18"/>
        <v>3.4867844010000017E-2</v>
      </c>
      <c r="D45" s="42">
        <v>4000</v>
      </c>
      <c r="E45" s="34">
        <f t="shared" si="1"/>
        <v>139471376040.00009</v>
      </c>
      <c r="F45" s="34">
        <f t="shared" si="2"/>
        <v>138774019159.80008</v>
      </c>
      <c r="G45" s="43">
        <f t="shared" si="17"/>
        <v>0.8300000000000004</v>
      </c>
      <c r="H45" s="36">
        <f t="shared" si="3"/>
        <v>115182435902.63412</v>
      </c>
      <c r="I45" s="34">
        <f t="shared" si="14"/>
        <v>101844457678316.8</v>
      </c>
      <c r="J45" s="37">
        <f t="shared" si="15"/>
        <v>100851496436534.94</v>
      </c>
      <c r="K45" s="34">
        <f t="shared" si="4"/>
        <v>6389880899372.9912</v>
      </c>
      <c r="L45" s="34">
        <f t="shared" si="5"/>
        <v>23591583257.165958</v>
      </c>
      <c r="M45" s="34">
        <f t="shared" si="6"/>
        <v>6413472482630.1572</v>
      </c>
      <c r="N45" s="34">
        <f>M45*1%</f>
        <v>64134724826.301575</v>
      </c>
      <c r="O45" s="38">
        <f t="shared" si="7"/>
        <v>6317591069014.8359</v>
      </c>
      <c r="P45" s="39"/>
      <c r="Q45" s="34">
        <f t="shared" si="9"/>
        <v>6317591069014.8359</v>
      </c>
      <c r="R45" s="40">
        <v>10013916213</v>
      </c>
      <c r="S45" s="35">
        <f t="shared" si="10"/>
        <v>1</v>
      </c>
      <c r="T45" s="41">
        <f t="shared" si="11"/>
        <v>52.573429936876089</v>
      </c>
      <c r="U45" s="4"/>
      <c r="V45" s="4"/>
      <c r="W45" s="4"/>
    </row>
    <row r="46" spans="1:23" ht="15.75" customHeight="1">
      <c r="A46" s="31" t="s">
        <v>79</v>
      </c>
      <c r="B46" s="32">
        <v>2062</v>
      </c>
      <c r="C46" s="33">
        <f t="shared" si="18"/>
        <v>3.1381059609000013E-2</v>
      </c>
      <c r="D46" s="42">
        <v>4000</v>
      </c>
      <c r="E46" s="34">
        <f t="shared" si="1"/>
        <v>125524238436.00005</v>
      </c>
      <c r="F46" s="34">
        <f t="shared" si="2"/>
        <v>124896617243.82004</v>
      </c>
      <c r="G46" s="43">
        <f t="shared" si="17"/>
        <v>0.85000000000000042</v>
      </c>
      <c r="H46" s="36">
        <f t="shared" si="3"/>
        <v>106162124657.24709</v>
      </c>
      <c r="I46" s="34">
        <f t="shared" si="14"/>
        <v>101950619802974.05</v>
      </c>
      <c r="J46" s="37">
        <f t="shared" si="15"/>
        <v>100907179731911.59</v>
      </c>
      <c r="K46" s="34">
        <f t="shared" si="4"/>
        <v>6393984874076.3145</v>
      </c>
      <c r="L46" s="34">
        <f t="shared" si="5"/>
        <v>18734492586.572952</v>
      </c>
      <c r="M46" s="34">
        <f t="shared" si="6"/>
        <v>6412719366662.8877</v>
      </c>
      <c r="N46" s="34">
        <f>M46*1.2%</f>
        <v>76952632399.954651</v>
      </c>
      <c r="O46" s="38">
        <f t="shared" si="7"/>
        <v>6304087900591.6182</v>
      </c>
      <c r="P46" s="39"/>
      <c r="Q46" s="34">
        <f t="shared" si="9"/>
        <v>6304087900591.6182</v>
      </c>
      <c r="R46" s="40">
        <v>10037466600</v>
      </c>
      <c r="S46" s="35">
        <f t="shared" si="10"/>
        <v>1</v>
      </c>
      <c r="T46" s="41">
        <f t="shared" si="11"/>
        <v>52.337973247416322</v>
      </c>
      <c r="U46" s="4"/>
      <c r="V46" s="4"/>
      <c r="W46" s="4"/>
    </row>
    <row r="47" spans="1:23" ht="15.75" customHeight="1">
      <c r="A47" s="31" t="s">
        <v>80</v>
      </c>
      <c r="B47" s="32">
        <v>2063</v>
      </c>
      <c r="C47" s="33">
        <f t="shared" si="18"/>
        <v>2.8242953648100012E-2</v>
      </c>
      <c r="D47" s="42">
        <v>4000</v>
      </c>
      <c r="E47" s="34">
        <f t="shared" si="1"/>
        <v>112971814592.40005</v>
      </c>
      <c r="F47" s="34">
        <f t="shared" si="2"/>
        <v>112406955519.43805</v>
      </c>
      <c r="G47" s="43">
        <f t="shared" si="17"/>
        <v>0.87000000000000044</v>
      </c>
      <c r="H47" s="36">
        <f t="shared" si="3"/>
        <v>97794051301.911148</v>
      </c>
      <c r="I47" s="34">
        <f t="shared" si="14"/>
        <v>102048413854275.95</v>
      </c>
      <c r="J47" s="37">
        <f t="shared" si="15"/>
        <v>100954471296321.91</v>
      </c>
      <c r="K47" s="34">
        <f t="shared" si="4"/>
        <v>6397515195003.1953</v>
      </c>
      <c r="L47" s="34">
        <f t="shared" si="5"/>
        <v>14612904217.526897</v>
      </c>
      <c r="M47" s="34">
        <f t="shared" si="6"/>
        <v>6412128099220.7227</v>
      </c>
      <c r="N47" s="34">
        <f>M47*1.4%</f>
        <v>89769793389.090103</v>
      </c>
      <c r="O47" s="38">
        <f t="shared" si="7"/>
        <v>6290746514302.4746</v>
      </c>
      <c r="P47" s="39"/>
      <c r="Q47" s="34">
        <f t="shared" si="9"/>
        <v>6290746514302.4746</v>
      </c>
      <c r="R47" s="40">
        <v>10059950035</v>
      </c>
      <c r="S47" s="35">
        <f t="shared" si="10"/>
        <v>1</v>
      </c>
      <c r="T47" s="41">
        <f t="shared" si="11"/>
        <v>52.110485078753463</v>
      </c>
      <c r="U47" s="4"/>
      <c r="V47" s="4"/>
      <c r="W47" s="4"/>
    </row>
    <row r="48" spans="1:23" ht="15.75" customHeight="1">
      <c r="A48" s="31" t="s">
        <v>81</v>
      </c>
      <c r="B48" s="32">
        <v>2064</v>
      </c>
      <c r="C48" s="33">
        <f t="shared" si="18"/>
        <v>2.5418658283290013E-2</v>
      </c>
      <c r="D48" s="42">
        <v>4000</v>
      </c>
      <c r="E48" s="34">
        <f t="shared" si="1"/>
        <v>101674633133.16006</v>
      </c>
      <c r="F48" s="34">
        <f t="shared" si="2"/>
        <v>101166259967.49426</v>
      </c>
      <c r="G48" s="43">
        <f t="shared" si="17"/>
        <v>0.89000000000000046</v>
      </c>
      <c r="H48" s="36">
        <f t="shared" si="3"/>
        <v>90037971371.069946</v>
      </c>
      <c r="I48" s="34">
        <f t="shared" si="14"/>
        <v>102138451825647.02</v>
      </c>
      <c r="J48" s="37">
        <f t="shared" si="15"/>
        <v>100993987013059.13</v>
      </c>
      <c r="K48" s="34">
        <f t="shared" si="4"/>
        <v>6400513480186.8086</v>
      </c>
      <c r="L48" s="34">
        <f t="shared" si="5"/>
        <v>11128288596.424322</v>
      </c>
      <c r="M48" s="34">
        <f t="shared" si="6"/>
        <v>6411641768783.2334</v>
      </c>
      <c r="N48" s="34">
        <f>M48*1.6%</f>
        <v>102586268300.53174</v>
      </c>
      <c r="O48" s="38">
        <f t="shared" si="7"/>
        <v>6277510222980.2881</v>
      </c>
      <c r="P48" s="39"/>
      <c r="Q48" s="34">
        <f t="shared" si="9"/>
        <v>6277510222980.2881</v>
      </c>
      <c r="R48" s="40">
        <v>10081402737</v>
      </c>
      <c r="S48" s="35">
        <f t="shared" si="10"/>
        <v>1</v>
      </c>
      <c r="T48" s="41">
        <f t="shared" si="11"/>
        <v>51.890184884201396</v>
      </c>
      <c r="U48" s="4"/>
      <c r="V48" s="4"/>
      <c r="W48" s="4"/>
    </row>
    <row r="49" spans="1:23" ht="15.75" customHeight="1">
      <c r="A49" s="31" t="s">
        <v>82</v>
      </c>
      <c r="B49" s="32">
        <v>2065</v>
      </c>
      <c r="C49" s="33">
        <f t="shared" si="18"/>
        <v>2.2876792454961013E-2</v>
      </c>
      <c r="D49" s="42">
        <v>4000</v>
      </c>
      <c r="E49" s="34">
        <f t="shared" si="1"/>
        <v>91507169819.844055</v>
      </c>
      <c r="F49" s="34">
        <f t="shared" si="2"/>
        <v>91049633970.744827</v>
      </c>
      <c r="G49" s="43">
        <f t="shared" si="17"/>
        <v>0.91000000000000048</v>
      </c>
      <c r="H49" s="36">
        <f t="shared" si="3"/>
        <v>82855166913.377838</v>
      </c>
      <c r="I49" s="34">
        <f t="shared" si="14"/>
        <v>102221306992560.39</v>
      </c>
      <c r="J49" s="37">
        <f t="shared" si="15"/>
        <v>101026303758882.52</v>
      </c>
      <c r="K49" s="34">
        <f t="shared" si="4"/>
        <v>6403018776627.9482</v>
      </c>
      <c r="L49" s="34">
        <f t="shared" si="5"/>
        <v>8194467057.366991</v>
      </c>
      <c r="M49" s="34">
        <f t="shared" si="6"/>
        <v>6411213243685.3154</v>
      </c>
      <c r="N49" s="34">
        <f>M49*1.8%</f>
        <v>115401838386.33569</v>
      </c>
      <c r="O49" s="38">
        <f t="shared" si="7"/>
        <v>6264332348272.4844</v>
      </c>
      <c r="P49" s="39"/>
      <c r="Q49" s="34">
        <f t="shared" si="9"/>
        <v>6264332348272.4844</v>
      </c>
      <c r="R49" s="40">
        <v>10101849561</v>
      </c>
      <c r="S49" s="35">
        <f t="shared" si="10"/>
        <v>1</v>
      </c>
      <c r="T49" s="41">
        <f t="shared" si="11"/>
        <v>51.676447222571511</v>
      </c>
      <c r="U49" s="4"/>
      <c r="V49" s="4"/>
      <c r="W49" s="4"/>
    </row>
    <row r="50" spans="1:23" ht="15.75" customHeight="1">
      <c r="A50" s="31" t="s">
        <v>83</v>
      </c>
      <c r="B50" s="32">
        <v>2066</v>
      </c>
      <c r="C50" s="33">
        <f t="shared" si="18"/>
        <v>2.0589113209464913E-2</v>
      </c>
      <c r="D50" s="42">
        <v>4000</v>
      </c>
      <c r="E50" s="34">
        <f t="shared" si="1"/>
        <v>82356452837.85965</v>
      </c>
      <c r="F50" s="34">
        <f t="shared" si="2"/>
        <v>81944670573.670349</v>
      </c>
      <c r="G50" s="43">
        <f t="shared" si="17"/>
        <v>0.93000000000000049</v>
      </c>
      <c r="H50" s="36">
        <f t="shared" si="3"/>
        <v>76208543633.513458</v>
      </c>
      <c r="I50" s="34">
        <f t="shared" si="14"/>
        <v>102297515536193.91</v>
      </c>
      <c r="J50" s="37">
        <f t="shared" si="15"/>
        <v>101051961046364.78</v>
      </c>
      <c r="K50" s="34">
        <f t="shared" si="4"/>
        <v>6405067658313.1514</v>
      </c>
      <c r="L50" s="34">
        <f t="shared" si="5"/>
        <v>5736126940.1568842</v>
      </c>
      <c r="M50" s="34">
        <f t="shared" si="6"/>
        <v>6410803785253.3086</v>
      </c>
      <c r="N50" s="34">
        <f>M50*2%</f>
        <v>128216075705.06618</v>
      </c>
      <c r="O50" s="38">
        <f t="shared" si="7"/>
        <v>6251174771000.501</v>
      </c>
      <c r="P50" s="39"/>
      <c r="Q50" s="34">
        <f t="shared" si="9"/>
        <v>6251174771000.501</v>
      </c>
      <c r="R50" s="40">
        <v>10121317107</v>
      </c>
      <c r="S50" s="35">
        <f t="shared" si="10"/>
        <v>1</v>
      </c>
      <c r="T50" s="41">
        <f t="shared" si="11"/>
        <v>51.468719476877908</v>
      </c>
      <c r="U50" s="4"/>
      <c r="V50" s="4"/>
      <c r="W50" s="4"/>
    </row>
    <row r="51" spans="1:23" ht="15.75" customHeight="1">
      <c r="A51" s="31" t="s">
        <v>84</v>
      </c>
      <c r="B51" s="32">
        <v>2067</v>
      </c>
      <c r="C51" s="33">
        <f t="shared" si="18"/>
        <v>1.8530201888518422E-2</v>
      </c>
      <c r="D51" s="42">
        <v>4000</v>
      </c>
      <c r="E51" s="34">
        <f t="shared" si="1"/>
        <v>74120807554.0737</v>
      </c>
      <c r="F51" s="34">
        <f t="shared" si="2"/>
        <v>73750203516.303329</v>
      </c>
      <c r="G51" s="43">
        <f t="shared" si="17"/>
        <v>0.95000000000000051</v>
      </c>
      <c r="H51" s="36">
        <f t="shared" si="3"/>
        <v>70062693340.488205</v>
      </c>
      <c r="I51" s="34">
        <f t="shared" si="14"/>
        <v>102367578229534.39</v>
      </c>
      <c r="J51" s="37">
        <f t="shared" si="15"/>
        <v>101071462727835.42</v>
      </c>
      <c r="K51" s="34">
        <f t="shared" si="4"/>
        <v>6406694330339.5273</v>
      </c>
      <c r="L51" s="34">
        <f t="shared" si="5"/>
        <v>3687510175.8151288</v>
      </c>
      <c r="M51" s="34">
        <f t="shared" si="6"/>
        <v>6410381840515.3428</v>
      </c>
      <c r="N51" s="34">
        <f>M51*2.2%</f>
        <v>141028400491.33755</v>
      </c>
      <c r="O51" s="38">
        <f t="shared" si="7"/>
        <v>6238006672823.8848</v>
      </c>
      <c r="P51" s="39"/>
      <c r="Q51" s="34">
        <f t="shared" si="9"/>
        <v>6238006672823.8848</v>
      </c>
      <c r="R51" s="40">
        <v>10139808361</v>
      </c>
      <c r="S51" s="35">
        <f t="shared" si="10"/>
        <v>1</v>
      </c>
      <c r="T51" s="41">
        <f t="shared" si="11"/>
        <v>51.266638470347168</v>
      </c>
      <c r="U51" s="4"/>
      <c r="V51" s="4"/>
      <c r="W51" s="4"/>
    </row>
    <row r="52" spans="1:23" ht="15.75" customHeight="1">
      <c r="A52" s="31" t="s">
        <v>85</v>
      </c>
      <c r="B52" s="32">
        <v>2068</v>
      </c>
      <c r="C52" s="33">
        <f t="shared" si="18"/>
        <v>1.6677181699666581E-2</v>
      </c>
      <c r="D52" s="42">
        <v>4000</v>
      </c>
      <c r="E52" s="34">
        <f t="shared" si="1"/>
        <v>66708726798.666321</v>
      </c>
      <c r="F52" s="34">
        <f t="shared" si="2"/>
        <v>66375183164.672989</v>
      </c>
      <c r="G52" s="43">
        <f t="shared" si="17"/>
        <v>0.97000000000000053</v>
      </c>
      <c r="H52" s="36">
        <f t="shared" si="3"/>
        <v>64383927669.732834</v>
      </c>
      <c r="I52" s="34">
        <f t="shared" si="14"/>
        <v>102431962157204.13</v>
      </c>
      <c r="J52" s="37">
        <f t="shared" si="15"/>
        <v>101085278732177.41</v>
      </c>
      <c r="K52" s="34">
        <f t="shared" si="4"/>
        <v>6407930736944.7656</v>
      </c>
      <c r="L52" s="34">
        <f t="shared" si="5"/>
        <v>1991255494.9401546</v>
      </c>
      <c r="M52" s="34">
        <f t="shared" si="6"/>
        <v>6409921992439.7061</v>
      </c>
      <c r="N52" s="34">
        <f>M52*2.4%</f>
        <v>153838127818.55295</v>
      </c>
      <c r="O52" s="38">
        <f t="shared" si="7"/>
        <v>6224803445298.0479</v>
      </c>
      <c r="P52" s="39"/>
      <c r="Q52" s="34">
        <f t="shared" si="9"/>
        <v>6224803445298.0479</v>
      </c>
      <c r="R52" s="40">
        <v>10157301941</v>
      </c>
      <c r="S52" s="35">
        <f t="shared" si="10"/>
        <v>1</v>
      </c>
      <c r="T52" s="41">
        <f t="shared" si="11"/>
        <v>51.070020705757806</v>
      </c>
      <c r="U52" s="4"/>
      <c r="V52" s="4"/>
      <c r="W52" s="4"/>
    </row>
    <row r="53" spans="1:23" ht="15.75" customHeight="1">
      <c r="A53" s="31" t="s">
        <v>86</v>
      </c>
      <c r="B53" s="32">
        <v>2069</v>
      </c>
      <c r="C53" s="33">
        <f t="shared" si="18"/>
        <v>1.5009463529699923E-2</v>
      </c>
      <c r="D53" s="42">
        <v>4000</v>
      </c>
      <c r="E53" s="34">
        <f t="shared" si="1"/>
        <v>60037854118.79969</v>
      </c>
      <c r="F53" s="34">
        <f t="shared" si="2"/>
        <v>59737664848.205688</v>
      </c>
      <c r="G53" s="43">
        <f t="shared" si="17"/>
        <v>0.99000000000000055</v>
      </c>
      <c r="H53" s="36">
        <f t="shared" si="3"/>
        <v>59140288199.723663</v>
      </c>
      <c r="I53" s="34">
        <f t="shared" si="14"/>
        <v>102491102445403.84</v>
      </c>
      <c r="J53" s="37">
        <f t="shared" si="15"/>
        <v>101093846810866.94</v>
      </c>
      <c r="K53" s="34">
        <f t="shared" si="4"/>
        <v>6408806671620.0469</v>
      </c>
      <c r="L53" s="34">
        <f t="shared" si="5"/>
        <v>597376648.48202431</v>
      </c>
      <c r="M53" s="34">
        <f t="shared" si="6"/>
        <v>6409404048268.5293</v>
      </c>
      <c r="N53" s="34">
        <f>M53*2.6%</f>
        <v>166644505254.98178</v>
      </c>
      <c r="O53" s="38">
        <f t="shared" si="7"/>
        <v>6211545745298.4805</v>
      </c>
      <c r="P53" s="39"/>
      <c r="Q53" s="34">
        <f t="shared" si="9"/>
        <v>6211545745298.4805</v>
      </c>
      <c r="R53" s="40">
        <v>10173782135</v>
      </c>
      <c r="S53" s="35">
        <f t="shared" si="10"/>
        <v>1</v>
      </c>
      <c r="T53" s="41">
        <f t="shared" si="11"/>
        <v>50.878700294500334</v>
      </c>
      <c r="U53" s="4"/>
      <c r="V53" s="4"/>
      <c r="W53" s="4"/>
    </row>
    <row r="54" spans="1:23" ht="15.75" customHeight="1">
      <c r="A54" s="31" t="s">
        <v>87</v>
      </c>
      <c r="B54" s="32">
        <v>2070</v>
      </c>
      <c r="C54" s="33">
        <f t="shared" si="18"/>
        <v>1.3508517176729932E-2</v>
      </c>
      <c r="D54" s="42">
        <v>4000</v>
      </c>
      <c r="E54" s="34">
        <f t="shared" si="1"/>
        <v>54034068706.919724</v>
      </c>
      <c r="F54" s="34">
        <f t="shared" si="2"/>
        <v>53763898363.385124</v>
      </c>
      <c r="G54" s="43">
        <v>1</v>
      </c>
      <c r="H54" s="36">
        <f t="shared" si="3"/>
        <v>53763898363.385124</v>
      </c>
      <c r="I54" s="34">
        <f t="shared" si="14"/>
        <v>102544866343767.23</v>
      </c>
      <c r="J54" s="37">
        <f t="shared" si="15"/>
        <v>101097036903875.72</v>
      </c>
      <c r="K54" s="34">
        <f t="shared" si="4"/>
        <v>6409349887808.9639</v>
      </c>
      <c r="L54" s="34">
        <f t="shared" si="5"/>
        <v>0</v>
      </c>
      <c r="M54" s="34">
        <f t="shared" si="6"/>
        <v>6409349887808.9639</v>
      </c>
      <c r="N54" s="34">
        <f>M54*2.8%</f>
        <v>179461796858.65097</v>
      </c>
      <c r="O54" s="38">
        <f t="shared" si="7"/>
        <v>6198738650495.5605</v>
      </c>
      <c r="P54" s="39"/>
      <c r="Q54" s="34">
        <f t="shared" si="9"/>
        <v>6198738650495.5605</v>
      </c>
      <c r="R54" s="40">
        <v>10189241959</v>
      </c>
      <c r="S54" s="35">
        <f t="shared" si="10"/>
        <v>1</v>
      </c>
      <c r="T54" s="41">
        <f t="shared" si="11"/>
        <v>50.696760003004208</v>
      </c>
      <c r="U54" s="4"/>
      <c r="V54" s="4"/>
      <c r="W54" s="4"/>
    </row>
    <row r="55" spans="1:23" ht="15.75" customHeight="1">
      <c r="A55" s="31" t="s">
        <v>88</v>
      </c>
      <c r="B55" s="32">
        <v>2071</v>
      </c>
      <c r="C55" s="33">
        <f t="shared" si="18"/>
        <v>1.215766545905694E-2</v>
      </c>
      <c r="D55" s="42">
        <v>4000</v>
      </c>
      <c r="E55" s="34">
        <f t="shared" si="1"/>
        <v>48630661836.22776</v>
      </c>
      <c r="F55" s="34">
        <f t="shared" si="2"/>
        <v>48387508527.046623</v>
      </c>
      <c r="G55" s="43">
        <v>1</v>
      </c>
      <c r="H55" s="36">
        <f t="shared" si="3"/>
        <v>48387508527.046623</v>
      </c>
      <c r="I55" s="34">
        <f t="shared" si="14"/>
        <v>102593253852294.28</v>
      </c>
      <c r="J55" s="37">
        <f t="shared" si="15"/>
        <v>101094851700196.56</v>
      </c>
      <c r="K55" s="34">
        <f t="shared" si="4"/>
        <v>6409552139705.7207</v>
      </c>
      <c r="L55" s="34">
        <f t="shared" si="5"/>
        <v>0</v>
      </c>
      <c r="M55" s="34">
        <f t="shared" si="6"/>
        <v>6409552139705.7207</v>
      </c>
      <c r="N55" s="34">
        <f>M55*3%</f>
        <v>192286564191.1716</v>
      </c>
      <c r="O55" s="38">
        <f t="shared" si="7"/>
        <v>6186179247636.9756</v>
      </c>
      <c r="P55" s="39"/>
      <c r="Q55" s="34">
        <f t="shared" si="9"/>
        <v>6186179247636.9756</v>
      </c>
      <c r="R55" s="40">
        <v>10203681568</v>
      </c>
      <c r="S55" s="35">
        <f t="shared" si="10"/>
        <v>1</v>
      </c>
      <c r="T55" s="41">
        <f t="shared" si="11"/>
        <v>50.52244465564268</v>
      </c>
      <c r="U55" s="4"/>
      <c r="V55" s="4"/>
      <c r="W55" s="4"/>
    </row>
    <row r="56" spans="1:23" ht="15.75" customHeight="1">
      <c r="A56" s="31" t="s">
        <v>89</v>
      </c>
      <c r="B56" s="32">
        <v>2072</v>
      </c>
      <c r="C56" s="33">
        <f t="shared" si="18"/>
        <v>1.0941898913151246E-2</v>
      </c>
      <c r="D56" s="42">
        <v>4000</v>
      </c>
      <c r="E56" s="34">
        <f t="shared" si="1"/>
        <v>43767595652.60498</v>
      </c>
      <c r="F56" s="34">
        <f t="shared" si="2"/>
        <v>43548757674.341957</v>
      </c>
      <c r="G56" s="43">
        <v>1</v>
      </c>
      <c r="H56" s="36">
        <f t="shared" si="3"/>
        <v>43548757674.341957</v>
      </c>
      <c r="I56" s="34">
        <f t="shared" si="14"/>
        <v>102636802609968.63</v>
      </c>
      <c r="J56" s="37">
        <f t="shared" si="15"/>
        <v>101087831257641.97</v>
      </c>
      <c r="K56" s="34">
        <f t="shared" si="4"/>
        <v>6409413597792.4619</v>
      </c>
      <c r="L56" s="34">
        <f t="shared" si="5"/>
        <v>0</v>
      </c>
      <c r="M56" s="34">
        <f t="shared" si="6"/>
        <v>6409413597792.4619</v>
      </c>
      <c r="N56" s="34">
        <f>M56*3.2%</f>
        <v>205101235129.3588</v>
      </c>
      <c r="O56" s="38">
        <f t="shared" si="7"/>
        <v>6173290800849.7881</v>
      </c>
      <c r="P56" s="39"/>
      <c r="Q56" s="34">
        <f t="shared" si="9"/>
        <v>6173290800849.7881</v>
      </c>
      <c r="R56" s="40">
        <v>10217055169</v>
      </c>
      <c r="S56" s="35">
        <f t="shared" si="10"/>
        <v>1</v>
      </c>
      <c r="T56" s="41">
        <f t="shared" si="11"/>
        <v>50.35119137182528</v>
      </c>
      <c r="U56" s="4"/>
      <c r="V56" s="4"/>
      <c r="W56" s="4"/>
    </row>
    <row r="57" spans="1:23" ht="15.75" customHeight="1">
      <c r="A57" s="31" t="s">
        <v>90</v>
      </c>
      <c r="B57" s="32">
        <v>2073</v>
      </c>
      <c r="C57" s="33">
        <f t="shared" si="18"/>
        <v>9.8477090218361211E-3</v>
      </c>
      <c r="D57" s="42">
        <v>4000</v>
      </c>
      <c r="E57" s="34">
        <f t="shared" si="1"/>
        <v>39390836087.344482</v>
      </c>
      <c r="F57" s="34">
        <f t="shared" si="2"/>
        <v>39193881906.907761</v>
      </c>
      <c r="G57" s="43">
        <v>1</v>
      </c>
      <c r="H57" s="36">
        <f t="shared" si="3"/>
        <v>39193881906.907761</v>
      </c>
      <c r="I57" s="34">
        <f t="shared" si="14"/>
        <v>102675996491875.53</v>
      </c>
      <c r="J57" s="37">
        <f t="shared" si="15"/>
        <v>101076461626979.11</v>
      </c>
      <c r="K57" s="34">
        <f t="shared" si="4"/>
        <v>6408968501734.501</v>
      </c>
      <c r="L57" s="34">
        <f t="shared" si="5"/>
        <v>0</v>
      </c>
      <c r="M57" s="34">
        <f t="shared" si="6"/>
        <v>6408968501734.501</v>
      </c>
      <c r="N57" s="34">
        <f>M57*3.4%</f>
        <v>217904929058.97305</v>
      </c>
      <c r="O57" s="38">
        <f t="shared" si="7"/>
        <v>6160108254812.1504</v>
      </c>
      <c r="P57" s="39"/>
      <c r="Q57" s="34">
        <f t="shared" si="9"/>
        <v>6160108254812.1504</v>
      </c>
      <c r="R57" s="40">
        <v>10229327824</v>
      </c>
      <c r="S57" s="35">
        <f t="shared" si="10"/>
        <v>1</v>
      </c>
      <c r="T57" s="41">
        <f t="shared" si="11"/>
        <v>50.183390678249431</v>
      </c>
      <c r="U57" s="4"/>
      <c r="V57" s="4"/>
      <c r="W57" s="4"/>
    </row>
    <row r="58" spans="1:23" ht="15.75" customHeight="1">
      <c r="A58" s="31" t="s">
        <v>91</v>
      </c>
      <c r="B58" s="32">
        <v>2074</v>
      </c>
      <c r="C58" s="33">
        <f t="shared" si="18"/>
        <v>8.8629381196525091E-3</v>
      </c>
      <c r="D58" s="42">
        <v>4000</v>
      </c>
      <c r="E58" s="34">
        <f t="shared" si="1"/>
        <v>35451752478.610039</v>
      </c>
      <c r="F58" s="34">
        <f t="shared" si="2"/>
        <v>35274493716.216988</v>
      </c>
      <c r="G58" s="43">
        <v>1</v>
      </c>
      <c r="H58" s="36">
        <f t="shared" si="3"/>
        <v>35274493716.216988</v>
      </c>
      <c r="I58" s="34">
        <f t="shared" si="14"/>
        <v>102711270985591.75</v>
      </c>
      <c r="J58" s="37">
        <f t="shared" si="15"/>
        <v>101061180252634.98</v>
      </c>
      <c r="K58" s="34">
        <f t="shared" si="4"/>
        <v>6408247667150.4756</v>
      </c>
      <c r="L58" s="34">
        <f t="shared" si="5"/>
        <v>0</v>
      </c>
      <c r="M58" s="34">
        <f t="shared" si="6"/>
        <v>6408247667150.4756</v>
      </c>
      <c r="N58" s="34">
        <f>M58*3.6%</f>
        <v>230696916017.41714</v>
      </c>
      <c r="O58" s="38">
        <f t="shared" si="7"/>
        <v>6146662997377.3936</v>
      </c>
      <c r="P58" s="39"/>
      <c r="Q58" s="34">
        <f t="shared" si="9"/>
        <v>6146662997377.3936</v>
      </c>
      <c r="R58" s="40">
        <v>10240485056</v>
      </c>
      <c r="S58" s="35">
        <f t="shared" si="10"/>
        <v>1</v>
      </c>
      <c r="T58" s="41">
        <f t="shared" si="11"/>
        <v>50.01930217631638</v>
      </c>
      <c r="U58" s="4"/>
      <c r="V58" s="4"/>
      <c r="W58" s="4"/>
    </row>
    <row r="59" spans="1:23" ht="15.75" customHeight="1">
      <c r="A59" s="31" t="s">
        <v>92</v>
      </c>
      <c r="B59" s="32">
        <v>2075</v>
      </c>
      <c r="C59" s="33">
        <f t="shared" si="18"/>
        <v>7.9766443076872591E-3</v>
      </c>
      <c r="D59" s="42">
        <v>4000</v>
      </c>
      <c r="E59" s="34">
        <f t="shared" si="1"/>
        <v>31906577230.749035</v>
      </c>
      <c r="F59" s="34">
        <f t="shared" si="2"/>
        <v>31747044344.595291</v>
      </c>
      <c r="G59" s="43">
        <v>1</v>
      </c>
      <c r="H59" s="36">
        <f t="shared" si="3"/>
        <v>31747044344.595291</v>
      </c>
      <c r="I59" s="34">
        <f t="shared" si="14"/>
        <v>102743018029936.34</v>
      </c>
      <c r="J59" s="37">
        <f t="shared" si="15"/>
        <v>101042380833331.09</v>
      </c>
      <c r="K59" s="34">
        <f t="shared" si="4"/>
        <v>6407278828017.0576</v>
      </c>
      <c r="L59" s="34">
        <f t="shared" si="5"/>
        <v>0</v>
      </c>
      <c r="M59" s="34">
        <f t="shared" si="6"/>
        <v>6407278828017.0576</v>
      </c>
      <c r="N59" s="34">
        <f>M59*3.8%</f>
        <v>243476595464.64819</v>
      </c>
      <c r="O59" s="38">
        <f t="shared" si="7"/>
        <v>6132983221389.6475</v>
      </c>
      <c r="P59" s="39"/>
      <c r="Q59" s="34">
        <f t="shared" si="9"/>
        <v>6132983221389.6475</v>
      </c>
      <c r="R59" s="40">
        <v>10250496432</v>
      </c>
      <c r="S59" s="35">
        <f t="shared" si="10"/>
        <v>1</v>
      </c>
      <c r="T59" s="41">
        <f t="shared" si="11"/>
        <v>49.859237404376664</v>
      </c>
      <c r="U59" s="4"/>
      <c r="V59" s="4"/>
      <c r="W59" s="4"/>
    </row>
    <row r="60" spans="1:23" ht="15.75" customHeight="1">
      <c r="A60" s="31" t="s">
        <v>93</v>
      </c>
      <c r="B60" s="32">
        <v>2076</v>
      </c>
      <c r="C60" s="33">
        <f t="shared" si="18"/>
        <v>7.1789798769185337E-3</v>
      </c>
      <c r="D60" s="42">
        <v>4000</v>
      </c>
      <c r="E60" s="34">
        <f t="shared" si="1"/>
        <v>28715919507.674133</v>
      </c>
      <c r="F60" s="34">
        <f t="shared" si="2"/>
        <v>28572339910.135761</v>
      </c>
      <c r="G60" s="35">
        <f t="shared" ref="G60:G184" si="19">100%</f>
        <v>1</v>
      </c>
      <c r="H60" s="36">
        <f t="shared" si="3"/>
        <v>28572339910.135761</v>
      </c>
      <c r="I60" s="34">
        <f t="shared" ref="I60:I184" si="20">I59+H60+N59</f>
        <v>103015066965311.13</v>
      </c>
      <c r="J60" s="37">
        <f t="shared" si="15"/>
        <v>101020417696654.63</v>
      </c>
      <c r="K60" s="34">
        <f t="shared" si="4"/>
        <v>6406086944833.1914</v>
      </c>
      <c r="L60" s="34">
        <f t="shared" si="5"/>
        <v>0</v>
      </c>
      <c r="M60" s="34">
        <f t="shared" si="6"/>
        <v>6406086944833.1914</v>
      </c>
      <c r="N60" s="34">
        <f>M60*4%</f>
        <v>256243477793.32767</v>
      </c>
      <c r="O60" s="38">
        <f t="shared" si="7"/>
        <v>6119094249704.6641</v>
      </c>
      <c r="P60" s="39"/>
      <c r="Q60" s="34">
        <f t="shared" si="9"/>
        <v>6119094249704.6641</v>
      </c>
      <c r="R60" s="40">
        <v>10259351432</v>
      </c>
      <c r="S60" s="35">
        <f t="shared" si="10"/>
        <v>1</v>
      </c>
      <c r="T60" s="41">
        <f t="shared" si="11"/>
        <v>49.703387605790908</v>
      </c>
      <c r="U60" s="4"/>
      <c r="V60" s="4"/>
      <c r="W60" s="4"/>
    </row>
    <row r="61" spans="1:23" ht="15.75" customHeight="1">
      <c r="A61" s="31" t="s">
        <v>94</v>
      </c>
      <c r="B61" s="32">
        <v>2077</v>
      </c>
      <c r="C61" s="33">
        <f t="shared" si="18"/>
        <v>6.4610818892266806E-3</v>
      </c>
      <c r="D61" s="42">
        <v>4000</v>
      </c>
      <c r="E61" s="34">
        <f t="shared" si="1"/>
        <v>25844327556.906723</v>
      </c>
      <c r="F61" s="34">
        <f t="shared" si="2"/>
        <v>25715105919.122189</v>
      </c>
      <c r="G61" s="35">
        <f t="shared" si="19"/>
        <v>1</v>
      </c>
      <c r="H61" s="36">
        <f t="shared" si="3"/>
        <v>25715105919.122189</v>
      </c>
      <c r="I61" s="34">
        <f t="shared" si="20"/>
        <v>103297025549023.58</v>
      </c>
      <c r="J61" s="37">
        <f t="shared" ref="J61:J184" si="21">(J60+H61+N60)*(1-$J$3)</f>
        <v>101251725092226.91</v>
      </c>
      <c r="K61" s="34">
        <f t="shared" si="4"/>
        <v>6404694481967.9033</v>
      </c>
      <c r="L61" s="34">
        <f t="shared" si="5"/>
        <v>0</v>
      </c>
      <c r="M61" s="34">
        <f t="shared" si="6"/>
        <v>6404694481967.9033</v>
      </c>
      <c r="N61" s="34">
        <f>M61*4.5%</f>
        <v>288211251688.55566</v>
      </c>
      <c r="O61" s="38">
        <f t="shared" si="7"/>
        <v>6085900814127.9512</v>
      </c>
      <c r="P61" s="39"/>
      <c r="Q61" s="34">
        <f t="shared" si="9"/>
        <v>6085900814127.9512</v>
      </c>
      <c r="R61" s="40">
        <v>10267045023</v>
      </c>
      <c r="S61" s="35">
        <f t="shared" si="10"/>
        <v>1</v>
      </c>
      <c r="T61" s="41">
        <f t="shared" si="11"/>
        <v>49.39672515716105</v>
      </c>
      <c r="U61" s="4"/>
      <c r="V61" s="4"/>
      <c r="W61" s="4"/>
    </row>
    <row r="62" spans="1:23" ht="15.75" customHeight="1">
      <c r="A62" s="31" t="s">
        <v>95</v>
      </c>
      <c r="B62" s="32">
        <v>2078</v>
      </c>
      <c r="C62" s="33">
        <f t="shared" si="18"/>
        <v>5.8149737003040129E-3</v>
      </c>
      <c r="D62" s="42">
        <v>4000</v>
      </c>
      <c r="E62" s="34">
        <f t="shared" si="1"/>
        <v>23259894801.216053</v>
      </c>
      <c r="F62" s="34">
        <f t="shared" si="2"/>
        <v>23143595327.209972</v>
      </c>
      <c r="G62" s="35">
        <f t="shared" si="19"/>
        <v>1</v>
      </c>
      <c r="H62" s="36">
        <f t="shared" si="3"/>
        <v>23143595327.209972</v>
      </c>
      <c r="I62" s="34">
        <f t="shared" si="20"/>
        <v>103608380396039.34</v>
      </c>
      <c r="J62" s="37">
        <f t="shared" si="21"/>
        <v>101512298399273.06</v>
      </c>
      <c r="K62" s="34">
        <f t="shared" si="4"/>
        <v>6419359370847.1855</v>
      </c>
      <c r="L62" s="34">
        <f t="shared" si="5"/>
        <v>0</v>
      </c>
      <c r="M62" s="34">
        <f t="shared" si="6"/>
        <v>6419359370847.1855</v>
      </c>
      <c r="N62" s="34">
        <f>M62*5%</f>
        <v>320967968542.35931</v>
      </c>
      <c r="O62" s="38">
        <f t="shared" si="7"/>
        <v>6067899445293.3018</v>
      </c>
      <c r="P62" s="39"/>
      <c r="Q62" s="34">
        <f t="shared" si="9"/>
        <v>6067899445293.3018</v>
      </c>
      <c r="R62" s="40">
        <v>10273556322</v>
      </c>
      <c r="S62" s="35">
        <f t="shared" si="10"/>
        <v>1</v>
      </c>
      <c r="T62" s="41">
        <f t="shared" si="11"/>
        <v>49.219400883114673</v>
      </c>
      <c r="U62" s="4"/>
      <c r="V62" s="4"/>
      <c r="W62" s="4"/>
    </row>
    <row r="63" spans="1:23" ht="15.75" customHeight="1">
      <c r="A63" s="31" t="s">
        <v>96</v>
      </c>
      <c r="B63" s="32">
        <v>2079</v>
      </c>
      <c r="C63" s="33">
        <f t="shared" si="18"/>
        <v>5.2334763302736113E-3</v>
      </c>
      <c r="D63" s="42">
        <v>4000</v>
      </c>
      <c r="E63" s="34">
        <f t="shared" si="1"/>
        <v>20933905321.094448</v>
      </c>
      <c r="F63" s="34">
        <f t="shared" si="2"/>
        <v>20829235794.488976</v>
      </c>
      <c r="G63" s="35">
        <f t="shared" si="19"/>
        <v>1</v>
      </c>
      <c r="H63" s="36">
        <f t="shared" si="3"/>
        <v>20829235794.488976</v>
      </c>
      <c r="I63" s="34">
        <f t="shared" si="20"/>
        <v>103950177600376.19</v>
      </c>
      <c r="J63" s="37">
        <f t="shared" si="21"/>
        <v>101803168555808.11</v>
      </c>
      <c r="K63" s="34">
        <f t="shared" si="4"/>
        <v>6435879718513.9121</v>
      </c>
      <c r="L63" s="34">
        <f t="shared" si="5"/>
        <v>0</v>
      </c>
      <c r="M63" s="34">
        <f t="shared" si="6"/>
        <v>6435879718513.9121</v>
      </c>
      <c r="N63" s="34">
        <f>M63*5.5%</f>
        <v>353973384518.2652</v>
      </c>
      <c r="O63" s="38">
        <f t="shared" si="7"/>
        <v>6051496802325.668</v>
      </c>
      <c r="P63" s="39"/>
      <c r="Q63" s="34">
        <f t="shared" si="9"/>
        <v>6051496802325.668</v>
      </c>
      <c r="R63" s="40">
        <v>10278887473</v>
      </c>
      <c r="S63" s="35">
        <f t="shared" si="10"/>
        <v>1</v>
      </c>
      <c r="T63" s="41">
        <f t="shared" si="11"/>
        <v>49.060893167519318</v>
      </c>
      <c r="U63" s="4"/>
      <c r="V63" s="4"/>
      <c r="W63" s="4"/>
    </row>
    <row r="64" spans="1:23" ht="15.75" customHeight="1">
      <c r="A64" s="31" t="s">
        <v>97</v>
      </c>
      <c r="B64" s="32">
        <v>2080</v>
      </c>
      <c r="C64" s="33">
        <f t="shared" si="18"/>
        <v>4.7101286972462504E-3</v>
      </c>
      <c r="D64" s="42">
        <v>4000</v>
      </c>
      <c r="E64" s="34">
        <f t="shared" si="1"/>
        <v>18840514788.985001</v>
      </c>
      <c r="F64" s="34">
        <f t="shared" si="2"/>
        <v>18746312215.040077</v>
      </c>
      <c r="G64" s="35">
        <f t="shared" si="19"/>
        <v>1</v>
      </c>
      <c r="H64" s="36">
        <f t="shared" si="3"/>
        <v>18746312215.040077</v>
      </c>
      <c r="I64" s="34">
        <f t="shared" si="20"/>
        <v>104322897297109.5</v>
      </c>
      <c r="J64" s="37">
        <f t="shared" si="21"/>
        <v>102124800308415.16</v>
      </c>
      <c r="K64" s="34">
        <f t="shared" si="4"/>
        <v>6454320886438.2344</v>
      </c>
      <c r="L64" s="34">
        <f t="shared" si="5"/>
        <v>0</v>
      </c>
      <c r="M64" s="34">
        <f t="shared" si="6"/>
        <v>6454320886438.2344</v>
      </c>
      <c r="N64" s="34">
        <f>M64*6%</f>
        <v>387259253186.29407</v>
      </c>
      <c r="O64" s="38">
        <f t="shared" si="7"/>
        <v>6036726325085.6807</v>
      </c>
      <c r="P64" s="39"/>
      <c r="Q64" s="34">
        <f t="shared" si="9"/>
        <v>6036726325085.6807</v>
      </c>
      <c r="R64" s="40">
        <v>10283078029</v>
      </c>
      <c r="S64" s="35">
        <f t="shared" si="10"/>
        <v>1</v>
      </c>
      <c r="T64" s="41">
        <f t="shared" si="11"/>
        <v>48.921200993686767</v>
      </c>
      <c r="U64" s="4"/>
      <c r="V64" s="4"/>
      <c r="W64" s="4"/>
    </row>
    <row r="65" spans="1:23" ht="15.75" customHeight="1">
      <c r="A65" s="31" t="s">
        <v>98</v>
      </c>
      <c r="B65" s="32">
        <v>2081</v>
      </c>
      <c r="C65" s="33">
        <f t="shared" si="18"/>
        <v>4.2391158275216258E-3</v>
      </c>
      <c r="D65" s="42">
        <v>4000</v>
      </c>
      <c r="E65" s="34">
        <f t="shared" si="1"/>
        <v>16956463310.086502</v>
      </c>
      <c r="F65" s="34">
        <f t="shared" si="2"/>
        <v>16871680993.53607</v>
      </c>
      <c r="G65" s="35">
        <f t="shared" si="19"/>
        <v>1</v>
      </c>
      <c r="H65" s="36">
        <f t="shared" si="3"/>
        <v>16871680993.53607</v>
      </c>
      <c r="I65" s="34">
        <f t="shared" si="20"/>
        <v>104727028231289.33</v>
      </c>
      <c r="J65" s="37">
        <f t="shared" si="21"/>
        <v>102477666776973.69</v>
      </c>
      <c r="K65" s="34">
        <f t="shared" si="4"/>
        <v>6474712339553.5205</v>
      </c>
      <c r="L65" s="34">
        <f t="shared" si="5"/>
        <v>0</v>
      </c>
      <c r="M65" s="34">
        <f t="shared" si="6"/>
        <v>6474712339553.5205</v>
      </c>
      <c r="N65" s="34">
        <f>M65*6.5%</f>
        <v>420856302070.97882</v>
      </c>
      <c r="O65" s="38">
        <f t="shared" si="7"/>
        <v>6023586757295.1289</v>
      </c>
      <c r="P65" s="39"/>
      <c r="Q65" s="34">
        <f t="shared" si="9"/>
        <v>6023586757295.1289</v>
      </c>
      <c r="R65" s="40">
        <v>10286161735</v>
      </c>
      <c r="S65" s="35">
        <f t="shared" si="10"/>
        <v>1</v>
      </c>
      <c r="T65" s="41">
        <f t="shared" si="11"/>
        <v>48.800084622422808</v>
      </c>
      <c r="U65" s="4"/>
      <c r="V65" s="4"/>
      <c r="W65" s="4"/>
    </row>
    <row r="66" spans="1:23" ht="15.75" customHeight="1">
      <c r="A66" s="31" t="s">
        <v>99</v>
      </c>
      <c r="B66" s="32">
        <v>2082</v>
      </c>
      <c r="C66" s="33">
        <f t="shared" si="18"/>
        <v>3.8152042447694634E-3</v>
      </c>
      <c r="D66" s="42">
        <v>4000</v>
      </c>
      <c r="E66" s="34">
        <f t="shared" si="1"/>
        <v>15260816979.077854</v>
      </c>
      <c r="F66" s="34">
        <f t="shared" si="2"/>
        <v>15184512894.182465</v>
      </c>
      <c r="G66" s="35">
        <f t="shared" si="19"/>
        <v>1</v>
      </c>
      <c r="H66" s="36">
        <f t="shared" si="3"/>
        <v>15184512894.182465</v>
      </c>
      <c r="I66" s="34">
        <f t="shared" si="20"/>
        <v>105163069046254.5</v>
      </c>
      <c r="J66" s="37">
        <f t="shared" si="21"/>
        <v>102862250738142.89</v>
      </c>
      <c r="K66" s="34">
        <f t="shared" si="4"/>
        <v>6497084073660.1318</v>
      </c>
      <c r="L66" s="34">
        <f t="shared" si="5"/>
        <v>0</v>
      </c>
      <c r="M66" s="34">
        <f t="shared" si="6"/>
        <v>6497084073660.1318</v>
      </c>
      <c r="N66" s="34">
        <f>M66*7%</f>
        <v>454795885156.20929</v>
      </c>
      <c r="O66" s="38">
        <f t="shared" si="7"/>
        <v>6012076747561.4033</v>
      </c>
      <c r="P66" s="39"/>
      <c r="Q66" s="34">
        <f t="shared" si="9"/>
        <v>6012076747561.4033</v>
      </c>
      <c r="R66" s="40">
        <v>10288205050</v>
      </c>
      <c r="S66" s="35">
        <f t="shared" si="10"/>
        <v>1</v>
      </c>
      <c r="T66" s="41">
        <f t="shared" si="11"/>
        <v>48.697162740755921</v>
      </c>
      <c r="U66" s="4"/>
      <c r="V66" s="4"/>
      <c r="W66" s="4"/>
    </row>
    <row r="67" spans="1:23" ht="15.75" customHeight="1">
      <c r="A67" s="31" t="s">
        <v>100</v>
      </c>
      <c r="B67" s="32">
        <v>2083</v>
      </c>
      <c r="C67" s="33">
        <f t="shared" si="18"/>
        <v>3.4336838202925169E-3</v>
      </c>
      <c r="D67" s="42">
        <v>4000</v>
      </c>
      <c r="E67" s="34">
        <f t="shared" si="1"/>
        <v>13734735281.170067</v>
      </c>
      <c r="F67" s="34">
        <f t="shared" si="2"/>
        <v>13666061604.764217</v>
      </c>
      <c r="G67" s="35">
        <f t="shared" si="19"/>
        <v>1</v>
      </c>
      <c r="H67" s="36">
        <f t="shared" si="3"/>
        <v>13666061604.764217</v>
      </c>
      <c r="I67" s="34">
        <f t="shared" si="20"/>
        <v>105631530993015.47</v>
      </c>
      <c r="J67" s="37">
        <f t="shared" si="21"/>
        <v>103279047328561.41</v>
      </c>
      <c r="K67" s="34">
        <f t="shared" si="4"/>
        <v>6521466696798.2588</v>
      </c>
      <c r="L67" s="34">
        <f t="shared" si="5"/>
        <v>0</v>
      </c>
      <c r="M67" s="34">
        <f t="shared" si="6"/>
        <v>6521466696798.2588</v>
      </c>
      <c r="N67" s="34">
        <f>M67*7.5%</f>
        <v>489110002259.86938</v>
      </c>
      <c r="O67" s="38">
        <f t="shared" si="7"/>
        <v>6002194911065.6973</v>
      </c>
      <c r="P67" s="39"/>
      <c r="Q67" s="34">
        <f t="shared" si="9"/>
        <v>6002194911065.6973</v>
      </c>
      <c r="R67" s="40">
        <v>10289247323</v>
      </c>
      <c r="S67" s="35">
        <f t="shared" si="10"/>
        <v>1</v>
      </c>
      <c r="T67" s="41">
        <f t="shared" si="11"/>
        <v>48.612196164960892</v>
      </c>
      <c r="U67" s="4"/>
      <c r="V67" s="4"/>
      <c r="W67" s="4"/>
    </row>
    <row r="68" spans="1:23" ht="15.75" customHeight="1">
      <c r="A68" s="31" t="s">
        <v>101</v>
      </c>
      <c r="B68" s="32">
        <v>2084</v>
      </c>
      <c r="C68" s="33">
        <f t="shared" si="18"/>
        <v>3.0903154382632653E-3</v>
      </c>
      <c r="D68" s="42">
        <v>4000</v>
      </c>
      <c r="E68" s="34">
        <f t="shared" si="1"/>
        <v>12361261753.053061</v>
      </c>
      <c r="F68" s="34">
        <f t="shared" si="2"/>
        <v>12299455444.287796</v>
      </c>
      <c r="G68" s="35">
        <f t="shared" si="19"/>
        <v>1</v>
      </c>
      <c r="H68" s="36">
        <f t="shared" si="3"/>
        <v>12299455444.287796</v>
      </c>
      <c r="I68" s="34">
        <f t="shared" si="20"/>
        <v>106132940450719.63</v>
      </c>
      <c r="J68" s="37">
        <f t="shared" si="21"/>
        <v>103728566557872.44</v>
      </c>
      <c r="K68" s="34">
        <f t="shared" si="4"/>
        <v>6547891600630.793</v>
      </c>
      <c r="L68" s="34">
        <f t="shared" si="5"/>
        <v>0</v>
      </c>
      <c r="M68" s="34">
        <f t="shared" si="6"/>
        <v>6547891600630.793</v>
      </c>
      <c r="N68" s="34">
        <f>M68*8%</f>
        <v>523831328050.46344</v>
      </c>
      <c r="O68" s="38">
        <f t="shared" si="7"/>
        <v>5993939971217.4277</v>
      </c>
      <c r="P68" s="39"/>
      <c r="Q68" s="34">
        <f t="shared" si="9"/>
        <v>5993939971217.4277</v>
      </c>
      <c r="R68" s="40">
        <v>10289315244</v>
      </c>
      <c r="S68" s="35">
        <f t="shared" si="10"/>
        <v>1</v>
      </c>
      <c r="T68" s="41">
        <f t="shared" si="11"/>
        <v>48.545018376487434</v>
      </c>
      <c r="U68" s="4"/>
      <c r="V68" s="4"/>
      <c r="W68" s="4"/>
    </row>
    <row r="69" spans="1:23" ht="15.75" customHeight="1">
      <c r="A69" s="31" t="s">
        <v>102</v>
      </c>
      <c r="B69" s="32">
        <v>2085</v>
      </c>
      <c r="C69" s="33">
        <f t="shared" si="18"/>
        <v>2.7812838944369389E-3</v>
      </c>
      <c r="D69" s="42">
        <v>4000</v>
      </c>
      <c r="E69" s="34">
        <f t="shared" si="1"/>
        <v>11125135577.747755</v>
      </c>
      <c r="F69" s="34">
        <f t="shared" si="2"/>
        <v>11069509899.859016</v>
      </c>
      <c r="G69" s="35">
        <f t="shared" si="19"/>
        <v>1</v>
      </c>
      <c r="H69" s="36">
        <f t="shared" si="3"/>
        <v>11069509899.859016</v>
      </c>
      <c r="I69" s="34">
        <f t="shared" si="20"/>
        <v>106667841288669.95</v>
      </c>
      <c r="J69" s="37">
        <f t="shared" si="21"/>
        <v>104211335662124.86</v>
      </c>
      <c r="K69" s="34">
        <f t="shared" si="4"/>
        <v>6576391119769.1123</v>
      </c>
      <c r="L69" s="34">
        <f t="shared" si="5"/>
        <v>0</v>
      </c>
      <c r="M69" s="34">
        <f t="shared" si="6"/>
        <v>6576391119769.1123</v>
      </c>
      <c r="N69" s="34">
        <f>M69*8.5%</f>
        <v>558993245180.37463</v>
      </c>
      <c r="O69" s="38">
        <f t="shared" si="7"/>
        <v>5987310885215.7939</v>
      </c>
      <c r="P69" s="39"/>
      <c r="Q69" s="34">
        <f t="shared" si="9"/>
        <v>5987310885215.7939</v>
      </c>
      <c r="R69" s="40">
        <v>10288456599</v>
      </c>
      <c r="S69" s="35">
        <f t="shared" si="10"/>
        <v>1</v>
      </c>
      <c r="T69" s="41">
        <f t="shared" si="11"/>
        <v>48.495376246858854</v>
      </c>
      <c r="U69" s="4"/>
      <c r="V69" s="4"/>
      <c r="W69" s="4"/>
    </row>
    <row r="70" spans="1:23" ht="15.75" customHeight="1">
      <c r="A70" s="31" t="s">
        <v>103</v>
      </c>
      <c r="B70" s="32">
        <v>2086</v>
      </c>
      <c r="C70" s="33">
        <f t="shared" si="18"/>
        <v>2.5031555049932451E-3</v>
      </c>
      <c r="D70" s="42">
        <v>4000</v>
      </c>
      <c r="E70" s="34">
        <f t="shared" si="1"/>
        <v>10012622019.97298</v>
      </c>
      <c r="F70" s="34">
        <f t="shared" si="2"/>
        <v>9962558909.8731155</v>
      </c>
      <c r="G70" s="35">
        <f t="shared" si="19"/>
        <v>1</v>
      </c>
      <c r="H70" s="36">
        <f t="shared" si="3"/>
        <v>9962558909.8731155</v>
      </c>
      <c r="I70" s="34">
        <f t="shared" si="20"/>
        <v>107236797092760.2</v>
      </c>
      <c r="J70" s="37">
        <f t="shared" si="21"/>
        <v>104727901320482</v>
      </c>
      <c r="K70" s="34">
        <f t="shared" si="4"/>
        <v>6606998680978.7158</v>
      </c>
      <c r="L70" s="34">
        <f t="shared" si="5"/>
        <v>0</v>
      </c>
      <c r="M70" s="34">
        <f t="shared" si="6"/>
        <v>6606998680978.7158</v>
      </c>
      <c r="N70" s="34">
        <f>M70*9%</f>
        <v>594629881288.08435</v>
      </c>
      <c r="O70" s="38">
        <f t="shared" si="7"/>
        <v>5982306955692.1787</v>
      </c>
      <c r="P70" s="39"/>
      <c r="Q70" s="34">
        <f t="shared" si="9"/>
        <v>5982306955692.1787</v>
      </c>
      <c r="R70" s="40">
        <v>10286708360</v>
      </c>
      <c r="S70" s="35">
        <f t="shared" si="10"/>
        <v>1</v>
      </c>
      <c r="T70" s="41">
        <f t="shared" si="11"/>
        <v>48.463080919017607</v>
      </c>
      <c r="U70" s="4"/>
      <c r="V70" s="4"/>
      <c r="W70" s="4"/>
    </row>
    <row r="71" spans="1:23" ht="15.75" customHeight="1">
      <c r="A71" s="31" t="s">
        <v>104</v>
      </c>
      <c r="B71" s="32">
        <v>2087</v>
      </c>
      <c r="C71" s="33">
        <f t="shared" si="18"/>
        <v>2.2528399544939205E-3</v>
      </c>
      <c r="D71" s="42">
        <v>4000</v>
      </c>
      <c r="E71" s="34">
        <f t="shared" si="1"/>
        <v>9011359817.9756832</v>
      </c>
      <c r="F71" s="34">
        <f t="shared" si="2"/>
        <v>8966303018.8858051</v>
      </c>
      <c r="G71" s="35">
        <f t="shared" si="19"/>
        <v>1</v>
      </c>
      <c r="H71" s="36">
        <f t="shared" si="3"/>
        <v>8966303018.8858051</v>
      </c>
      <c r="I71" s="34">
        <f t="shared" si="20"/>
        <v>107840393277067.17</v>
      </c>
      <c r="J71" s="37">
        <f t="shared" si="21"/>
        <v>105278831756036.58</v>
      </c>
      <c r="K71" s="34">
        <f t="shared" si="4"/>
        <v>6639748943718.5586</v>
      </c>
      <c r="L71" s="34">
        <f t="shared" si="5"/>
        <v>0</v>
      </c>
      <c r="M71" s="34">
        <f t="shared" si="6"/>
        <v>6639748943718.5586</v>
      </c>
      <c r="N71" s="34">
        <f>M71*9.5%</f>
        <v>630776149653.26306</v>
      </c>
      <c r="O71" s="38">
        <f t="shared" si="7"/>
        <v>5978927930094.9697</v>
      </c>
      <c r="P71" s="39"/>
      <c r="Q71" s="34">
        <f t="shared" si="9"/>
        <v>5978927930094.9697</v>
      </c>
      <c r="R71" s="40">
        <v>10284111374</v>
      </c>
      <c r="S71" s="35">
        <f t="shared" si="10"/>
        <v>1</v>
      </c>
      <c r="T71" s="41">
        <f t="shared" si="11"/>
        <v>48.447938383303317</v>
      </c>
      <c r="U71" s="4"/>
      <c r="V71" s="4"/>
      <c r="W71" s="4"/>
    </row>
    <row r="72" spans="1:23" ht="15.75" customHeight="1">
      <c r="A72" s="31" t="s">
        <v>105</v>
      </c>
      <c r="B72" s="32">
        <v>2088</v>
      </c>
      <c r="C72" s="33">
        <f t="shared" si="18"/>
        <v>2.0275559590445286E-3</v>
      </c>
      <c r="D72" s="42">
        <v>4000</v>
      </c>
      <c r="E72" s="34">
        <f t="shared" si="1"/>
        <v>8110223836.1781149</v>
      </c>
      <c r="F72" s="34">
        <f t="shared" si="2"/>
        <v>8069672716.9972239</v>
      </c>
      <c r="G72" s="35">
        <f t="shared" si="19"/>
        <v>1</v>
      </c>
      <c r="H72" s="36">
        <f t="shared" si="3"/>
        <v>8069672716.9972239</v>
      </c>
      <c r="I72" s="34">
        <f t="shared" si="20"/>
        <v>108479239099437.44</v>
      </c>
      <c r="J72" s="37">
        <f t="shared" si="21"/>
        <v>105864718739617.64</v>
      </c>
      <c r="K72" s="34">
        <f t="shared" si="4"/>
        <v>6674677933332.7188</v>
      </c>
      <c r="L72" s="34">
        <f t="shared" si="5"/>
        <v>0</v>
      </c>
      <c r="M72" s="34">
        <f t="shared" si="6"/>
        <v>6674677933332.7188</v>
      </c>
      <c r="N72" s="34">
        <f t="shared" ref="N72:N84" si="22">M72*$N$5</f>
        <v>667467793333.27197</v>
      </c>
      <c r="O72" s="38">
        <f t="shared" si="7"/>
        <v>5977174089299.4502</v>
      </c>
      <c r="P72" s="39"/>
      <c r="Q72" s="34">
        <f t="shared" si="9"/>
        <v>5977174089299.4502</v>
      </c>
      <c r="R72" s="40">
        <v>10280704572</v>
      </c>
      <c r="S72" s="35">
        <f t="shared" si="10"/>
        <v>1</v>
      </c>
      <c r="T72" s="41">
        <f t="shared" si="11"/>
        <v>48.449776694444459</v>
      </c>
      <c r="U72" s="4"/>
      <c r="V72" s="4"/>
      <c r="W72" s="4"/>
    </row>
    <row r="73" spans="1:23" ht="15.75" customHeight="1">
      <c r="A73" s="31" t="s">
        <v>106</v>
      </c>
      <c r="B73" s="32">
        <v>2089</v>
      </c>
      <c r="C73" s="33">
        <f t="shared" si="18"/>
        <v>1.8248003631400759E-3</v>
      </c>
      <c r="D73" s="42">
        <v>4000</v>
      </c>
      <c r="E73" s="34">
        <f t="shared" si="1"/>
        <v>7299201452.5603027</v>
      </c>
      <c r="F73" s="34">
        <f t="shared" si="2"/>
        <v>7262705445.2975016</v>
      </c>
      <c r="G73" s="35">
        <f t="shared" si="19"/>
        <v>1</v>
      </c>
      <c r="H73" s="36">
        <f t="shared" si="3"/>
        <v>7262705445.2975016</v>
      </c>
      <c r="I73" s="34">
        <f t="shared" si="20"/>
        <v>109153969598216</v>
      </c>
      <c r="J73" s="37">
        <f t="shared" si="21"/>
        <v>106486179513777.02</v>
      </c>
      <c r="K73" s="34">
        <f t="shared" si="4"/>
        <v>6711823168091.7578</v>
      </c>
      <c r="L73" s="34">
        <f t="shared" si="5"/>
        <v>0</v>
      </c>
      <c r="M73" s="34">
        <f t="shared" si="6"/>
        <v>6711823168091.7578</v>
      </c>
      <c r="N73" s="34">
        <f t="shared" si="22"/>
        <v>671182316809.17578</v>
      </c>
      <c r="O73" s="38">
        <f t="shared" si="7"/>
        <v>6010437647026.1689</v>
      </c>
      <c r="P73" s="39"/>
      <c r="Q73" s="34">
        <f t="shared" si="9"/>
        <v>6010437647026.1689</v>
      </c>
      <c r="R73" s="40">
        <v>10276518280</v>
      </c>
      <c r="S73" s="35">
        <f t="shared" si="10"/>
        <v>1</v>
      </c>
      <c r="T73" s="41">
        <f t="shared" si="11"/>
        <v>48.739251006212136</v>
      </c>
      <c r="U73" s="4"/>
      <c r="V73" s="4"/>
      <c r="W73" s="4"/>
    </row>
    <row r="74" spans="1:23" ht="15.75" customHeight="1">
      <c r="A74" s="31" t="s">
        <v>107</v>
      </c>
      <c r="B74" s="32">
        <v>2090</v>
      </c>
      <c r="C74" s="33">
        <f t="shared" si="18"/>
        <v>1.6423203268260682E-3</v>
      </c>
      <c r="D74" s="42">
        <v>4000</v>
      </c>
      <c r="E74" s="34">
        <f t="shared" si="1"/>
        <v>6569281307.3042727</v>
      </c>
      <c r="F74" s="34">
        <f t="shared" si="2"/>
        <v>6536434900.7677517</v>
      </c>
      <c r="G74" s="35">
        <f t="shared" si="19"/>
        <v>1</v>
      </c>
      <c r="H74" s="36">
        <f t="shared" si="3"/>
        <v>6536434900.7677517</v>
      </c>
      <c r="I74" s="34">
        <f t="shared" si="20"/>
        <v>109831688349925.94</v>
      </c>
      <c r="J74" s="37">
        <f t="shared" si="21"/>
        <v>107110316316354.22</v>
      </c>
      <c r="K74" s="34">
        <f t="shared" si="4"/>
        <v>6751223781173.4629</v>
      </c>
      <c r="L74" s="34">
        <f t="shared" si="5"/>
        <v>0</v>
      </c>
      <c r="M74" s="34">
        <f t="shared" si="6"/>
        <v>6751223781173.4629</v>
      </c>
      <c r="N74" s="34">
        <f t="shared" si="22"/>
        <v>675122378117.34631</v>
      </c>
      <c r="O74" s="38">
        <f t="shared" si="7"/>
        <v>6045720896040.8359</v>
      </c>
      <c r="P74" s="39"/>
      <c r="Q74" s="34">
        <f t="shared" si="9"/>
        <v>6045720896040.8359</v>
      </c>
      <c r="R74" s="40">
        <v>10271565070</v>
      </c>
      <c r="S74" s="35">
        <f t="shared" si="10"/>
        <v>1</v>
      </c>
      <c r="T74" s="41">
        <f t="shared" si="11"/>
        <v>49.049007744841134</v>
      </c>
      <c r="U74" s="4"/>
      <c r="V74" s="4"/>
      <c r="W74" s="4"/>
    </row>
    <row r="75" spans="1:23" ht="15.75" customHeight="1">
      <c r="A75" s="31" t="s">
        <v>108</v>
      </c>
      <c r="B75" s="32">
        <v>2091</v>
      </c>
      <c r="C75" s="33">
        <f t="shared" si="18"/>
        <v>1.4780882941434613E-3</v>
      </c>
      <c r="D75" s="42">
        <v>4000</v>
      </c>
      <c r="E75" s="34">
        <f t="shared" si="1"/>
        <v>5912353176.5738459</v>
      </c>
      <c r="F75" s="34">
        <f t="shared" si="2"/>
        <v>5882791410.6909761</v>
      </c>
      <c r="G75" s="35">
        <f t="shared" si="19"/>
        <v>1</v>
      </c>
      <c r="H75" s="36">
        <f t="shared" si="3"/>
        <v>5882791410.6909761</v>
      </c>
      <c r="I75" s="34">
        <f t="shared" si="20"/>
        <v>110512693519453.97</v>
      </c>
      <c r="J75" s="37">
        <f t="shared" si="21"/>
        <v>107737425825139.31</v>
      </c>
      <c r="K75" s="34">
        <f t="shared" si="4"/>
        <v>6790794054456.8574</v>
      </c>
      <c r="L75" s="34">
        <f t="shared" si="5"/>
        <v>0</v>
      </c>
      <c r="M75" s="34">
        <f t="shared" si="6"/>
        <v>6790794054456.8574</v>
      </c>
      <c r="N75" s="34">
        <f t="shared" si="22"/>
        <v>679079405445.68579</v>
      </c>
      <c r="O75" s="38">
        <f t="shared" si="7"/>
        <v>6081156075766.1162</v>
      </c>
      <c r="P75" s="39"/>
      <c r="Q75" s="34">
        <f t="shared" si="9"/>
        <v>6081156075766.1162</v>
      </c>
      <c r="R75" s="40">
        <v>10265861714</v>
      </c>
      <c r="S75" s="35">
        <f t="shared" si="10"/>
        <v>1</v>
      </c>
      <c r="T75" s="41">
        <f t="shared" si="11"/>
        <v>49.363903433722307</v>
      </c>
      <c r="U75" s="4"/>
      <c r="V75" s="4"/>
      <c r="W75" s="4"/>
    </row>
    <row r="76" spans="1:23" ht="15.75" customHeight="1">
      <c r="A76" s="31" t="s">
        <v>109</v>
      </c>
      <c r="B76" s="32">
        <v>2092</v>
      </c>
      <c r="C76" s="33">
        <f t="shared" si="18"/>
        <v>1.3302794647291152E-3</v>
      </c>
      <c r="D76" s="42">
        <v>4000</v>
      </c>
      <c r="E76" s="34">
        <f t="shared" si="1"/>
        <v>5321117858.916461</v>
      </c>
      <c r="F76" s="34">
        <f t="shared" si="2"/>
        <v>5294512269.6218786</v>
      </c>
      <c r="G76" s="35">
        <f t="shared" si="19"/>
        <v>1</v>
      </c>
      <c r="H76" s="36">
        <f t="shared" si="3"/>
        <v>5294512269.6218786</v>
      </c>
      <c r="I76" s="34">
        <f t="shared" si="20"/>
        <v>111197067437169.28</v>
      </c>
      <c r="J76" s="37">
        <f t="shared" si="21"/>
        <v>108367588842983.2</v>
      </c>
      <c r="K76" s="34">
        <f t="shared" si="4"/>
        <v>6830552797313.832</v>
      </c>
      <c r="L76" s="34">
        <f t="shared" si="5"/>
        <v>0</v>
      </c>
      <c r="M76" s="34">
        <f t="shared" si="6"/>
        <v>6830552797313.832</v>
      </c>
      <c r="N76" s="34">
        <f t="shared" si="22"/>
        <v>683055279731.3833</v>
      </c>
      <c r="O76" s="38">
        <f t="shared" si="7"/>
        <v>6116760029994.5371</v>
      </c>
      <c r="P76" s="39"/>
      <c r="Q76" s="34">
        <f t="shared" si="9"/>
        <v>6116760029994.5371</v>
      </c>
      <c r="R76" s="40">
        <v>10259408375</v>
      </c>
      <c r="S76" s="35">
        <f t="shared" si="10"/>
        <v>1</v>
      </c>
      <c r="T76" s="41">
        <f t="shared" si="11"/>
        <v>49.684151743257296</v>
      </c>
      <c r="U76" s="4"/>
      <c r="V76" s="4"/>
      <c r="W76" s="4"/>
    </row>
    <row r="77" spans="1:23" ht="15.75" customHeight="1">
      <c r="A77" s="31" t="s">
        <v>110</v>
      </c>
      <c r="B77" s="32">
        <v>2093</v>
      </c>
      <c r="C77" s="33">
        <f t="shared" si="18"/>
        <v>1.1972515182562037E-3</v>
      </c>
      <c r="D77" s="42">
        <v>4000</v>
      </c>
      <c r="E77" s="34">
        <f t="shared" si="1"/>
        <v>4789006073.0248146</v>
      </c>
      <c r="F77" s="34">
        <f t="shared" si="2"/>
        <v>4765061042.6596909</v>
      </c>
      <c r="G77" s="35">
        <f t="shared" si="19"/>
        <v>1</v>
      </c>
      <c r="H77" s="36">
        <f t="shared" si="3"/>
        <v>4765061042.6596909</v>
      </c>
      <c r="I77" s="34">
        <f t="shared" si="20"/>
        <v>111884887777943.33</v>
      </c>
      <c r="J77" s="37">
        <f t="shared" si="21"/>
        <v>109000881479165.38</v>
      </c>
      <c r="K77" s="34">
        <f t="shared" si="4"/>
        <v>6870505132645.1348</v>
      </c>
      <c r="L77" s="34">
        <f t="shared" si="5"/>
        <v>0</v>
      </c>
      <c r="M77" s="34">
        <f t="shared" si="6"/>
        <v>6870505132645.1348</v>
      </c>
      <c r="N77" s="34">
        <f t="shared" si="22"/>
        <v>687050513264.51355</v>
      </c>
      <c r="O77" s="38">
        <f t="shared" si="7"/>
        <v>6152537346283.7178</v>
      </c>
      <c r="P77" s="39"/>
      <c r="Q77" s="34">
        <f t="shared" si="9"/>
        <v>6152537346283.7178</v>
      </c>
      <c r="R77" s="40">
        <v>10252184759</v>
      </c>
      <c r="S77" s="35">
        <f t="shared" si="10"/>
        <v>1</v>
      </c>
      <c r="T77" s="41">
        <f t="shared" si="11"/>
        <v>50.009969345661027</v>
      </c>
      <c r="U77" s="4"/>
      <c r="V77" s="4"/>
      <c r="W77" s="4"/>
    </row>
    <row r="78" spans="1:23" ht="15.75" customHeight="1">
      <c r="A78" s="31" t="s">
        <v>111</v>
      </c>
      <c r="B78" s="32">
        <v>2094</v>
      </c>
      <c r="C78" s="33">
        <f t="shared" si="18"/>
        <v>1.0775263664305832E-3</v>
      </c>
      <c r="D78" s="42">
        <v>4000</v>
      </c>
      <c r="E78" s="34">
        <f t="shared" si="1"/>
        <v>4310105465.722333</v>
      </c>
      <c r="F78" s="34">
        <f t="shared" si="2"/>
        <v>4288554938.3937211</v>
      </c>
      <c r="G78" s="35">
        <f t="shared" si="19"/>
        <v>1</v>
      </c>
      <c r="H78" s="36">
        <f t="shared" si="3"/>
        <v>4288554938.3937211</v>
      </c>
      <c r="I78" s="34">
        <f t="shared" si="20"/>
        <v>112576226846146.23</v>
      </c>
      <c r="J78" s="37">
        <f t="shared" si="21"/>
        <v>109637374437094.61</v>
      </c>
      <c r="K78" s="34">
        <f t="shared" si="4"/>
        <v>6910655885779.085</v>
      </c>
      <c r="L78" s="34">
        <f t="shared" si="5"/>
        <v>0</v>
      </c>
      <c r="M78" s="34">
        <f t="shared" si="6"/>
        <v>6910655885779.085</v>
      </c>
      <c r="N78" s="34">
        <f t="shared" si="22"/>
        <v>691065588577.90857</v>
      </c>
      <c r="O78" s="38">
        <f t="shared" si="7"/>
        <v>6188492345715.1709</v>
      </c>
      <c r="P78" s="39"/>
      <c r="Q78" s="34">
        <f t="shared" si="9"/>
        <v>6188492345715.1709</v>
      </c>
      <c r="R78" s="40">
        <v>10244185837</v>
      </c>
      <c r="S78" s="35">
        <f t="shared" si="10"/>
        <v>1</v>
      </c>
      <c r="T78" s="41">
        <f t="shared" si="11"/>
        <v>50.341501382533373</v>
      </c>
      <c r="U78" s="4"/>
      <c r="V78" s="4"/>
      <c r="W78" s="4"/>
    </row>
    <row r="79" spans="1:23" ht="15.75" customHeight="1">
      <c r="A79" s="31" t="s">
        <v>112</v>
      </c>
      <c r="B79" s="32">
        <v>2095</v>
      </c>
      <c r="C79" s="33">
        <f t="shared" si="18"/>
        <v>9.6977372978752495E-4</v>
      </c>
      <c r="D79" s="42">
        <v>4000</v>
      </c>
      <c r="E79" s="34">
        <f t="shared" si="1"/>
        <v>3879094919.1500998</v>
      </c>
      <c r="F79" s="34">
        <f t="shared" si="2"/>
        <v>3859699444.5543494</v>
      </c>
      <c r="G79" s="35">
        <f t="shared" si="19"/>
        <v>1</v>
      </c>
      <c r="H79" s="36">
        <f t="shared" si="3"/>
        <v>3859699444.5543494</v>
      </c>
      <c r="I79" s="34">
        <f t="shared" si="20"/>
        <v>113271152134168.69</v>
      </c>
      <c r="J79" s="37">
        <f t="shared" si="21"/>
        <v>110277133575254.52</v>
      </c>
      <c r="K79" s="34">
        <f t="shared" si="4"/>
        <v>6951009539311.7979</v>
      </c>
      <c r="L79" s="34">
        <f t="shared" si="5"/>
        <v>0</v>
      </c>
      <c r="M79" s="34">
        <f t="shared" si="6"/>
        <v>6951009539311.7979</v>
      </c>
      <c r="N79" s="34">
        <f t="shared" si="22"/>
        <v>695100953931.17981</v>
      </c>
      <c r="O79" s="38">
        <f t="shared" si="7"/>
        <v>6224629042453.7148</v>
      </c>
      <c r="P79" s="39"/>
      <c r="Q79" s="34">
        <f t="shared" si="9"/>
        <v>6224629042453.7148</v>
      </c>
      <c r="R79" s="40">
        <v>10235403601</v>
      </c>
      <c r="S79" s="35">
        <f t="shared" si="10"/>
        <v>1</v>
      </c>
      <c r="T79" s="41">
        <f t="shared" si="11"/>
        <v>50.678908921624156</v>
      </c>
      <c r="U79" s="4"/>
      <c r="V79" s="4"/>
      <c r="W79" s="4"/>
    </row>
    <row r="80" spans="1:23" ht="15.75" customHeight="1">
      <c r="A80" s="31" t="s">
        <v>113</v>
      </c>
      <c r="B80" s="32">
        <v>2096</v>
      </c>
      <c r="C80" s="33">
        <f t="shared" si="18"/>
        <v>8.7279635680877243E-4</v>
      </c>
      <c r="D80" s="42">
        <v>4000</v>
      </c>
      <c r="E80" s="34">
        <f t="shared" si="1"/>
        <v>3491185427.2350898</v>
      </c>
      <c r="F80" s="34">
        <f t="shared" si="2"/>
        <v>3473729500.0989141</v>
      </c>
      <c r="G80" s="35">
        <f t="shared" si="19"/>
        <v>1</v>
      </c>
      <c r="H80" s="36">
        <f t="shared" si="3"/>
        <v>3473729500.0989141</v>
      </c>
      <c r="I80" s="34">
        <f t="shared" si="20"/>
        <v>113969726817599.97</v>
      </c>
      <c r="J80" s="37">
        <f t="shared" si="21"/>
        <v>110920220404556.45</v>
      </c>
      <c r="K80" s="34">
        <f t="shared" si="4"/>
        <v>6991570268671.1357</v>
      </c>
      <c r="L80" s="34">
        <f t="shared" si="5"/>
        <v>0</v>
      </c>
      <c r="M80" s="34">
        <f t="shared" si="6"/>
        <v>6991570268671.1357</v>
      </c>
      <c r="N80" s="34">
        <f t="shared" si="22"/>
        <v>699157026867.11365</v>
      </c>
      <c r="O80" s="38">
        <f t="shared" si="7"/>
        <v>6260951175595.002</v>
      </c>
      <c r="P80" s="39"/>
      <c r="Q80" s="34">
        <f t="shared" si="9"/>
        <v>6260951175595.002</v>
      </c>
      <c r="R80" s="40">
        <v>10225850874</v>
      </c>
      <c r="S80" s="35">
        <f t="shared" si="10"/>
        <v>1</v>
      </c>
      <c r="T80" s="41">
        <f t="shared" si="11"/>
        <v>51.022251128868113</v>
      </c>
      <c r="U80" s="4"/>
      <c r="V80" s="4"/>
      <c r="W80" s="4"/>
    </row>
    <row r="81" spans="1:23" ht="15.75" customHeight="1">
      <c r="A81" s="31" t="s">
        <v>114</v>
      </c>
      <c r="B81" s="32">
        <v>2097</v>
      </c>
      <c r="C81" s="33">
        <f t="shared" si="18"/>
        <v>7.8551672112789524E-4</v>
      </c>
      <c r="D81" s="42">
        <v>4000</v>
      </c>
      <c r="E81" s="34">
        <f t="shared" si="1"/>
        <v>3142066884.5115809</v>
      </c>
      <c r="F81" s="34">
        <f t="shared" si="2"/>
        <v>3126356550.0890231</v>
      </c>
      <c r="G81" s="35">
        <f t="shared" si="19"/>
        <v>1</v>
      </c>
      <c r="H81" s="36">
        <f t="shared" si="3"/>
        <v>3126356550.0890231</v>
      </c>
      <c r="I81" s="34">
        <f t="shared" si="20"/>
        <v>114672010201017.17</v>
      </c>
      <c r="J81" s="37">
        <f t="shared" si="21"/>
        <v>111566692536079.67</v>
      </c>
      <c r="K81" s="34">
        <f t="shared" si="4"/>
        <v>7032341973648.8789</v>
      </c>
      <c r="L81" s="34">
        <f t="shared" si="5"/>
        <v>0</v>
      </c>
      <c r="M81" s="34">
        <f t="shared" si="6"/>
        <v>7032341973648.8789</v>
      </c>
      <c r="N81" s="34">
        <f t="shared" si="22"/>
        <v>703234197364.88794</v>
      </c>
      <c r="O81" s="38">
        <f t="shared" si="7"/>
        <v>6297462237402.5713</v>
      </c>
      <c r="P81" s="39"/>
      <c r="Q81" s="34">
        <f t="shared" si="9"/>
        <v>6297462237402.5713</v>
      </c>
      <c r="R81" s="40">
        <v>10215549310</v>
      </c>
      <c r="S81" s="35">
        <f t="shared" si="10"/>
        <v>1</v>
      </c>
      <c r="T81" s="41">
        <f t="shared" si="11"/>
        <v>51.371541936548844</v>
      </c>
      <c r="U81" s="4"/>
      <c r="V81" s="4"/>
      <c r="W81" s="4"/>
    </row>
    <row r="82" spans="1:23" ht="15.75" customHeight="1">
      <c r="A82" s="31" t="s">
        <v>115</v>
      </c>
      <c r="B82" s="32">
        <v>2098</v>
      </c>
      <c r="C82" s="33">
        <f t="shared" si="18"/>
        <v>7.0696504901510571E-4</v>
      </c>
      <c r="D82" s="42">
        <v>4000</v>
      </c>
      <c r="E82" s="34">
        <f t="shared" si="1"/>
        <v>2827860196.0604229</v>
      </c>
      <c r="F82" s="34">
        <f t="shared" si="2"/>
        <v>2813720895.0801206</v>
      </c>
      <c r="G82" s="35">
        <f t="shared" si="19"/>
        <v>1</v>
      </c>
      <c r="H82" s="36">
        <f t="shared" si="3"/>
        <v>2813720895.0801206</v>
      </c>
      <c r="I82" s="34">
        <f t="shared" si="20"/>
        <v>115378058119277.14</v>
      </c>
      <c r="J82" s="37">
        <f t="shared" si="21"/>
        <v>112216604084112.48</v>
      </c>
      <c r="K82" s="34">
        <f t="shared" si="4"/>
        <v>7073328306787.4512</v>
      </c>
      <c r="L82" s="34">
        <f t="shared" si="5"/>
        <v>0</v>
      </c>
      <c r="M82" s="34">
        <f t="shared" si="6"/>
        <v>7073328306787.4512</v>
      </c>
      <c r="N82" s="34">
        <f t="shared" si="22"/>
        <v>707332830678.74512</v>
      </c>
      <c r="O82" s="38">
        <f t="shared" si="7"/>
        <v>6334165498728.1621</v>
      </c>
      <c r="P82" s="39"/>
      <c r="Q82" s="34">
        <f t="shared" si="9"/>
        <v>6334165498728.1621</v>
      </c>
      <c r="R82" s="40">
        <v>10204489862</v>
      </c>
      <c r="S82" s="35">
        <f t="shared" si="10"/>
        <v>1</v>
      </c>
      <c r="T82" s="41">
        <f t="shared" si="11"/>
        <v>51.726948826676534</v>
      </c>
      <c r="U82" s="4"/>
      <c r="V82" s="4"/>
      <c r="W82" s="4"/>
    </row>
    <row r="83" spans="1:23" ht="15.75" customHeight="1">
      <c r="A83" s="31" t="s">
        <v>116</v>
      </c>
      <c r="B83" s="32">
        <v>2099</v>
      </c>
      <c r="C83" s="33">
        <f t="shared" si="18"/>
        <v>6.3626854411359516E-4</v>
      </c>
      <c r="D83" s="42">
        <v>4000</v>
      </c>
      <c r="E83" s="34">
        <f t="shared" si="1"/>
        <v>2545074176.4543805</v>
      </c>
      <c r="F83" s="34">
        <f t="shared" si="2"/>
        <v>2532348805.5721087</v>
      </c>
      <c r="G83" s="35">
        <f t="shared" si="19"/>
        <v>1</v>
      </c>
      <c r="H83" s="36">
        <f t="shared" si="3"/>
        <v>2532348805.5721087</v>
      </c>
      <c r="I83" s="34">
        <f t="shared" si="20"/>
        <v>116087923298761.47</v>
      </c>
      <c r="J83" s="37">
        <f t="shared" si="21"/>
        <v>112870006028965.02</v>
      </c>
      <c r="K83" s="34">
        <f t="shared" si="4"/>
        <v>7114532698932.7314</v>
      </c>
      <c r="L83" s="34">
        <f t="shared" si="5"/>
        <v>0</v>
      </c>
      <c r="M83" s="34">
        <f t="shared" si="6"/>
        <v>7114532698932.7314</v>
      </c>
      <c r="N83" s="34">
        <f t="shared" si="22"/>
        <v>711453269893.27319</v>
      </c>
      <c r="O83" s="38">
        <f t="shared" si="7"/>
        <v>6371064031894.2607</v>
      </c>
      <c r="P83" s="39"/>
      <c r="Q83" s="34">
        <f t="shared" si="9"/>
        <v>6371064031894.2607</v>
      </c>
      <c r="R83" s="40">
        <v>10192689066</v>
      </c>
      <c r="S83" s="35">
        <f t="shared" si="10"/>
        <v>1</v>
      </c>
      <c r="T83" s="41">
        <f t="shared" si="11"/>
        <v>52.088511600816361</v>
      </c>
      <c r="U83" s="4"/>
      <c r="V83" s="4"/>
      <c r="W83" s="4"/>
    </row>
    <row r="84" spans="1:23" ht="15.75" customHeight="1">
      <c r="A84" s="31" t="s">
        <v>117</v>
      </c>
      <c r="B84" s="32">
        <v>2100</v>
      </c>
      <c r="C84" s="33">
        <f t="shared" si="18"/>
        <v>5.7264168970223568E-4</v>
      </c>
      <c r="D84" s="42">
        <v>4000</v>
      </c>
      <c r="E84" s="34">
        <f t="shared" si="1"/>
        <v>2290566758.8089428</v>
      </c>
      <c r="F84" s="34">
        <f t="shared" si="2"/>
        <v>2279113925.0148983</v>
      </c>
      <c r="G84" s="35">
        <f t="shared" si="19"/>
        <v>1</v>
      </c>
      <c r="H84" s="36">
        <f t="shared" si="3"/>
        <v>2279113925.0148983</v>
      </c>
      <c r="I84" s="34">
        <f t="shared" si="20"/>
        <v>116801655682579.75</v>
      </c>
      <c r="J84" s="37">
        <f t="shared" si="21"/>
        <v>113526946543576.91</v>
      </c>
      <c r="K84" s="34">
        <f t="shared" si="4"/>
        <v>7155958382236.3818</v>
      </c>
      <c r="L84" s="34">
        <f t="shared" si="5"/>
        <v>0</v>
      </c>
      <c r="M84" s="34">
        <f t="shared" si="6"/>
        <v>7155958382236.3818</v>
      </c>
      <c r="N84" s="34">
        <f t="shared" si="22"/>
        <v>715595838223.63818</v>
      </c>
      <c r="O84" s="38">
        <f t="shared" si="7"/>
        <v>6408160731292.6807</v>
      </c>
      <c r="P84" s="39"/>
      <c r="Q84" s="34">
        <f t="shared" si="9"/>
        <v>6408160731292.6807</v>
      </c>
      <c r="R84" s="40">
        <v>10180160751</v>
      </c>
      <c r="S84" s="35">
        <f t="shared" si="10"/>
        <v>1</v>
      </c>
      <c r="T84" s="41">
        <f t="shared" si="11"/>
        <v>52.456283091790446</v>
      </c>
      <c r="U84" s="4"/>
      <c r="V84" s="4"/>
      <c r="W84" s="4"/>
    </row>
    <row r="85" spans="1:23" ht="15.75" customHeight="1">
      <c r="A85" s="31" t="s">
        <v>118</v>
      </c>
      <c r="B85" s="32">
        <v>2101</v>
      </c>
      <c r="C85" s="33">
        <f t="shared" si="18"/>
        <v>5.1537752073201211E-4</v>
      </c>
      <c r="D85" s="42">
        <v>4000</v>
      </c>
      <c r="E85" s="34">
        <f t="shared" si="1"/>
        <v>2061510082.9280486</v>
      </c>
      <c r="F85" s="34">
        <f t="shared" si="2"/>
        <v>2051202532.5134084</v>
      </c>
      <c r="G85" s="35">
        <f t="shared" si="19"/>
        <v>1</v>
      </c>
      <c r="H85" s="36">
        <f t="shared" si="3"/>
        <v>2051202532.5134084</v>
      </c>
      <c r="I85" s="34">
        <f t="shared" si="20"/>
        <v>117519302723335.91</v>
      </c>
      <c r="J85" s="37">
        <f t="shared" si="21"/>
        <v>114187471287540.91</v>
      </c>
      <c r="K85" s="34">
        <f t="shared" si="4"/>
        <v>7197608410862.7754</v>
      </c>
      <c r="L85" s="34">
        <f t="shared" si="5"/>
        <v>0</v>
      </c>
      <c r="M85" s="34">
        <f t="shared" si="6"/>
        <v>7197608410862.7754</v>
      </c>
      <c r="N85" s="34">
        <f>M85*9%</f>
        <v>647784756977.64978</v>
      </c>
      <c r="O85" s="38">
        <f t="shared" si="7"/>
        <v>6517074535615.7002</v>
      </c>
      <c r="P85" s="39"/>
      <c r="Q85" s="34">
        <f t="shared" si="9"/>
        <v>6517074535615.7002</v>
      </c>
      <c r="R85" s="40">
        <f t="shared" ref="R85:R184" si="23">R84*99.9%</f>
        <v>10169980590.249001</v>
      </c>
      <c r="S85" s="35">
        <f t="shared" si="10"/>
        <v>1</v>
      </c>
      <c r="T85" s="41">
        <f t="shared" si="11"/>
        <v>53.401237083515888</v>
      </c>
      <c r="U85" s="4"/>
      <c r="V85" s="4"/>
      <c r="W85" s="4"/>
    </row>
    <row r="86" spans="1:23" ht="15.75" customHeight="1">
      <c r="A86" s="31" t="s">
        <v>119</v>
      </c>
      <c r="B86" s="32">
        <v>2102</v>
      </c>
      <c r="C86" s="33">
        <f t="shared" si="18"/>
        <v>4.6383976865881093E-4</v>
      </c>
      <c r="D86" s="42">
        <v>4000</v>
      </c>
      <c r="E86" s="34">
        <f t="shared" si="1"/>
        <v>1855359074.6352437</v>
      </c>
      <c r="F86" s="34">
        <f t="shared" si="2"/>
        <v>1846082279.2620673</v>
      </c>
      <c r="G86" s="35">
        <f t="shared" si="19"/>
        <v>1</v>
      </c>
      <c r="H86" s="36">
        <f t="shared" si="3"/>
        <v>1846082279.2620673</v>
      </c>
      <c r="I86" s="34">
        <f t="shared" si="20"/>
        <v>118168933562592.83</v>
      </c>
      <c r="J86" s="37">
        <f t="shared" si="21"/>
        <v>114779683575734.44</v>
      </c>
      <c r="K86" s="34">
        <f t="shared" si="4"/>
        <v>7239485679630.0928</v>
      </c>
      <c r="L86" s="34">
        <f t="shared" si="5"/>
        <v>0</v>
      </c>
      <c r="M86" s="34">
        <f t="shared" si="6"/>
        <v>7239485679630.0928</v>
      </c>
      <c r="N86" s="34">
        <f>M86*9.5%</f>
        <v>687751139564.85876</v>
      </c>
      <c r="O86" s="38">
        <f t="shared" si="7"/>
        <v>6518975867364.9082</v>
      </c>
      <c r="P86" s="39"/>
      <c r="Q86" s="34">
        <f t="shared" si="9"/>
        <v>6518975867364.9082</v>
      </c>
      <c r="R86" s="40">
        <f t="shared" si="23"/>
        <v>10159810609.658752</v>
      </c>
      <c r="S86" s="35">
        <f t="shared" si="10"/>
        <v>1</v>
      </c>
      <c r="T86" s="41">
        <f t="shared" si="11"/>
        <v>53.470286978639088</v>
      </c>
      <c r="U86" s="4"/>
      <c r="V86" s="4"/>
      <c r="W86" s="4"/>
    </row>
    <row r="87" spans="1:23" ht="15.75" customHeight="1">
      <c r="A87" s="31" t="s">
        <v>120</v>
      </c>
      <c r="B87" s="32">
        <v>2103</v>
      </c>
      <c r="C87" s="33">
        <f t="shared" si="18"/>
        <v>4.1745579179292984E-4</v>
      </c>
      <c r="D87" s="42">
        <v>4000</v>
      </c>
      <c r="E87" s="34">
        <f t="shared" si="1"/>
        <v>1669823167.1717193</v>
      </c>
      <c r="F87" s="34">
        <f t="shared" si="2"/>
        <v>1661474051.3358607</v>
      </c>
      <c r="G87" s="35">
        <f t="shared" si="19"/>
        <v>1</v>
      </c>
      <c r="H87" s="36">
        <f t="shared" si="3"/>
        <v>1661474051.3358607</v>
      </c>
      <c r="I87" s="34">
        <f t="shared" si="20"/>
        <v>118858346176209.02</v>
      </c>
      <c r="J87" s="37">
        <f t="shared" si="21"/>
        <v>115411361641255.95</v>
      </c>
      <c r="K87" s="34">
        <f t="shared" si="4"/>
        <v>7277031938701.5635</v>
      </c>
      <c r="L87" s="34">
        <f t="shared" si="5"/>
        <v>0</v>
      </c>
      <c r="M87" s="34">
        <f t="shared" si="6"/>
        <v>7277031938701.5635</v>
      </c>
      <c r="N87" s="34">
        <f t="shared" ref="N87:N184" si="24">M87*$N$5</f>
        <v>727703193870.15637</v>
      </c>
      <c r="O87" s="38">
        <f t="shared" si="7"/>
        <v>6516582101107.25</v>
      </c>
      <c r="P87" s="39"/>
      <c r="Q87" s="34">
        <f t="shared" si="9"/>
        <v>6516582101107.25</v>
      </c>
      <c r="R87" s="40">
        <f t="shared" si="23"/>
        <v>10149650799.049095</v>
      </c>
      <c r="S87" s="35">
        <f t="shared" si="10"/>
        <v>1</v>
      </c>
      <c r="T87" s="41">
        <f t="shared" si="11"/>
        <v>53.504156859907091</v>
      </c>
      <c r="U87" s="4"/>
      <c r="V87" s="4"/>
      <c r="W87" s="4"/>
    </row>
    <row r="88" spans="1:23" ht="15.75" customHeight="1">
      <c r="A88" s="31" t="s">
        <v>121</v>
      </c>
      <c r="B88" s="32">
        <v>2104</v>
      </c>
      <c r="C88" s="33">
        <f t="shared" si="18"/>
        <v>3.7571021261363684E-4</v>
      </c>
      <c r="D88" s="42">
        <v>4000</v>
      </c>
      <c r="E88" s="34">
        <f t="shared" si="1"/>
        <v>1502840850.4545474</v>
      </c>
      <c r="F88" s="34">
        <f t="shared" si="2"/>
        <v>1495326646.2022746</v>
      </c>
      <c r="G88" s="35">
        <f t="shared" si="19"/>
        <v>1</v>
      </c>
      <c r="H88" s="36">
        <f t="shared" si="3"/>
        <v>1495326646.2022746</v>
      </c>
      <c r="I88" s="34">
        <f t="shared" si="20"/>
        <v>119587544696725.38</v>
      </c>
      <c r="J88" s="37">
        <f t="shared" si="21"/>
        <v>116082489881691.44</v>
      </c>
      <c r="K88" s="34">
        <f t="shared" si="4"/>
        <v>7317080328055.627</v>
      </c>
      <c r="L88" s="34">
        <f t="shared" si="5"/>
        <v>0</v>
      </c>
      <c r="M88" s="34">
        <f t="shared" si="6"/>
        <v>7317080328055.627</v>
      </c>
      <c r="N88" s="34">
        <f t="shared" si="24"/>
        <v>731708032805.56274</v>
      </c>
      <c r="O88" s="38">
        <f t="shared" si="7"/>
        <v>6552445433773.8145</v>
      </c>
      <c r="P88" s="39"/>
      <c r="Q88" s="34">
        <f t="shared" si="9"/>
        <v>6552445433773.8145</v>
      </c>
      <c r="R88" s="40">
        <f t="shared" si="23"/>
        <v>10139501148.250048</v>
      </c>
      <c r="S88" s="35">
        <f t="shared" si="10"/>
        <v>1</v>
      </c>
      <c r="T88" s="41">
        <f t="shared" si="11"/>
        <v>53.852463893195619</v>
      </c>
      <c r="U88" s="4"/>
      <c r="V88" s="4"/>
      <c r="W88" s="4"/>
    </row>
    <row r="89" spans="1:23" ht="15.75" customHeight="1">
      <c r="A89" s="31" t="s">
        <v>122</v>
      </c>
      <c r="B89" s="32">
        <v>2105</v>
      </c>
      <c r="C89" s="33">
        <f t="shared" si="18"/>
        <v>3.3813919135227316E-4</v>
      </c>
      <c r="D89" s="42">
        <v>4000</v>
      </c>
      <c r="E89" s="34">
        <f t="shared" si="1"/>
        <v>1352556765.4090927</v>
      </c>
      <c r="F89" s="34">
        <f t="shared" si="2"/>
        <v>1345793981.5820472</v>
      </c>
      <c r="G89" s="35">
        <f t="shared" si="19"/>
        <v>1</v>
      </c>
      <c r="H89" s="36">
        <f t="shared" si="3"/>
        <v>1345793981.5820472</v>
      </c>
      <c r="I89" s="34">
        <f t="shared" si="20"/>
        <v>120320598523512.52</v>
      </c>
      <c r="J89" s="37">
        <f t="shared" si="21"/>
        <v>116757135936624.34</v>
      </c>
      <c r="K89" s="34">
        <f t="shared" si="4"/>
        <v>7359629858499.2373</v>
      </c>
      <c r="L89" s="34">
        <f t="shared" si="5"/>
        <v>0</v>
      </c>
      <c r="M89" s="34">
        <f t="shared" si="6"/>
        <v>7359629858499.2373</v>
      </c>
      <c r="N89" s="34">
        <f t="shared" si="24"/>
        <v>735962985849.92383</v>
      </c>
      <c r="O89" s="38">
        <f t="shared" si="7"/>
        <v>6590548538286.0664</v>
      </c>
      <c r="P89" s="39"/>
      <c r="Q89" s="34">
        <f t="shared" si="9"/>
        <v>6590548538286.0664</v>
      </c>
      <c r="R89" s="40">
        <f t="shared" si="23"/>
        <v>10129361647.101799</v>
      </c>
      <c r="S89" s="35">
        <f t="shared" si="10"/>
        <v>1</v>
      </c>
      <c r="T89" s="41">
        <f t="shared" si="11"/>
        <v>54.219841024991496</v>
      </c>
      <c r="U89" s="4"/>
      <c r="V89" s="4"/>
      <c r="W89" s="4"/>
    </row>
    <row r="90" spans="1:23" ht="15.75" customHeight="1">
      <c r="A90" s="31" t="s">
        <v>123</v>
      </c>
      <c r="B90" s="32">
        <v>2106</v>
      </c>
      <c r="C90" s="33">
        <f t="shared" si="18"/>
        <v>3.0432527221704587E-4</v>
      </c>
      <c r="D90" s="42">
        <v>4000</v>
      </c>
      <c r="E90" s="34">
        <f t="shared" si="1"/>
        <v>1217301088.8681834</v>
      </c>
      <c r="F90" s="34">
        <f t="shared" si="2"/>
        <v>1211214583.4238424</v>
      </c>
      <c r="G90" s="35">
        <f t="shared" si="19"/>
        <v>1</v>
      </c>
      <c r="H90" s="36">
        <f t="shared" si="3"/>
        <v>1211214583.4238424</v>
      </c>
      <c r="I90" s="34">
        <f t="shared" si="20"/>
        <v>121057772723945.86</v>
      </c>
      <c r="J90" s="37">
        <f t="shared" si="21"/>
        <v>117435562981989.17</v>
      </c>
      <c r="K90" s="34">
        <f t="shared" si="4"/>
        <v>7402402418381.9834</v>
      </c>
      <c r="L90" s="34">
        <f t="shared" si="5"/>
        <v>0</v>
      </c>
      <c r="M90" s="34">
        <f t="shared" si="6"/>
        <v>7402402418381.9834</v>
      </c>
      <c r="N90" s="34">
        <f t="shared" si="24"/>
        <v>740240241838.19836</v>
      </c>
      <c r="O90" s="38">
        <f t="shared" si="7"/>
        <v>6628851365661.0664</v>
      </c>
      <c r="P90" s="39"/>
      <c r="Q90" s="34">
        <f t="shared" si="9"/>
        <v>6628851365661.0664</v>
      </c>
      <c r="R90" s="40">
        <f t="shared" si="23"/>
        <v>10119232285.454699</v>
      </c>
      <c r="S90" s="35">
        <f t="shared" si="10"/>
        <v>1</v>
      </c>
      <c r="T90" s="41">
        <f t="shared" si="11"/>
        <v>54.589544432711257</v>
      </c>
      <c r="U90" s="4"/>
      <c r="V90" s="4"/>
      <c r="W90" s="4"/>
    </row>
    <row r="91" spans="1:23" ht="15.75" customHeight="1">
      <c r="A91" s="31" t="s">
        <v>124</v>
      </c>
      <c r="B91" s="32">
        <v>2107</v>
      </c>
      <c r="C91" s="33">
        <f t="shared" si="18"/>
        <v>2.7389274499534127E-4</v>
      </c>
      <c r="D91" s="42">
        <v>4000</v>
      </c>
      <c r="E91" s="34">
        <f t="shared" si="1"/>
        <v>1095570979.9813652</v>
      </c>
      <c r="F91" s="34">
        <f t="shared" si="2"/>
        <v>1090093125.0814583</v>
      </c>
      <c r="G91" s="35">
        <f t="shared" si="19"/>
        <v>1</v>
      </c>
      <c r="H91" s="36">
        <f t="shared" si="3"/>
        <v>1090093125.0814583</v>
      </c>
      <c r="I91" s="34">
        <f t="shared" si="20"/>
        <v>121799103058909.14</v>
      </c>
      <c r="J91" s="37">
        <f t="shared" si="21"/>
        <v>118117804870293.98</v>
      </c>
      <c r="K91" s="34">
        <f t="shared" si="4"/>
        <v>7445414693058.1133</v>
      </c>
      <c r="L91" s="34">
        <f t="shared" si="5"/>
        <v>0</v>
      </c>
      <c r="M91" s="34">
        <f t="shared" si="6"/>
        <v>7445414693058.1133</v>
      </c>
      <c r="N91" s="34">
        <f t="shared" si="24"/>
        <v>744541469305.8114</v>
      </c>
      <c r="O91" s="38">
        <f t="shared" si="7"/>
        <v>6667368857633.54</v>
      </c>
      <c r="P91" s="39"/>
      <c r="Q91" s="34">
        <f t="shared" si="9"/>
        <v>6667368857633.54</v>
      </c>
      <c r="R91" s="40">
        <f t="shared" si="23"/>
        <v>10109113053.169245</v>
      </c>
      <c r="S91" s="35">
        <f t="shared" si="10"/>
        <v>1</v>
      </c>
      <c r="T91" s="41">
        <f t="shared" si="11"/>
        <v>54.961703222348923</v>
      </c>
      <c r="U91" s="4"/>
      <c r="V91" s="4"/>
      <c r="W91" s="4"/>
    </row>
    <row r="92" spans="1:23" ht="15.75" customHeight="1">
      <c r="A92" s="31" t="s">
        <v>125</v>
      </c>
      <c r="B92" s="32">
        <v>2108</v>
      </c>
      <c r="C92" s="33">
        <f t="shared" si="18"/>
        <v>2.4650347049580716E-4</v>
      </c>
      <c r="D92" s="42">
        <v>4000</v>
      </c>
      <c r="E92" s="34">
        <f t="shared" si="1"/>
        <v>986013881.98322856</v>
      </c>
      <c r="F92" s="34">
        <f t="shared" si="2"/>
        <v>981083812.5733124</v>
      </c>
      <c r="G92" s="35">
        <f t="shared" si="19"/>
        <v>1</v>
      </c>
      <c r="H92" s="36">
        <f t="shared" si="3"/>
        <v>981083812.5733124</v>
      </c>
      <c r="I92" s="34">
        <f t="shared" si="20"/>
        <v>122544625612027.53</v>
      </c>
      <c r="J92" s="37">
        <f t="shared" si="21"/>
        <v>118803895759700.67</v>
      </c>
      <c r="K92" s="34">
        <f t="shared" si="4"/>
        <v>7488668828776.6387</v>
      </c>
      <c r="L92" s="34">
        <f t="shared" si="5"/>
        <v>0</v>
      </c>
      <c r="M92" s="34">
        <f t="shared" si="6"/>
        <v>7488668828776.6387</v>
      </c>
      <c r="N92" s="34">
        <f t="shared" si="24"/>
        <v>748866882877.66394</v>
      </c>
      <c r="O92" s="38">
        <f t="shared" si="7"/>
        <v>6706102936169.4795</v>
      </c>
      <c r="P92" s="39"/>
      <c r="Q92" s="34">
        <f t="shared" si="9"/>
        <v>6706102936169.4795</v>
      </c>
      <c r="R92" s="40">
        <f t="shared" si="23"/>
        <v>10099003940.116077</v>
      </c>
      <c r="S92" s="35">
        <f t="shared" si="10"/>
        <v>1</v>
      </c>
      <c r="T92" s="41">
        <f t="shared" si="11"/>
        <v>55.336339569844085</v>
      </c>
      <c r="U92" s="4"/>
      <c r="V92" s="4"/>
      <c r="W92" s="4"/>
    </row>
    <row r="93" spans="1:23" ht="15.75" customHeight="1">
      <c r="A93" s="31" t="s">
        <v>126</v>
      </c>
      <c r="B93" s="32">
        <v>2109</v>
      </c>
      <c r="C93" s="44">
        <f t="shared" si="18"/>
        <v>2.2185312344622646E-4</v>
      </c>
      <c r="D93" s="42">
        <v>4000</v>
      </c>
      <c r="E93" s="34">
        <f t="shared" si="1"/>
        <v>887412493.78490579</v>
      </c>
      <c r="F93" s="34">
        <f t="shared" si="2"/>
        <v>882975431.31598127</v>
      </c>
      <c r="G93" s="35">
        <f t="shared" si="19"/>
        <v>1</v>
      </c>
      <c r="H93" s="36">
        <f t="shared" si="3"/>
        <v>882975431.31598127</v>
      </c>
      <c r="I93" s="34">
        <f t="shared" si="20"/>
        <v>123294375470336.5</v>
      </c>
      <c r="J93" s="37">
        <f t="shared" si="21"/>
        <v>119493868795200.64</v>
      </c>
      <c r="K93" s="34">
        <f t="shared" si="4"/>
        <v>7532166991165.0225</v>
      </c>
      <c r="L93" s="34">
        <f t="shared" si="5"/>
        <v>0</v>
      </c>
      <c r="M93" s="34">
        <f t="shared" si="6"/>
        <v>7532166991165.0225</v>
      </c>
      <c r="N93" s="34">
        <f t="shared" si="24"/>
        <v>753216699116.50232</v>
      </c>
      <c r="O93" s="38">
        <f t="shared" si="7"/>
        <v>6745055540588.2783</v>
      </c>
      <c r="P93" s="39"/>
      <c r="Q93" s="34">
        <f t="shared" si="9"/>
        <v>6745055540588.2783</v>
      </c>
      <c r="R93" s="40">
        <f t="shared" si="23"/>
        <v>10088904936.175962</v>
      </c>
      <c r="S93" s="35">
        <f t="shared" si="10"/>
        <v>1</v>
      </c>
      <c r="T93" s="41">
        <f t="shared" si="11"/>
        <v>55.713475869933241</v>
      </c>
      <c r="U93" s="4"/>
      <c r="V93" s="4"/>
      <c r="W93" s="4"/>
    </row>
    <row r="94" spans="1:23" ht="15.75" customHeight="1">
      <c r="A94" s="31" t="s">
        <v>127</v>
      </c>
      <c r="B94" s="32">
        <v>2110</v>
      </c>
      <c r="C94" s="44">
        <f t="shared" si="18"/>
        <v>1.9966781110160382E-4</v>
      </c>
      <c r="D94" s="42">
        <v>4000</v>
      </c>
      <c r="E94" s="34">
        <f t="shared" si="1"/>
        <v>798671244.40641522</v>
      </c>
      <c r="F94" s="34">
        <f t="shared" si="2"/>
        <v>794677888.18438315</v>
      </c>
      <c r="G94" s="35">
        <f t="shared" si="19"/>
        <v>1</v>
      </c>
      <c r="H94" s="36">
        <f t="shared" si="3"/>
        <v>794677888.18438315</v>
      </c>
      <c r="I94" s="34">
        <f t="shared" si="20"/>
        <v>124048386847341.19</v>
      </c>
      <c r="J94" s="37">
        <f t="shared" si="21"/>
        <v>120187756232119.23</v>
      </c>
      <c r="K94" s="34">
        <f t="shared" si="4"/>
        <v>7575911281615.7207</v>
      </c>
      <c r="L94" s="34">
        <f t="shared" si="5"/>
        <v>0</v>
      </c>
      <c r="M94" s="34">
        <f t="shared" si="6"/>
        <v>7575911281615.7207</v>
      </c>
      <c r="N94" s="34">
        <f t="shared" si="24"/>
        <v>757591128161.57214</v>
      </c>
      <c r="O94" s="38">
        <f t="shared" si="7"/>
        <v>6784228552686.8779</v>
      </c>
      <c r="P94" s="39"/>
      <c r="Q94" s="34">
        <f t="shared" si="9"/>
        <v>6784228552686.8779</v>
      </c>
      <c r="R94" s="40">
        <f t="shared" si="23"/>
        <v>10078816031.239788</v>
      </c>
      <c r="S94" s="35">
        <f t="shared" si="10"/>
        <v>1</v>
      </c>
      <c r="T94" s="41">
        <f t="shared" si="11"/>
        <v>56.093134117959444</v>
      </c>
      <c r="U94" s="4"/>
      <c r="V94" s="4"/>
      <c r="W94" s="4"/>
    </row>
    <row r="95" spans="1:23" ht="15.75" customHeight="1">
      <c r="A95" s="31" t="s">
        <v>128</v>
      </c>
      <c r="B95" s="32">
        <v>2111</v>
      </c>
      <c r="C95" s="44">
        <f t="shared" si="18"/>
        <v>1.7970102999144343E-4</v>
      </c>
      <c r="D95" s="42">
        <v>4000</v>
      </c>
      <c r="E95" s="34">
        <f t="shared" si="1"/>
        <v>718804119.9657737</v>
      </c>
      <c r="F95" s="34">
        <f t="shared" si="2"/>
        <v>715210099.36594486</v>
      </c>
      <c r="G95" s="35">
        <f t="shared" si="19"/>
        <v>1</v>
      </c>
      <c r="H95" s="36">
        <f t="shared" si="3"/>
        <v>715210099.36594486</v>
      </c>
      <c r="I95" s="34">
        <f t="shared" si="20"/>
        <v>124806693185602.13</v>
      </c>
      <c r="J95" s="37">
        <f t="shared" si="21"/>
        <v>120885589539094.98</v>
      </c>
      <c r="K95" s="34">
        <f t="shared" si="4"/>
        <v>7619903745116.3594</v>
      </c>
      <c r="L95" s="34">
        <f t="shared" si="5"/>
        <v>0</v>
      </c>
      <c r="M95" s="34">
        <f t="shared" si="6"/>
        <v>7619903745116.3594</v>
      </c>
      <c r="N95" s="34">
        <f t="shared" si="24"/>
        <v>761990374511.63599</v>
      </c>
      <c r="O95" s="38">
        <f t="shared" si="7"/>
        <v>6823623803751.7002</v>
      </c>
      <c r="P95" s="39"/>
      <c r="Q95" s="34">
        <f t="shared" si="9"/>
        <v>6823623803751.7002</v>
      </c>
      <c r="R95" s="40">
        <f t="shared" si="23"/>
        <v>10068737215.208549</v>
      </c>
      <c r="S95" s="35">
        <f t="shared" si="10"/>
        <v>1</v>
      </c>
      <c r="T95" s="41">
        <f t="shared" si="11"/>
        <v>56.475335965705852</v>
      </c>
      <c r="U95" s="4"/>
      <c r="V95" s="4"/>
      <c r="W95" s="4"/>
    </row>
    <row r="96" spans="1:23" ht="15.75" customHeight="1">
      <c r="A96" s="31" t="s">
        <v>129</v>
      </c>
      <c r="B96" s="32">
        <v>2112</v>
      </c>
      <c r="C96" s="44">
        <f t="shared" si="18"/>
        <v>1.617309269922991E-4</v>
      </c>
      <c r="D96" s="42">
        <v>4000</v>
      </c>
      <c r="E96" s="34">
        <f t="shared" si="1"/>
        <v>646923707.96919644</v>
      </c>
      <c r="F96" s="34">
        <f t="shared" si="2"/>
        <v>643689089.4293505</v>
      </c>
      <c r="G96" s="35">
        <f t="shared" si="19"/>
        <v>1</v>
      </c>
      <c r="H96" s="36">
        <f t="shared" si="3"/>
        <v>643689089.4293505</v>
      </c>
      <c r="I96" s="34">
        <f t="shared" si="20"/>
        <v>125569327249203.19</v>
      </c>
      <c r="J96" s="37">
        <f t="shared" si="21"/>
        <v>121587399490894.7</v>
      </c>
      <c r="K96" s="34">
        <f t="shared" si="4"/>
        <v>7664146376778.6221</v>
      </c>
      <c r="L96" s="34">
        <f t="shared" si="5"/>
        <v>0</v>
      </c>
      <c r="M96" s="34">
        <f t="shared" si="6"/>
        <v>7664146376778.6221</v>
      </c>
      <c r="N96" s="34">
        <f t="shared" si="24"/>
        <v>766414637677.8623</v>
      </c>
      <c r="O96" s="38">
        <f t="shared" si="7"/>
        <v>6863243080405.2559</v>
      </c>
      <c r="P96" s="39"/>
      <c r="Q96" s="34">
        <f t="shared" si="9"/>
        <v>6863243080405.2559</v>
      </c>
      <c r="R96" s="40">
        <f t="shared" si="23"/>
        <v>10058668477.993341</v>
      </c>
      <c r="S96" s="35">
        <f t="shared" si="10"/>
        <v>1</v>
      </c>
      <c r="T96" s="41">
        <f t="shared" si="11"/>
        <v>56.860102767916601</v>
      </c>
      <c r="U96" s="4"/>
      <c r="V96" s="4"/>
      <c r="W96" s="4"/>
    </row>
    <row r="97" spans="1:23" ht="15.75" customHeight="1">
      <c r="A97" s="31" t="s">
        <v>130</v>
      </c>
      <c r="B97" s="32">
        <v>2113</v>
      </c>
      <c r="C97" s="44">
        <f t="shared" si="18"/>
        <v>1.4555783429306919E-4</v>
      </c>
      <c r="D97" s="42">
        <v>4000</v>
      </c>
      <c r="E97" s="34">
        <f t="shared" si="1"/>
        <v>582231337.17227674</v>
      </c>
      <c r="F97" s="34">
        <f t="shared" si="2"/>
        <v>579320180.48641539</v>
      </c>
      <c r="G97" s="35">
        <f t="shared" si="19"/>
        <v>1</v>
      </c>
      <c r="H97" s="36">
        <f t="shared" si="3"/>
        <v>579320180.48641539</v>
      </c>
      <c r="I97" s="34">
        <f t="shared" si="20"/>
        <v>126336321207061.53</v>
      </c>
      <c r="J97" s="37">
        <f t="shared" si="21"/>
        <v>122293216252028.67</v>
      </c>
      <c r="K97" s="34">
        <f t="shared" si="4"/>
        <v>7708641127722.7236</v>
      </c>
      <c r="L97" s="34">
        <f t="shared" si="5"/>
        <v>0</v>
      </c>
      <c r="M97" s="34">
        <f t="shared" si="6"/>
        <v>7708641127722.7236</v>
      </c>
      <c r="N97" s="34">
        <f t="shared" si="24"/>
        <v>770864112772.27246</v>
      </c>
      <c r="O97" s="38">
        <f t="shared" si="7"/>
        <v>6903088129875.6992</v>
      </c>
      <c r="P97" s="39"/>
      <c r="Q97" s="34">
        <f t="shared" si="9"/>
        <v>6903088129875.6992</v>
      </c>
      <c r="R97" s="40">
        <f t="shared" si="23"/>
        <v>10048609809.515348</v>
      </c>
      <c r="S97" s="35">
        <f t="shared" si="10"/>
        <v>1</v>
      </c>
      <c r="T97" s="41">
        <f t="shared" si="11"/>
        <v>57.247455624317183</v>
      </c>
      <c r="U97" s="4"/>
      <c r="V97" s="4"/>
      <c r="W97" s="4"/>
    </row>
    <row r="98" spans="1:23" ht="15.75" customHeight="1">
      <c r="A98" s="31" t="s">
        <v>131</v>
      </c>
      <c r="B98" s="32">
        <v>2114</v>
      </c>
      <c r="C98" s="44">
        <f t="shared" si="18"/>
        <v>1.3100205086376228E-4</v>
      </c>
      <c r="D98" s="42">
        <v>4000</v>
      </c>
      <c r="E98" s="34">
        <f t="shared" si="1"/>
        <v>524008203.45504904</v>
      </c>
      <c r="F98" s="34">
        <f t="shared" si="2"/>
        <v>521388162.43777376</v>
      </c>
      <c r="G98" s="35">
        <f t="shared" si="19"/>
        <v>1</v>
      </c>
      <c r="H98" s="36">
        <f t="shared" si="3"/>
        <v>521388162.43777376</v>
      </c>
      <c r="I98" s="34">
        <f t="shared" si="20"/>
        <v>127107706707996.23</v>
      </c>
      <c r="J98" s="37">
        <f t="shared" si="21"/>
        <v>123003069452086.91</v>
      </c>
      <c r="K98" s="34">
        <f t="shared" si="4"/>
        <v>7753389910378.6172</v>
      </c>
      <c r="L98" s="34">
        <f t="shared" si="5"/>
        <v>0</v>
      </c>
      <c r="M98" s="34">
        <f t="shared" si="6"/>
        <v>7753389910378.6172</v>
      </c>
      <c r="N98" s="34">
        <f t="shared" si="24"/>
        <v>775338991037.86182</v>
      </c>
      <c r="O98" s="38">
        <f t="shared" si="7"/>
        <v>6943160664744.0518</v>
      </c>
      <c r="P98" s="39"/>
      <c r="Q98" s="34">
        <f t="shared" si="9"/>
        <v>6943160664744.0518</v>
      </c>
      <c r="R98" s="40">
        <f t="shared" si="23"/>
        <v>10038561199.705833</v>
      </c>
      <c r="S98" s="35">
        <f t="shared" si="10"/>
        <v>1</v>
      </c>
      <c r="T98" s="41">
        <f t="shared" si="11"/>
        <v>57.637415417555985</v>
      </c>
      <c r="U98" s="4"/>
      <c r="V98" s="4"/>
      <c r="W98" s="4"/>
    </row>
    <row r="99" spans="1:23" ht="15.75" customHeight="1">
      <c r="A99" s="31" t="s">
        <v>132</v>
      </c>
      <c r="B99" s="32">
        <v>2115</v>
      </c>
      <c r="C99" s="44">
        <f t="shared" si="18"/>
        <v>1.1790184577738606E-4</v>
      </c>
      <c r="D99" s="42">
        <v>4000</v>
      </c>
      <c r="E99" s="34">
        <f t="shared" si="1"/>
        <v>471607383.10954422</v>
      </c>
      <c r="F99" s="34">
        <f t="shared" si="2"/>
        <v>469249346.19399649</v>
      </c>
      <c r="G99" s="35">
        <f t="shared" si="19"/>
        <v>1</v>
      </c>
      <c r="H99" s="36">
        <f t="shared" si="3"/>
        <v>469249346.19399649</v>
      </c>
      <c r="I99" s="34">
        <f t="shared" si="20"/>
        <v>127883514948380.28</v>
      </c>
      <c r="J99" s="37">
        <f t="shared" si="21"/>
        <v>123716988253624.72</v>
      </c>
      <c r="K99" s="34">
        <f t="shared" si="4"/>
        <v>7798394603262.3096</v>
      </c>
      <c r="L99" s="34">
        <f t="shared" si="5"/>
        <v>0</v>
      </c>
      <c r="M99" s="34">
        <f t="shared" si="6"/>
        <v>7798394603262.3096</v>
      </c>
      <c r="N99" s="34">
        <f t="shared" si="24"/>
        <v>779839460326.23096</v>
      </c>
      <c r="O99" s="38">
        <f t="shared" si="7"/>
        <v>6983462367221.3975</v>
      </c>
      <c r="P99" s="39"/>
      <c r="Q99" s="34">
        <f t="shared" si="9"/>
        <v>6983462367221.3975</v>
      </c>
      <c r="R99" s="40">
        <f t="shared" si="23"/>
        <v>10028522638.506128</v>
      </c>
      <c r="S99" s="35">
        <f t="shared" si="10"/>
        <v>1</v>
      </c>
      <c r="T99" s="41">
        <f t="shared" si="11"/>
        <v>58.030002847472169</v>
      </c>
      <c r="U99" s="4"/>
      <c r="V99" s="4"/>
      <c r="W99" s="4"/>
    </row>
    <row r="100" spans="1:23" ht="15.75" customHeight="1">
      <c r="A100" s="31" t="s">
        <v>133</v>
      </c>
      <c r="B100" s="32">
        <v>2116</v>
      </c>
      <c r="C100" s="44">
        <f t="shared" si="18"/>
        <v>1.0611166119964746E-4</v>
      </c>
      <c r="D100" s="42">
        <v>4000</v>
      </c>
      <c r="E100" s="34">
        <f t="shared" si="1"/>
        <v>424446644.79858983</v>
      </c>
      <c r="F100" s="34">
        <f t="shared" si="2"/>
        <v>422324411.57459688</v>
      </c>
      <c r="G100" s="35">
        <f t="shared" si="19"/>
        <v>1</v>
      </c>
      <c r="H100" s="36">
        <f t="shared" si="3"/>
        <v>422324411.57459688</v>
      </c>
      <c r="I100" s="34">
        <f t="shared" si="20"/>
        <v>128663776733118.09</v>
      </c>
      <c r="J100" s="37">
        <f t="shared" si="21"/>
        <v>124435001413343.36</v>
      </c>
      <c r="K100" s="34">
        <f t="shared" si="4"/>
        <v>7843657055279.8066</v>
      </c>
      <c r="L100" s="34">
        <f t="shared" si="5"/>
        <v>0</v>
      </c>
      <c r="M100" s="34">
        <f t="shared" si="6"/>
        <v>7843657055279.8066</v>
      </c>
      <c r="N100" s="34">
        <f t="shared" si="24"/>
        <v>784365705527.98071</v>
      </c>
      <c r="O100" s="38">
        <f t="shared" si="7"/>
        <v>7023994893003.0674</v>
      </c>
      <c r="P100" s="39"/>
      <c r="Q100" s="34">
        <f t="shared" si="9"/>
        <v>7023994893003.0674</v>
      </c>
      <c r="R100" s="40">
        <f t="shared" si="23"/>
        <v>10018494115.867622</v>
      </c>
      <c r="S100" s="35">
        <f t="shared" si="10"/>
        <v>1</v>
      </c>
      <c r="T100" s="41">
        <f t="shared" si="11"/>
        <v>58.425238462054494</v>
      </c>
      <c r="U100" s="4"/>
      <c r="V100" s="4"/>
      <c r="W100" s="4"/>
    </row>
    <row r="101" spans="1:23" ht="15.75" customHeight="1">
      <c r="A101" s="31" t="s">
        <v>134</v>
      </c>
      <c r="B101" s="32">
        <v>2117</v>
      </c>
      <c r="C101" s="44">
        <f t="shared" si="18"/>
        <v>9.5500495079682711E-5</v>
      </c>
      <c r="D101" s="42">
        <v>4000</v>
      </c>
      <c r="E101" s="34">
        <f t="shared" si="1"/>
        <v>382001980.31873083</v>
      </c>
      <c r="F101" s="34">
        <f t="shared" si="2"/>
        <v>380091970.41713715</v>
      </c>
      <c r="G101" s="35">
        <f t="shared" si="19"/>
        <v>1</v>
      </c>
      <c r="H101" s="36">
        <f t="shared" si="3"/>
        <v>380091970.41713715</v>
      </c>
      <c r="I101" s="34">
        <f t="shared" si="20"/>
        <v>129448522530616.5</v>
      </c>
      <c r="J101" s="37">
        <f t="shared" si="21"/>
        <v>125157137337236.36</v>
      </c>
      <c r="K101" s="34">
        <f t="shared" si="4"/>
        <v>7889179089605.9688</v>
      </c>
      <c r="L101" s="34">
        <f t="shared" si="5"/>
        <v>0</v>
      </c>
      <c r="M101" s="34">
        <f t="shared" si="6"/>
        <v>7889179089605.9688</v>
      </c>
      <c r="N101" s="34">
        <f t="shared" si="24"/>
        <v>788917908960.59692</v>
      </c>
      <c r="O101" s="38">
        <f t="shared" si="7"/>
        <v>7064759874742.1455</v>
      </c>
      <c r="P101" s="39"/>
      <c r="Q101" s="34">
        <f t="shared" si="9"/>
        <v>7064759874742.1455</v>
      </c>
      <c r="R101" s="40">
        <f t="shared" si="23"/>
        <v>10008475621.751757</v>
      </c>
      <c r="S101" s="35">
        <f t="shared" si="10"/>
        <v>1</v>
      </c>
      <c r="T101" s="41">
        <f t="shared" si="11"/>
        <v>58.82314268541942</v>
      </c>
      <c r="U101" s="4"/>
      <c r="V101" s="4"/>
      <c r="W101" s="4"/>
    </row>
    <row r="102" spans="1:23" ht="15.75" customHeight="1">
      <c r="A102" s="31" t="s">
        <v>135</v>
      </c>
      <c r="B102" s="32">
        <v>2118</v>
      </c>
      <c r="C102" s="44">
        <f t="shared" si="18"/>
        <v>8.5950445571714442E-5</v>
      </c>
      <c r="D102" s="42">
        <v>4000</v>
      </c>
      <c r="E102" s="34">
        <f t="shared" si="1"/>
        <v>343801782.28685778</v>
      </c>
      <c r="F102" s="34">
        <f t="shared" si="2"/>
        <v>342082773.37542349</v>
      </c>
      <c r="G102" s="35">
        <f t="shared" si="19"/>
        <v>1</v>
      </c>
      <c r="H102" s="36">
        <f t="shared" si="3"/>
        <v>342082773.37542349</v>
      </c>
      <c r="I102" s="34">
        <f t="shared" si="20"/>
        <v>130237782522350.47</v>
      </c>
      <c r="J102" s="37">
        <f t="shared" si="21"/>
        <v>125883424130305.84</v>
      </c>
      <c r="K102" s="34">
        <f t="shared" si="4"/>
        <v>7934962507180.7852</v>
      </c>
      <c r="L102" s="34">
        <f t="shared" si="5"/>
        <v>0</v>
      </c>
      <c r="M102" s="34">
        <f t="shared" si="6"/>
        <v>7934962507180.7852</v>
      </c>
      <c r="N102" s="34">
        <f t="shared" si="24"/>
        <v>793496250718.07861</v>
      </c>
      <c r="O102" s="38">
        <f t="shared" si="7"/>
        <v>7105758925180.3936</v>
      </c>
      <c r="P102" s="39"/>
      <c r="Q102" s="34">
        <f t="shared" si="9"/>
        <v>7105758925180.3936</v>
      </c>
      <c r="R102" s="40">
        <f t="shared" si="23"/>
        <v>9998467146.1300068</v>
      </c>
      <c r="S102" s="35">
        <f t="shared" si="10"/>
        <v>1</v>
      </c>
      <c r="T102" s="41">
        <f t="shared" si="11"/>
        <v>59.223735843104869</v>
      </c>
      <c r="U102" s="4"/>
      <c r="V102" s="4"/>
      <c r="W102" s="4"/>
    </row>
    <row r="103" spans="1:23" ht="15.75" customHeight="1">
      <c r="A103" s="31" t="s">
        <v>136</v>
      </c>
      <c r="B103" s="32">
        <v>2119</v>
      </c>
      <c r="C103" s="44">
        <f t="shared" si="18"/>
        <v>7.7355401014543004E-5</v>
      </c>
      <c r="D103" s="42">
        <v>4000</v>
      </c>
      <c r="E103" s="34">
        <f t="shared" si="1"/>
        <v>309421604.05817205</v>
      </c>
      <c r="F103" s="34">
        <f t="shared" si="2"/>
        <v>307874496.0378812</v>
      </c>
      <c r="G103" s="35">
        <f t="shared" si="19"/>
        <v>1</v>
      </c>
      <c r="H103" s="36">
        <f t="shared" si="3"/>
        <v>307874496.0378812</v>
      </c>
      <c r="I103" s="34">
        <f t="shared" si="20"/>
        <v>131031586647564.58</v>
      </c>
      <c r="J103" s="37">
        <f t="shared" si="21"/>
        <v>126613889641392.2</v>
      </c>
      <c r="K103" s="34">
        <f t="shared" si="4"/>
        <v>7981009089861.3906</v>
      </c>
      <c r="L103" s="34">
        <f t="shared" si="5"/>
        <v>0</v>
      </c>
      <c r="M103" s="34">
        <f t="shared" si="6"/>
        <v>7981009089861.3906</v>
      </c>
      <c r="N103" s="34">
        <f t="shared" si="24"/>
        <v>798100908986.13916</v>
      </c>
      <c r="O103" s="38">
        <f t="shared" si="7"/>
        <v>7146993639970.876</v>
      </c>
      <c r="P103" s="39"/>
      <c r="Q103" s="34">
        <f t="shared" si="9"/>
        <v>7146993639970.876</v>
      </c>
      <c r="R103" s="40">
        <f t="shared" si="23"/>
        <v>9988468678.9838772</v>
      </c>
      <c r="S103" s="35">
        <f t="shared" si="10"/>
        <v>1</v>
      </c>
      <c r="T103" s="41">
        <f t="shared" si="11"/>
        <v>59.627038184945754</v>
      </c>
      <c r="U103" s="4"/>
      <c r="V103" s="4"/>
      <c r="W103" s="4"/>
    </row>
    <row r="104" spans="1:23" ht="15.75" customHeight="1">
      <c r="A104" s="31" t="s">
        <v>137</v>
      </c>
      <c r="B104" s="32">
        <v>2120</v>
      </c>
      <c r="C104" s="45">
        <f t="shared" si="18"/>
        <v>6.9619860913088701E-5</v>
      </c>
      <c r="D104" s="42">
        <v>4000</v>
      </c>
      <c r="E104" s="34">
        <f t="shared" si="1"/>
        <v>278479443.65235484</v>
      </c>
      <c r="F104" s="34">
        <f t="shared" si="2"/>
        <v>277087046.43409306</v>
      </c>
      <c r="G104" s="35">
        <f t="shared" si="19"/>
        <v>1</v>
      </c>
      <c r="H104" s="36">
        <f t="shared" si="3"/>
        <v>277087046.43409306</v>
      </c>
      <c r="I104" s="34">
        <f t="shared" si="20"/>
        <v>131829964643597.16</v>
      </c>
      <c r="J104" s="37">
        <f t="shared" si="21"/>
        <v>127348561503606.08</v>
      </c>
      <c r="K104" s="34">
        <f t="shared" si="4"/>
        <v>8027320603264.2656</v>
      </c>
      <c r="L104" s="34">
        <f t="shared" si="5"/>
        <v>0</v>
      </c>
      <c r="M104" s="34">
        <f t="shared" si="6"/>
        <v>8027320603264.2656</v>
      </c>
      <c r="N104" s="34">
        <f t="shared" si="24"/>
        <v>802732060326.42664</v>
      </c>
      <c r="O104" s="38">
        <f t="shared" si="7"/>
        <v>7188465600223.1494</v>
      </c>
      <c r="P104" s="39"/>
      <c r="Q104" s="34">
        <f t="shared" si="9"/>
        <v>7188465600223.1494</v>
      </c>
      <c r="R104" s="40">
        <f t="shared" si="23"/>
        <v>9978480210.3048935</v>
      </c>
      <c r="S104" s="35">
        <f t="shared" si="10"/>
        <v>1</v>
      </c>
      <c r="T104" s="41">
        <f t="shared" si="11"/>
        <v>60.03306990577196</v>
      </c>
      <c r="U104" s="4"/>
      <c r="V104" s="4"/>
      <c r="W104" s="4"/>
    </row>
    <row r="105" spans="1:23" ht="15.75" customHeight="1">
      <c r="A105" s="31" t="s">
        <v>138</v>
      </c>
      <c r="B105" s="32">
        <v>2121</v>
      </c>
      <c r="C105" s="45">
        <f t="shared" si="18"/>
        <v>6.265787482177983E-5</v>
      </c>
      <c r="D105" s="42">
        <v>4000</v>
      </c>
      <c r="E105" s="34">
        <f t="shared" si="1"/>
        <v>250631499.2871193</v>
      </c>
      <c r="F105" s="34">
        <f t="shared" si="2"/>
        <v>249378341.79068369</v>
      </c>
      <c r="G105" s="35">
        <f t="shared" si="19"/>
        <v>1</v>
      </c>
      <c r="H105" s="36">
        <f t="shared" si="3"/>
        <v>249378341.79068369</v>
      </c>
      <c r="I105" s="34">
        <f t="shared" si="20"/>
        <v>132632946082265.38</v>
      </c>
      <c r="J105" s="37">
        <f t="shared" si="21"/>
        <v>128087467170803.17</v>
      </c>
      <c r="K105" s="34">
        <f t="shared" si="4"/>
        <v>8073898799328.625</v>
      </c>
      <c r="L105" s="34">
        <f t="shared" si="5"/>
        <v>0</v>
      </c>
      <c r="M105" s="34">
        <f t="shared" si="6"/>
        <v>8073898799328.625</v>
      </c>
      <c r="N105" s="34">
        <f t="shared" si="24"/>
        <v>807389879932.86255</v>
      </c>
      <c r="O105" s="38">
        <f t="shared" si="7"/>
        <v>7230176374798.7842</v>
      </c>
      <c r="P105" s="39"/>
      <c r="Q105" s="34">
        <f t="shared" si="9"/>
        <v>7230176374798.7842</v>
      </c>
      <c r="R105" s="40">
        <f t="shared" si="23"/>
        <v>9968501730.0945892</v>
      </c>
      <c r="S105" s="35">
        <f t="shared" si="10"/>
        <v>1</v>
      </c>
      <c r="T105" s="41">
        <f t="shared" si="11"/>
        <v>60.441851164144957</v>
      </c>
      <c r="U105" s="4"/>
      <c r="V105" s="4"/>
      <c r="W105" s="4"/>
    </row>
    <row r="106" spans="1:23" ht="15.75" customHeight="1">
      <c r="A106" s="31" t="s">
        <v>139</v>
      </c>
      <c r="B106" s="32">
        <v>2122</v>
      </c>
      <c r="C106" s="45">
        <f t="shared" si="18"/>
        <v>5.6392087339601851E-5</v>
      </c>
      <c r="D106" s="42">
        <v>4000</v>
      </c>
      <c r="E106" s="34">
        <f t="shared" si="1"/>
        <v>225568349.35840741</v>
      </c>
      <c r="F106" s="34">
        <f t="shared" si="2"/>
        <v>224440507.61161536</v>
      </c>
      <c r="G106" s="35">
        <f t="shared" si="19"/>
        <v>1</v>
      </c>
      <c r="H106" s="36">
        <f t="shared" si="3"/>
        <v>224440507.61161536</v>
      </c>
      <c r="I106" s="34">
        <f t="shared" si="20"/>
        <v>133440560402705.84</v>
      </c>
      <c r="J106" s="37">
        <f t="shared" si="21"/>
        <v>128830633950498.03</v>
      </c>
      <c r="K106" s="34">
        <f t="shared" si="4"/>
        <v>8120745418628.9209</v>
      </c>
      <c r="L106" s="34">
        <f t="shared" si="5"/>
        <v>0</v>
      </c>
      <c r="M106" s="34">
        <f t="shared" si="6"/>
        <v>8120745418628.9209</v>
      </c>
      <c r="N106" s="34">
        <f t="shared" si="24"/>
        <v>812074541862.89209</v>
      </c>
      <c r="O106" s="38">
        <f t="shared" si="7"/>
        <v>7272127522382.1992</v>
      </c>
      <c r="P106" s="39"/>
      <c r="Q106" s="34">
        <f t="shared" si="9"/>
        <v>7272127522382.1992</v>
      </c>
      <c r="R106" s="40">
        <f t="shared" si="23"/>
        <v>9958533228.3644962</v>
      </c>
      <c r="S106" s="35">
        <f t="shared" si="10"/>
        <v>1</v>
      </c>
      <c r="T106" s="41">
        <f t="shared" si="11"/>
        <v>60.853402099327958</v>
      </c>
      <c r="U106" s="4"/>
      <c r="V106" s="4"/>
      <c r="W106" s="4"/>
    </row>
    <row r="107" spans="1:23" ht="15.75" customHeight="1">
      <c r="A107" s="31" t="s">
        <v>140</v>
      </c>
      <c r="B107" s="32">
        <v>2123</v>
      </c>
      <c r="C107" s="45">
        <f t="shared" si="18"/>
        <v>5.0752878605641669E-5</v>
      </c>
      <c r="D107" s="42">
        <v>4000</v>
      </c>
      <c r="E107" s="34">
        <f t="shared" si="1"/>
        <v>203011514.42256668</v>
      </c>
      <c r="F107" s="34">
        <f t="shared" si="2"/>
        <v>201996456.85045385</v>
      </c>
      <c r="G107" s="35">
        <f t="shared" si="19"/>
        <v>1</v>
      </c>
      <c r="H107" s="36">
        <f t="shared" si="3"/>
        <v>201996456.85045385</v>
      </c>
      <c r="I107" s="34">
        <f t="shared" si="20"/>
        <v>134252836941025.58</v>
      </c>
      <c r="J107" s="37">
        <f t="shared" si="21"/>
        <v>129578089033573.36</v>
      </c>
      <c r="K107" s="34">
        <f t="shared" si="4"/>
        <v>8167862192461.5752</v>
      </c>
      <c r="L107" s="34">
        <f t="shared" si="5"/>
        <v>0</v>
      </c>
      <c r="M107" s="34">
        <f t="shared" si="6"/>
        <v>8167862192461.5752</v>
      </c>
      <c r="N107" s="34">
        <f t="shared" si="24"/>
        <v>816786219246.15759</v>
      </c>
      <c r="O107" s="38">
        <f t="shared" si="7"/>
        <v>7314320593349.3408</v>
      </c>
      <c r="P107" s="39"/>
      <c r="Q107" s="34">
        <f t="shared" si="9"/>
        <v>7314320593349.3408</v>
      </c>
      <c r="R107" s="40">
        <f t="shared" si="23"/>
        <v>9948574695.1361332</v>
      </c>
      <c r="S107" s="35">
        <f t="shared" si="10"/>
        <v>1</v>
      </c>
      <c r="T107" s="41">
        <f t="shared" si="11"/>
        <v>61.267742846665584</v>
      </c>
      <c r="U107" s="4"/>
      <c r="V107" s="4"/>
      <c r="W107" s="4"/>
    </row>
    <row r="108" spans="1:23" ht="15.75" customHeight="1">
      <c r="A108" s="31" t="s">
        <v>141</v>
      </c>
      <c r="B108" s="32">
        <v>2124</v>
      </c>
      <c r="C108" s="45">
        <f t="shared" si="18"/>
        <v>4.5677590745077506E-5</v>
      </c>
      <c r="D108" s="42">
        <v>4000</v>
      </c>
      <c r="E108" s="34">
        <f t="shared" si="1"/>
        <v>182710362.98031002</v>
      </c>
      <c r="F108" s="34">
        <f t="shared" si="2"/>
        <v>181796811.16540846</v>
      </c>
      <c r="G108" s="35">
        <f t="shared" si="19"/>
        <v>1</v>
      </c>
      <c r="H108" s="36">
        <f t="shared" si="3"/>
        <v>181796811.16540846</v>
      </c>
      <c r="I108" s="34">
        <f t="shared" si="20"/>
        <v>135069804957082.91</v>
      </c>
      <c r="J108" s="37">
        <f t="shared" si="21"/>
        <v>130329859521105.88</v>
      </c>
      <c r="K108" s="34">
        <f t="shared" si="4"/>
        <v>8215250844728.5508</v>
      </c>
      <c r="L108" s="34">
        <f t="shared" si="5"/>
        <v>0</v>
      </c>
      <c r="M108" s="34">
        <f t="shared" si="6"/>
        <v>8215250844728.5508</v>
      </c>
      <c r="N108" s="34">
        <f t="shared" si="24"/>
        <v>821525084472.8551</v>
      </c>
      <c r="O108" s="38">
        <f t="shared" si="7"/>
        <v>7356757131454.417</v>
      </c>
      <c r="P108" s="39"/>
      <c r="Q108" s="34">
        <f t="shared" si="9"/>
        <v>7356757131454.417</v>
      </c>
      <c r="R108" s="40">
        <f t="shared" si="23"/>
        <v>9938626120.4409981</v>
      </c>
      <c r="S108" s="35">
        <f t="shared" si="10"/>
        <v>1</v>
      </c>
      <c r="T108" s="41">
        <f t="shared" si="11"/>
        <v>61.684893551530962</v>
      </c>
      <c r="U108" s="4"/>
      <c r="V108" s="4"/>
      <c r="W108" s="4"/>
    </row>
    <row r="109" spans="1:23" ht="15.75" customHeight="1">
      <c r="A109" s="31" t="s">
        <v>142</v>
      </c>
      <c r="B109" s="32">
        <v>2125</v>
      </c>
      <c r="C109" s="45">
        <f t="shared" si="18"/>
        <v>4.1109831670569756E-5</v>
      </c>
      <c r="D109" s="42">
        <v>4000</v>
      </c>
      <c r="E109" s="34">
        <f t="shared" si="1"/>
        <v>164439326.68227905</v>
      </c>
      <c r="F109" s="34">
        <f t="shared" si="2"/>
        <v>163617130.04886764</v>
      </c>
      <c r="G109" s="35">
        <f t="shared" si="19"/>
        <v>1</v>
      </c>
      <c r="H109" s="36">
        <f t="shared" si="3"/>
        <v>163617130.04886764</v>
      </c>
      <c r="I109" s="34">
        <f t="shared" si="20"/>
        <v>135891493658685.81</v>
      </c>
      <c r="J109" s="37">
        <f t="shared" si="21"/>
        <v>131085972448597.44</v>
      </c>
      <c r="K109" s="34">
        <f t="shared" si="4"/>
        <v>8262913093638.1123</v>
      </c>
      <c r="L109" s="34">
        <f t="shared" si="5"/>
        <v>0</v>
      </c>
      <c r="M109" s="34">
        <f t="shared" si="6"/>
        <v>8262913093638.1123</v>
      </c>
      <c r="N109" s="34">
        <f t="shared" si="24"/>
        <v>826291309363.81128</v>
      </c>
      <c r="O109" s="38">
        <f t="shared" si="7"/>
        <v>7399438675352.9297</v>
      </c>
      <c r="P109" s="39"/>
      <c r="Q109" s="34">
        <f t="shared" si="9"/>
        <v>7399438675352.9297</v>
      </c>
      <c r="R109" s="40">
        <f t="shared" si="23"/>
        <v>9928687494.3205585</v>
      </c>
      <c r="S109" s="35">
        <f t="shared" si="10"/>
        <v>1</v>
      </c>
      <c r="T109" s="41">
        <f t="shared" si="11"/>
        <v>62.104874381983031</v>
      </c>
      <c r="U109" s="4"/>
      <c r="V109" s="4"/>
      <c r="W109" s="4"/>
    </row>
    <row r="110" spans="1:23" ht="15.75" customHeight="1">
      <c r="A110" s="31" t="s">
        <v>143</v>
      </c>
      <c r="B110" s="32">
        <v>2126</v>
      </c>
      <c r="C110" s="45">
        <f t="shared" si="18"/>
        <v>3.6998848503512779E-5</v>
      </c>
      <c r="D110" s="42">
        <v>4000</v>
      </c>
      <c r="E110" s="34">
        <f t="shared" si="1"/>
        <v>147995394.01405111</v>
      </c>
      <c r="F110" s="34">
        <f t="shared" si="2"/>
        <v>147255417.04398087</v>
      </c>
      <c r="G110" s="35">
        <f t="shared" si="19"/>
        <v>1</v>
      </c>
      <c r="H110" s="36">
        <f t="shared" si="3"/>
        <v>147255417.04398087</v>
      </c>
      <c r="I110" s="34">
        <f t="shared" si="20"/>
        <v>136717932223466.67</v>
      </c>
      <c r="J110" s="37">
        <f t="shared" si="21"/>
        <v>131846454807871.61</v>
      </c>
      <c r="K110" s="34">
        <f t="shared" si="4"/>
        <v>8310850653241.0771</v>
      </c>
      <c r="L110" s="34">
        <f t="shared" si="5"/>
        <v>0</v>
      </c>
      <c r="M110" s="34">
        <f t="shared" si="6"/>
        <v>8310850653241.0771</v>
      </c>
      <c r="N110" s="34">
        <f t="shared" si="24"/>
        <v>831085065324.10779</v>
      </c>
      <c r="O110" s="38">
        <f t="shared" si="7"/>
        <v>7442366759977.3848</v>
      </c>
      <c r="P110" s="39"/>
      <c r="Q110" s="34">
        <f t="shared" si="9"/>
        <v>7442366759977.3848</v>
      </c>
      <c r="R110" s="40">
        <f t="shared" si="23"/>
        <v>9918758806.8262386</v>
      </c>
      <c r="S110" s="35">
        <f t="shared" si="10"/>
        <v>1</v>
      </c>
      <c r="T110" s="41">
        <f t="shared" si="11"/>
        <v>62.527705540262389</v>
      </c>
      <c r="U110" s="4"/>
      <c r="V110" s="4"/>
      <c r="W110" s="4"/>
    </row>
    <row r="111" spans="1:23" ht="15.75" customHeight="1">
      <c r="A111" s="31" t="s">
        <v>144</v>
      </c>
      <c r="B111" s="32">
        <v>2127</v>
      </c>
      <c r="C111" s="45">
        <f t="shared" si="18"/>
        <v>3.3298963653161505E-5</v>
      </c>
      <c r="D111" s="42">
        <v>4000</v>
      </c>
      <c r="E111" s="34">
        <f t="shared" si="1"/>
        <v>133195854.61264601</v>
      </c>
      <c r="F111" s="34">
        <f t="shared" si="2"/>
        <v>132529875.33958279</v>
      </c>
      <c r="G111" s="35">
        <f t="shared" si="19"/>
        <v>1</v>
      </c>
      <c r="H111" s="36">
        <f t="shared" si="3"/>
        <v>132529875.33958279</v>
      </c>
      <c r="I111" s="34">
        <f t="shared" si="20"/>
        <v>137549149818666.13</v>
      </c>
      <c r="J111" s="37">
        <f t="shared" si="21"/>
        <v>132611333566869.53</v>
      </c>
      <c r="K111" s="34">
        <f t="shared" si="4"/>
        <v>8359065234819.0596</v>
      </c>
      <c r="L111" s="34">
        <f t="shared" si="5"/>
        <v>0</v>
      </c>
      <c r="M111" s="34">
        <f t="shared" si="6"/>
        <v>8359065234819.0596</v>
      </c>
      <c r="N111" s="34">
        <f t="shared" si="24"/>
        <v>835906523481.90601</v>
      </c>
      <c r="O111" s="38">
        <f t="shared" si="7"/>
        <v>7485542917780.4678</v>
      </c>
      <c r="P111" s="39"/>
      <c r="Q111" s="34">
        <f t="shared" si="9"/>
        <v>7485542917780.4678</v>
      </c>
      <c r="R111" s="40">
        <f t="shared" si="23"/>
        <v>9908840048.019413</v>
      </c>
      <c r="S111" s="35">
        <f t="shared" si="10"/>
        <v>1</v>
      </c>
      <c r="T111" s="41">
        <f t="shared" si="11"/>
        <v>62.953407273241538</v>
      </c>
      <c r="U111" s="4"/>
      <c r="V111" s="4"/>
      <c r="W111" s="4"/>
    </row>
    <row r="112" spans="1:23" ht="15.75" customHeight="1">
      <c r="A112" s="31" t="s">
        <v>145</v>
      </c>
      <c r="B112" s="32">
        <v>2128</v>
      </c>
      <c r="C112" s="45">
        <f t="shared" si="18"/>
        <v>2.9969067287845354E-5</v>
      </c>
      <c r="D112" s="42">
        <v>4000</v>
      </c>
      <c r="E112" s="34">
        <f t="shared" si="1"/>
        <v>119876269.15138142</v>
      </c>
      <c r="F112" s="34">
        <f t="shared" si="2"/>
        <v>119276887.80562451</v>
      </c>
      <c r="G112" s="35">
        <f t="shared" si="19"/>
        <v>1</v>
      </c>
      <c r="H112" s="36">
        <f t="shared" si="3"/>
        <v>119276887.80562451</v>
      </c>
      <c r="I112" s="34">
        <f t="shared" si="20"/>
        <v>138385175619035.84</v>
      </c>
      <c r="J112" s="37">
        <f t="shared" si="21"/>
        <v>133380635687555.64</v>
      </c>
      <c r="K112" s="34">
        <f t="shared" si="4"/>
        <v>8407558548139.5283</v>
      </c>
      <c r="L112" s="34">
        <f t="shared" si="5"/>
        <v>0</v>
      </c>
      <c r="M112" s="34">
        <f t="shared" si="6"/>
        <v>8407558548139.5283</v>
      </c>
      <c r="N112" s="34">
        <f t="shared" si="24"/>
        <v>840755854813.95288</v>
      </c>
      <c r="O112" s="38">
        <f t="shared" si="7"/>
        <v>7528968679858.9473</v>
      </c>
      <c r="P112" s="39"/>
      <c r="Q112" s="34">
        <f t="shared" si="9"/>
        <v>7528968679858.9473</v>
      </c>
      <c r="R112" s="40">
        <f t="shared" si="23"/>
        <v>9898931207.9713955</v>
      </c>
      <c r="S112" s="35">
        <f t="shared" si="10"/>
        <v>1</v>
      </c>
      <c r="T112" s="41">
        <f t="shared" si="11"/>
        <v>63.381999881933645</v>
      </c>
      <c r="U112" s="4"/>
      <c r="V112" s="4"/>
      <c r="W112" s="4"/>
    </row>
    <row r="113" spans="1:23" ht="15.75" customHeight="1">
      <c r="A113" s="31" t="s">
        <v>146</v>
      </c>
      <c r="B113" s="32">
        <v>2129</v>
      </c>
      <c r="C113" s="45">
        <f t="shared" si="18"/>
        <v>2.697216055906082E-5</v>
      </c>
      <c r="D113" s="42">
        <v>4000</v>
      </c>
      <c r="E113" s="34">
        <f t="shared" si="1"/>
        <v>107888642.23624328</v>
      </c>
      <c r="F113" s="34">
        <f t="shared" si="2"/>
        <v>107349199.02506205</v>
      </c>
      <c r="G113" s="35">
        <f t="shared" si="19"/>
        <v>1</v>
      </c>
      <c r="H113" s="36">
        <f t="shared" si="3"/>
        <v>107349199.02506205</v>
      </c>
      <c r="I113" s="34">
        <f t="shared" si="20"/>
        <v>139226038823048.83</v>
      </c>
      <c r="J113" s="37">
        <f t="shared" si="21"/>
        <v>134154388142122.84</v>
      </c>
      <c r="K113" s="34">
        <f t="shared" si="4"/>
        <v>8456332302591.0273</v>
      </c>
      <c r="L113" s="34">
        <f t="shared" si="5"/>
        <v>0</v>
      </c>
      <c r="M113" s="34">
        <f t="shared" si="6"/>
        <v>8456332302591.0273</v>
      </c>
      <c r="N113" s="34">
        <f t="shared" si="24"/>
        <v>845633230259.10278</v>
      </c>
      <c r="O113" s="38">
        <f t="shared" si="7"/>
        <v>7572645576970.2656</v>
      </c>
      <c r="P113" s="39"/>
      <c r="Q113" s="34">
        <f t="shared" si="9"/>
        <v>7572645576970.2656</v>
      </c>
      <c r="R113" s="40">
        <f t="shared" si="23"/>
        <v>9889032276.7634258</v>
      </c>
      <c r="S113" s="35">
        <f t="shared" si="10"/>
        <v>1</v>
      </c>
      <c r="T113" s="41">
        <f t="shared" si="11"/>
        <v>63.813503730153933</v>
      </c>
      <c r="U113" s="4"/>
      <c r="V113" s="4"/>
      <c r="W113" s="4"/>
    </row>
    <row r="114" spans="1:23" ht="15.75" customHeight="1">
      <c r="A114" s="31" t="s">
        <v>147</v>
      </c>
      <c r="B114" s="32">
        <v>2130</v>
      </c>
      <c r="C114" s="45">
        <f t="shared" si="18"/>
        <v>2.4274944503154739E-5</v>
      </c>
      <c r="D114" s="42">
        <v>4000</v>
      </c>
      <c r="E114" s="34">
        <f t="shared" si="1"/>
        <v>97099778.012618959</v>
      </c>
      <c r="F114" s="34">
        <f t="shared" si="2"/>
        <v>96614279.122555867</v>
      </c>
      <c r="G114" s="35">
        <f t="shared" si="19"/>
        <v>1</v>
      </c>
      <c r="H114" s="36">
        <f t="shared" si="3"/>
        <v>96614279.122555867</v>
      </c>
      <c r="I114" s="34">
        <f t="shared" si="20"/>
        <v>140071768667587.06</v>
      </c>
      <c r="J114" s="37">
        <f t="shared" si="21"/>
        <v>134932617927667.75</v>
      </c>
      <c r="K114" s="34">
        <f t="shared" si="4"/>
        <v>8505388208210.5879</v>
      </c>
      <c r="L114" s="34">
        <f t="shared" si="5"/>
        <v>0</v>
      </c>
      <c r="M114" s="34">
        <f t="shared" si="6"/>
        <v>8505388208210.5879</v>
      </c>
      <c r="N114" s="34">
        <f t="shared" si="24"/>
        <v>850538820821.05884</v>
      </c>
      <c r="O114" s="38">
        <f t="shared" si="7"/>
        <v>7616575140452.582</v>
      </c>
      <c r="P114" s="39"/>
      <c r="Q114" s="34">
        <f t="shared" si="9"/>
        <v>7616575140452.582</v>
      </c>
      <c r="R114" s="40">
        <f t="shared" si="23"/>
        <v>9879143244.4866638</v>
      </c>
      <c r="S114" s="35">
        <f t="shared" si="10"/>
        <v>1</v>
      </c>
      <c r="T114" s="41">
        <f t="shared" si="11"/>
        <v>64.247939252418035</v>
      </c>
      <c r="U114" s="4"/>
      <c r="V114" s="4"/>
      <c r="W114" s="4"/>
    </row>
    <row r="115" spans="1:23" ht="15.75" customHeight="1">
      <c r="A115" s="31" t="s">
        <v>148</v>
      </c>
      <c r="B115" s="32">
        <v>2131</v>
      </c>
      <c r="C115" s="45">
        <f t="shared" si="18"/>
        <v>2.1847450052839264E-5</v>
      </c>
      <c r="D115" s="42">
        <v>4000</v>
      </c>
      <c r="E115" s="34">
        <f t="shared" si="1"/>
        <v>87389800.211357057</v>
      </c>
      <c r="F115" s="34">
        <f t="shared" si="2"/>
        <v>86952851.210300267</v>
      </c>
      <c r="G115" s="35">
        <f t="shared" si="19"/>
        <v>1</v>
      </c>
      <c r="H115" s="36">
        <f t="shared" si="3"/>
        <v>86952851.210300267</v>
      </c>
      <c r="I115" s="34">
        <f t="shared" si="20"/>
        <v>140922394441259.31</v>
      </c>
      <c r="J115" s="37">
        <f t="shared" si="21"/>
        <v>135715352079489.36</v>
      </c>
      <c r="K115" s="34">
        <f t="shared" si="4"/>
        <v>8554727976614.1348</v>
      </c>
      <c r="L115" s="34">
        <f t="shared" si="5"/>
        <v>0</v>
      </c>
      <c r="M115" s="34">
        <f t="shared" si="6"/>
        <v>8554727976614.1348</v>
      </c>
      <c r="N115" s="34">
        <f t="shared" si="24"/>
        <v>855472797661.41357</v>
      </c>
      <c r="O115" s="38">
        <f t="shared" si="7"/>
        <v>7660758903057.957</v>
      </c>
      <c r="P115" s="39"/>
      <c r="Q115" s="34">
        <f t="shared" si="9"/>
        <v>7660758903057.957</v>
      </c>
      <c r="R115" s="40">
        <f t="shared" si="23"/>
        <v>9869264101.242178</v>
      </c>
      <c r="S115" s="35">
        <f t="shared" si="10"/>
        <v>1</v>
      </c>
      <c r="T115" s="41">
        <f t="shared" si="11"/>
        <v>64.685326961153976</v>
      </c>
      <c r="U115" s="4"/>
      <c r="V115" s="4"/>
      <c r="W115" s="4"/>
    </row>
    <row r="116" spans="1:23" ht="15.75" customHeight="1">
      <c r="A116" s="31" t="s">
        <v>149</v>
      </c>
      <c r="B116" s="32">
        <v>2132</v>
      </c>
      <c r="C116" s="46">
        <f t="shared" si="18"/>
        <v>1.9662705047555338E-5</v>
      </c>
      <c r="D116" s="42">
        <v>4000</v>
      </c>
      <c r="E116" s="34">
        <f t="shared" si="1"/>
        <v>78650820.190221354</v>
      </c>
      <c r="F116" s="34">
        <f t="shared" si="2"/>
        <v>78257566.089270249</v>
      </c>
      <c r="G116" s="35">
        <f t="shared" si="19"/>
        <v>1</v>
      </c>
      <c r="H116" s="36">
        <f t="shared" si="3"/>
        <v>78257566.089270249</v>
      </c>
      <c r="I116" s="34">
        <f t="shared" si="20"/>
        <v>141777945496486.81</v>
      </c>
      <c r="J116" s="37">
        <f t="shared" si="21"/>
        <v>136502617683149.52</v>
      </c>
      <c r="K116" s="34">
        <f t="shared" si="4"/>
        <v>8604353321839.625</v>
      </c>
      <c r="L116" s="34">
        <f t="shared" si="5"/>
        <v>0</v>
      </c>
      <c r="M116" s="34">
        <f t="shared" si="6"/>
        <v>8604353321839.625</v>
      </c>
      <c r="N116" s="34">
        <f t="shared" si="24"/>
        <v>860435332183.96252</v>
      </c>
      <c r="O116" s="38">
        <f t="shared" si="7"/>
        <v>7705198399707.3838</v>
      </c>
      <c r="P116" s="39"/>
      <c r="Q116" s="34">
        <f t="shared" si="9"/>
        <v>7705198399707.3838</v>
      </c>
      <c r="R116" s="40">
        <f t="shared" si="23"/>
        <v>9859394837.1409378</v>
      </c>
      <c r="S116" s="35">
        <f t="shared" si="10"/>
        <v>1</v>
      </c>
      <c r="T116" s="41">
        <f t="shared" si="11"/>
        <v>65.125687453296109</v>
      </c>
      <c r="U116" s="4"/>
      <c r="V116" s="4"/>
      <c r="W116" s="4"/>
    </row>
    <row r="117" spans="1:23" ht="15.75" customHeight="1">
      <c r="A117" s="31" t="s">
        <v>150</v>
      </c>
      <c r="B117" s="32">
        <v>2133</v>
      </c>
      <c r="C117" s="46">
        <f t="shared" si="18"/>
        <v>1.7696434542799806E-5</v>
      </c>
      <c r="D117" s="42">
        <v>4000</v>
      </c>
      <c r="E117" s="34">
        <f t="shared" si="1"/>
        <v>70785738.171199217</v>
      </c>
      <c r="F117" s="34">
        <f t="shared" si="2"/>
        <v>70431809.480343223</v>
      </c>
      <c r="G117" s="35">
        <f t="shared" si="19"/>
        <v>1</v>
      </c>
      <c r="H117" s="36">
        <f t="shared" si="3"/>
        <v>70431809.480343223</v>
      </c>
      <c r="I117" s="34">
        <f t="shared" si="20"/>
        <v>142638451260480.25</v>
      </c>
      <c r="J117" s="37">
        <f t="shared" si="21"/>
        <v>137294441885419.41</v>
      </c>
      <c r="K117" s="34">
        <f t="shared" si="4"/>
        <v>8654265961111.6787</v>
      </c>
      <c r="L117" s="34">
        <f t="shared" si="5"/>
        <v>0</v>
      </c>
      <c r="M117" s="34">
        <f t="shared" si="6"/>
        <v>8654265961111.6787</v>
      </c>
      <c r="N117" s="34">
        <f t="shared" si="24"/>
        <v>865426596111.16797</v>
      </c>
      <c r="O117" s="38">
        <f t="shared" si="7"/>
        <v>7749895168175.5078</v>
      </c>
      <c r="P117" s="39"/>
      <c r="Q117" s="34">
        <f t="shared" si="9"/>
        <v>7749895168175.5078</v>
      </c>
      <c r="R117" s="40">
        <f t="shared" si="23"/>
        <v>9849535442.3037987</v>
      </c>
      <c r="S117" s="35">
        <f t="shared" si="10"/>
        <v>1</v>
      </c>
      <c r="T117" s="41">
        <f t="shared" si="11"/>
        <v>65.569041416322989</v>
      </c>
      <c r="U117" s="4"/>
      <c r="V117" s="4"/>
      <c r="W117" s="4"/>
    </row>
    <row r="118" spans="1:23" ht="15.75" customHeight="1">
      <c r="A118" s="31" t="s">
        <v>151</v>
      </c>
      <c r="B118" s="32">
        <v>2134</v>
      </c>
      <c r="C118" s="46">
        <f t="shared" si="18"/>
        <v>1.5926791088519825E-5</v>
      </c>
      <c r="D118" s="42">
        <v>4000</v>
      </c>
      <c r="E118" s="34">
        <f t="shared" si="1"/>
        <v>63707164.354079306</v>
      </c>
      <c r="F118" s="34">
        <f t="shared" si="2"/>
        <v>63388628.532308906</v>
      </c>
      <c r="G118" s="35">
        <f t="shared" si="19"/>
        <v>1</v>
      </c>
      <c r="H118" s="36">
        <f t="shared" si="3"/>
        <v>63388628.532308906</v>
      </c>
      <c r="I118" s="34">
        <f t="shared" si="20"/>
        <v>143503941245219.94</v>
      </c>
      <c r="J118" s="37">
        <f t="shared" si="21"/>
        <v>138090851904224.03</v>
      </c>
      <c r="K118" s="34">
        <f t="shared" si="4"/>
        <v>8704467615535.5898</v>
      </c>
      <c r="L118" s="34">
        <f t="shared" si="5"/>
        <v>0</v>
      </c>
      <c r="M118" s="34">
        <f t="shared" si="6"/>
        <v>8704467615535.5898</v>
      </c>
      <c r="N118" s="34">
        <f t="shared" si="24"/>
        <v>870446761553.55908</v>
      </c>
      <c r="O118" s="38">
        <f t="shared" si="7"/>
        <v>7794850749712.1211</v>
      </c>
      <c r="P118" s="39"/>
      <c r="Q118" s="34">
        <f t="shared" si="9"/>
        <v>7794850749712.1211</v>
      </c>
      <c r="R118" s="40">
        <f t="shared" si="23"/>
        <v>9839685906.861496</v>
      </c>
      <c r="S118" s="35">
        <f t="shared" si="10"/>
        <v>1</v>
      </c>
      <c r="T118" s="41">
        <f t="shared" si="11"/>
        <v>66.015409633795215</v>
      </c>
      <c r="U118" s="4"/>
      <c r="V118" s="4"/>
      <c r="W118" s="4"/>
    </row>
    <row r="119" spans="1:23" ht="15.75" customHeight="1">
      <c r="A119" s="31" t="s">
        <v>152</v>
      </c>
      <c r="B119" s="32">
        <v>2135</v>
      </c>
      <c r="C119" s="46">
        <f t="shared" si="18"/>
        <v>1.4334111979667843E-5</v>
      </c>
      <c r="D119" s="42">
        <v>4000</v>
      </c>
      <c r="E119" s="34">
        <f t="shared" si="1"/>
        <v>57336447.918671377</v>
      </c>
      <c r="F119" s="34">
        <f t="shared" si="2"/>
        <v>57049765.67907802</v>
      </c>
      <c r="G119" s="35">
        <f t="shared" si="19"/>
        <v>1</v>
      </c>
      <c r="H119" s="36">
        <f t="shared" si="3"/>
        <v>57049765.67907802</v>
      </c>
      <c r="I119" s="34">
        <f t="shared" si="20"/>
        <v>144374445056539.19</v>
      </c>
      <c r="J119" s="37">
        <f t="shared" si="21"/>
        <v>138891875037685.5</v>
      </c>
      <c r="K119" s="34">
        <f t="shared" si="4"/>
        <v>8754960010727.8037</v>
      </c>
      <c r="L119" s="34">
        <f t="shared" si="5"/>
        <v>0</v>
      </c>
      <c r="M119" s="34">
        <f t="shared" si="6"/>
        <v>8754960010727.8037</v>
      </c>
      <c r="N119" s="34">
        <f t="shared" si="24"/>
        <v>875496001072.7804</v>
      </c>
      <c r="O119" s="38">
        <f t="shared" si="7"/>
        <v>7840066689606.748</v>
      </c>
      <c r="P119" s="39"/>
      <c r="Q119" s="34">
        <f t="shared" si="9"/>
        <v>7840066689606.748</v>
      </c>
      <c r="R119" s="40">
        <f t="shared" si="23"/>
        <v>9829846220.9546356</v>
      </c>
      <c r="S119" s="35">
        <f t="shared" si="10"/>
        <v>1</v>
      </c>
      <c r="T119" s="41">
        <f t="shared" si="11"/>
        <v>66.464812990442965</v>
      </c>
      <c r="U119" s="4"/>
      <c r="V119" s="4"/>
      <c r="W119" s="4"/>
    </row>
    <row r="120" spans="1:23" ht="15.75" customHeight="1">
      <c r="A120" s="31" t="s">
        <v>153</v>
      </c>
      <c r="B120" s="32">
        <v>2136</v>
      </c>
      <c r="C120" s="46">
        <f t="shared" si="18"/>
        <v>1.2900700781701059E-5</v>
      </c>
      <c r="D120" s="42">
        <v>4000</v>
      </c>
      <c r="E120" s="34">
        <f t="shared" si="1"/>
        <v>51602803.12680424</v>
      </c>
      <c r="F120" s="34">
        <f t="shared" si="2"/>
        <v>51344789.111170217</v>
      </c>
      <c r="G120" s="35">
        <f t="shared" si="19"/>
        <v>1</v>
      </c>
      <c r="H120" s="36">
        <f t="shared" si="3"/>
        <v>51344789.111170217</v>
      </c>
      <c r="I120" s="34">
        <f t="shared" si="20"/>
        <v>145249992402401.09</v>
      </c>
      <c r="J120" s="37">
        <f t="shared" si="21"/>
        <v>139697538672355.63</v>
      </c>
      <c r="K120" s="34">
        <f t="shared" si="4"/>
        <v>8805744877389.2598</v>
      </c>
      <c r="L120" s="34">
        <f t="shared" si="5"/>
        <v>0</v>
      </c>
      <c r="M120" s="34">
        <f t="shared" si="6"/>
        <v>8805744877389.2598</v>
      </c>
      <c r="N120" s="34">
        <f t="shared" si="24"/>
        <v>880574487738.92603</v>
      </c>
      <c r="O120" s="38">
        <f t="shared" si="7"/>
        <v>7885544537702.082</v>
      </c>
      <c r="P120" s="39"/>
      <c r="Q120" s="34">
        <f t="shared" si="9"/>
        <v>7885544537702.082</v>
      </c>
      <c r="R120" s="40">
        <f t="shared" si="23"/>
        <v>9820016374.7336826</v>
      </c>
      <c r="S120" s="35">
        <f t="shared" si="10"/>
        <v>1</v>
      </c>
      <c r="T120" s="41">
        <f t="shared" si="11"/>
        <v>66.917272476849078</v>
      </c>
      <c r="U120" s="4"/>
      <c r="V120" s="4"/>
      <c r="W120" s="4"/>
    </row>
    <row r="121" spans="1:23" ht="15.75" customHeight="1">
      <c r="A121" s="31" t="s">
        <v>154</v>
      </c>
      <c r="B121" s="32">
        <v>2137</v>
      </c>
      <c r="C121" s="46">
        <f t="shared" si="18"/>
        <v>1.1610630703530954E-5</v>
      </c>
      <c r="D121" s="42">
        <v>4000</v>
      </c>
      <c r="E121" s="34">
        <f t="shared" si="1"/>
        <v>46442522.814123817</v>
      </c>
      <c r="F121" s="34">
        <f t="shared" si="2"/>
        <v>46210310.2000532</v>
      </c>
      <c r="G121" s="35">
        <f t="shared" si="19"/>
        <v>1</v>
      </c>
      <c r="H121" s="36">
        <f t="shared" si="3"/>
        <v>46210310.2000532</v>
      </c>
      <c r="I121" s="34">
        <f t="shared" si="20"/>
        <v>146130613100450.22</v>
      </c>
      <c r="J121" s="37">
        <f t="shared" si="21"/>
        <v>140507870290719.56</v>
      </c>
      <c r="K121" s="34">
        <f t="shared" si="4"/>
        <v>8856823951827.3457</v>
      </c>
      <c r="L121" s="34">
        <f t="shared" si="5"/>
        <v>0</v>
      </c>
      <c r="M121" s="34">
        <f t="shared" si="6"/>
        <v>8856823951827.3457</v>
      </c>
      <c r="N121" s="34">
        <f t="shared" si="24"/>
        <v>885682395182.73462</v>
      </c>
      <c r="O121" s="38">
        <f t="shared" si="7"/>
        <v>7931285848861.3887</v>
      </c>
      <c r="P121" s="39"/>
      <c r="Q121" s="34">
        <f t="shared" si="9"/>
        <v>7931285848861.3887</v>
      </c>
      <c r="R121" s="40">
        <f t="shared" si="23"/>
        <v>9810196358.3589497</v>
      </c>
      <c r="S121" s="35">
        <f t="shared" si="10"/>
        <v>1</v>
      </c>
      <c r="T121" s="41">
        <f t="shared" si="11"/>
        <v>67.372809193768049</v>
      </c>
      <c r="U121" s="4"/>
      <c r="V121" s="4"/>
      <c r="W121" s="4"/>
    </row>
    <row r="122" spans="1:23" ht="15.75" customHeight="1">
      <c r="A122" s="31" t="s">
        <v>155</v>
      </c>
      <c r="B122" s="32">
        <v>2138</v>
      </c>
      <c r="C122" s="46">
        <f t="shared" si="18"/>
        <v>1.0449567633177859E-5</v>
      </c>
      <c r="D122" s="42">
        <v>4000</v>
      </c>
      <c r="E122" s="34">
        <f t="shared" si="1"/>
        <v>41798270.532711439</v>
      </c>
      <c r="F122" s="34">
        <f t="shared" si="2"/>
        <v>41589279.180047885</v>
      </c>
      <c r="G122" s="35">
        <f t="shared" si="19"/>
        <v>1</v>
      </c>
      <c r="H122" s="36">
        <f t="shared" si="3"/>
        <v>41589279.180047885</v>
      </c>
      <c r="I122" s="34">
        <f t="shared" si="20"/>
        <v>147016337084912.16</v>
      </c>
      <c r="J122" s="37">
        <f t="shared" si="21"/>
        <v>141322897478043.91</v>
      </c>
      <c r="K122" s="34">
        <f t="shared" si="4"/>
        <v>8908198976431.6191</v>
      </c>
      <c r="L122" s="34">
        <f t="shared" si="5"/>
        <v>0</v>
      </c>
      <c r="M122" s="34">
        <f t="shared" si="6"/>
        <v>8908198976431.6191</v>
      </c>
      <c r="N122" s="34">
        <f t="shared" si="24"/>
        <v>890819897643.16199</v>
      </c>
      <c r="O122" s="38">
        <f t="shared" si="7"/>
        <v>7977292183394.5146</v>
      </c>
      <c r="P122" s="39"/>
      <c r="Q122" s="34">
        <f t="shared" si="9"/>
        <v>7977292183394.5146</v>
      </c>
      <c r="R122" s="40">
        <f t="shared" si="23"/>
        <v>9800386162.0005913</v>
      </c>
      <c r="S122" s="35">
        <f t="shared" si="10"/>
        <v>1</v>
      </c>
      <c r="T122" s="41">
        <f t="shared" si="11"/>
        <v>67.831444356117757</v>
      </c>
      <c r="U122" s="4"/>
      <c r="V122" s="4"/>
      <c r="W122" s="4"/>
    </row>
    <row r="123" spans="1:23" ht="15.75" customHeight="1">
      <c r="A123" s="31" t="s">
        <v>156</v>
      </c>
      <c r="B123" s="32">
        <v>2139</v>
      </c>
      <c r="C123" s="46">
        <f t="shared" si="18"/>
        <v>9.4046108698600739E-6</v>
      </c>
      <c r="D123" s="42">
        <v>4000</v>
      </c>
      <c r="E123" s="34">
        <f t="shared" si="1"/>
        <v>37618443.479440294</v>
      </c>
      <c r="F123" s="34">
        <f t="shared" si="2"/>
        <v>37430351.262043096</v>
      </c>
      <c r="G123" s="35">
        <f t="shared" si="19"/>
        <v>1</v>
      </c>
      <c r="H123" s="36">
        <f t="shared" si="3"/>
        <v>37430351.262043096</v>
      </c>
      <c r="I123" s="34">
        <f t="shared" si="20"/>
        <v>147907194412906.56</v>
      </c>
      <c r="J123" s="37">
        <f t="shared" si="21"/>
        <v>142142647928635.31</v>
      </c>
      <c r="K123" s="34">
        <f t="shared" si="4"/>
        <v>8959871700107.9824</v>
      </c>
      <c r="L123" s="34">
        <f t="shared" si="5"/>
        <v>0</v>
      </c>
      <c r="M123" s="34">
        <f t="shared" si="6"/>
        <v>8959871700107.9824</v>
      </c>
      <c r="N123" s="34">
        <f t="shared" si="24"/>
        <v>895987170010.79834</v>
      </c>
      <c r="O123" s="38">
        <f t="shared" si="7"/>
        <v>8023565107446.6973</v>
      </c>
      <c r="P123" s="39"/>
      <c r="Q123" s="34">
        <f t="shared" si="9"/>
        <v>8023565107446.6973</v>
      </c>
      <c r="R123" s="40">
        <f t="shared" si="23"/>
        <v>9790585775.8385925</v>
      </c>
      <c r="S123" s="35">
        <f t="shared" si="10"/>
        <v>1</v>
      </c>
      <c r="T123" s="41">
        <f t="shared" si="11"/>
        <v>68.293199296677216</v>
      </c>
      <c r="U123" s="4"/>
      <c r="V123" s="4"/>
      <c r="W123" s="4"/>
    </row>
    <row r="124" spans="1:23" ht="15.75" customHeight="1">
      <c r="A124" s="31" t="s">
        <v>157</v>
      </c>
      <c r="B124" s="32">
        <v>2140</v>
      </c>
      <c r="C124" s="46">
        <f t="shared" si="18"/>
        <v>8.4641497828740672E-6</v>
      </c>
      <c r="D124" s="42">
        <v>4000</v>
      </c>
      <c r="E124" s="34">
        <f t="shared" si="1"/>
        <v>33856599.131496266</v>
      </c>
      <c r="F124" s="34">
        <f t="shared" si="2"/>
        <v>33687316.135838784</v>
      </c>
      <c r="G124" s="35">
        <f t="shared" si="19"/>
        <v>1</v>
      </c>
      <c r="H124" s="36">
        <f t="shared" si="3"/>
        <v>33687316.135838784</v>
      </c>
      <c r="I124" s="34">
        <f t="shared" si="20"/>
        <v>148803215270233.5</v>
      </c>
      <c r="J124" s="37">
        <f t="shared" si="21"/>
        <v>142967149451569.28</v>
      </c>
      <c r="K124" s="34">
        <f t="shared" si="4"/>
        <v>9011843878675.4785</v>
      </c>
      <c r="L124" s="34">
        <f t="shared" si="5"/>
        <v>0</v>
      </c>
      <c r="M124" s="34">
        <f t="shared" si="6"/>
        <v>9011843878675.4785</v>
      </c>
      <c r="N124" s="34">
        <f t="shared" si="24"/>
        <v>901184387867.54785</v>
      </c>
      <c r="O124" s="38">
        <f t="shared" si="7"/>
        <v>8070106193353.8906</v>
      </c>
      <c r="P124" s="39"/>
      <c r="Q124" s="34">
        <f t="shared" si="9"/>
        <v>8070106193353.8906</v>
      </c>
      <c r="R124" s="40">
        <f t="shared" si="23"/>
        <v>9780795190.0627556</v>
      </c>
      <c r="S124" s="35">
        <f t="shared" si="10"/>
        <v>1</v>
      </c>
      <c r="T124" s="41">
        <f t="shared" si="11"/>
        <v>68.758095469520057</v>
      </c>
      <c r="U124" s="4"/>
      <c r="V124" s="4"/>
      <c r="W124" s="4"/>
    </row>
    <row r="125" spans="1:23" ht="15.75" customHeight="1">
      <c r="A125" s="31" t="s">
        <v>158</v>
      </c>
      <c r="B125" s="32">
        <v>2141</v>
      </c>
      <c r="C125" s="46">
        <f t="shared" si="18"/>
        <v>7.6177348045866605E-6</v>
      </c>
      <c r="D125" s="42">
        <v>4000</v>
      </c>
      <c r="E125" s="34">
        <f t="shared" si="1"/>
        <v>30470939.21834664</v>
      </c>
      <c r="F125" s="34">
        <f t="shared" si="2"/>
        <v>30318584.522254907</v>
      </c>
      <c r="G125" s="35">
        <f t="shared" si="19"/>
        <v>1</v>
      </c>
      <c r="H125" s="36">
        <f t="shared" si="3"/>
        <v>30318584.522254907</v>
      </c>
      <c r="I125" s="34">
        <f t="shared" si="20"/>
        <v>149704429976685.59</v>
      </c>
      <c r="J125" s="37">
        <f t="shared" si="21"/>
        <v>143796429975942.38</v>
      </c>
      <c r="K125" s="34">
        <f t="shared" si="4"/>
        <v>9064117275229.4922</v>
      </c>
      <c r="L125" s="34">
        <f t="shared" si="5"/>
        <v>0</v>
      </c>
      <c r="M125" s="34">
        <f t="shared" si="6"/>
        <v>9064117275229.4922</v>
      </c>
      <c r="N125" s="34">
        <f t="shared" si="24"/>
        <v>906411727522.94922</v>
      </c>
      <c r="O125" s="38">
        <f t="shared" si="7"/>
        <v>8116917019968.0098</v>
      </c>
      <c r="P125" s="39"/>
      <c r="Q125" s="34">
        <f t="shared" si="9"/>
        <v>8116917019968.0098</v>
      </c>
      <c r="R125" s="40">
        <f t="shared" si="23"/>
        <v>9771014394.872694</v>
      </c>
      <c r="S125" s="35">
        <f t="shared" si="10"/>
        <v>1</v>
      </c>
      <c r="T125" s="41">
        <f t="shared" si="11"/>
        <v>69.226154453210555</v>
      </c>
      <c r="U125" s="4"/>
      <c r="V125" s="4"/>
      <c r="W125" s="4"/>
    </row>
    <row r="126" spans="1:23" ht="15.75" customHeight="1">
      <c r="A126" s="31" t="s">
        <v>159</v>
      </c>
      <c r="B126" s="32">
        <v>2142</v>
      </c>
      <c r="C126" s="46">
        <f t="shared" si="18"/>
        <v>6.8559613241279943E-6</v>
      </c>
      <c r="D126" s="42">
        <v>4000</v>
      </c>
      <c r="E126" s="34">
        <f t="shared" si="1"/>
        <v>27423845.296511978</v>
      </c>
      <c r="F126" s="34">
        <f t="shared" si="2"/>
        <v>27286726.070029419</v>
      </c>
      <c r="G126" s="35">
        <f t="shared" si="19"/>
        <v>1</v>
      </c>
      <c r="H126" s="36">
        <f t="shared" si="3"/>
        <v>27286726.070029419</v>
      </c>
      <c r="I126" s="34">
        <f t="shared" si="20"/>
        <v>150610868990934.59</v>
      </c>
      <c r="J126" s="37">
        <f t="shared" si="21"/>
        <v>144630517555696.28</v>
      </c>
      <c r="K126" s="34">
        <f t="shared" si="4"/>
        <v>9116693660474.7461</v>
      </c>
      <c r="L126" s="34">
        <f t="shared" si="5"/>
        <v>0</v>
      </c>
      <c r="M126" s="34">
        <f t="shared" si="6"/>
        <v>9116693660474.7461</v>
      </c>
      <c r="N126" s="34">
        <f t="shared" si="24"/>
        <v>911669366047.47461</v>
      </c>
      <c r="O126" s="38">
        <f t="shared" si="7"/>
        <v>8163999172955.1348</v>
      </c>
      <c r="P126" s="39"/>
      <c r="Q126" s="34">
        <f t="shared" si="9"/>
        <v>8163999172955.1348</v>
      </c>
      <c r="R126" s="40">
        <f t="shared" si="23"/>
        <v>9761243380.4778233</v>
      </c>
      <c r="S126" s="35">
        <f t="shared" si="10"/>
        <v>1</v>
      </c>
      <c r="T126" s="41">
        <f t="shared" si="11"/>
        <v>69.697397953786592</v>
      </c>
      <c r="U126" s="4"/>
      <c r="V126" s="4"/>
      <c r="W126" s="4"/>
    </row>
    <row r="127" spans="1:23" ht="15.75" customHeight="1">
      <c r="A127" s="31" t="s">
        <v>160</v>
      </c>
      <c r="B127" s="32">
        <v>2143</v>
      </c>
      <c r="C127" s="46">
        <f t="shared" si="18"/>
        <v>6.1703651917151947E-6</v>
      </c>
      <c r="D127" s="42">
        <v>4000</v>
      </c>
      <c r="E127" s="34">
        <f t="shared" si="1"/>
        <v>24681460.766860779</v>
      </c>
      <c r="F127" s="34">
        <f t="shared" si="2"/>
        <v>24558053.463026475</v>
      </c>
      <c r="G127" s="35">
        <f t="shared" si="19"/>
        <v>1</v>
      </c>
      <c r="H127" s="36">
        <f t="shared" si="3"/>
        <v>24558053.463026475</v>
      </c>
      <c r="I127" s="34">
        <f t="shared" si="20"/>
        <v>151522562915035.53</v>
      </c>
      <c r="J127" s="37">
        <f t="shared" si="21"/>
        <v>145469440374057.34</v>
      </c>
      <c r="K127" s="34">
        <f t="shared" si="4"/>
        <v>9169574813031.1445</v>
      </c>
      <c r="L127" s="34">
        <f t="shared" si="5"/>
        <v>0</v>
      </c>
      <c r="M127" s="34">
        <f t="shared" si="6"/>
        <v>9169574813031.1445</v>
      </c>
      <c r="N127" s="34">
        <f t="shared" si="24"/>
        <v>916957481303.1145</v>
      </c>
      <c r="O127" s="38">
        <f t="shared" si="7"/>
        <v>8211354245069.3896</v>
      </c>
      <c r="P127" s="39"/>
      <c r="Q127" s="34">
        <f t="shared" si="9"/>
        <v>8211354245069.3896</v>
      </c>
      <c r="R127" s="40">
        <f t="shared" si="23"/>
        <v>9751482137.0973473</v>
      </c>
      <c r="S127" s="35">
        <f t="shared" si="10"/>
        <v>1</v>
      </c>
      <c r="T127" s="41">
        <f t="shared" si="11"/>
        <v>70.171847807551202</v>
      </c>
      <c r="U127" s="4"/>
      <c r="V127" s="4"/>
      <c r="W127" s="4"/>
    </row>
    <row r="128" spans="1:23" ht="15.75" customHeight="1">
      <c r="A128" s="31" t="s">
        <v>161</v>
      </c>
      <c r="B128" s="32">
        <v>2144</v>
      </c>
      <c r="C128" s="46">
        <f t="shared" si="18"/>
        <v>5.5533286725436754E-6</v>
      </c>
      <c r="D128" s="42">
        <v>4000</v>
      </c>
      <c r="E128" s="34">
        <f t="shared" si="1"/>
        <v>22213314.690174699</v>
      </c>
      <c r="F128" s="34">
        <f t="shared" si="2"/>
        <v>22102248.116723824</v>
      </c>
      <c r="G128" s="35">
        <f t="shared" si="19"/>
        <v>1</v>
      </c>
      <c r="H128" s="36">
        <f t="shared" si="3"/>
        <v>22102248.116723824</v>
      </c>
      <c r="I128" s="34">
        <f t="shared" si="20"/>
        <v>152439542498586.78</v>
      </c>
      <c r="J128" s="37">
        <f t="shared" si="21"/>
        <v>146313226747629.81</v>
      </c>
      <c r="K128" s="34">
        <f t="shared" si="4"/>
        <v>9222762519715.2344</v>
      </c>
      <c r="L128" s="34">
        <f t="shared" si="5"/>
        <v>0</v>
      </c>
      <c r="M128" s="34">
        <f t="shared" si="6"/>
        <v>9222762519715.2344</v>
      </c>
      <c r="N128" s="34">
        <f t="shared" si="24"/>
        <v>922276251971.52344</v>
      </c>
      <c r="O128" s="38">
        <f t="shared" si="7"/>
        <v>8258983836404.9922</v>
      </c>
      <c r="P128" s="39"/>
      <c r="Q128" s="34">
        <f t="shared" si="9"/>
        <v>8258983836404.9922</v>
      </c>
      <c r="R128" s="40">
        <f t="shared" si="23"/>
        <v>9741730654.9602509</v>
      </c>
      <c r="S128" s="35">
        <f t="shared" si="10"/>
        <v>1</v>
      </c>
      <c r="T128" s="41">
        <f t="shared" si="11"/>
        <v>70.649525983692641</v>
      </c>
      <c r="U128" s="4"/>
      <c r="V128" s="4"/>
      <c r="W128" s="4"/>
    </row>
    <row r="129" spans="1:23" ht="15.75" customHeight="1">
      <c r="A129" s="31" t="s">
        <v>162</v>
      </c>
      <c r="B129" s="32">
        <v>2145</v>
      </c>
      <c r="C129" s="46">
        <f t="shared" si="18"/>
        <v>4.9979958052893077E-6</v>
      </c>
      <c r="D129" s="42">
        <v>4000</v>
      </c>
      <c r="E129" s="34">
        <f t="shared" si="1"/>
        <v>19991983.22115723</v>
      </c>
      <c r="F129" s="34">
        <f t="shared" si="2"/>
        <v>19892023.305051446</v>
      </c>
      <c r="G129" s="35">
        <f t="shared" si="19"/>
        <v>1</v>
      </c>
      <c r="H129" s="36">
        <f t="shared" si="3"/>
        <v>19892023.305051446</v>
      </c>
      <c r="I129" s="34">
        <f t="shared" si="20"/>
        <v>153361838642581.63</v>
      </c>
      <c r="J129" s="37">
        <f t="shared" si="21"/>
        <v>147161905130178.84</v>
      </c>
      <c r="K129" s="34">
        <f t="shared" si="4"/>
        <v>9276258575799.7305</v>
      </c>
      <c r="L129" s="34">
        <f t="shared" si="5"/>
        <v>0</v>
      </c>
      <c r="M129" s="34">
        <f t="shared" si="6"/>
        <v>9276258575799.7305</v>
      </c>
      <c r="N129" s="34">
        <f t="shared" si="24"/>
        <v>927625857579.97314</v>
      </c>
      <c r="O129" s="38">
        <f t="shared" si="7"/>
        <v>8306889554628.6592</v>
      </c>
      <c r="P129" s="39"/>
      <c r="Q129" s="34">
        <f t="shared" si="9"/>
        <v>8306889554628.6592</v>
      </c>
      <c r="R129" s="40">
        <f t="shared" si="23"/>
        <v>9731988924.3052921</v>
      </c>
      <c r="S129" s="35">
        <f t="shared" si="10"/>
        <v>1</v>
      </c>
      <c r="T129" s="41">
        <f t="shared" si="11"/>
        <v>71.130454586750346</v>
      </c>
      <c r="U129" s="4"/>
      <c r="V129" s="4"/>
      <c r="W129" s="4"/>
    </row>
    <row r="130" spans="1:23" ht="15.75" customHeight="1">
      <c r="A130" s="31" t="s">
        <v>163</v>
      </c>
      <c r="B130" s="32">
        <v>2146</v>
      </c>
      <c r="C130" s="46">
        <f t="shared" si="18"/>
        <v>4.4981962247603767E-6</v>
      </c>
      <c r="D130" s="42">
        <v>4000</v>
      </c>
      <c r="E130" s="34">
        <f t="shared" si="1"/>
        <v>17992784.899041507</v>
      </c>
      <c r="F130" s="34">
        <f t="shared" si="2"/>
        <v>17902820.974546298</v>
      </c>
      <c r="G130" s="35">
        <f t="shared" si="19"/>
        <v>1</v>
      </c>
      <c r="H130" s="36">
        <f t="shared" si="3"/>
        <v>17902820.974546298</v>
      </c>
      <c r="I130" s="34">
        <f t="shared" si="20"/>
        <v>154289482402982.56</v>
      </c>
      <c r="J130" s="37">
        <f t="shared" si="21"/>
        <v>148015504116134.5</v>
      </c>
      <c r="K130" s="34">
        <f t="shared" si="4"/>
        <v>9330064785253.3379</v>
      </c>
      <c r="L130" s="34">
        <f t="shared" si="5"/>
        <v>0</v>
      </c>
      <c r="M130" s="34">
        <f t="shared" si="6"/>
        <v>9330064785253.3379</v>
      </c>
      <c r="N130" s="34">
        <f t="shared" si="24"/>
        <v>933006478525.33386</v>
      </c>
      <c r="O130" s="38">
        <f t="shared" si="7"/>
        <v>8355073015194.3643</v>
      </c>
      <c r="P130" s="39"/>
      <c r="Q130" s="34">
        <f t="shared" si="9"/>
        <v>8355073015194.3643</v>
      </c>
      <c r="R130" s="40">
        <f t="shared" si="23"/>
        <v>9722256935.3809872</v>
      </c>
      <c r="S130" s="35">
        <f t="shared" si="10"/>
        <v>1</v>
      </c>
      <c r="T130" s="41">
        <f t="shared" si="11"/>
        <v>71.614655858942911</v>
      </c>
      <c r="U130" s="4"/>
      <c r="V130" s="4"/>
      <c r="W130" s="4"/>
    </row>
    <row r="131" spans="1:23" ht="15.75" customHeight="1">
      <c r="A131" s="31" t="s">
        <v>164</v>
      </c>
      <c r="B131" s="32">
        <v>2147</v>
      </c>
      <c r="C131" s="46">
        <f t="shared" si="18"/>
        <v>4.0483766022843393E-6</v>
      </c>
      <c r="D131" s="42">
        <v>4000</v>
      </c>
      <c r="E131" s="34">
        <f t="shared" si="1"/>
        <v>16193506.409137355</v>
      </c>
      <c r="F131" s="34">
        <f t="shared" si="2"/>
        <v>16112538.877091669</v>
      </c>
      <c r="G131" s="35">
        <f t="shared" si="19"/>
        <v>1</v>
      </c>
      <c r="H131" s="36">
        <f t="shared" si="3"/>
        <v>16112538.877091669</v>
      </c>
      <c r="I131" s="34">
        <f t="shared" si="20"/>
        <v>155222504994046.78</v>
      </c>
      <c r="J131" s="37">
        <f t="shared" si="21"/>
        <v>148874052443845.13</v>
      </c>
      <c r="K131" s="34">
        <f t="shared" si="4"/>
        <v>9384182960962.9277</v>
      </c>
      <c r="L131" s="34">
        <f t="shared" si="5"/>
        <v>0</v>
      </c>
      <c r="M131" s="34">
        <f t="shared" si="6"/>
        <v>9384182960962.9277</v>
      </c>
      <c r="N131" s="34">
        <f t="shared" si="24"/>
        <v>938418296096.29285</v>
      </c>
      <c r="O131" s="38">
        <f t="shared" si="7"/>
        <v>8403535841542.3018</v>
      </c>
      <c r="P131" s="39"/>
      <c r="Q131" s="34">
        <f t="shared" si="9"/>
        <v>8403535841542.3018</v>
      </c>
      <c r="R131" s="40">
        <f t="shared" si="23"/>
        <v>9712534678.4456081</v>
      </c>
      <c r="S131" s="35">
        <f t="shared" si="10"/>
        <v>1</v>
      </c>
      <c r="T131" s="41">
        <f t="shared" si="11"/>
        <v>72.102152182372791</v>
      </c>
      <c r="U131" s="4"/>
      <c r="V131" s="4"/>
      <c r="W131" s="4"/>
    </row>
    <row r="132" spans="1:23" ht="15.75" customHeight="1">
      <c r="A132" s="31" t="s">
        <v>165</v>
      </c>
      <c r="B132" s="32">
        <v>2148</v>
      </c>
      <c r="C132" s="46">
        <f t="shared" si="18"/>
        <v>3.6435389420559054E-6</v>
      </c>
      <c r="D132" s="42">
        <v>4000</v>
      </c>
      <c r="E132" s="34">
        <f t="shared" si="1"/>
        <v>14574155.768223623</v>
      </c>
      <c r="F132" s="34">
        <f t="shared" si="2"/>
        <v>14501284.989382505</v>
      </c>
      <c r="G132" s="35">
        <f t="shared" si="19"/>
        <v>1</v>
      </c>
      <c r="H132" s="36">
        <f t="shared" si="3"/>
        <v>14501284.989382505</v>
      </c>
      <c r="I132" s="34">
        <f t="shared" si="20"/>
        <v>156160937791428.06</v>
      </c>
      <c r="J132" s="37">
        <f t="shared" si="21"/>
        <v>149737578998605.81</v>
      </c>
      <c r="K132" s="34">
        <f t="shared" si="4"/>
        <v>9438614924939.7813</v>
      </c>
      <c r="L132" s="34">
        <f t="shared" si="5"/>
        <v>0</v>
      </c>
      <c r="M132" s="34">
        <f t="shared" si="6"/>
        <v>9438614924939.7813</v>
      </c>
      <c r="N132" s="34">
        <f t="shared" si="24"/>
        <v>943861492493.97815</v>
      </c>
      <c r="O132" s="38">
        <f t="shared" si="7"/>
        <v>8452279665283.5732</v>
      </c>
      <c r="P132" s="39"/>
      <c r="Q132" s="34">
        <f t="shared" si="9"/>
        <v>8452279665283.5732</v>
      </c>
      <c r="R132" s="40">
        <f t="shared" si="23"/>
        <v>9702822143.7671642</v>
      </c>
      <c r="S132" s="35">
        <f t="shared" si="10"/>
        <v>1</v>
      </c>
      <c r="T132" s="41">
        <f t="shared" si="11"/>
        <v>72.592966081120139</v>
      </c>
      <c r="U132" s="4"/>
      <c r="V132" s="4"/>
      <c r="W132" s="4"/>
    </row>
    <row r="133" spans="1:23" ht="15.75" customHeight="1">
      <c r="A133" s="31" t="s">
        <v>166</v>
      </c>
      <c r="B133" s="32">
        <v>2149</v>
      </c>
      <c r="C133" s="46">
        <f t="shared" si="18"/>
        <v>3.2791850478503147E-6</v>
      </c>
      <c r="D133" s="42">
        <v>4000</v>
      </c>
      <c r="E133" s="34">
        <f t="shared" si="1"/>
        <v>13116740.19140126</v>
      </c>
      <c r="F133" s="34">
        <f t="shared" si="2"/>
        <v>13051156.490444254</v>
      </c>
      <c r="G133" s="35">
        <f t="shared" si="19"/>
        <v>1</v>
      </c>
      <c r="H133" s="36">
        <f t="shared" si="3"/>
        <v>13051156.490444254</v>
      </c>
      <c r="I133" s="34">
        <f t="shared" si="20"/>
        <v>157104812335078.53</v>
      </c>
      <c r="J133" s="37">
        <f t="shared" si="21"/>
        <v>150606112815485.16</v>
      </c>
      <c r="K133" s="34">
        <f t="shared" si="4"/>
        <v>9493362508511.6074</v>
      </c>
      <c r="L133" s="34">
        <f t="shared" si="5"/>
        <v>0</v>
      </c>
      <c r="M133" s="34">
        <f t="shared" si="6"/>
        <v>9493362508511.6074</v>
      </c>
      <c r="N133" s="34">
        <f t="shared" si="24"/>
        <v>949336250851.16077</v>
      </c>
      <c r="O133" s="38">
        <f t="shared" si="7"/>
        <v>8501306126372.1436</v>
      </c>
      <c r="P133" s="39"/>
      <c r="Q133" s="34">
        <f t="shared" si="9"/>
        <v>8501306126372.1436</v>
      </c>
      <c r="R133" s="40">
        <f t="shared" si="23"/>
        <v>9693119321.6233978</v>
      </c>
      <c r="S133" s="35">
        <f t="shared" si="10"/>
        <v>1</v>
      </c>
      <c r="T133" s="41">
        <f t="shared" si="11"/>
        <v>73.087120223237818</v>
      </c>
      <c r="U133" s="4"/>
      <c r="V133" s="4"/>
      <c r="W133" s="4"/>
    </row>
    <row r="134" spans="1:23" ht="15.75" customHeight="1">
      <c r="A134" s="31" t="s">
        <v>167</v>
      </c>
      <c r="B134" s="32">
        <v>2150</v>
      </c>
      <c r="C134" s="46">
        <f t="shared" si="18"/>
        <v>2.9512665430652833E-6</v>
      </c>
      <c r="D134" s="42">
        <v>4000</v>
      </c>
      <c r="E134" s="34">
        <f t="shared" si="1"/>
        <v>11805066.172261134</v>
      </c>
      <c r="F134" s="34">
        <f t="shared" si="2"/>
        <v>11746040.841399828</v>
      </c>
      <c r="G134" s="35">
        <f t="shared" si="19"/>
        <v>1</v>
      </c>
      <c r="H134" s="36">
        <f t="shared" si="3"/>
        <v>11746040.841399828</v>
      </c>
      <c r="I134" s="34">
        <f t="shared" si="20"/>
        <v>158054160331970.53</v>
      </c>
      <c r="J134" s="37">
        <f t="shared" si="21"/>
        <v>151479683081970.97</v>
      </c>
      <c r="K134" s="34">
        <f t="shared" si="4"/>
        <v>9548427552501.7578</v>
      </c>
      <c r="L134" s="34">
        <f t="shared" si="5"/>
        <v>0</v>
      </c>
      <c r="M134" s="34">
        <f t="shared" si="6"/>
        <v>9548427552501.7578</v>
      </c>
      <c r="N134" s="34">
        <f t="shared" si="24"/>
        <v>954842755250.17578</v>
      </c>
      <c r="O134" s="38">
        <f t="shared" si="7"/>
        <v>8550616873265.3242</v>
      </c>
      <c r="P134" s="39"/>
      <c r="Q134" s="34">
        <f t="shared" si="9"/>
        <v>8550616873265.3242</v>
      </c>
      <c r="R134" s="40">
        <f t="shared" si="23"/>
        <v>9683426202.301775</v>
      </c>
      <c r="S134" s="35">
        <f t="shared" si="10"/>
        <v>1</v>
      </c>
      <c r="T134" s="41">
        <f t="shared" si="11"/>
        <v>73.584637422658147</v>
      </c>
      <c r="U134" s="4"/>
      <c r="V134" s="4"/>
      <c r="W134" s="4"/>
    </row>
    <row r="135" spans="1:23" ht="15.75" customHeight="1">
      <c r="A135" s="31" t="s">
        <v>168</v>
      </c>
      <c r="B135" s="32">
        <v>2151</v>
      </c>
      <c r="C135" s="46">
        <f t="shared" si="18"/>
        <v>2.6561398887587549E-6</v>
      </c>
      <c r="D135" s="42">
        <v>4000</v>
      </c>
      <c r="E135" s="34">
        <f t="shared" si="1"/>
        <v>10624559.555035019</v>
      </c>
      <c r="F135" s="34">
        <f t="shared" si="2"/>
        <v>10571436.757259844</v>
      </c>
      <c r="G135" s="35">
        <f t="shared" si="19"/>
        <v>1</v>
      </c>
      <c r="H135" s="36">
        <f t="shared" si="3"/>
        <v>10571436.757259844</v>
      </c>
      <c r="I135" s="34">
        <f t="shared" si="20"/>
        <v>159009013658657.47</v>
      </c>
      <c r="J135" s="37">
        <f t="shared" si="21"/>
        <v>152358319140453.59</v>
      </c>
      <c r="K135" s="34">
        <f t="shared" si="4"/>
        <v>9603811907396.959</v>
      </c>
      <c r="L135" s="34">
        <f t="shared" si="5"/>
        <v>0</v>
      </c>
      <c r="M135" s="34">
        <f t="shared" si="6"/>
        <v>9603811907396.959</v>
      </c>
      <c r="N135" s="34">
        <f t="shared" si="24"/>
        <v>960381190739.69592</v>
      </c>
      <c r="O135" s="38">
        <f t="shared" si="7"/>
        <v>8600213563073.9766</v>
      </c>
      <c r="P135" s="39"/>
      <c r="Q135" s="34">
        <f t="shared" si="9"/>
        <v>8600213563073.9766</v>
      </c>
      <c r="R135" s="40">
        <f t="shared" si="23"/>
        <v>9673742776.099474</v>
      </c>
      <c r="S135" s="35">
        <f t="shared" si="10"/>
        <v>1</v>
      </c>
      <c r="T135" s="41">
        <f t="shared" si="11"/>
        <v>74.0855406410207</v>
      </c>
      <c r="U135" s="4"/>
      <c r="V135" s="4"/>
      <c r="W135" s="4"/>
    </row>
    <row r="136" spans="1:23" ht="15.75" customHeight="1">
      <c r="A136" s="31" t="s">
        <v>169</v>
      </c>
      <c r="B136" s="32">
        <v>2152</v>
      </c>
      <c r="C136" s="46">
        <f t="shared" si="18"/>
        <v>2.3905258998828797E-6</v>
      </c>
      <c r="D136" s="42">
        <v>4000</v>
      </c>
      <c r="E136" s="34">
        <f t="shared" si="1"/>
        <v>9562103.5995315183</v>
      </c>
      <c r="F136" s="34">
        <f t="shared" si="2"/>
        <v>9514293.0815338604</v>
      </c>
      <c r="G136" s="35">
        <f t="shared" si="19"/>
        <v>1</v>
      </c>
      <c r="H136" s="36">
        <f t="shared" si="3"/>
        <v>9514293.0815338604</v>
      </c>
      <c r="I136" s="34">
        <f t="shared" si="20"/>
        <v>159969404363690.25</v>
      </c>
      <c r="J136" s="37">
        <f t="shared" si="21"/>
        <v>153242050490563.63</v>
      </c>
      <c r="K136" s="34">
        <f t="shared" si="4"/>
        <v>9659517433504.7578</v>
      </c>
      <c r="L136" s="34">
        <f t="shared" si="5"/>
        <v>0</v>
      </c>
      <c r="M136" s="34">
        <f t="shared" si="6"/>
        <v>9659517433504.7578</v>
      </c>
      <c r="N136" s="34">
        <f t="shared" si="24"/>
        <v>965951743350.47583</v>
      </c>
      <c r="O136" s="38">
        <f t="shared" si="7"/>
        <v>8650097861703.5107</v>
      </c>
      <c r="P136" s="39"/>
      <c r="Q136" s="34">
        <f t="shared" si="9"/>
        <v>8650097861703.5107</v>
      </c>
      <c r="R136" s="40">
        <f t="shared" si="23"/>
        <v>9664069033.3233757</v>
      </c>
      <c r="S136" s="35">
        <f t="shared" si="10"/>
        <v>1</v>
      </c>
      <c r="T136" s="41">
        <f t="shared" si="11"/>
        <v>74.5898529894299</v>
      </c>
      <c r="U136" s="4"/>
      <c r="V136" s="4"/>
      <c r="W136" s="4"/>
    </row>
    <row r="137" spans="1:23" ht="15.75" customHeight="1">
      <c r="A137" s="31" t="s">
        <v>170</v>
      </c>
      <c r="B137" s="32">
        <v>2153</v>
      </c>
      <c r="C137" s="46">
        <f t="shared" si="18"/>
        <v>2.1514733098945919E-6</v>
      </c>
      <c r="D137" s="42">
        <v>4000</v>
      </c>
      <c r="E137" s="34">
        <f t="shared" si="1"/>
        <v>8605893.2395783681</v>
      </c>
      <c r="F137" s="34">
        <f t="shared" si="2"/>
        <v>8562863.773380477</v>
      </c>
      <c r="G137" s="35">
        <f t="shared" si="19"/>
        <v>1</v>
      </c>
      <c r="H137" s="36">
        <f t="shared" si="3"/>
        <v>8562863.773380477</v>
      </c>
      <c r="I137" s="34">
        <f t="shared" si="20"/>
        <v>160935364669904.5</v>
      </c>
      <c r="J137" s="37">
        <f t="shared" si="21"/>
        <v>154130906791379.5</v>
      </c>
      <c r="K137" s="34">
        <f t="shared" si="4"/>
        <v>9715546001101.7344</v>
      </c>
      <c r="L137" s="34">
        <f t="shared" si="5"/>
        <v>0</v>
      </c>
      <c r="M137" s="34">
        <f t="shared" si="6"/>
        <v>9715546001101.7344</v>
      </c>
      <c r="N137" s="34">
        <f t="shared" si="24"/>
        <v>971554600110.17346</v>
      </c>
      <c r="O137" s="38">
        <f t="shared" si="7"/>
        <v>8700271443986.6025</v>
      </c>
      <c r="P137" s="39"/>
      <c r="Q137" s="34">
        <f t="shared" si="9"/>
        <v>8700271443986.6025</v>
      </c>
      <c r="R137" s="40">
        <f t="shared" si="23"/>
        <v>9654404964.2900543</v>
      </c>
      <c r="S137" s="35">
        <f t="shared" si="10"/>
        <v>1</v>
      </c>
      <c r="T137" s="41">
        <f t="shared" si="11"/>
        <v>75.097597730149914</v>
      </c>
      <c r="U137" s="4"/>
      <c r="V137" s="4"/>
      <c r="W137" s="4"/>
    </row>
    <row r="138" spans="1:23" ht="15.75" customHeight="1">
      <c r="A138" s="31" t="s">
        <v>171</v>
      </c>
      <c r="B138" s="32">
        <v>2154</v>
      </c>
      <c r="C138" s="46">
        <f t="shared" si="18"/>
        <v>1.9363259789051326E-6</v>
      </c>
      <c r="D138" s="42">
        <v>4000</v>
      </c>
      <c r="E138" s="34">
        <f t="shared" si="1"/>
        <v>7745303.91562053</v>
      </c>
      <c r="F138" s="34">
        <f t="shared" si="2"/>
        <v>7706577.396042427</v>
      </c>
      <c r="G138" s="35">
        <f t="shared" si="19"/>
        <v>1</v>
      </c>
      <c r="H138" s="36">
        <f t="shared" si="3"/>
        <v>7706577.396042427</v>
      </c>
      <c r="I138" s="34">
        <f t="shared" si="20"/>
        <v>161906926976592.09</v>
      </c>
      <c r="J138" s="37">
        <f t="shared" si="21"/>
        <v>155024917863518.06</v>
      </c>
      <c r="K138" s="34">
        <f t="shared" si="4"/>
        <v>9771899490573.4609</v>
      </c>
      <c r="L138" s="34">
        <f t="shared" si="5"/>
        <v>0</v>
      </c>
      <c r="M138" s="34">
        <f t="shared" si="6"/>
        <v>9771899490573.4609</v>
      </c>
      <c r="N138" s="34">
        <f t="shared" si="24"/>
        <v>977189949057.34619</v>
      </c>
      <c r="O138" s="38">
        <f t="shared" si="7"/>
        <v>8750735993808.5342</v>
      </c>
      <c r="P138" s="39"/>
      <c r="Q138" s="34">
        <f t="shared" si="9"/>
        <v>8750735993808.5342</v>
      </c>
      <c r="R138" s="40">
        <f t="shared" si="23"/>
        <v>9644750559.3257656</v>
      </c>
      <c r="S138" s="35">
        <f t="shared" si="10"/>
        <v>1</v>
      </c>
      <c r="T138" s="41">
        <f t="shared" si="11"/>
        <v>75.60879827824418</v>
      </c>
      <c r="U138" s="4"/>
      <c r="V138" s="4"/>
      <c r="W138" s="4"/>
    </row>
    <row r="139" spans="1:23" ht="15.75" customHeight="1">
      <c r="A139" s="31" t="s">
        <v>172</v>
      </c>
      <c r="B139" s="32">
        <v>2155</v>
      </c>
      <c r="C139" s="46">
        <f t="shared" si="18"/>
        <v>1.7426933810146194E-6</v>
      </c>
      <c r="D139" s="42">
        <v>4000</v>
      </c>
      <c r="E139" s="34">
        <f t="shared" si="1"/>
        <v>6970773.524058478</v>
      </c>
      <c r="F139" s="34">
        <f t="shared" si="2"/>
        <v>6935919.6564381858</v>
      </c>
      <c r="G139" s="35">
        <f t="shared" si="19"/>
        <v>1</v>
      </c>
      <c r="H139" s="36">
        <f t="shared" si="3"/>
        <v>6935919.6564381858</v>
      </c>
      <c r="I139" s="34">
        <f t="shared" si="20"/>
        <v>162884123861569.09</v>
      </c>
      <c r="J139" s="37">
        <f t="shared" si="21"/>
        <v>155924113691120.81</v>
      </c>
      <c r="K139" s="34">
        <f t="shared" si="4"/>
        <v>9828579792547.0449</v>
      </c>
      <c r="L139" s="34">
        <f t="shared" si="5"/>
        <v>0</v>
      </c>
      <c r="M139" s="34">
        <f t="shared" si="6"/>
        <v>9828579792547.0449</v>
      </c>
      <c r="N139" s="34">
        <f t="shared" si="24"/>
        <v>982857979254.70459</v>
      </c>
      <c r="O139" s="38">
        <f t="shared" si="7"/>
        <v>8801493204225.8789</v>
      </c>
      <c r="P139" s="39"/>
      <c r="Q139" s="34">
        <f t="shared" si="9"/>
        <v>8801493204225.8789</v>
      </c>
      <c r="R139" s="40">
        <f t="shared" si="23"/>
        <v>9635105808.7664413</v>
      </c>
      <c r="S139" s="35">
        <f t="shared" si="10"/>
        <v>1</v>
      </c>
      <c r="T139" s="41">
        <f t="shared" si="11"/>
        <v>76.123478203165263</v>
      </c>
      <c r="U139" s="4"/>
      <c r="V139" s="4"/>
      <c r="W139" s="4"/>
    </row>
    <row r="140" spans="1:23" ht="15.75" customHeight="1">
      <c r="A140" s="31" t="s">
        <v>173</v>
      </c>
      <c r="B140" s="32">
        <v>2156</v>
      </c>
      <c r="C140" s="46">
        <f t="shared" si="18"/>
        <v>1.5684240429131575E-6</v>
      </c>
      <c r="D140" s="42">
        <v>4000</v>
      </c>
      <c r="E140" s="34">
        <f t="shared" si="1"/>
        <v>6273696.17165263</v>
      </c>
      <c r="F140" s="34">
        <f t="shared" si="2"/>
        <v>6242327.6907943664</v>
      </c>
      <c r="G140" s="35">
        <f t="shared" si="19"/>
        <v>1</v>
      </c>
      <c r="H140" s="36">
        <f t="shared" si="3"/>
        <v>6242327.6907943664</v>
      </c>
      <c r="I140" s="34">
        <f t="shared" si="20"/>
        <v>163866988083151.5</v>
      </c>
      <c r="J140" s="37">
        <f t="shared" si="21"/>
        <v>156828524423746.88</v>
      </c>
      <c r="K140" s="34">
        <f t="shared" si="4"/>
        <v>9885588808017.0586</v>
      </c>
      <c r="L140" s="34">
        <f t="shared" si="5"/>
        <v>0</v>
      </c>
      <c r="M140" s="34">
        <f t="shared" si="6"/>
        <v>9885588808017.0586</v>
      </c>
      <c r="N140" s="34">
        <f t="shared" si="24"/>
        <v>988558880801.70593</v>
      </c>
      <c r="O140" s="38">
        <f t="shared" si="7"/>
        <v>8852544777579.2773</v>
      </c>
      <c r="P140" s="39"/>
      <c r="Q140" s="34">
        <f t="shared" si="9"/>
        <v>8852544777579.2773</v>
      </c>
      <c r="R140" s="40">
        <f t="shared" si="23"/>
        <v>9625470702.9576759</v>
      </c>
      <c r="S140" s="35">
        <f t="shared" si="10"/>
        <v>1</v>
      </c>
      <c r="T140" s="41">
        <f t="shared" si="11"/>
        <v>76.641661230301381</v>
      </c>
      <c r="U140" s="4"/>
      <c r="V140" s="4"/>
      <c r="W140" s="4"/>
    </row>
    <row r="141" spans="1:23" ht="15.75" customHeight="1">
      <c r="A141" s="31" t="s">
        <v>174</v>
      </c>
      <c r="B141" s="32">
        <v>2157</v>
      </c>
      <c r="C141" s="46">
        <f t="shared" si="18"/>
        <v>1.4115816386218417E-6</v>
      </c>
      <c r="D141" s="42">
        <v>4000</v>
      </c>
      <c r="E141" s="34">
        <f t="shared" si="1"/>
        <v>5646326.5544873672</v>
      </c>
      <c r="F141" s="34">
        <f t="shared" si="2"/>
        <v>5618094.9217149299</v>
      </c>
      <c r="G141" s="35">
        <f t="shared" si="19"/>
        <v>1</v>
      </c>
      <c r="H141" s="36">
        <f t="shared" si="3"/>
        <v>5618094.9217149299</v>
      </c>
      <c r="I141" s="34">
        <f t="shared" si="20"/>
        <v>164855552582048.13</v>
      </c>
      <c r="J141" s="37">
        <f t="shared" si="21"/>
        <v>157738180378182.19</v>
      </c>
      <c r="K141" s="34">
        <f t="shared" si="4"/>
        <v>9942928448465.5508</v>
      </c>
      <c r="L141" s="34">
        <f t="shared" si="5"/>
        <v>0</v>
      </c>
      <c r="M141" s="34">
        <f t="shared" si="6"/>
        <v>9942928448465.5508</v>
      </c>
      <c r="N141" s="34">
        <f t="shared" si="24"/>
        <v>994292844846.55518</v>
      </c>
      <c r="O141" s="38">
        <f t="shared" si="7"/>
        <v>8903892425600.9004</v>
      </c>
      <c r="P141" s="39"/>
      <c r="Q141" s="34">
        <f t="shared" si="9"/>
        <v>8903892425600.9004</v>
      </c>
      <c r="R141" s="40">
        <f t="shared" si="23"/>
        <v>9615845232.2547188</v>
      </c>
      <c r="S141" s="35">
        <f t="shared" si="10"/>
        <v>1</v>
      </c>
      <c r="T141" s="41">
        <f t="shared" si="11"/>
        <v>77.163371242484104</v>
      </c>
      <c r="U141" s="4"/>
      <c r="V141" s="4"/>
      <c r="W141" s="4"/>
    </row>
    <row r="142" spans="1:23" ht="15.75" customHeight="1">
      <c r="A142" s="31" t="s">
        <v>175</v>
      </c>
      <c r="B142" s="32">
        <v>2158</v>
      </c>
      <c r="C142" s="46">
        <f t="shared" si="18"/>
        <v>1.2704234747596574E-6</v>
      </c>
      <c r="D142" s="42">
        <v>4000</v>
      </c>
      <c r="E142" s="34">
        <f t="shared" si="1"/>
        <v>5081693.8990386296</v>
      </c>
      <c r="F142" s="34">
        <f t="shared" si="2"/>
        <v>5056285.4295434365</v>
      </c>
      <c r="G142" s="35">
        <f t="shared" si="19"/>
        <v>1</v>
      </c>
      <c r="H142" s="36">
        <f t="shared" si="3"/>
        <v>5056285.4295434365</v>
      </c>
      <c r="I142" s="34">
        <f t="shared" si="20"/>
        <v>165849850483180.13</v>
      </c>
      <c r="J142" s="37">
        <f t="shared" si="21"/>
        <v>158653112040174.53</v>
      </c>
      <c r="K142" s="34">
        <f t="shared" si="4"/>
        <v>10000600635976.75</v>
      </c>
      <c r="L142" s="34">
        <f t="shared" si="5"/>
        <v>0</v>
      </c>
      <c r="M142" s="34">
        <f t="shared" si="6"/>
        <v>10000600635976.75</v>
      </c>
      <c r="N142" s="34">
        <f t="shared" si="24"/>
        <v>1000060063597.675</v>
      </c>
      <c r="O142" s="38">
        <f t="shared" si="7"/>
        <v>8955537869517.1797</v>
      </c>
      <c r="P142" s="39"/>
      <c r="Q142" s="34">
        <f t="shared" si="9"/>
        <v>8955537869517.1797</v>
      </c>
      <c r="R142" s="40">
        <f t="shared" si="23"/>
        <v>9606229387.0224648</v>
      </c>
      <c r="S142" s="35">
        <f t="shared" si="10"/>
        <v>1</v>
      </c>
      <c r="T142" s="41">
        <f t="shared" si="11"/>
        <v>77.688632281462262</v>
      </c>
      <c r="U142" s="4"/>
      <c r="V142" s="4"/>
      <c r="W142" s="4"/>
    </row>
    <row r="143" spans="1:23" ht="15.75" customHeight="1">
      <c r="A143" s="31" t="s">
        <v>176</v>
      </c>
      <c r="B143" s="32">
        <v>2159</v>
      </c>
      <c r="C143" s="46">
        <f t="shared" si="18"/>
        <v>1.1433811272836916E-6</v>
      </c>
      <c r="D143" s="42">
        <v>4000</v>
      </c>
      <c r="E143" s="34">
        <f t="shared" si="1"/>
        <v>4573524.5091347666</v>
      </c>
      <c r="F143" s="34">
        <f t="shared" si="2"/>
        <v>4550656.8865890931</v>
      </c>
      <c r="G143" s="35">
        <f t="shared" si="19"/>
        <v>1</v>
      </c>
      <c r="H143" s="36">
        <f t="shared" si="3"/>
        <v>4550656.8865890931</v>
      </c>
      <c r="I143" s="34">
        <f t="shared" si="20"/>
        <v>166849915097434.69</v>
      </c>
      <c r="J143" s="37">
        <f t="shared" si="21"/>
        <v>159573350066101.88</v>
      </c>
      <c r="K143" s="34">
        <f t="shared" si="4"/>
        <v>10058607303347.064</v>
      </c>
      <c r="L143" s="34">
        <f t="shared" si="5"/>
        <v>0</v>
      </c>
      <c r="M143" s="34">
        <f t="shared" si="6"/>
        <v>10058607303347.064</v>
      </c>
      <c r="N143" s="34">
        <f t="shared" si="24"/>
        <v>1005860730334.7065</v>
      </c>
      <c r="O143" s="38">
        <f t="shared" si="7"/>
        <v>9007482840147.2949</v>
      </c>
      <c r="P143" s="39"/>
      <c r="Q143" s="34">
        <f t="shared" si="9"/>
        <v>9007482840147.2949</v>
      </c>
      <c r="R143" s="40">
        <f t="shared" si="23"/>
        <v>9596623157.6354427</v>
      </c>
      <c r="S143" s="35">
        <f t="shared" si="10"/>
        <v>1</v>
      </c>
      <c r="T143" s="41">
        <f t="shared" si="11"/>
        <v>78.217468549345881</v>
      </c>
      <c r="U143" s="4"/>
      <c r="V143" s="4"/>
      <c r="W143" s="4"/>
    </row>
    <row r="144" spans="1:23" ht="15.75" customHeight="1">
      <c r="A144" s="31" t="s">
        <v>177</v>
      </c>
      <c r="B144" s="32">
        <v>2160</v>
      </c>
      <c r="C144" s="46">
        <f t="shared" si="18"/>
        <v>1.0290430145553224E-6</v>
      </c>
      <c r="D144" s="42">
        <v>4000</v>
      </c>
      <c r="E144" s="34">
        <f t="shared" si="1"/>
        <v>4116172.0582212894</v>
      </c>
      <c r="F144" s="34">
        <f t="shared" si="2"/>
        <v>4095591.1979301828</v>
      </c>
      <c r="G144" s="35">
        <f t="shared" si="19"/>
        <v>1</v>
      </c>
      <c r="H144" s="36">
        <f t="shared" si="3"/>
        <v>4095591.1979301828</v>
      </c>
      <c r="I144" s="34">
        <f t="shared" si="20"/>
        <v>167855779923360.59</v>
      </c>
      <c r="J144" s="37">
        <f t="shared" si="21"/>
        <v>160498925284581.78</v>
      </c>
      <c r="K144" s="34">
        <f t="shared" si="4"/>
        <v>10116950394190.859</v>
      </c>
      <c r="L144" s="34">
        <f t="shared" si="5"/>
        <v>0</v>
      </c>
      <c r="M144" s="34">
        <f t="shared" si="6"/>
        <v>10116950394190.859</v>
      </c>
      <c r="N144" s="34">
        <f t="shared" si="24"/>
        <v>1011695039419.0859</v>
      </c>
      <c r="O144" s="38">
        <f t="shared" si="7"/>
        <v>9059729077997.9141</v>
      </c>
      <c r="P144" s="39"/>
      <c r="Q144" s="34">
        <f t="shared" si="9"/>
        <v>9059729077997.9141</v>
      </c>
      <c r="R144" s="40">
        <f t="shared" si="23"/>
        <v>9587026534.477808</v>
      </c>
      <c r="S144" s="35">
        <f t="shared" si="10"/>
        <v>1</v>
      </c>
      <c r="T144" s="41">
        <f t="shared" si="11"/>
        <v>78.749904410024186</v>
      </c>
      <c r="U144" s="4"/>
      <c r="V144" s="4"/>
      <c r="W144" s="4"/>
    </row>
    <row r="145" spans="1:23" ht="15.75" customHeight="1">
      <c r="A145" s="31" t="s">
        <v>178</v>
      </c>
      <c r="B145" s="32">
        <v>2161</v>
      </c>
      <c r="C145" s="46">
        <f t="shared" si="18"/>
        <v>9.2613871309979017E-7</v>
      </c>
      <c r="D145" s="42">
        <v>4000</v>
      </c>
      <c r="E145" s="34">
        <f t="shared" si="1"/>
        <v>3704554.8523991606</v>
      </c>
      <c r="F145" s="34">
        <f t="shared" si="2"/>
        <v>3686032.0781371649</v>
      </c>
      <c r="G145" s="35">
        <f t="shared" si="19"/>
        <v>1</v>
      </c>
      <c r="H145" s="36">
        <f t="shared" si="3"/>
        <v>3686032.0781371649</v>
      </c>
      <c r="I145" s="34">
        <f t="shared" si="20"/>
        <v>168867478648811.78</v>
      </c>
      <c r="J145" s="37">
        <f t="shared" si="21"/>
        <v>161429868698027.97</v>
      </c>
      <c r="K145" s="34">
        <f t="shared" si="4"/>
        <v>10175631863042.484</v>
      </c>
      <c r="L145" s="34">
        <f t="shared" si="5"/>
        <v>0</v>
      </c>
      <c r="M145" s="34">
        <f t="shared" si="6"/>
        <v>10175631863042.484</v>
      </c>
      <c r="N145" s="34">
        <f t="shared" si="24"/>
        <v>1017563186304.2485</v>
      </c>
      <c r="O145" s="38">
        <f t="shared" si="7"/>
        <v>9112278333354.5449</v>
      </c>
      <c r="P145" s="39"/>
      <c r="Q145" s="34">
        <f t="shared" si="9"/>
        <v>9112278333354.5449</v>
      </c>
      <c r="R145" s="40">
        <f t="shared" si="23"/>
        <v>9577439507.9433308</v>
      </c>
      <c r="S145" s="35">
        <f t="shared" si="10"/>
        <v>1</v>
      </c>
      <c r="T145" s="41">
        <f t="shared" si="11"/>
        <v>79.285964390560835</v>
      </c>
      <c r="U145" s="4"/>
      <c r="V145" s="4"/>
      <c r="W145" s="4"/>
    </row>
    <row r="146" spans="1:23" ht="15.75" customHeight="1">
      <c r="A146" s="31" t="s">
        <v>179</v>
      </c>
      <c r="B146" s="32">
        <v>2162</v>
      </c>
      <c r="C146" s="46">
        <f t="shared" si="18"/>
        <v>8.3352484178981116E-7</v>
      </c>
      <c r="D146" s="42">
        <v>4000</v>
      </c>
      <c r="E146" s="34">
        <f t="shared" si="1"/>
        <v>3334099.3671592446</v>
      </c>
      <c r="F146" s="34">
        <f t="shared" si="2"/>
        <v>3317428.8703234484</v>
      </c>
      <c r="G146" s="35">
        <f t="shared" si="19"/>
        <v>1</v>
      </c>
      <c r="H146" s="36">
        <f t="shared" si="3"/>
        <v>3317428.8703234484</v>
      </c>
      <c r="I146" s="34">
        <f t="shared" si="20"/>
        <v>169885045152544.91</v>
      </c>
      <c r="J146" s="37">
        <f t="shared" si="21"/>
        <v>162366211484160.22</v>
      </c>
      <c r="K146" s="34">
        <f t="shared" si="4"/>
        <v>10234653675454.973</v>
      </c>
      <c r="L146" s="34">
        <f t="shared" si="5"/>
        <v>0</v>
      </c>
      <c r="M146" s="34">
        <f t="shared" si="6"/>
        <v>10234653675454.973</v>
      </c>
      <c r="N146" s="34">
        <f t="shared" si="24"/>
        <v>1023465367545.4973</v>
      </c>
      <c r="O146" s="38">
        <f t="shared" si="7"/>
        <v>9165132366369.9277</v>
      </c>
      <c r="P146" s="39"/>
      <c r="Q146" s="34">
        <f t="shared" si="9"/>
        <v>9165132366369.9277</v>
      </c>
      <c r="R146" s="40">
        <f t="shared" si="23"/>
        <v>9567862068.4353886</v>
      </c>
      <c r="S146" s="35">
        <f t="shared" si="10"/>
        <v>1</v>
      </c>
      <c r="T146" s="41">
        <f t="shared" si="11"/>
        <v>79.82567318256956</v>
      </c>
      <c r="U146" s="4"/>
      <c r="V146" s="4"/>
      <c r="W146" s="4"/>
    </row>
    <row r="147" spans="1:23" ht="15.75" customHeight="1">
      <c r="A147" s="31" t="s">
        <v>180</v>
      </c>
      <c r="B147" s="32">
        <v>2163</v>
      </c>
      <c r="C147" s="46">
        <f t="shared" si="18"/>
        <v>7.5017235761083011E-7</v>
      </c>
      <c r="D147" s="42">
        <v>4000</v>
      </c>
      <c r="E147" s="34">
        <f t="shared" si="1"/>
        <v>3000689.4304433204</v>
      </c>
      <c r="F147" s="34">
        <f t="shared" si="2"/>
        <v>2985685.983291104</v>
      </c>
      <c r="G147" s="35">
        <f t="shared" si="19"/>
        <v>1</v>
      </c>
      <c r="H147" s="36">
        <f t="shared" si="3"/>
        <v>2985685.983291104</v>
      </c>
      <c r="I147" s="34">
        <f t="shared" si="20"/>
        <v>170908513505776.38</v>
      </c>
      <c r="J147" s="37">
        <f t="shared" si="21"/>
        <v>163307984997473</v>
      </c>
      <c r="K147" s="34">
        <f t="shared" si="4"/>
        <v>10294017808095.758</v>
      </c>
      <c r="L147" s="34">
        <f t="shared" si="5"/>
        <v>0</v>
      </c>
      <c r="M147" s="34">
        <f t="shared" si="6"/>
        <v>10294017808095.758</v>
      </c>
      <c r="N147" s="34">
        <f t="shared" si="24"/>
        <v>1029401780809.5758</v>
      </c>
      <c r="O147" s="38">
        <f t="shared" si="7"/>
        <v>9218292947149.75</v>
      </c>
      <c r="P147" s="39"/>
      <c r="Q147" s="34">
        <f t="shared" si="9"/>
        <v>9218292947149.75</v>
      </c>
      <c r="R147" s="40">
        <f t="shared" si="23"/>
        <v>9558294206.3669548</v>
      </c>
      <c r="S147" s="35">
        <f t="shared" si="10"/>
        <v>1</v>
      </c>
      <c r="T147" s="41">
        <f t="shared" si="11"/>
        <v>80.36905564357285</v>
      </c>
      <c r="U147" s="4"/>
      <c r="V147" s="4"/>
      <c r="W147" s="4"/>
    </row>
    <row r="148" spans="1:23" ht="15.75" customHeight="1">
      <c r="A148" s="31" t="s">
        <v>181</v>
      </c>
      <c r="B148" s="32">
        <v>2164</v>
      </c>
      <c r="C148" s="46">
        <f t="shared" si="18"/>
        <v>6.7515512184974711E-7</v>
      </c>
      <c r="D148" s="42">
        <v>4000</v>
      </c>
      <c r="E148" s="34">
        <f t="shared" si="1"/>
        <v>2700620.4873989881</v>
      </c>
      <c r="F148" s="34">
        <f t="shared" si="2"/>
        <v>2687117.384961993</v>
      </c>
      <c r="G148" s="35">
        <f t="shared" si="19"/>
        <v>1</v>
      </c>
      <c r="H148" s="36">
        <f t="shared" si="3"/>
        <v>2687117.384961993</v>
      </c>
      <c r="I148" s="34">
        <f t="shared" si="20"/>
        <v>171937917973703.31</v>
      </c>
      <c r="J148" s="37">
        <f t="shared" si="21"/>
        <v>164255220770667.25</v>
      </c>
      <c r="K148" s="34">
        <f t="shared" si="4"/>
        <v>10353726248839.787</v>
      </c>
      <c r="L148" s="34">
        <f t="shared" si="5"/>
        <v>0</v>
      </c>
      <c r="M148" s="34">
        <f t="shared" si="6"/>
        <v>10353726248839.787</v>
      </c>
      <c r="N148" s="34">
        <f t="shared" si="24"/>
        <v>1035372624883.9788</v>
      </c>
      <c r="O148" s="38">
        <f t="shared" si="7"/>
        <v>9271761855836.0293</v>
      </c>
      <c r="P148" s="39"/>
      <c r="Q148" s="34">
        <f t="shared" si="9"/>
        <v>9271761855836.0293</v>
      </c>
      <c r="R148" s="40">
        <f t="shared" si="23"/>
        <v>9548735912.1605892</v>
      </c>
      <c r="S148" s="35">
        <f t="shared" si="10"/>
        <v>1</v>
      </c>
      <c r="T148" s="41">
        <f t="shared" si="11"/>
        <v>80.916136798346386</v>
      </c>
      <c r="U148" s="4"/>
      <c r="V148" s="4"/>
      <c r="W148" s="4"/>
    </row>
    <row r="149" spans="1:23" ht="15.75" customHeight="1">
      <c r="A149" s="31" t="s">
        <v>182</v>
      </c>
      <c r="B149" s="32">
        <v>2165</v>
      </c>
      <c r="C149" s="46">
        <f t="shared" si="18"/>
        <v>6.0763960966477244E-7</v>
      </c>
      <c r="D149" s="42">
        <v>4000</v>
      </c>
      <c r="E149" s="34">
        <f t="shared" si="1"/>
        <v>2430558.4386590896</v>
      </c>
      <c r="F149" s="34">
        <f t="shared" si="2"/>
        <v>2418405.6464657942</v>
      </c>
      <c r="G149" s="35">
        <f t="shared" si="19"/>
        <v>1</v>
      </c>
      <c r="H149" s="36">
        <f t="shared" si="3"/>
        <v>2418405.6464657942</v>
      </c>
      <c r="I149" s="34">
        <f t="shared" si="20"/>
        <v>172973293016992.94</v>
      </c>
      <c r="J149" s="37">
        <f t="shared" si="21"/>
        <v>165207950516049.91</v>
      </c>
      <c r="K149" s="34">
        <f t="shared" si="4"/>
        <v>10413780996860.303</v>
      </c>
      <c r="L149" s="34">
        <f t="shared" si="5"/>
        <v>0</v>
      </c>
      <c r="M149" s="34">
        <f t="shared" si="6"/>
        <v>10413780996860.303</v>
      </c>
      <c r="N149" s="34">
        <f t="shared" si="24"/>
        <v>1041378099686.0303</v>
      </c>
      <c r="O149" s="38">
        <f t="shared" si="7"/>
        <v>9325540882688.4023</v>
      </c>
      <c r="P149" s="39"/>
      <c r="Q149" s="34">
        <f t="shared" si="9"/>
        <v>9325540882688.4023</v>
      </c>
      <c r="R149" s="40">
        <f t="shared" si="23"/>
        <v>9539187176.2484303</v>
      </c>
      <c r="S149" s="35">
        <f t="shared" si="10"/>
        <v>1</v>
      </c>
      <c r="T149" s="41">
        <f t="shared" si="11"/>
        <v>81.466941840251124</v>
      </c>
      <c r="U149" s="4"/>
      <c r="V149" s="4"/>
      <c r="W149" s="4"/>
    </row>
    <row r="150" spans="1:23" ht="15.75" customHeight="1">
      <c r="A150" s="31" t="s">
        <v>183</v>
      </c>
      <c r="B150" s="32">
        <v>2166</v>
      </c>
      <c r="C150" s="46">
        <f t="shared" si="18"/>
        <v>5.4687564869829521E-7</v>
      </c>
      <c r="D150" s="42">
        <v>4000</v>
      </c>
      <c r="E150" s="34">
        <f t="shared" si="1"/>
        <v>2187502.5947931809</v>
      </c>
      <c r="F150" s="34">
        <f t="shared" si="2"/>
        <v>2176565.0818192149</v>
      </c>
      <c r="G150" s="35">
        <f t="shared" si="19"/>
        <v>1</v>
      </c>
      <c r="H150" s="36">
        <f t="shared" si="3"/>
        <v>2176565.0818192149</v>
      </c>
      <c r="I150" s="34">
        <f t="shared" si="20"/>
        <v>174014673293244.06</v>
      </c>
      <c r="J150" s="37">
        <f t="shared" si="21"/>
        <v>166166206126904.88</v>
      </c>
      <c r="K150" s="34">
        <f t="shared" si="4"/>
        <v>10474184062717.564</v>
      </c>
      <c r="L150" s="34">
        <f t="shared" si="5"/>
        <v>0</v>
      </c>
      <c r="M150" s="34">
        <f t="shared" si="6"/>
        <v>10474184062717.564</v>
      </c>
      <c r="N150" s="34">
        <f t="shared" si="24"/>
        <v>1047418406271.7565</v>
      </c>
      <c r="O150" s="38">
        <f t="shared" si="7"/>
        <v>9379631828163.5801</v>
      </c>
      <c r="P150" s="39"/>
      <c r="Q150" s="34">
        <f t="shared" si="9"/>
        <v>9379631828163.5801</v>
      </c>
      <c r="R150" s="40">
        <f t="shared" si="23"/>
        <v>9529647989.0721836</v>
      </c>
      <c r="S150" s="35">
        <f t="shared" si="10"/>
        <v>1</v>
      </c>
      <c r="T150" s="41">
        <f t="shared" si="11"/>
        <v>82.021496132555384</v>
      </c>
      <c r="U150" s="4"/>
      <c r="V150" s="4"/>
      <c r="W150" s="4"/>
    </row>
    <row r="151" spans="1:23" ht="15.75" customHeight="1">
      <c r="A151" s="31" t="s">
        <v>184</v>
      </c>
      <c r="B151" s="32">
        <v>2167</v>
      </c>
      <c r="C151" s="46">
        <f t="shared" si="18"/>
        <v>4.9218808382846566E-7</v>
      </c>
      <c r="D151" s="42">
        <v>4000</v>
      </c>
      <c r="E151" s="34">
        <f t="shared" si="1"/>
        <v>1968752.3353138624</v>
      </c>
      <c r="F151" s="34">
        <f t="shared" si="2"/>
        <v>1958908.5736372932</v>
      </c>
      <c r="G151" s="35">
        <f t="shared" si="19"/>
        <v>1</v>
      </c>
      <c r="H151" s="36">
        <f t="shared" si="3"/>
        <v>1958908.5736372932</v>
      </c>
      <c r="I151" s="34">
        <f t="shared" si="20"/>
        <v>175062093658424.38</v>
      </c>
      <c r="J151" s="37">
        <f t="shared" si="21"/>
        <v>167130019678839.16</v>
      </c>
      <c r="K151" s="34">
        <f t="shared" si="4"/>
        <v>10534937468445.77</v>
      </c>
      <c r="L151" s="34">
        <f t="shared" si="5"/>
        <v>0</v>
      </c>
      <c r="M151" s="34">
        <f t="shared" si="6"/>
        <v>10534937468445.77</v>
      </c>
      <c r="N151" s="34">
        <f t="shared" si="24"/>
        <v>1053493746844.577</v>
      </c>
      <c r="O151" s="38">
        <f t="shared" si="7"/>
        <v>9434036502993.1875</v>
      </c>
      <c r="P151" s="39"/>
      <c r="Q151" s="34">
        <f t="shared" si="9"/>
        <v>9434036502993.1875</v>
      </c>
      <c r="R151" s="40">
        <f t="shared" si="23"/>
        <v>9520118341.0831127</v>
      </c>
      <c r="S151" s="35">
        <f t="shared" si="10"/>
        <v>1</v>
      </c>
      <c r="T151" s="41">
        <f t="shared" si="11"/>
        <v>82.579825209748648</v>
      </c>
      <c r="U151" s="4"/>
      <c r="V151" s="4"/>
      <c r="W151" s="4"/>
    </row>
    <row r="152" spans="1:23" ht="15.75" customHeight="1">
      <c r="A152" s="31" t="s">
        <v>185</v>
      </c>
      <c r="B152" s="32">
        <v>2168</v>
      </c>
      <c r="C152" s="46">
        <f t="shared" si="18"/>
        <v>4.4296927544561913E-7</v>
      </c>
      <c r="D152" s="42">
        <v>4000</v>
      </c>
      <c r="E152" s="34">
        <f t="shared" si="1"/>
        <v>1771877.1017824765</v>
      </c>
      <c r="F152" s="34">
        <f t="shared" si="2"/>
        <v>1763017.7162735641</v>
      </c>
      <c r="G152" s="35">
        <f t="shared" si="19"/>
        <v>1</v>
      </c>
      <c r="H152" s="36">
        <f t="shared" si="3"/>
        <v>1763017.7162735641</v>
      </c>
      <c r="I152" s="34">
        <f t="shared" si="20"/>
        <v>176115589168286.66</v>
      </c>
      <c r="J152" s="37">
        <f t="shared" si="21"/>
        <v>168099423431107.09</v>
      </c>
      <c r="K152" s="34">
        <f t="shared" si="4"/>
        <v>10596043247638.402</v>
      </c>
      <c r="L152" s="34">
        <f t="shared" si="5"/>
        <v>0</v>
      </c>
      <c r="M152" s="34">
        <f t="shared" si="6"/>
        <v>10596043247638.402</v>
      </c>
      <c r="N152" s="34">
        <f t="shared" si="24"/>
        <v>1059604324763.8403</v>
      </c>
      <c r="O152" s="38">
        <f t="shared" si="7"/>
        <v>9488756728260.1895</v>
      </c>
      <c r="P152" s="39"/>
      <c r="Q152" s="34">
        <f t="shared" si="9"/>
        <v>9488756728260.1895</v>
      </c>
      <c r="R152" s="40">
        <f t="shared" si="23"/>
        <v>9510598222.7420311</v>
      </c>
      <c r="S152" s="35">
        <f t="shared" si="10"/>
        <v>1</v>
      </c>
      <c r="T152" s="41">
        <f t="shared" si="11"/>
        <v>83.1419547788486</v>
      </c>
      <c r="U152" s="4"/>
      <c r="V152" s="4"/>
      <c r="W152" s="4"/>
    </row>
    <row r="153" spans="1:23" ht="15.75" customHeight="1">
      <c r="A153" s="31" t="s">
        <v>186</v>
      </c>
      <c r="B153" s="32">
        <v>2169</v>
      </c>
      <c r="C153" s="46">
        <f t="shared" si="18"/>
        <v>3.9867234790105724E-7</v>
      </c>
      <c r="D153" s="42">
        <v>4000</v>
      </c>
      <c r="E153" s="34">
        <f t="shared" si="1"/>
        <v>1594689.3916042289</v>
      </c>
      <c r="F153" s="34">
        <f t="shared" si="2"/>
        <v>1586715.9446462076</v>
      </c>
      <c r="G153" s="35">
        <f t="shared" si="19"/>
        <v>1</v>
      </c>
      <c r="H153" s="36">
        <f t="shared" si="3"/>
        <v>1586715.9446462076</v>
      </c>
      <c r="I153" s="34">
        <f t="shared" si="20"/>
        <v>177175195079766.44</v>
      </c>
      <c r="J153" s="37">
        <f t="shared" si="21"/>
        <v>169074449827915.59</v>
      </c>
      <c r="K153" s="34">
        <f t="shared" si="4"/>
        <v>10657503445532.189</v>
      </c>
      <c r="L153" s="34">
        <f t="shared" si="5"/>
        <v>0</v>
      </c>
      <c r="M153" s="34">
        <f t="shared" si="6"/>
        <v>10657503445532.189</v>
      </c>
      <c r="N153" s="34">
        <f t="shared" si="24"/>
        <v>1065750344553.219</v>
      </c>
      <c r="O153" s="38">
        <f t="shared" si="7"/>
        <v>9543794335474.0762</v>
      </c>
      <c r="P153" s="39"/>
      <c r="Q153" s="34">
        <f t="shared" si="9"/>
        <v>9543794335474.0762</v>
      </c>
      <c r="R153" s="40">
        <f t="shared" si="23"/>
        <v>9501087624.5192909</v>
      </c>
      <c r="S153" s="35">
        <f t="shared" si="10"/>
        <v>1</v>
      </c>
      <c r="T153" s="41">
        <f t="shared" si="11"/>
        <v>83.707910720703282</v>
      </c>
      <c r="U153" s="4"/>
      <c r="V153" s="4"/>
      <c r="W153" s="4"/>
    </row>
    <row r="154" spans="1:23" ht="15.75" customHeight="1">
      <c r="A154" s="31" t="s">
        <v>187</v>
      </c>
      <c r="B154" s="32">
        <v>2170</v>
      </c>
      <c r="C154" s="46">
        <f t="shared" si="18"/>
        <v>3.588051131109515E-7</v>
      </c>
      <c r="D154" s="42">
        <v>4000</v>
      </c>
      <c r="E154" s="34">
        <f t="shared" si="1"/>
        <v>1435220.452443806</v>
      </c>
      <c r="F154" s="34">
        <f t="shared" si="2"/>
        <v>1428044.350181587</v>
      </c>
      <c r="G154" s="35">
        <f t="shared" si="19"/>
        <v>1</v>
      </c>
      <c r="H154" s="36">
        <f t="shared" si="3"/>
        <v>1428044.350181587</v>
      </c>
      <c r="I154" s="34">
        <f t="shared" si="20"/>
        <v>178240946852364</v>
      </c>
      <c r="J154" s="37">
        <f t="shared" si="21"/>
        <v>170055131499712.91</v>
      </c>
      <c r="K154" s="34">
        <f t="shared" si="4"/>
        <v>10719320119089.848</v>
      </c>
      <c r="L154" s="34">
        <f t="shared" si="5"/>
        <v>0</v>
      </c>
      <c r="M154" s="34">
        <f t="shared" si="6"/>
        <v>10719320119089.848</v>
      </c>
      <c r="N154" s="34">
        <f t="shared" si="24"/>
        <v>1071932011908.9849</v>
      </c>
      <c r="O154" s="38">
        <f t="shared" si="7"/>
        <v>9599151166644.959</v>
      </c>
      <c r="P154" s="39"/>
      <c r="Q154" s="34">
        <f t="shared" si="9"/>
        <v>9599151166644.959</v>
      </c>
      <c r="R154" s="40">
        <f t="shared" si="23"/>
        <v>9491586536.8947735</v>
      </c>
      <c r="S154" s="35">
        <f t="shared" si="10"/>
        <v>1</v>
      </c>
      <c r="T154" s="41">
        <f t="shared" si="11"/>
        <v>84.277719091289171</v>
      </c>
      <c r="U154" s="4"/>
      <c r="V154" s="4"/>
      <c r="W154" s="4"/>
    </row>
    <row r="155" spans="1:23" ht="15.75" customHeight="1">
      <c r="A155" s="31" t="s">
        <v>188</v>
      </c>
      <c r="B155" s="32">
        <v>2171</v>
      </c>
      <c r="C155" s="46">
        <f t="shared" si="18"/>
        <v>3.2292460179985633E-7</v>
      </c>
      <c r="D155" s="42">
        <v>4000</v>
      </c>
      <c r="E155" s="34">
        <f t="shared" si="1"/>
        <v>1291698.4071994254</v>
      </c>
      <c r="F155" s="34">
        <f t="shared" si="2"/>
        <v>1285239.9151634283</v>
      </c>
      <c r="G155" s="35">
        <f t="shared" si="19"/>
        <v>1</v>
      </c>
      <c r="H155" s="36">
        <f t="shared" si="3"/>
        <v>1285239.9151634283</v>
      </c>
      <c r="I155" s="34">
        <f t="shared" si="20"/>
        <v>179312880149512.91</v>
      </c>
      <c r="J155" s="37">
        <f t="shared" si="21"/>
        <v>171041501264463.41</v>
      </c>
      <c r="K155" s="34">
        <f t="shared" si="4"/>
        <v>10781495337081.799</v>
      </c>
      <c r="L155" s="34">
        <f t="shared" si="5"/>
        <v>0</v>
      </c>
      <c r="M155" s="34">
        <f t="shared" si="6"/>
        <v>10781495337081.799</v>
      </c>
      <c r="N155" s="34">
        <f t="shared" si="24"/>
        <v>1078149533708.1799</v>
      </c>
      <c r="O155" s="38">
        <f t="shared" si="7"/>
        <v>9654829074356.752</v>
      </c>
      <c r="P155" s="39"/>
      <c r="Q155" s="34">
        <f t="shared" si="9"/>
        <v>9654829074356.752</v>
      </c>
      <c r="R155" s="40">
        <f t="shared" si="23"/>
        <v>9482094950.3578796</v>
      </c>
      <c r="S155" s="35">
        <f t="shared" si="10"/>
        <v>1</v>
      </c>
      <c r="T155" s="41">
        <f t="shared" si="11"/>
        <v>84.851406123006896</v>
      </c>
      <c r="U155" s="4"/>
      <c r="V155" s="4"/>
      <c r="W155" s="4"/>
    </row>
    <row r="156" spans="1:23" ht="15.75" customHeight="1">
      <c r="A156" s="31" t="s">
        <v>189</v>
      </c>
      <c r="B156" s="32">
        <v>2172</v>
      </c>
      <c r="C156" s="46">
        <f t="shared" si="18"/>
        <v>2.9063214161987071E-7</v>
      </c>
      <c r="D156" s="42">
        <v>4000</v>
      </c>
      <c r="E156" s="34">
        <f t="shared" si="1"/>
        <v>1162528.5664794829</v>
      </c>
      <c r="F156" s="34">
        <f t="shared" si="2"/>
        <v>1156715.9236470854</v>
      </c>
      <c r="G156" s="35">
        <f t="shared" si="19"/>
        <v>1</v>
      </c>
      <c r="H156" s="36">
        <f t="shared" si="3"/>
        <v>1156715.9236470854</v>
      </c>
      <c r="I156" s="34">
        <f t="shared" si="20"/>
        <v>180391030839937.03</v>
      </c>
      <c r="J156" s="37">
        <f t="shared" si="21"/>
        <v>172033592128910.09</v>
      </c>
      <c r="K156" s="34">
        <f t="shared" si="4"/>
        <v>10844031180166.98</v>
      </c>
      <c r="L156" s="34">
        <f t="shared" si="5"/>
        <v>0</v>
      </c>
      <c r="M156" s="34">
        <f t="shared" si="6"/>
        <v>10844031180166.98</v>
      </c>
      <c r="N156" s="34">
        <f t="shared" si="24"/>
        <v>1084403118016.6981</v>
      </c>
      <c r="O156" s="38">
        <f t="shared" si="7"/>
        <v>9710829921839.5313</v>
      </c>
      <c r="P156" s="39"/>
      <c r="Q156" s="34">
        <f t="shared" si="9"/>
        <v>9710829921839.5313</v>
      </c>
      <c r="R156" s="40">
        <f t="shared" si="23"/>
        <v>9472612855.4075222</v>
      </c>
      <c r="S156" s="35">
        <f t="shared" si="10"/>
        <v>1</v>
      </c>
      <c r="T156" s="41">
        <f t="shared" si="11"/>
        <v>85.428998225975405</v>
      </c>
      <c r="U156" s="4"/>
      <c r="V156" s="4"/>
      <c r="W156" s="4"/>
    </row>
    <row r="157" spans="1:23" ht="15.75" customHeight="1">
      <c r="A157" s="31" t="s">
        <v>190</v>
      </c>
      <c r="B157" s="32">
        <v>2173</v>
      </c>
      <c r="C157" s="46">
        <f t="shared" si="18"/>
        <v>2.6156892745788368E-7</v>
      </c>
      <c r="D157" s="42">
        <v>4000</v>
      </c>
      <c r="E157" s="34">
        <f t="shared" si="1"/>
        <v>1046275.7098315347</v>
      </c>
      <c r="F157" s="34">
        <f t="shared" si="2"/>
        <v>1041044.331282377</v>
      </c>
      <c r="G157" s="35">
        <f t="shared" si="19"/>
        <v>1</v>
      </c>
      <c r="H157" s="36">
        <f t="shared" si="3"/>
        <v>1041044.331282377</v>
      </c>
      <c r="I157" s="34">
        <f t="shared" si="20"/>
        <v>181475434998998.06</v>
      </c>
      <c r="J157" s="37">
        <f t="shared" si="21"/>
        <v>173031437289827.16</v>
      </c>
      <c r="K157" s="34">
        <f t="shared" si="4"/>
        <v>10906929740972.9</v>
      </c>
      <c r="L157" s="34">
        <f t="shared" si="5"/>
        <v>0</v>
      </c>
      <c r="M157" s="34">
        <f t="shared" si="6"/>
        <v>10906929740972.9</v>
      </c>
      <c r="N157" s="34">
        <f t="shared" si="24"/>
        <v>1090692974097.29</v>
      </c>
      <c r="O157" s="38">
        <f t="shared" si="7"/>
        <v>9767155583041.2305</v>
      </c>
      <c r="P157" s="39"/>
      <c r="Q157" s="34">
        <f t="shared" si="9"/>
        <v>9767155583041.2305</v>
      </c>
      <c r="R157" s="40">
        <f t="shared" si="23"/>
        <v>9463140242.5521164</v>
      </c>
      <c r="S157" s="35">
        <f t="shared" si="10"/>
        <v>1</v>
      </c>
      <c r="T157" s="41">
        <f t="shared" si="11"/>
        <v>86.010521989325795</v>
      </c>
      <c r="U157" s="4"/>
      <c r="V157" s="4"/>
      <c r="W157" s="4"/>
    </row>
    <row r="158" spans="1:23" ht="15.75" customHeight="1">
      <c r="A158" s="31" t="s">
        <v>191</v>
      </c>
      <c r="B158" s="32">
        <v>2174</v>
      </c>
      <c r="C158" s="46">
        <f t="shared" si="18"/>
        <v>2.3541203471209531E-7</v>
      </c>
      <c r="D158" s="42">
        <v>4000</v>
      </c>
      <c r="E158" s="34">
        <f t="shared" si="1"/>
        <v>941648.13884838123</v>
      </c>
      <c r="F158" s="34">
        <f t="shared" si="2"/>
        <v>936939.89815413929</v>
      </c>
      <c r="G158" s="35">
        <f t="shared" si="19"/>
        <v>1</v>
      </c>
      <c r="H158" s="36">
        <f t="shared" si="3"/>
        <v>936939.89815413929</v>
      </c>
      <c r="I158" s="34">
        <f t="shared" si="20"/>
        <v>182566128910035.25</v>
      </c>
      <c r="J158" s="37">
        <f t="shared" si="21"/>
        <v>174035070135263.91</v>
      </c>
      <c r="K158" s="34">
        <f t="shared" si="4"/>
        <v>10970193124175.041</v>
      </c>
      <c r="L158" s="34">
        <f t="shared" si="5"/>
        <v>0</v>
      </c>
      <c r="M158" s="34">
        <f t="shared" si="6"/>
        <v>10970193124175.041</v>
      </c>
      <c r="N158" s="34">
        <f t="shared" si="24"/>
        <v>1097019312417.5042</v>
      </c>
      <c r="O158" s="38">
        <f t="shared" si="7"/>
        <v>9823807942698.75</v>
      </c>
      <c r="P158" s="39"/>
      <c r="Q158" s="34">
        <f t="shared" si="9"/>
        <v>9823807942698.75</v>
      </c>
      <c r="R158" s="40">
        <f t="shared" si="23"/>
        <v>9453677102.3095646</v>
      </c>
      <c r="S158" s="35">
        <f t="shared" si="10"/>
        <v>1</v>
      </c>
      <c r="T158" s="41">
        <f t="shared" si="11"/>
        <v>86.596004182495662</v>
      </c>
      <c r="U158" s="4"/>
      <c r="V158" s="4"/>
      <c r="W158" s="4"/>
    </row>
    <row r="159" spans="1:23" ht="15.75" customHeight="1">
      <c r="A159" s="31" t="s">
        <v>192</v>
      </c>
      <c r="B159" s="32">
        <v>2175</v>
      </c>
      <c r="C159" s="46">
        <f t="shared" si="18"/>
        <v>2.1187083124088579E-7</v>
      </c>
      <c r="D159" s="42">
        <v>4000</v>
      </c>
      <c r="E159" s="34">
        <f t="shared" si="1"/>
        <v>847483.32496354321</v>
      </c>
      <c r="F159" s="34">
        <f t="shared" si="2"/>
        <v>843245.90833872545</v>
      </c>
      <c r="G159" s="35">
        <f t="shared" si="19"/>
        <v>1</v>
      </c>
      <c r="H159" s="36">
        <f t="shared" si="3"/>
        <v>843245.90833872545</v>
      </c>
      <c r="I159" s="34">
        <f t="shared" si="20"/>
        <v>183663149065698.66</v>
      </c>
      <c r="J159" s="37">
        <f t="shared" si="21"/>
        <v>175044524245781.84</v>
      </c>
      <c r="K159" s="34">
        <f t="shared" si="4"/>
        <v>11033823446575.73</v>
      </c>
      <c r="L159" s="34">
        <f t="shared" si="5"/>
        <v>0</v>
      </c>
      <c r="M159" s="34">
        <f t="shared" si="6"/>
        <v>11033823446575.73</v>
      </c>
      <c r="N159" s="34">
        <f t="shared" si="24"/>
        <v>1103382344657.573</v>
      </c>
      <c r="O159" s="38">
        <f t="shared" si="7"/>
        <v>9880788896408.5664</v>
      </c>
      <c r="P159" s="39"/>
      <c r="Q159" s="34">
        <f t="shared" si="9"/>
        <v>9880788896408.5664</v>
      </c>
      <c r="R159" s="40">
        <f t="shared" si="23"/>
        <v>9444223425.2072563</v>
      </c>
      <c r="S159" s="35">
        <f t="shared" si="10"/>
        <v>1</v>
      </c>
      <c r="T159" s="41">
        <f t="shared" si="11"/>
        <v>87.18547175652445</v>
      </c>
      <c r="U159" s="4"/>
      <c r="V159" s="4"/>
      <c r="W159" s="4"/>
    </row>
    <row r="160" spans="1:23" ht="15.75" customHeight="1">
      <c r="A160" s="31" t="s">
        <v>193</v>
      </c>
      <c r="B160" s="32">
        <v>2176</v>
      </c>
      <c r="C160" s="46">
        <f t="shared" si="18"/>
        <v>1.9068374811679722E-7</v>
      </c>
      <c r="D160" s="42">
        <v>4000</v>
      </c>
      <c r="E160" s="34">
        <f t="shared" si="1"/>
        <v>762734.99246718886</v>
      </c>
      <c r="F160" s="34">
        <f t="shared" si="2"/>
        <v>758921.31750485289</v>
      </c>
      <c r="G160" s="35">
        <f t="shared" si="19"/>
        <v>1</v>
      </c>
      <c r="H160" s="36">
        <f t="shared" si="3"/>
        <v>758921.31750485289</v>
      </c>
      <c r="I160" s="34">
        <f t="shared" si="20"/>
        <v>184766532169277.53</v>
      </c>
      <c r="J160" s="37">
        <f t="shared" si="21"/>
        <v>176059833395686.06</v>
      </c>
      <c r="K160" s="34">
        <f t="shared" si="4"/>
        <v>11097822837182.568</v>
      </c>
      <c r="L160" s="34">
        <f t="shared" si="5"/>
        <v>0</v>
      </c>
      <c r="M160" s="34">
        <f t="shared" si="6"/>
        <v>11097822837182.568</v>
      </c>
      <c r="N160" s="34">
        <f t="shared" si="24"/>
        <v>1109782283718.2568</v>
      </c>
      <c r="O160" s="38">
        <f t="shared" si="7"/>
        <v>9938100350696.9902</v>
      </c>
      <c r="P160" s="39"/>
      <c r="Q160" s="34">
        <f t="shared" si="9"/>
        <v>9938100350696.9902</v>
      </c>
      <c r="R160" s="40">
        <f t="shared" si="23"/>
        <v>9434779201.7820492</v>
      </c>
      <c r="S160" s="35">
        <f t="shared" si="10"/>
        <v>1</v>
      </c>
      <c r="T160" s="41">
        <f t="shared" si="11"/>
        <v>87.778951845351386</v>
      </c>
      <c r="U160" s="4"/>
      <c r="V160" s="4"/>
      <c r="W160" s="4"/>
    </row>
    <row r="161" spans="1:23" ht="15.75" customHeight="1">
      <c r="A161" s="31" t="s">
        <v>194</v>
      </c>
      <c r="B161" s="32">
        <v>2177</v>
      </c>
      <c r="C161" s="46">
        <f t="shared" si="18"/>
        <v>1.7161537330511749E-7</v>
      </c>
      <c r="D161" s="42">
        <v>4000</v>
      </c>
      <c r="E161" s="34">
        <f t="shared" si="1"/>
        <v>686461.49322046991</v>
      </c>
      <c r="F161" s="34">
        <f t="shared" si="2"/>
        <v>683029.18575436762</v>
      </c>
      <c r="G161" s="35">
        <f t="shared" si="19"/>
        <v>1</v>
      </c>
      <c r="H161" s="36">
        <f t="shared" si="3"/>
        <v>683029.18575436762</v>
      </c>
      <c r="I161" s="34">
        <f t="shared" si="20"/>
        <v>185876315136024.97</v>
      </c>
      <c r="J161" s="37">
        <f t="shared" si="21"/>
        <v>177081031554252.28</v>
      </c>
      <c r="K161" s="34">
        <f t="shared" si="4"/>
        <v>11162193437286.496</v>
      </c>
      <c r="L161" s="34">
        <f t="shared" si="5"/>
        <v>0</v>
      </c>
      <c r="M161" s="34">
        <f t="shared" si="6"/>
        <v>11162193437286.496</v>
      </c>
      <c r="N161" s="34">
        <f t="shared" si="24"/>
        <v>1116219343728.6497</v>
      </c>
      <c r="O161" s="38">
        <f t="shared" si="7"/>
        <v>9995744223090.0566</v>
      </c>
      <c r="P161" s="39"/>
      <c r="Q161" s="34">
        <f t="shared" si="9"/>
        <v>9995744223090.0566</v>
      </c>
      <c r="R161" s="40">
        <f t="shared" si="23"/>
        <v>9425344422.5802689</v>
      </c>
      <c r="S161" s="35">
        <f t="shared" si="10"/>
        <v>1</v>
      </c>
      <c r="T161" s="41">
        <f t="shared" si="11"/>
        <v>88.376471767115504</v>
      </c>
      <c r="U161" s="4"/>
      <c r="V161" s="4"/>
      <c r="W161" s="4"/>
    </row>
    <row r="162" spans="1:23" ht="15.75" customHeight="1">
      <c r="A162" s="31" t="s">
        <v>195</v>
      </c>
      <c r="B162" s="32">
        <v>2178</v>
      </c>
      <c r="C162" s="46">
        <f t="shared" si="18"/>
        <v>1.5445383597460574E-7</v>
      </c>
      <c r="D162" s="42">
        <v>4000</v>
      </c>
      <c r="E162" s="34">
        <f t="shared" si="1"/>
        <v>617815.3438984229</v>
      </c>
      <c r="F162" s="34">
        <f t="shared" si="2"/>
        <v>614726.26717893081</v>
      </c>
      <c r="G162" s="35">
        <f t="shared" si="19"/>
        <v>1</v>
      </c>
      <c r="H162" s="36">
        <f t="shared" si="3"/>
        <v>614726.26717893081</v>
      </c>
      <c r="I162" s="34">
        <f t="shared" si="20"/>
        <v>186992535094479.91</v>
      </c>
      <c r="J162" s="37">
        <f t="shared" si="21"/>
        <v>178108152886950.88</v>
      </c>
      <c r="K162" s="34">
        <f t="shared" si="4"/>
        <v>11226937400539.594</v>
      </c>
      <c r="L162" s="34">
        <f t="shared" si="5"/>
        <v>0</v>
      </c>
      <c r="M162" s="34">
        <f t="shared" si="6"/>
        <v>11226937400539.594</v>
      </c>
      <c r="N162" s="34">
        <f t="shared" si="24"/>
        <v>1122693740053.9595</v>
      </c>
      <c r="O162" s="38">
        <f t="shared" si="7"/>
        <v>10053722442183.207</v>
      </c>
      <c r="P162" s="39"/>
      <c r="Q162" s="34">
        <f t="shared" si="9"/>
        <v>10053722442183.207</v>
      </c>
      <c r="R162" s="40">
        <f t="shared" si="23"/>
        <v>9415919078.15769</v>
      </c>
      <c r="S162" s="35">
        <f t="shared" si="10"/>
        <v>1</v>
      </c>
      <c r="T162" s="41">
        <f t="shared" si="11"/>
        <v>88.978059025459729</v>
      </c>
      <c r="U162" s="4"/>
      <c r="V162" s="4"/>
      <c r="W162" s="4"/>
    </row>
    <row r="163" spans="1:23" ht="15.75" customHeight="1">
      <c r="A163" s="31" t="s">
        <v>196</v>
      </c>
      <c r="B163" s="32">
        <v>2179</v>
      </c>
      <c r="C163" s="46">
        <f t="shared" si="18"/>
        <v>1.3900845237714517E-7</v>
      </c>
      <c r="D163" s="42">
        <v>4000</v>
      </c>
      <c r="E163" s="34">
        <f t="shared" si="1"/>
        <v>556033.80950858071</v>
      </c>
      <c r="F163" s="34">
        <f t="shared" si="2"/>
        <v>553253.64046103775</v>
      </c>
      <c r="G163" s="35">
        <f t="shared" si="19"/>
        <v>1</v>
      </c>
      <c r="H163" s="36">
        <f t="shared" si="3"/>
        <v>553253.64046103775</v>
      </c>
      <c r="I163" s="34">
        <f t="shared" si="20"/>
        <v>188115229387787.5</v>
      </c>
      <c r="J163" s="37">
        <f t="shared" si="21"/>
        <v>179141231756668.34</v>
      </c>
      <c r="K163" s="34">
        <f t="shared" si="4"/>
        <v>11292056893032.686</v>
      </c>
      <c r="L163" s="34">
        <f t="shared" si="5"/>
        <v>0</v>
      </c>
      <c r="M163" s="34">
        <f t="shared" si="6"/>
        <v>11292056893032.686</v>
      </c>
      <c r="N163" s="34">
        <f t="shared" si="24"/>
        <v>1129205689303.2686</v>
      </c>
      <c r="O163" s="38">
        <f t="shared" si="7"/>
        <v>10112036947710.771</v>
      </c>
      <c r="P163" s="39"/>
      <c r="Q163" s="34">
        <f t="shared" si="9"/>
        <v>10112036947710.771</v>
      </c>
      <c r="R163" s="40">
        <f t="shared" si="23"/>
        <v>9406503159.0795326</v>
      </c>
      <c r="S163" s="35">
        <f t="shared" si="10"/>
        <v>1</v>
      </c>
      <c r="T163" s="41">
        <f t="shared" si="11"/>
        <v>89.58374131083832</v>
      </c>
      <c r="U163" s="4"/>
      <c r="V163" s="4"/>
      <c r="W163" s="4"/>
    </row>
    <row r="164" spans="1:23" ht="15.75" customHeight="1">
      <c r="A164" s="31" t="s">
        <v>197</v>
      </c>
      <c r="B164" s="32">
        <v>2180</v>
      </c>
      <c r="C164" s="46">
        <f t="shared" si="18"/>
        <v>1.2510760713943066E-7</v>
      </c>
      <c r="D164" s="42">
        <v>4000</v>
      </c>
      <c r="E164" s="34">
        <f t="shared" si="1"/>
        <v>500430.42855772265</v>
      </c>
      <c r="F164" s="34">
        <f t="shared" si="2"/>
        <v>497928.27641493402</v>
      </c>
      <c r="G164" s="35">
        <f t="shared" si="19"/>
        <v>1</v>
      </c>
      <c r="H164" s="36">
        <f t="shared" si="3"/>
        <v>497928.27641493402</v>
      </c>
      <c r="I164" s="34">
        <f t="shared" si="20"/>
        <v>189244435575019.06</v>
      </c>
      <c r="J164" s="37">
        <f t="shared" si="21"/>
        <v>180180302724927.97</v>
      </c>
      <c r="K164" s="34">
        <f t="shared" si="4"/>
        <v>11357554093372.773</v>
      </c>
      <c r="L164" s="34">
        <f t="shared" si="5"/>
        <v>0</v>
      </c>
      <c r="M164" s="34">
        <f t="shared" si="6"/>
        <v>11357554093372.773</v>
      </c>
      <c r="N164" s="34">
        <f t="shared" si="24"/>
        <v>1135755409337.2773</v>
      </c>
      <c r="O164" s="38">
        <f t="shared" si="7"/>
        <v>10170689690615.318</v>
      </c>
      <c r="P164" s="39"/>
      <c r="Q164" s="34">
        <f t="shared" si="9"/>
        <v>10170689690615.318</v>
      </c>
      <c r="R164" s="40">
        <f t="shared" si="23"/>
        <v>9397096655.920454</v>
      </c>
      <c r="S164" s="35">
        <f t="shared" si="10"/>
        <v>1</v>
      </c>
      <c r="T164" s="41">
        <f t="shared" si="11"/>
        <v>90.193546501829005</v>
      </c>
      <c r="U164" s="4"/>
      <c r="V164" s="4"/>
      <c r="W164" s="4"/>
    </row>
    <row r="165" spans="1:23" ht="15.75" customHeight="1">
      <c r="A165" s="31" t="s">
        <v>198</v>
      </c>
      <c r="B165" s="32">
        <v>2181</v>
      </c>
      <c r="C165" s="46">
        <f t="shared" si="18"/>
        <v>1.1259684642548759E-7</v>
      </c>
      <c r="D165" s="42">
        <v>4000</v>
      </c>
      <c r="E165" s="34">
        <f t="shared" si="1"/>
        <v>450387.38570195035</v>
      </c>
      <c r="F165" s="34">
        <f t="shared" si="2"/>
        <v>448135.44877344061</v>
      </c>
      <c r="G165" s="35">
        <f t="shared" si="19"/>
        <v>1</v>
      </c>
      <c r="H165" s="36">
        <f t="shared" si="3"/>
        <v>448135.44877344061</v>
      </c>
      <c r="I165" s="34">
        <f t="shared" si="20"/>
        <v>190380191432491.78</v>
      </c>
      <c r="J165" s="37">
        <f t="shared" si="21"/>
        <v>181225400553109.5</v>
      </c>
      <c r="K165" s="34">
        <f t="shared" si="4"/>
        <v>11423431192760.434</v>
      </c>
      <c r="L165" s="34">
        <f t="shared" si="5"/>
        <v>0</v>
      </c>
      <c r="M165" s="34">
        <f t="shared" si="6"/>
        <v>11423431192760.434</v>
      </c>
      <c r="N165" s="34">
        <f t="shared" si="24"/>
        <v>1142343119276.0435</v>
      </c>
      <c r="O165" s="38">
        <f t="shared" si="7"/>
        <v>10229682633116.969</v>
      </c>
      <c r="P165" s="39"/>
      <c r="Q165" s="34">
        <f t="shared" si="9"/>
        <v>10229682633116.969</v>
      </c>
      <c r="R165" s="40">
        <f t="shared" si="23"/>
        <v>9387699559.264534</v>
      </c>
      <c r="S165" s="35">
        <f t="shared" si="10"/>
        <v>1</v>
      </c>
      <c r="T165" s="41">
        <f t="shared" si="11"/>
        <v>90.807502666450191</v>
      </c>
      <c r="U165" s="4"/>
      <c r="V165" s="4"/>
      <c r="W165" s="4"/>
    </row>
    <row r="166" spans="1:23" ht="15.75" customHeight="1">
      <c r="A166" s="31" t="s">
        <v>199</v>
      </c>
      <c r="B166" s="32">
        <v>2182</v>
      </c>
      <c r="C166" s="46">
        <f t="shared" si="18"/>
        <v>1.0133716178293884E-7</v>
      </c>
      <c r="D166" s="42">
        <v>4000</v>
      </c>
      <c r="E166" s="34">
        <f t="shared" si="1"/>
        <v>405348.64713175537</v>
      </c>
      <c r="F166" s="34">
        <f t="shared" si="2"/>
        <v>403321.90389609657</v>
      </c>
      <c r="G166" s="35">
        <f t="shared" si="19"/>
        <v>1</v>
      </c>
      <c r="H166" s="36">
        <f t="shared" si="3"/>
        <v>403321.90389609657</v>
      </c>
      <c r="I166" s="34">
        <f t="shared" si="20"/>
        <v>191522534955089.72</v>
      </c>
      <c r="J166" s="37">
        <f t="shared" si="21"/>
        <v>182276560203669.59</v>
      </c>
      <c r="K166" s="34">
        <f t="shared" si="4"/>
        <v>11489690395067.143</v>
      </c>
      <c r="L166" s="34">
        <f t="shared" si="5"/>
        <v>0</v>
      </c>
      <c r="M166" s="34">
        <f t="shared" si="6"/>
        <v>11489690395067.143</v>
      </c>
      <c r="N166" s="34">
        <f t="shared" si="24"/>
        <v>1148969039506.7144</v>
      </c>
      <c r="O166" s="38">
        <f t="shared" si="7"/>
        <v>10289017748782.625</v>
      </c>
      <c r="P166" s="39"/>
      <c r="Q166" s="34">
        <f t="shared" si="9"/>
        <v>10289017748782.625</v>
      </c>
      <c r="R166" s="40">
        <f t="shared" si="23"/>
        <v>9378311859.7052708</v>
      </c>
      <c r="S166" s="35">
        <f t="shared" si="10"/>
        <v>1</v>
      </c>
      <c r="T166" s="41">
        <f t="shared" si="11"/>
        <v>91.42563806348312</v>
      </c>
      <c r="U166" s="4"/>
      <c r="V166" s="4"/>
      <c r="W166" s="4"/>
    </row>
    <row r="167" spans="1:23" ht="15.75" customHeight="1">
      <c r="A167" s="31" t="s">
        <v>200</v>
      </c>
      <c r="B167" s="32">
        <v>2183</v>
      </c>
      <c r="C167" s="46">
        <f t="shared" si="18"/>
        <v>9.1203445604644966E-8</v>
      </c>
      <c r="D167" s="42">
        <v>4000</v>
      </c>
      <c r="E167" s="34">
        <f t="shared" si="1"/>
        <v>364813.78241857985</v>
      </c>
      <c r="F167" s="34">
        <f t="shared" si="2"/>
        <v>362989.71350648697</v>
      </c>
      <c r="G167" s="35">
        <f t="shared" si="19"/>
        <v>1</v>
      </c>
      <c r="H167" s="36">
        <f t="shared" si="3"/>
        <v>362989.71350648697</v>
      </c>
      <c r="I167" s="34">
        <f t="shared" si="20"/>
        <v>192671504357586.16</v>
      </c>
      <c r="J167" s="37">
        <f t="shared" si="21"/>
        <v>183333816841362.97</v>
      </c>
      <c r="K167" s="34">
        <f t="shared" si="4"/>
        <v>11556333916912.652</v>
      </c>
      <c r="L167" s="34">
        <f t="shared" si="5"/>
        <v>0</v>
      </c>
      <c r="M167" s="34">
        <f t="shared" si="6"/>
        <v>11556333916912.652</v>
      </c>
      <c r="N167" s="34">
        <f t="shared" si="24"/>
        <v>1155633391691.2654</v>
      </c>
      <c r="O167" s="38">
        <f t="shared" si="7"/>
        <v>10348697022595.279</v>
      </c>
      <c r="P167" s="39"/>
      <c r="Q167" s="34">
        <f t="shared" si="9"/>
        <v>10348697022595.279</v>
      </c>
      <c r="R167" s="40">
        <f t="shared" si="23"/>
        <v>9368933547.8455658</v>
      </c>
      <c r="S167" s="35">
        <f t="shared" si="10"/>
        <v>1</v>
      </c>
      <c r="T167" s="41">
        <f t="shared" si="11"/>
        <v>92.0479811438003</v>
      </c>
      <c r="U167" s="4"/>
      <c r="V167" s="4"/>
      <c r="W167" s="4"/>
    </row>
    <row r="168" spans="1:23" ht="15.75" customHeight="1">
      <c r="A168" s="31" t="s">
        <v>201</v>
      </c>
      <c r="B168" s="32">
        <v>2184</v>
      </c>
      <c r="C168" s="46">
        <f t="shared" si="18"/>
        <v>8.2083101044180475E-8</v>
      </c>
      <c r="D168" s="42">
        <v>4000</v>
      </c>
      <c r="E168" s="34">
        <f t="shared" si="1"/>
        <v>328332.40417672193</v>
      </c>
      <c r="F168" s="34">
        <f t="shared" si="2"/>
        <v>326690.74215583829</v>
      </c>
      <c r="G168" s="35">
        <f t="shared" si="19"/>
        <v>1</v>
      </c>
      <c r="H168" s="36">
        <f t="shared" si="3"/>
        <v>326690.74215583829</v>
      </c>
      <c r="I168" s="34">
        <f t="shared" si="20"/>
        <v>193827138075968.16</v>
      </c>
      <c r="J168" s="37">
        <f t="shared" si="21"/>
        <v>184397205834465.09</v>
      </c>
      <c r="K168" s="34">
        <f t="shared" si="4"/>
        <v>11623363987742.412</v>
      </c>
      <c r="L168" s="34">
        <f t="shared" si="5"/>
        <v>0</v>
      </c>
      <c r="M168" s="34">
        <f t="shared" si="6"/>
        <v>11623363987742.412</v>
      </c>
      <c r="N168" s="34">
        <f t="shared" si="24"/>
        <v>1162336398774.2412</v>
      </c>
      <c r="O168" s="38">
        <f t="shared" si="7"/>
        <v>10408722451023.33</v>
      </c>
      <c r="P168" s="39"/>
      <c r="Q168" s="34">
        <f t="shared" si="9"/>
        <v>10408722451023.33</v>
      </c>
      <c r="R168" s="40">
        <f t="shared" si="23"/>
        <v>9359564614.2977219</v>
      </c>
      <c r="S168" s="35">
        <f t="shared" si="10"/>
        <v>1</v>
      </c>
      <c r="T168" s="41">
        <f t="shared" si="11"/>
        <v>92.674560551699429</v>
      </c>
      <c r="U168" s="4"/>
      <c r="V168" s="4"/>
      <c r="W168" s="4"/>
    </row>
    <row r="169" spans="1:23" ht="15.75" customHeight="1">
      <c r="A169" s="31" t="s">
        <v>202</v>
      </c>
      <c r="B169" s="32">
        <v>2185</v>
      </c>
      <c r="C169" s="46">
        <f t="shared" si="18"/>
        <v>7.3874790939762432E-8</v>
      </c>
      <c r="D169" s="42">
        <v>4000</v>
      </c>
      <c r="E169" s="34">
        <f t="shared" si="1"/>
        <v>295499.16375904973</v>
      </c>
      <c r="F169" s="34">
        <f t="shared" si="2"/>
        <v>294021.6679402545</v>
      </c>
      <c r="G169" s="35">
        <f t="shared" si="19"/>
        <v>1</v>
      </c>
      <c r="H169" s="36">
        <f t="shared" si="3"/>
        <v>294021.6679402545</v>
      </c>
      <c r="I169" s="34">
        <f t="shared" si="20"/>
        <v>194989474768764.06</v>
      </c>
      <c r="J169" s="37">
        <f t="shared" si="21"/>
        <v>185466762755997.38</v>
      </c>
      <c r="K169" s="34">
        <f t="shared" si="4"/>
        <v>11690782849905.086</v>
      </c>
      <c r="L169" s="34">
        <f t="shared" si="5"/>
        <v>0</v>
      </c>
      <c r="M169" s="34">
        <f t="shared" si="6"/>
        <v>11690782849905.086</v>
      </c>
      <c r="N169" s="34">
        <f t="shared" si="24"/>
        <v>1169078284990.5085</v>
      </c>
      <c r="O169" s="38">
        <f t="shared" si="7"/>
        <v>10469096042090.006</v>
      </c>
      <c r="P169" s="39"/>
      <c r="Q169" s="34">
        <f t="shared" si="9"/>
        <v>10469096042090.006</v>
      </c>
      <c r="R169" s="40">
        <f t="shared" si="23"/>
        <v>9350205049.6834259</v>
      </c>
      <c r="S169" s="35">
        <f t="shared" si="10"/>
        <v>1</v>
      </c>
      <c r="T169" s="41">
        <f t="shared" si="11"/>
        <v>93.305405126244295</v>
      </c>
      <c r="U169" s="4"/>
      <c r="V169" s="4"/>
      <c r="W169" s="4"/>
    </row>
    <row r="170" spans="1:23" ht="15.75" customHeight="1">
      <c r="A170" s="31" t="s">
        <v>203</v>
      </c>
      <c r="B170" s="32">
        <v>2186</v>
      </c>
      <c r="C170" s="46">
        <f t="shared" si="18"/>
        <v>6.6487311845786189E-8</v>
      </c>
      <c r="D170" s="42">
        <v>4000</v>
      </c>
      <c r="E170" s="34">
        <f t="shared" si="1"/>
        <v>265949.24738314474</v>
      </c>
      <c r="F170" s="34">
        <f t="shared" si="2"/>
        <v>264619.50114622904</v>
      </c>
      <c r="G170" s="35">
        <f t="shared" si="19"/>
        <v>1</v>
      </c>
      <c r="H170" s="36">
        <f t="shared" si="3"/>
        <v>264619.50114622904</v>
      </c>
      <c r="I170" s="34">
        <f t="shared" si="20"/>
        <v>196158553318374.06</v>
      </c>
      <c r="J170" s="37">
        <f t="shared" si="21"/>
        <v>186542523384954.59</v>
      </c>
      <c r="K170" s="34">
        <f t="shared" si="4"/>
        <v>11758592758730.232</v>
      </c>
      <c r="L170" s="34">
        <f t="shared" si="5"/>
        <v>0</v>
      </c>
      <c r="M170" s="34">
        <f t="shared" si="6"/>
        <v>11758592758730.232</v>
      </c>
      <c r="N170" s="34">
        <f t="shared" si="24"/>
        <v>1175859275873.0232</v>
      </c>
      <c r="O170" s="38">
        <f t="shared" si="7"/>
        <v>10529819815442.924</v>
      </c>
      <c r="P170" s="39"/>
      <c r="Q170" s="34">
        <f t="shared" si="9"/>
        <v>10529819815442.924</v>
      </c>
      <c r="R170" s="40">
        <f t="shared" si="23"/>
        <v>9340854844.6337433</v>
      </c>
      <c r="S170" s="35">
        <f t="shared" si="10"/>
        <v>1</v>
      </c>
      <c r="T170" s="41">
        <f t="shared" si="11"/>
        <v>93.940543902612163</v>
      </c>
      <c r="U170" s="4"/>
      <c r="V170" s="4"/>
      <c r="W170" s="4"/>
    </row>
    <row r="171" spans="1:23" ht="15.75" customHeight="1">
      <c r="A171" s="31" t="s">
        <v>204</v>
      </c>
      <c r="B171" s="32">
        <v>2187</v>
      </c>
      <c r="C171" s="46">
        <f t="shared" si="18"/>
        <v>5.9838580661207573E-8</v>
      </c>
      <c r="D171" s="42">
        <v>4000</v>
      </c>
      <c r="E171" s="34">
        <f t="shared" si="1"/>
        <v>239354.32264483027</v>
      </c>
      <c r="F171" s="34">
        <f t="shared" si="2"/>
        <v>238157.55103160613</v>
      </c>
      <c r="G171" s="35">
        <f t="shared" si="19"/>
        <v>1</v>
      </c>
      <c r="H171" s="36">
        <f t="shared" si="3"/>
        <v>238157.55103160613</v>
      </c>
      <c r="I171" s="34">
        <f t="shared" si="20"/>
        <v>197334412832404.66</v>
      </c>
      <c r="J171" s="37">
        <f t="shared" si="21"/>
        <v>187624523707535.72</v>
      </c>
      <c r="K171" s="34">
        <f t="shared" si="4"/>
        <v>11826795982606.121</v>
      </c>
      <c r="L171" s="34">
        <f t="shared" si="5"/>
        <v>0</v>
      </c>
      <c r="M171" s="34">
        <f t="shared" si="6"/>
        <v>11826795982606.121</v>
      </c>
      <c r="N171" s="34">
        <f t="shared" si="24"/>
        <v>1182679598260.6121</v>
      </c>
      <c r="O171" s="38">
        <f t="shared" si="7"/>
        <v>10590895802423.781</v>
      </c>
      <c r="P171" s="39"/>
      <c r="Q171" s="34">
        <f t="shared" si="9"/>
        <v>10590895802423.781</v>
      </c>
      <c r="R171" s="40">
        <f t="shared" si="23"/>
        <v>9331513989.7891102</v>
      </c>
      <c r="S171" s="35">
        <f t="shared" si="10"/>
        <v>1</v>
      </c>
      <c r="T171" s="41">
        <f t="shared" si="11"/>
        <v>94.580006113448235</v>
      </c>
      <c r="U171" s="4"/>
      <c r="V171" s="4"/>
      <c r="W171" s="4"/>
    </row>
    <row r="172" spans="1:23" ht="15.75" customHeight="1">
      <c r="A172" s="31" t="s">
        <v>205</v>
      </c>
      <c r="B172" s="32">
        <v>2188</v>
      </c>
      <c r="C172" s="46">
        <f t="shared" si="18"/>
        <v>5.3854722595086814E-8</v>
      </c>
      <c r="D172" s="42">
        <v>4000</v>
      </c>
      <c r="E172" s="34">
        <f t="shared" si="1"/>
        <v>215418.89038034726</v>
      </c>
      <c r="F172" s="34">
        <f t="shared" si="2"/>
        <v>214341.79592844553</v>
      </c>
      <c r="G172" s="35">
        <f t="shared" si="19"/>
        <v>1</v>
      </c>
      <c r="H172" s="36">
        <f t="shared" si="3"/>
        <v>214341.79592844553</v>
      </c>
      <c r="I172" s="34">
        <f t="shared" si="20"/>
        <v>198517092645007.06</v>
      </c>
      <c r="J172" s="37">
        <f t="shared" si="21"/>
        <v>188712799918378.06</v>
      </c>
      <c r="K172" s="34">
        <f t="shared" si="4"/>
        <v>11895394803057.764</v>
      </c>
      <c r="L172" s="34">
        <f t="shared" si="5"/>
        <v>0</v>
      </c>
      <c r="M172" s="34">
        <f t="shared" si="6"/>
        <v>11895394803057.764</v>
      </c>
      <c r="N172" s="34">
        <f t="shared" si="24"/>
        <v>1189539480305.7764</v>
      </c>
      <c r="O172" s="38">
        <f t="shared" si="7"/>
        <v>10652326046138.229</v>
      </c>
      <c r="P172" s="39"/>
      <c r="Q172" s="34">
        <f t="shared" si="9"/>
        <v>10652326046138.229</v>
      </c>
      <c r="R172" s="40">
        <f t="shared" si="23"/>
        <v>9322182475.7993221</v>
      </c>
      <c r="S172" s="35">
        <f t="shared" si="10"/>
        <v>1</v>
      </c>
      <c r="T172" s="41">
        <f t="shared" si="11"/>
        <v>95.223821190227355</v>
      </c>
      <c r="U172" s="4"/>
      <c r="V172" s="4"/>
      <c r="W172" s="4"/>
    </row>
    <row r="173" spans="1:23" ht="15.75" customHeight="1">
      <c r="A173" s="31" t="s">
        <v>206</v>
      </c>
      <c r="B173" s="32">
        <v>2189</v>
      </c>
      <c r="C173" s="46">
        <f t="shared" si="18"/>
        <v>4.8469250335578131E-8</v>
      </c>
      <c r="D173" s="42">
        <v>4000</v>
      </c>
      <c r="E173" s="34">
        <f t="shared" si="1"/>
        <v>193877.00134231252</v>
      </c>
      <c r="F173" s="34">
        <f t="shared" si="2"/>
        <v>192907.61633560096</v>
      </c>
      <c r="G173" s="35">
        <f t="shared" si="19"/>
        <v>1</v>
      </c>
      <c r="H173" s="36">
        <f t="shared" si="3"/>
        <v>192907.61633560096</v>
      </c>
      <c r="I173" s="34">
        <f t="shared" si="20"/>
        <v>199706632318220.47</v>
      </c>
      <c r="J173" s="37">
        <f t="shared" si="21"/>
        <v>189807388421795.69</v>
      </c>
      <c r="K173" s="34">
        <f t="shared" si="4"/>
        <v>11964391514825.168</v>
      </c>
      <c r="L173" s="34">
        <f t="shared" si="5"/>
        <v>0</v>
      </c>
      <c r="M173" s="34">
        <f t="shared" si="6"/>
        <v>11964391514825.168</v>
      </c>
      <c r="N173" s="34">
        <f t="shared" si="24"/>
        <v>1196439151482.5168</v>
      </c>
      <c r="O173" s="38">
        <f t="shared" si="7"/>
        <v>10714112601525.938</v>
      </c>
      <c r="P173" s="39"/>
      <c r="Q173" s="34">
        <f t="shared" si="9"/>
        <v>10714112601525.938</v>
      </c>
      <c r="R173" s="40">
        <f t="shared" si="23"/>
        <v>9312860293.3235245</v>
      </c>
      <c r="S173" s="35">
        <f t="shared" si="10"/>
        <v>1</v>
      </c>
      <c r="T173" s="41">
        <f t="shared" si="11"/>
        <v>95.872018764623292</v>
      </c>
      <c r="U173" s="4"/>
      <c r="V173" s="4"/>
      <c r="W173" s="4"/>
    </row>
    <row r="174" spans="1:23" ht="15.75" customHeight="1">
      <c r="A174" s="31" t="s">
        <v>207</v>
      </c>
      <c r="B174" s="32">
        <v>2190</v>
      </c>
      <c r="C174" s="46">
        <f t="shared" si="18"/>
        <v>4.3622325302020317E-8</v>
      </c>
      <c r="D174" s="42">
        <v>4000</v>
      </c>
      <c r="E174" s="34">
        <f t="shared" si="1"/>
        <v>174489.30120808128</v>
      </c>
      <c r="F174" s="34">
        <f t="shared" si="2"/>
        <v>173616.85470204087</v>
      </c>
      <c r="G174" s="35">
        <f t="shared" si="19"/>
        <v>1</v>
      </c>
      <c r="H174" s="36">
        <f t="shared" si="3"/>
        <v>173616.85470204087</v>
      </c>
      <c r="I174" s="34">
        <f t="shared" si="20"/>
        <v>200903071643319.84</v>
      </c>
      <c r="J174" s="37">
        <f t="shared" si="21"/>
        <v>190908325833021.63</v>
      </c>
      <c r="K174" s="34">
        <f t="shared" si="4"/>
        <v>12033788425941.846</v>
      </c>
      <c r="L174" s="34">
        <f t="shared" si="5"/>
        <v>0</v>
      </c>
      <c r="M174" s="34">
        <f t="shared" si="6"/>
        <v>12033788425941.846</v>
      </c>
      <c r="N174" s="34">
        <f t="shared" si="24"/>
        <v>1203378842594.1846</v>
      </c>
      <c r="O174" s="38">
        <f t="shared" si="7"/>
        <v>10776257535430.922</v>
      </c>
      <c r="P174" s="39"/>
      <c r="Q174" s="34">
        <f t="shared" si="9"/>
        <v>10776257535430.922</v>
      </c>
      <c r="R174" s="40">
        <f t="shared" si="23"/>
        <v>9303547433.0302029</v>
      </c>
      <c r="S174" s="35">
        <f t="shared" si="10"/>
        <v>1</v>
      </c>
      <c r="T174" s="41">
        <f t="shared" si="11"/>
        <v>96.524628669885871</v>
      </c>
      <c r="U174" s="4"/>
      <c r="V174" s="4"/>
      <c r="W174" s="4"/>
    </row>
    <row r="175" spans="1:23" ht="15.75" customHeight="1">
      <c r="A175" s="31" t="s">
        <v>208</v>
      </c>
      <c r="B175" s="32">
        <v>2191</v>
      </c>
      <c r="C175" s="46">
        <f t="shared" si="18"/>
        <v>3.9260092771818286E-8</v>
      </c>
      <c r="D175" s="42">
        <v>4000</v>
      </c>
      <c r="E175" s="34">
        <f t="shared" si="1"/>
        <v>157040.37108727315</v>
      </c>
      <c r="F175" s="34">
        <f t="shared" si="2"/>
        <v>156255.16923183677</v>
      </c>
      <c r="G175" s="35">
        <f t="shared" si="19"/>
        <v>1</v>
      </c>
      <c r="H175" s="36">
        <f t="shared" si="3"/>
        <v>156255.16923183677</v>
      </c>
      <c r="I175" s="34">
        <f t="shared" si="20"/>
        <v>202106450642169.19</v>
      </c>
      <c r="J175" s="37">
        <f t="shared" si="21"/>
        <v>192015648979455.03</v>
      </c>
      <c r="K175" s="34">
        <f t="shared" si="4"/>
        <v>12103587857813.57</v>
      </c>
      <c r="L175" s="34">
        <f t="shared" si="5"/>
        <v>0</v>
      </c>
      <c r="M175" s="34">
        <f t="shared" si="6"/>
        <v>12103587857813.57</v>
      </c>
      <c r="N175" s="34">
        <f t="shared" si="24"/>
        <v>1210358785781.3572</v>
      </c>
      <c r="O175" s="38">
        <f t="shared" si="7"/>
        <v>10838762926672.053</v>
      </c>
      <c r="P175" s="39"/>
      <c r="Q175" s="34">
        <f t="shared" si="9"/>
        <v>10838762926672.053</v>
      </c>
      <c r="R175" s="40">
        <f t="shared" si="23"/>
        <v>9294243885.5971737</v>
      </c>
      <c r="S175" s="35">
        <f t="shared" si="10"/>
        <v>1</v>
      </c>
      <c r="T175" s="41">
        <f t="shared" si="11"/>
        <v>97.18168094222581</v>
      </c>
      <c r="U175" s="4"/>
      <c r="V175" s="4"/>
      <c r="W175" s="4"/>
    </row>
    <row r="176" spans="1:23" ht="15.75" customHeight="1">
      <c r="A176" s="31" t="s">
        <v>209</v>
      </c>
      <c r="B176" s="32">
        <v>2192</v>
      </c>
      <c r="C176" s="46">
        <f t="shared" si="18"/>
        <v>3.5334083494636457E-8</v>
      </c>
      <c r="D176" s="42">
        <v>4000</v>
      </c>
      <c r="E176" s="34">
        <f t="shared" si="1"/>
        <v>141336.33397854582</v>
      </c>
      <c r="F176" s="34">
        <f t="shared" si="2"/>
        <v>140629.65230865308</v>
      </c>
      <c r="G176" s="35">
        <f t="shared" si="19"/>
        <v>1</v>
      </c>
      <c r="H176" s="36">
        <f t="shared" si="3"/>
        <v>140629.65230865308</v>
      </c>
      <c r="I176" s="34">
        <f t="shared" si="20"/>
        <v>203316809568580.19</v>
      </c>
      <c r="J176" s="37">
        <f t="shared" si="21"/>
        <v>193129394901913.09</v>
      </c>
      <c r="K176" s="34">
        <f t="shared" si="4"/>
        <v>12173792145297.449</v>
      </c>
      <c r="L176" s="34">
        <f t="shared" si="5"/>
        <v>0</v>
      </c>
      <c r="M176" s="34">
        <f t="shared" si="6"/>
        <v>12173792145297.449</v>
      </c>
      <c r="N176" s="34">
        <f t="shared" si="24"/>
        <v>1217379214529.7449</v>
      </c>
      <c r="O176" s="38">
        <f t="shared" si="7"/>
        <v>10901630866113.867</v>
      </c>
      <c r="P176" s="39"/>
      <c r="Q176" s="34">
        <f t="shared" si="9"/>
        <v>10901630866113.867</v>
      </c>
      <c r="R176" s="40">
        <f t="shared" si="23"/>
        <v>9284949641.7115784</v>
      </c>
      <c r="S176" s="35">
        <f t="shared" si="10"/>
        <v>1</v>
      </c>
      <c r="T176" s="41">
        <f t="shared" si="11"/>
        <v>97.843205822207992</v>
      </c>
      <c r="U176" s="4"/>
      <c r="V176" s="4"/>
      <c r="W176" s="4"/>
    </row>
    <row r="177" spans="1:23" ht="15.75" customHeight="1">
      <c r="A177" s="31" t="s">
        <v>210</v>
      </c>
      <c r="B177" s="32">
        <v>2193</v>
      </c>
      <c r="C177" s="46">
        <f t="shared" si="18"/>
        <v>3.1800675145172812E-8</v>
      </c>
      <c r="D177" s="42">
        <v>4000</v>
      </c>
      <c r="E177" s="34">
        <f t="shared" si="1"/>
        <v>127202.70058069126</v>
      </c>
      <c r="F177" s="34">
        <f t="shared" si="2"/>
        <v>126566.68707778781</v>
      </c>
      <c r="G177" s="35">
        <f t="shared" si="19"/>
        <v>1</v>
      </c>
      <c r="H177" s="36">
        <f t="shared" si="3"/>
        <v>126566.68707778781</v>
      </c>
      <c r="I177" s="34">
        <f t="shared" si="20"/>
        <v>204534188909676.63</v>
      </c>
      <c r="J177" s="37">
        <f t="shared" si="21"/>
        <v>194249600855888.03</v>
      </c>
      <c r="K177" s="34">
        <f t="shared" si="4"/>
        <v>12244403636781.289</v>
      </c>
      <c r="L177" s="34">
        <f t="shared" si="5"/>
        <v>0</v>
      </c>
      <c r="M177" s="34">
        <f t="shared" si="6"/>
        <v>12244403636781.289</v>
      </c>
      <c r="N177" s="34">
        <f t="shared" si="24"/>
        <v>1224440363678.1289</v>
      </c>
      <c r="O177" s="38">
        <f t="shared" si="7"/>
        <v>10964863456737.645</v>
      </c>
      <c r="P177" s="39"/>
      <c r="Q177" s="34">
        <f t="shared" si="9"/>
        <v>10964863456737.645</v>
      </c>
      <c r="R177" s="40">
        <f t="shared" si="23"/>
        <v>9275664692.0698681</v>
      </c>
      <c r="S177" s="35">
        <f t="shared" si="10"/>
        <v>1</v>
      </c>
      <c r="T177" s="41">
        <f t="shared" si="11"/>
        <v>98.509233756152796</v>
      </c>
      <c r="U177" s="4"/>
      <c r="V177" s="4"/>
      <c r="W177" s="4"/>
    </row>
    <row r="178" spans="1:23" ht="15.75" customHeight="1">
      <c r="A178" s="31" t="s">
        <v>211</v>
      </c>
      <c r="B178" s="32">
        <v>2194</v>
      </c>
      <c r="C178" s="46">
        <f t="shared" si="18"/>
        <v>2.8620607630655531E-8</v>
      </c>
      <c r="D178" s="42">
        <v>4000</v>
      </c>
      <c r="E178" s="34">
        <f t="shared" si="1"/>
        <v>114482.43052262213</v>
      </c>
      <c r="F178" s="34">
        <f t="shared" si="2"/>
        <v>113910.01837000903</v>
      </c>
      <c r="G178" s="35">
        <f t="shared" si="19"/>
        <v>1</v>
      </c>
      <c r="H178" s="36">
        <f t="shared" si="3"/>
        <v>113910.01837000903</v>
      </c>
      <c r="I178" s="34">
        <f t="shared" si="20"/>
        <v>205758629387264.78</v>
      </c>
      <c r="J178" s="37">
        <f t="shared" si="21"/>
        <v>195376304312809.47</v>
      </c>
      <c r="K178" s="34">
        <f t="shared" si="4"/>
        <v>12315424694263.301</v>
      </c>
      <c r="L178" s="34">
        <f t="shared" si="5"/>
        <v>0</v>
      </c>
      <c r="M178" s="34">
        <f t="shared" si="6"/>
        <v>12315424694263.301</v>
      </c>
      <c r="N178" s="34">
        <f t="shared" si="24"/>
        <v>1231542469426.3301</v>
      </c>
      <c r="O178" s="38">
        <f t="shared" si="7"/>
        <v>11028462813712.785</v>
      </c>
      <c r="P178" s="39"/>
      <c r="Q178" s="34">
        <f t="shared" si="9"/>
        <v>11028462813712.785</v>
      </c>
      <c r="R178" s="40">
        <f t="shared" si="23"/>
        <v>9266389027.3778</v>
      </c>
      <c r="S178" s="35">
        <f t="shared" si="10"/>
        <v>1</v>
      </c>
      <c r="T178" s="41">
        <f t="shared" si="11"/>
        <v>99.179795397546357</v>
      </c>
      <c r="U178" s="4"/>
      <c r="V178" s="4"/>
      <c r="W178" s="4"/>
    </row>
    <row r="179" spans="1:23" ht="15.75" customHeight="1">
      <c r="A179" s="31" t="s">
        <v>212</v>
      </c>
      <c r="B179" s="32">
        <v>2195</v>
      </c>
      <c r="C179" s="46">
        <f t="shared" si="18"/>
        <v>2.5758546867589977E-8</v>
      </c>
      <c r="D179" s="42">
        <v>4000</v>
      </c>
      <c r="E179" s="34">
        <f t="shared" si="1"/>
        <v>103034.1874703599</v>
      </c>
      <c r="F179" s="34">
        <f t="shared" si="2"/>
        <v>102519.01653300811</v>
      </c>
      <c r="G179" s="35">
        <f t="shared" si="19"/>
        <v>1</v>
      </c>
      <c r="H179" s="36">
        <f t="shared" si="3"/>
        <v>102519.01653300811</v>
      </c>
      <c r="I179" s="34">
        <f t="shared" si="20"/>
        <v>206990171959210.16</v>
      </c>
      <c r="J179" s="37">
        <f t="shared" si="21"/>
        <v>196509542961312.47</v>
      </c>
      <c r="K179" s="34">
        <f t="shared" si="4"/>
        <v>12386857693432.119</v>
      </c>
      <c r="L179" s="34">
        <f t="shared" si="5"/>
        <v>0</v>
      </c>
      <c r="M179" s="34">
        <f t="shared" si="6"/>
        <v>12386857693432.119</v>
      </c>
      <c r="N179" s="34">
        <f t="shared" si="24"/>
        <v>1238685769343.2119</v>
      </c>
      <c r="O179" s="38">
        <f t="shared" si="7"/>
        <v>11092431064468.461</v>
      </c>
      <c r="P179" s="39"/>
      <c r="Q179" s="34">
        <f t="shared" si="9"/>
        <v>11092431064468.461</v>
      </c>
      <c r="R179" s="40">
        <f t="shared" si="23"/>
        <v>9257122638.3504238</v>
      </c>
      <c r="S179" s="35">
        <f t="shared" si="10"/>
        <v>1</v>
      </c>
      <c r="T179" s="41">
        <f t="shared" si="11"/>
        <v>99.854921608458895</v>
      </c>
      <c r="U179" s="4"/>
      <c r="V179" s="4"/>
      <c r="W179" s="4"/>
    </row>
    <row r="180" spans="1:23" ht="15.75" customHeight="1">
      <c r="A180" s="31" t="s">
        <v>213</v>
      </c>
      <c r="B180" s="32">
        <v>2196</v>
      </c>
      <c r="C180" s="46">
        <f t="shared" si="18"/>
        <v>2.318269218083098E-8</v>
      </c>
      <c r="D180" s="42">
        <v>4000</v>
      </c>
      <c r="E180" s="34">
        <f t="shared" si="1"/>
        <v>92730.768723323912</v>
      </c>
      <c r="F180" s="34">
        <f t="shared" si="2"/>
        <v>92267.114879707296</v>
      </c>
      <c r="G180" s="35">
        <f t="shared" si="19"/>
        <v>1</v>
      </c>
      <c r="H180" s="36">
        <f t="shared" si="3"/>
        <v>92267.114879707296</v>
      </c>
      <c r="I180" s="34">
        <f t="shared" si="20"/>
        <v>208228857820820.5</v>
      </c>
      <c r="J180" s="37">
        <f t="shared" si="21"/>
        <v>197649354708511.38</v>
      </c>
      <c r="K180" s="34">
        <f t="shared" si="4"/>
        <v>12458705023747.211</v>
      </c>
      <c r="L180" s="34">
        <f t="shared" si="5"/>
        <v>0</v>
      </c>
      <c r="M180" s="34">
        <f t="shared" si="6"/>
        <v>12458705023747.211</v>
      </c>
      <c r="N180" s="34">
        <f t="shared" si="24"/>
        <v>1245870502374.7212</v>
      </c>
      <c r="O180" s="38">
        <f t="shared" si="7"/>
        <v>11156770348765.627</v>
      </c>
      <c r="P180" s="39"/>
      <c r="Q180" s="34">
        <f t="shared" si="9"/>
        <v>11156770348765.627</v>
      </c>
      <c r="R180" s="40">
        <f t="shared" si="23"/>
        <v>9247865515.7120743</v>
      </c>
      <c r="S180" s="35">
        <f t="shared" si="10"/>
        <v>1</v>
      </c>
      <c r="T180" s="41">
        <f t="shared" si="11"/>
        <v>100.53464346097246</v>
      </c>
      <c r="U180" s="4"/>
      <c r="V180" s="4"/>
      <c r="W180" s="4"/>
    </row>
    <row r="181" spans="1:23" ht="15.75" customHeight="1">
      <c r="A181" s="31" t="s">
        <v>214</v>
      </c>
      <c r="B181" s="32">
        <v>2197</v>
      </c>
      <c r="C181" s="46">
        <f t="shared" si="18"/>
        <v>2.0864422962747881E-8</v>
      </c>
      <c r="D181" s="42">
        <v>4000</v>
      </c>
      <c r="E181" s="34">
        <f t="shared" si="1"/>
        <v>83457.691850991512</v>
      </c>
      <c r="F181" s="34">
        <f t="shared" si="2"/>
        <v>83040.40339173656</v>
      </c>
      <c r="G181" s="35">
        <f t="shared" si="19"/>
        <v>1</v>
      </c>
      <c r="H181" s="36">
        <f t="shared" si="3"/>
        <v>83040.40339173656</v>
      </c>
      <c r="I181" s="34">
        <f t="shared" si="20"/>
        <v>209474728406235.63</v>
      </c>
      <c r="J181" s="37">
        <f t="shared" si="21"/>
        <v>198795777681279.56</v>
      </c>
      <c r="K181" s="34">
        <f t="shared" si="4"/>
        <v>12530969088519.621</v>
      </c>
      <c r="L181" s="34">
        <f t="shared" si="5"/>
        <v>0</v>
      </c>
      <c r="M181" s="34">
        <f t="shared" si="6"/>
        <v>12530969088519.621</v>
      </c>
      <c r="N181" s="34">
        <f t="shared" si="24"/>
        <v>1253096908851.9622</v>
      </c>
      <c r="O181" s="38">
        <f t="shared" si="7"/>
        <v>11221482818769.32</v>
      </c>
      <c r="P181" s="39"/>
      <c r="Q181" s="34">
        <f t="shared" si="9"/>
        <v>11221482818769.32</v>
      </c>
      <c r="R181" s="40">
        <f t="shared" si="23"/>
        <v>9238617650.1963634</v>
      </c>
      <c r="S181" s="35">
        <f t="shared" si="10"/>
        <v>1</v>
      </c>
      <c r="T181" s="41">
        <f t="shared" si="11"/>
        <v>101.2189922386171</v>
      </c>
      <c r="U181" s="4"/>
      <c r="V181" s="4"/>
      <c r="W181" s="4"/>
    </row>
    <row r="182" spans="1:23" ht="15.75" customHeight="1">
      <c r="A182" s="31" t="s">
        <v>215</v>
      </c>
      <c r="B182" s="32">
        <v>2198</v>
      </c>
      <c r="C182" s="46">
        <f t="shared" si="18"/>
        <v>1.8777980666473093E-8</v>
      </c>
      <c r="D182" s="42">
        <v>4000</v>
      </c>
      <c r="E182" s="34">
        <f t="shared" si="1"/>
        <v>75111.922665892373</v>
      </c>
      <c r="F182" s="34">
        <f t="shared" si="2"/>
        <v>74736.363052562912</v>
      </c>
      <c r="G182" s="35">
        <f t="shared" si="19"/>
        <v>1</v>
      </c>
      <c r="H182" s="36">
        <f t="shared" si="3"/>
        <v>74736.363052562912</v>
      </c>
      <c r="I182" s="34">
        <f t="shared" si="20"/>
        <v>210727825389823.97</v>
      </c>
      <c r="J182" s="37">
        <f t="shared" si="21"/>
        <v>199948850227535.47</v>
      </c>
      <c r="K182" s="34">
        <f t="shared" si="4"/>
        <v>12603652304993.123</v>
      </c>
      <c r="L182" s="34">
        <f t="shared" si="5"/>
        <v>0</v>
      </c>
      <c r="M182" s="34">
        <f t="shared" si="6"/>
        <v>12603652304993.123</v>
      </c>
      <c r="N182" s="34">
        <f t="shared" si="24"/>
        <v>1260365230499.3123</v>
      </c>
      <c r="O182" s="38">
        <f t="shared" si="7"/>
        <v>11286570639121.342</v>
      </c>
      <c r="P182" s="39"/>
      <c r="Q182" s="34">
        <f t="shared" si="9"/>
        <v>11286570639121.342</v>
      </c>
      <c r="R182" s="40">
        <f t="shared" si="23"/>
        <v>9229379032.5461674</v>
      </c>
      <c r="S182" s="35">
        <f t="shared" si="10"/>
        <v>1</v>
      </c>
      <c r="T182" s="41">
        <f t="shared" si="11"/>
        <v>101.90799943781667</v>
      </c>
      <c r="U182" s="4"/>
      <c r="V182" s="4"/>
      <c r="W182" s="4"/>
    </row>
    <row r="183" spans="1:23" ht="15.75" customHeight="1">
      <c r="A183" s="31" t="s">
        <v>216</v>
      </c>
      <c r="B183" s="32">
        <v>2199</v>
      </c>
      <c r="C183" s="46">
        <f t="shared" si="18"/>
        <v>1.6900182599825784E-8</v>
      </c>
      <c r="D183" s="42">
        <v>4000</v>
      </c>
      <c r="E183" s="34">
        <f t="shared" si="1"/>
        <v>67600.730399303138</v>
      </c>
      <c r="F183" s="34">
        <f t="shared" si="2"/>
        <v>67262.726747306617</v>
      </c>
      <c r="G183" s="35">
        <f t="shared" si="19"/>
        <v>1</v>
      </c>
      <c r="H183" s="36">
        <f t="shared" si="3"/>
        <v>67262.726747306617</v>
      </c>
      <c r="I183" s="34">
        <f t="shared" si="20"/>
        <v>211988190687586</v>
      </c>
      <c r="J183" s="37">
        <f t="shared" si="21"/>
        <v>201108610917534.88</v>
      </c>
      <c r="K183" s="34">
        <f t="shared" si="4"/>
        <v>12676757104425.748</v>
      </c>
      <c r="L183" s="34">
        <f t="shared" si="5"/>
        <v>0</v>
      </c>
      <c r="M183" s="34">
        <f t="shared" si="6"/>
        <v>12676757104425.748</v>
      </c>
      <c r="N183" s="34">
        <f t="shared" si="24"/>
        <v>1267675710442.575</v>
      </c>
      <c r="O183" s="38">
        <f t="shared" si="7"/>
        <v>11352035987013.258</v>
      </c>
      <c r="P183" s="39"/>
      <c r="Q183" s="34">
        <f t="shared" si="9"/>
        <v>11352035987013.258</v>
      </c>
      <c r="R183" s="40">
        <f t="shared" si="23"/>
        <v>9220149653.5136223</v>
      </c>
      <c r="S183" s="35">
        <f t="shared" si="10"/>
        <v>1</v>
      </c>
      <c r="T183" s="41">
        <f t="shared" si="11"/>
        <v>102.60169676934343</v>
      </c>
      <c r="U183" s="4"/>
      <c r="V183" s="4"/>
      <c r="W183" s="4"/>
    </row>
    <row r="184" spans="1:23" ht="15.75" customHeight="1">
      <c r="A184" s="47" t="s">
        <v>217</v>
      </c>
      <c r="B184" s="48">
        <v>2200</v>
      </c>
      <c r="C184" s="49">
        <f t="shared" si="18"/>
        <v>1.5210164339843205E-8</v>
      </c>
      <c r="D184" s="42">
        <v>4000</v>
      </c>
      <c r="E184" s="50">
        <f t="shared" si="1"/>
        <v>60840.657359372824</v>
      </c>
      <c r="F184" s="50">
        <f t="shared" si="2"/>
        <v>60536.454072575958</v>
      </c>
      <c r="G184" s="51">
        <f t="shared" si="19"/>
        <v>1</v>
      </c>
      <c r="H184" s="36">
        <f t="shared" si="3"/>
        <v>60536.454072575958</v>
      </c>
      <c r="I184" s="34">
        <f t="shared" si="20"/>
        <v>213255866458565.03</v>
      </c>
      <c r="J184" s="37">
        <f t="shared" si="21"/>
        <v>202275098545169.66</v>
      </c>
      <c r="K184" s="34">
        <f t="shared" si="4"/>
        <v>12750285932171.711</v>
      </c>
      <c r="L184" s="34">
        <f t="shared" si="5"/>
        <v>0</v>
      </c>
      <c r="M184" s="50">
        <f t="shared" si="6"/>
        <v>12750285932171.711</v>
      </c>
      <c r="N184" s="34">
        <f t="shared" si="24"/>
        <v>1275028593217.1711</v>
      </c>
      <c r="O184" s="38">
        <f t="shared" si="7"/>
        <v>11417881052259.766</v>
      </c>
      <c r="P184" s="52"/>
      <c r="Q184" s="34">
        <f t="shared" si="9"/>
        <v>11417881052259.766</v>
      </c>
      <c r="R184" s="40">
        <f t="shared" si="23"/>
        <v>9210929503.8601093</v>
      </c>
      <c r="S184" s="51">
        <f t="shared" si="10"/>
        <v>1</v>
      </c>
      <c r="T184" s="41">
        <f t="shared" si="11"/>
        <v>103.30011615978214</v>
      </c>
      <c r="U184" s="4"/>
      <c r="V184" s="4"/>
      <c r="W184" s="4"/>
    </row>
    <row r="185" spans="1:23" ht="15.75" customHeight="1">
      <c r="A185" s="4"/>
      <c r="B185" s="4"/>
      <c r="C185" s="4"/>
      <c r="D185" s="4"/>
      <c r="E185" s="4"/>
      <c r="F185" s="4"/>
      <c r="G185" s="4"/>
      <c r="H185" s="4"/>
      <c r="I185" s="4"/>
      <c r="J185" s="4"/>
      <c r="K185" s="4"/>
      <c r="L185" s="4"/>
      <c r="M185" s="4"/>
      <c r="N185" s="4"/>
      <c r="O185" s="4"/>
      <c r="P185" s="4"/>
      <c r="Q185" s="4"/>
      <c r="R185" s="53"/>
      <c r="S185" s="4"/>
      <c r="T185" s="4"/>
      <c r="U185" s="4"/>
      <c r="V185" s="4"/>
      <c r="W185" s="4"/>
    </row>
    <row r="186" spans="1:23" ht="15.75" customHeight="1">
      <c r="A186" s="54" t="s">
        <v>218</v>
      </c>
      <c r="B186" s="55"/>
      <c r="C186" s="56">
        <f>SUM(C9:C184)</f>
        <v>350.83555359740052</v>
      </c>
      <c r="D186" s="57" t="s">
        <v>219</v>
      </c>
      <c r="E186" s="58">
        <f>SUM(E8:E184)</f>
        <v>256224318794216.22</v>
      </c>
      <c r="F186" s="59"/>
      <c r="G186" s="60" t="s">
        <v>220</v>
      </c>
      <c r="H186" s="61">
        <f>SUM(H8:H184)</f>
        <v>103028740884209.56</v>
      </c>
      <c r="I186" s="59"/>
      <c r="J186" s="59"/>
      <c r="K186" s="59"/>
      <c r="L186" s="62"/>
      <c r="M186" s="63"/>
      <c r="N186" s="64" t="s">
        <v>221</v>
      </c>
      <c r="O186" s="65">
        <f>SUM(O8:O184)</f>
        <v>1379285270212586</v>
      </c>
      <c r="P186" s="59"/>
      <c r="Q186" s="59"/>
      <c r="R186" s="66"/>
      <c r="S186" s="59"/>
      <c r="T186" s="59"/>
      <c r="U186" s="59"/>
      <c r="V186" s="59"/>
      <c r="W186" s="59"/>
    </row>
    <row r="187" spans="1:23" ht="15.75" customHeight="1">
      <c r="A187" s="4"/>
      <c r="B187" s="4"/>
      <c r="C187" s="4"/>
      <c r="D187" s="4"/>
      <c r="E187" s="4"/>
      <c r="F187" s="4"/>
      <c r="G187" s="4"/>
      <c r="H187" s="4"/>
      <c r="I187" s="4"/>
      <c r="J187" s="4"/>
      <c r="K187" s="4"/>
      <c r="L187" s="4"/>
      <c r="M187" s="4"/>
      <c r="N187" s="4"/>
      <c r="O187" s="4"/>
      <c r="P187" s="4"/>
      <c r="Q187" s="4"/>
      <c r="R187" s="53"/>
      <c r="S187" s="4"/>
      <c r="T187" s="4"/>
      <c r="U187" s="4"/>
      <c r="V187" s="4"/>
      <c r="W187" s="4"/>
    </row>
    <row r="188" spans="1:23" ht="15.75" customHeight="1">
      <c r="A188" s="4"/>
      <c r="B188" s="4"/>
      <c r="C188" s="4"/>
      <c r="D188" s="4"/>
      <c r="E188" s="4"/>
      <c r="F188" s="4"/>
      <c r="G188" s="4"/>
      <c r="H188" s="4"/>
      <c r="I188" s="4"/>
      <c r="J188" s="4"/>
      <c r="K188" s="4"/>
      <c r="L188" s="4"/>
      <c r="M188" s="4"/>
      <c r="N188" s="4"/>
      <c r="O188" s="4"/>
      <c r="P188" s="4"/>
      <c r="Q188" s="4"/>
      <c r="R188" s="53"/>
      <c r="S188" s="4"/>
      <c r="T188" s="4"/>
      <c r="U188" s="4"/>
      <c r="V188" s="4"/>
      <c r="W188" s="4"/>
    </row>
    <row r="189" spans="1:23" ht="15.75" customHeight="1">
      <c r="A189" s="4"/>
      <c r="B189" s="4"/>
      <c r="C189" s="4"/>
      <c r="D189" s="4"/>
      <c r="E189" s="4"/>
      <c r="F189" s="4"/>
      <c r="G189" s="4"/>
      <c r="H189" s="4"/>
      <c r="I189" s="4"/>
      <c r="J189" s="4"/>
      <c r="K189" s="4"/>
      <c r="L189" s="4"/>
      <c r="M189" s="4"/>
      <c r="N189" s="4"/>
      <c r="O189" s="4"/>
      <c r="P189" s="4"/>
      <c r="Q189" s="4"/>
      <c r="R189" s="53"/>
      <c r="S189" s="4"/>
      <c r="T189" s="4"/>
      <c r="U189" s="4"/>
      <c r="V189" s="4"/>
      <c r="W189" s="4"/>
    </row>
    <row r="190" spans="1:23" ht="15.75" customHeight="1">
      <c r="A190" s="4"/>
      <c r="B190" s="4"/>
      <c r="C190" s="4"/>
      <c r="D190" s="4"/>
      <c r="E190" s="4"/>
      <c r="F190" s="4"/>
      <c r="G190" s="4"/>
      <c r="H190" s="4"/>
      <c r="I190" s="4"/>
      <c r="J190" s="4"/>
      <c r="K190" s="4"/>
      <c r="L190" s="4"/>
      <c r="M190" s="4"/>
      <c r="N190" s="4"/>
      <c r="O190" s="4"/>
      <c r="P190" s="4"/>
      <c r="Q190" s="4"/>
      <c r="R190" s="53"/>
      <c r="S190" s="4"/>
      <c r="T190" s="4"/>
      <c r="U190" s="4"/>
      <c r="V190" s="4"/>
      <c r="W190" s="4"/>
    </row>
    <row r="191" spans="1:23" ht="15.75" customHeight="1">
      <c r="A191" s="4"/>
      <c r="B191" s="4"/>
      <c r="C191" s="4"/>
      <c r="D191" s="4"/>
      <c r="E191" s="4"/>
      <c r="F191" s="4"/>
      <c r="G191" s="4"/>
      <c r="H191" s="4"/>
      <c r="I191" s="4"/>
      <c r="J191" s="4"/>
      <c r="K191" s="4"/>
      <c r="L191" s="4"/>
      <c r="M191" s="4"/>
      <c r="N191" s="4"/>
      <c r="O191" s="4"/>
      <c r="P191" s="4"/>
      <c r="Q191" s="4"/>
      <c r="R191" s="53"/>
      <c r="S191" s="4"/>
      <c r="T191" s="4"/>
      <c r="U191" s="4"/>
      <c r="V191" s="4"/>
      <c r="W191" s="4"/>
    </row>
    <row r="192" spans="1:23" ht="15.75" customHeight="1">
      <c r="A192" s="4"/>
      <c r="B192" s="4"/>
      <c r="C192" s="4"/>
      <c r="D192" s="4"/>
      <c r="E192" s="4"/>
      <c r="F192" s="4"/>
      <c r="G192" s="4"/>
      <c r="H192" s="4"/>
      <c r="I192" s="4"/>
      <c r="J192" s="4"/>
      <c r="K192" s="4"/>
      <c r="L192" s="4"/>
      <c r="M192" s="4"/>
      <c r="N192" s="4"/>
      <c r="O192" s="4"/>
      <c r="P192" s="4"/>
      <c r="Q192" s="4"/>
      <c r="R192" s="53"/>
      <c r="S192" s="4"/>
      <c r="T192" s="4"/>
      <c r="U192" s="4"/>
      <c r="V192" s="4"/>
      <c r="W192" s="4"/>
    </row>
    <row r="193" spans="1:23" ht="15.75" customHeight="1">
      <c r="A193" s="4"/>
      <c r="B193" s="4"/>
      <c r="C193" s="4"/>
      <c r="D193" s="4"/>
      <c r="E193" s="4"/>
      <c r="F193" s="4"/>
      <c r="G193" s="4"/>
      <c r="H193" s="4"/>
      <c r="I193" s="4"/>
      <c r="J193" s="4"/>
      <c r="K193" s="4"/>
      <c r="L193" s="4"/>
      <c r="M193" s="4"/>
      <c r="N193" s="4"/>
      <c r="O193" s="4"/>
      <c r="P193" s="4"/>
      <c r="Q193" s="4"/>
      <c r="R193" s="53"/>
      <c r="S193" s="4"/>
      <c r="T193" s="4"/>
      <c r="U193" s="4"/>
      <c r="V193" s="4"/>
      <c r="W193" s="4"/>
    </row>
    <row r="194" spans="1:23" ht="15.75" customHeight="1">
      <c r="A194" s="4"/>
      <c r="B194" s="4"/>
      <c r="C194" s="4"/>
      <c r="D194" s="4"/>
      <c r="E194" s="4"/>
      <c r="F194" s="4"/>
      <c r="G194" s="4"/>
      <c r="H194" s="4"/>
      <c r="I194" s="4"/>
      <c r="J194" s="4"/>
      <c r="K194" s="4"/>
      <c r="L194" s="4"/>
      <c r="M194" s="4"/>
      <c r="N194" s="4"/>
      <c r="O194" s="4"/>
      <c r="P194" s="4"/>
      <c r="Q194" s="4"/>
      <c r="R194" s="53"/>
      <c r="S194" s="4"/>
      <c r="T194" s="4"/>
      <c r="U194" s="4"/>
      <c r="V194" s="4"/>
      <c r="W194" s="4"/>
    </row>
    <row r="195" spans="1:23" ht="15.75" customHeight="1">
      <c r="A195" s="4"/>
      <c r="B195" s="4"/>
      <c r="C195" s="4"/>
      <c r="D195" s="4"/>
      <c r="E195" s="4"/>
      <c r="F195" s="4"/>
      <c r="G195" s="4"/>
      <c r="H195" s="4"/>
      <c r="I195" s="4"/>
      <c r="J195" s="4"/>
      <c r="K195" s="4"/>
      <c r="L195" s="4"/>
      <c r="M195" s="4"/>
      <c r="N195" s="4"/>
      <c r="O195" s="4"/>
      <c r="P195" s="4"/>
      <c r="Q195" s="4"/>
      <c r="R195" s="53"/>
      <c r="S195" s="4"/>
      <c r="T195" s="4"/>
      <c r="U195" s="4"/>
      <c r="V195" s="4"/>
      <c r="W195" s="4"/>
    </row>
    <row r="196" spans="1:23" ht="15.75" customHeight="1">
      <c r="A196" s="4"/>
      <c r="B196" s="4"/>
      <c r="C196" s="4"/>
      <c r="D196" s="4"/>
      <c r="E196" s="4"/>
      <c r="F196" s="4"/>
      <c r="G196" s="4"/>
      <c r="H196" s="4"/>
      <c r="I196" s="4"/>
      <c r="J196" s="4"/>
      <c r="K196" s="4"/>
      <c r="L196" s="4"/>
      <c r="M196" s="4"/>
      <c r="N196" s="4"/>
      <c r="O196" s="4"/>
      <c r="P196" s="4"/>
      <c r="Q196" s="4"/>
      <c r="R196" s="53"/>
      <c r="S196" s="4"/>
      <c r="T196" s="4"/>
      <c r="U196" s="4"/>
      <c r="V196" s="4"/>
      <c r="W196" s="4"/>
    </row>
    <row r="197" spans="1:23" ht="15.75" customHeight="1">
      <c r="A197" s="4"/>
      <c r="B197" s="4"/>
      <c r="C197" s="4"/>
      <c r="D197" s="4"/>
      <c r="E197" s="4"/>
      <c r="F197" s="4"/>
      <c r="G197" s="4"/>
      <c r="H197" s="4"/>
      <c r="I197" s="4"/>
      <c r="J197" s="4"/>
      <c r="K197" s="4"/>
      <c r="L197" s="4"/>
      <c r="M197" s="4"/>
      <c r="N197" s="4"/>
      <c r="O197" s="4"/>
      <c r="P197" s="4"/>
      <c r="Q197" s="4"/>
      <c r="R197" s="53"/>
      <c r="S197" s="4"/>
      <c r="T197" s="4"/>
      <c r="U197" s="4"/>
      <c r="V197" s="4"/>
      <c r="W197" s="4"/>
    </row>
    <row r="198" spans="1:23" ht="15.75" customHeight="1">
      <c r="A198" s="4"/>
      <c r="B198" s="4"/>
      <c r="C198" s="4"/>
      <c r="D198" s="4"/>
      <c r="E198" s="4"/>
      <c r="F198" s="4"/>
      <c r="G198" s="4"/>
      <c r="H198" s="4"/>
      <c r="I198" s="4"/>
      <c r="J198" s="4"/>
      <c r="K198" s="4"/>
      <c r="L198" s="4"/>
      <c r="M198" s="4"/>
      <c r="N198" s="4"/>
      <c r="O198" s="4"/>
      <c r="P198" s="4"/>
      <c r="Q198" s="4"/>
      <c r="R198" s="53"/>
      <c r="S198" s="4"/>
      <c r="T198" s="4"/>
      <c r="U198" s="4"/>
      <c r="V198" s="4"/>
      <c r="W198" s="4"/>
    </row>
    <row r="199" spans="1:23" ht="15.75" customHeight="1">
      <c r="A199" s="4"/>
      <c r="B199" s="4"/>
      <c r="C199" s="4"/>
      <c r="D199" s="4"/>
      <c r="E199" s="4"/>
      <c r="F199" s="4"/>
      <c r="G199" s="4"/>
      <c r="H199" s="4"/>
      <c r="I199" s="4"/>
      <c r="J199" s="4"/>
      <c r="K199" s="4"/>
      <c r="L199" s="4"/>
      <c r="M199" s="4"/>
      <c r="N199" s="4"/>
      <c r="O199" s="4"/>
      <c r="P199" s="4"/>
      <c r="Q199" s="4"/>
      <c r="R199" s="53"/>
      <c r="S199" s="4"/>
      <c r="T199" s="4"/>
      <c r="U199" s="4"/>
      <c r="V199" s="4"/>
      <c r="W199" s="4"/>
    </row>
    <row r="200" spans="1:23" ht="15.75" customHeight="1">
      <c r="A200" s="4"/>
      <c r="B200" s="4"/>
      <c r="C200" s="4"/>
      <c r="D200" s="4"/>
      <c r="E200" s="4"/>
      <c r="F200" s="4"/>
      <c r="G200" s="4"/>
      <c r="H200" s="4"/>
      <c r="I200" s="4"/>
      <c r="J200" s="4"/>
      <c r="K200" s="4"/>
      <c r="L200" s="4"/>
      <c r="M200" s="4"/>
      <c r="N200" s="4"/>
      <c r="O200" s="4"/>
      <c r="P200" s="4"/>
      <c r="Q200" s="4"/>
      <c r="R200" s="53"/>
      <c r="S200" s="4"/>
      <c r="T200" s="4"/>
      <c r="U200" s="4"/>
      <c r="V200" s="4"/>
      <c r="W200" s="4"/>
    </row>
    <row r="201" spans="1:23" ht="15.75" customHeight="1">
      <c r="A201" s="4"/>
      <c r="B201" s="4"/>
      <c r="C201" s="4"/>
      <c r="D201" s="4"/>
      <c r="E201" s="4"/>
      <c r="F201" s="4"/>
      <c r="G201" s="4"/>
      <c r="H201" s="4"/>
      <c r="I201" s="4"/>
      <c r="J201" s="4"/>
      <c r="K201" s="4"/>
      <c r="L201" s="4"/>
      <c r="M201" s="4"/>
      <c r="N201" s="4"/>
      <c r="O201" s="4"/>
      <c r="P201" s="4"/>
      <c r="Q201" s="4"/>
      <c r="R201" s="53"/>
      <c r="S201" s="4"/>
      <c r="T201" s="4"/>
      <c r="U201" s="4"/>
      <c r="V201" s="4"/>
      <c r="W201" s="4"/>
    </row>
    <row r="202" spans="1:23" ht="15.75" customHeight="1">
      <c r="A202" s="4"/>
      <c r="B202" s="4"/>
      <c r="C202" s="4"/>
      <c r="D202" s="4"/>
      <c r="E202" s="4"/>
      <c r="F202" s="4"/>
      <c r="G202" s="4"/>
      <c r="H202" s="4"/>
      <c r="I202" s="4"/>
      <c r="J202" s="4"/>
      <c r="K202" s="4"/>
      <c r="L202" s="4"/>
      <c r="M202" s="4"/>
      <c r="N202" s="4"/>
      <c r="O202" s="4"/>
      <c r="P202" s="4"/>
      <c r="Q202" s="4"/>
      <c r="R202" s="53"/>
      <c r="S202" s="4"/>
      <c r="T202" s="4"/>
      <c r="U202" s="4"/>
      <c r="V202" s="4"/>
      <c r="W202" s="4"/>
    </row>
    <row r="203" spans="1:23" ht="15.75" customHeight="1">
      <c r="A203" s="4"/>
      <c r="B203" s="4"/>
      <c r="C203" s="4"/>
      <c r="D203" s="4"/>
      <c r="E203" s="4"/>
      <c r="F203" s="4"/>
      <c r="G203" s="4"/>
      <c r="H203" s="4"/>
      <c r="I203" s="4"/>
      <c r="J203" s="4"/>
      <c r="K203" s="4"/>
      <c r="L203" s="4"/>
      <c r="M203" s="4"/>
      <c r="N203" s="4"/>
      <c r="O203" s="4"/>
      <c r="P203" s="4"/>
      <c r="Q203" s="4"/>
      <c r="R203" s="53"/>
      <c r="S203" s="4"/>
      <c r="T203" s="4"/>
      <c r="U203" s="4"/>
      <c r="V203" s="4"/>
      <c r="W203" s="4"/>
    </row>
    <row r="204" spans="1:23" ht="15.75" customHeight="1">
      <c r="A204" s="4"/>
      <c r="B204" s="4"/>
      <c r="C204" s="4"/>
      <c r="D204" s="4"/>
      <c r="E204" s="4"/>
      <c r="F204" s="4"/>
      <c r="G204" s="4"/>
      <c r="H204" s="4"/>
      <c r="I204" s="4"/>
      <c r="J204" s="4"/>
      <c r="K204" s="4"/>
      <c r="L204" s="4"/>
      <c r="M204" s="4"/>
      <c r="N204" s="4"/>
      <c r="O204" s="4"/>
      <c r="P204" s="4"/>
      <c r="Q204" s="4"/>
      <c r="R204" s="53"/>
      <c r="S204" s="4"/>
      <c r="T204" s="4"/>
      <c r="U204" s="4"/>
      <c r="V204" s="4"/>
      <c r="W204" s="4"/>
    </row>
    <row r="205" spans="1:23" ht="15.75" customHeight="1">
      <c r="A205" s="4"/>
      <c r="B205" s="4"/>
      <c r="C205" s="4"/>
      <c r="D205" s="4"/>
      <c r="E205" s="4"/>
      <c r="F205" s="4"/>
      <c r="G205" s="4"/>
      <c r="H205" s="4"/>
      <c r="I205" s="4"/>
      <c r="J205" s="4"/>
      <c r="K205" s="4"/>
      <c r="L205" s="4"/>
      <c r="M205" s="4"/>
      <c r="N205" s="4"/>
      <c r="O205" s="4"/>
      <c r="P205" s="4"/>
      <c r="Q205" s="4"/>
      <c r="R205" s="53"/>
      <c r="S205" s="4"/>
      <c r="T205" s="4"/>
      <c r="U205" s="4"/>
      <c r="V205" s="4"/>
      <c r="W205" s="4"/>
    </row>
    <row r="206" spans="1:23" ht="15.75" customHeight="1">
      <c r="A206" s="4"/>
      <c r="B206" s="4"/>
      <c r="C206" s="4"/>
      <c r="D206" s="4"/>
      <c r="E206" s="4"/>
      <c r="F206" s="4"/>
      <c r="G206" s="4"/>
      <c r="H206" s="4"/>
      <c r="I206" s="4"/>
      <c r="J206" s="4"/>
      <c r="K206" s="4"/>
      <c r="L206" s="4"/>
      <c r="M206" s="4"/>
      <c r="N206" s="4"/>
      <c r="O206" s="4"/>
      <c r="P206" s="4"/>
      <c r="Q206" s="4"/>
      <c r="R206" s="53"/>
      <c r="S206" s="4"/>
      <c r="T206" s="4"/>
      <c r="U206" s="4"/>
      <c r="V206" s="4"/>
      <c r="W206" s="4"/>
    </row>
    <row r="207" spans="1:23" ht="15.75" customHeight="1">
      <c r="A207" s="4"/>
      <c r="B207" s="4"/>
      <c r="C207" s="4"/>
      <c r="D207" s="4"/>
      <c r="E207" s="4"/>
      <c r="F207" s="4"/>
      <c r="G207" s="4"/>
      <c r="H207" s="4"/>
      <c r="I207" s="4"/>
      <c r="J207" s="4"/>
      <c r="K207" s="4"/>
      <c r="L207" s="4"/>
      <c r="M207" s="4"/>
      <c r="N207" s="4"/>
      <c r="O207" s="4"/>
      <c r="P207" s="4"/>
      <c r="Q207" s="4"/>
      <c r="R207" s="53"/>
      <c r="S207" s="4"/>
      <c r="T207" s="4"/>
      <c r="U207" s="4"/>
      <c r="V207" s="4"/>
      <c r="W207" s="4"/>
    </row>
    <row r="208" spans="1:23" ht="15.75" customHeight="1">
      <c r="A208" s="4"/>
      <c r="B208" s="4"/>
      <c r="C208" s="4"/>
      <c r="D208" s="4"/>
      <c r="E208" s="4"/>
      <c r="F208" s="4"/>
      <c r="G208" s="4"/>
      <c r="H208" s="4"/>
      <c r="I208" s="4"/>
      <c r="J208" s="4"/>
      <c r="K208" s="4"/>
      <c r="L208" s="4"/>
      <c r="M208" s="4"/>
      <c r="N208" s="4"/>
      <c r="O208" s="4"/>
      <c r="P208" s="4"/>
      <c r="Q208" s="4"/>
      <c r="R208" s="53"/>
      <c r="S208" s="4"/>
      <c r="T208" s="4"/>
      <c r="U208" s="4"/>
      <c r="V208" s="4"/>
      <c r="W208" s="4"/>
    </row>
    <row r="209" spans="1:23" ht="15.75" customHeight="1">
      <c r="A209" s="4"/>
      <c r="B209" s="4"/>
      <c r="C209" s="4"/>
      <c r="D209" s="4"/>
      <c r="E209" s="4"/>
      <c r="F209" s="4"/>
      <c r="G209" s="4"/>
      <c r="H209" s="4"/>
      <c r="I209" s="4"/>
      <c r="J209" s="4"/>
      <c r="K209" s="4"/>
      <c r="L209" s="4"/>
      <c r="M209" s="4"/>
      <c r="N209" s="4"/>
      <c r="O209" s="4"/>
      <c r="P209" s="4"/>
      <c r="Q209" s="4"/>
      <c r="R209" s="53"/>
      <c r="S209" s="4"/>
      <c r="T209" s="4"/>
      <c r="U209" s="4"/>
      <c r="V209" s="4"/>
      <c r="W209" s="4"/>
    </row>
    <row r="210" spans="1:23" ht="15.75" customHeight="1">
      <c r="A210" s="4"/>
      <c r="B210" s="4"/>
      <c r="C210" s="4"/>
      <c r="D210" s="4"/>
      <c r="E210" s="4"/>
      <c r="F210" s="4"/>
      <c r="G210" s="4"/>
      <c r="H210" s="4"/>
      <c r="I210" s="4"/>
      <c r="J210" s="4"/>
      <c r="K210" s="4"/>
      <c r="L210" s="4"/>
      <c r="M210" s="4"/>
      <c r="N210" s="4"/>
      <c r="O210" s="4"/>
      <c r="P210" s="4"/>
      <c r="Q210" s="4"/>
      <c r="R210" s="53"/>
      <c r="S210" s="4"/>
      <c r="T210" s="4"/>
      <c r="U210" s="4"/>
      <c r="V210" s="4"/>
      <c r="W210" s="4"/>
    </row>
    <row r="211" spans="1:23" ht="15.75" customHeight="1">
      <c r="A211" s="4"/>
      <c r="B211" s="4"/>
      <c r="C211" s="4"/>
      <c r="D211" s="4"/>
      <c r="E211" s="4"/>
      <c r="F211" s="4"/>
      <c r="G211" s="4"/>
      <c r="H211" s="4"/>
      <c r="I211" s="4"/>
      <c r="J211" s="4"/>
      <c r="K211" s="4"/>
      <c r="L211" s="4"/>
      <c r="M211" s="4"/>
      <c r="N211" s="4"/>
      <c r="O211" s="4"/>
      <c r="P211" s="4"/>
      <c r="Q211" s="4"/>
      <c r="R211" s="53"/>
      <c r="S211" s="4"/>
      <c r="T211" s="4"/>
      <c r="U211" s="4"/>
      <c r="V211" s="4"/>
      <c r="W211" s="4"/>
    </row>
    <row r="212" spans="1:23" ht="15.75" customHeight="1">
      <c r="A212" s="4"/>
      <c r="B212" s="4"/>
      <c r="C212" s="4"/>
      <c r="D212" s="4"/>
      <c r="E212" s="4"/>
      <c r="F212" s="4"/>
      <c r="G212" s="4"/>
      <c r="H212" s="4"/>
      <c r="I212" s="4"/>
      <c r="J212" s="4"/>
      <c r="K212" s="4"/>
      <c r="L212" s="4"/>
      <c r="M212" s="4"/>
      <c r="N212" s="4"/>
      <c r="O212" s="4"/>
      <c r="P212" s="4"/>
      <c r="Q212" s="4"/>
      <c r="R212" s="53"/>
      <c r="S212" s="4"/>
      <c r="T212" s="4"/>
      <c r="U212" s="4"/>
      <c r="V212" s="4"/>
      <c r="W212" s="4"/>
    </row>
    <row r="213" spans="1:23" ht="15.75" customHeight="1">
      <c r="A213" s="4"/>
      <c r="B213" s="4"/>
      <c r="C213" s="4"/>
      <c r="D213" s="4"/>
      <c r="E213" s="4"/>
      <c r="F213" s="4"/>
      <c r="G213" s="4"/>
      <c r="H213" s="4"/>
      <c r="I213" s="4"/>
      <c r="J213" s="4"/>
      <c r="K213" s="4"/>
      <c r="L213" s="4"/>
      <c r="M213" s="4"/>
      <c r="N213" s="4"/>
      <c r="O213" s="4"/>
      <c r="P213" s="4"/>
      <c r="Q213" s="4"/>
      <c r="R213" s="53"/>
      <c r="S213" s="4"/>
      <c r="T213" s="4"/>
      <c r="U213" s="4"/>
      <c r="V213" s="4"/>
      <c r="W213" s="4"/>
    </row>
    <row r="214" spans="1:23" ht="15.75" customHeight="1">
      <c r="A214" s="4"/>
      <c r="B214" s="4"/>
      <c r="C214" s="4"/>
      <c r="D214" s="4"/>
      <c r="E214" s="4"/>
      <c r="F214" s="4"/>
      <c r="G214" s="4"/>
      <c r="H214" s="4"/>
      <c r="I214" s="4"/>
      <c r="J214" s="4"/>
      <c r="K214" s="4"/>
      <c r="L214" s="4"/>
      <c r="M214" s="4"/>
      <c r="N214" s="4"/>
      <c r="O214" s="4"/>
      <c r="P214" s="4"/>
      <c r="Q214" s="4"/>
      <c r="R214" s="53"/>
      <c r="S214" s="4"/>
      <c r="T214" s="4"/>
      <c r="U214" s="4"/>
      <c r="V214" s="4"/>
      <c r="W214" s="4"/>
    </row>
    <row r="215" spans="1:23" ht="15.75" customHeight="1">
      <c r="A215" s="4"/>
      <c r="B215" s="4"/>
      <c r="C215" s="4"/>
      <c r="D215" s="4"/>
      <c r="E215" s="4"/>
      <c r="F215" s="4"/>
      <c r="G215" s="4"/>
      <c r="H215" s="4"/>
      <c r="I215" s="4"/>
      <c r="J215" s="4"/>
      <c r="K215" s="4"/>
      <c r="L215" s="4"/>
      <c r="M215" s="4"/>
      <c r="N215" s="4"/>
      <c r="O215" s="4"/>
      <c r="P215" s="4"/>
      <c r="Q215" s="4"/>
      <c r="R215" s="53"/>
      <c r="S215" s="4"/>
      <c r="T215" s="4"/>
      <c r="U215" s="4"/>
      <c r="V215" s="4"/>
      <c r="W215" s="4"/>
    </row>
    <row r="216" spans="1:23" ht="15.75" customHeight="1">
      <c r="A216" s="4"/>
      <c r="B216" s="4"/>
      <c r="C216" s="4"/>
      <c r="D216" s="4"/>
      <c r="E216" s="4"/>
      <c r="F216" s="4"/>
      <c r="G216" s="4"/>
      <c r="H216" s="4"/>
      <c r="I216" s="4"/>
      <c r="J216" s="4"/>
      <c r="K216" s="4"/>
      <c r="L216" s="4"/>
      <c r="M216" s="4"/>
      <c r="N216" s="4"/>
      <c r="O216" s="4"/>
      <c r="P216" s="4"/>
      <c r="Q216" s="4"/>
      <c r="R216" s="53"/>
      <c r="S216" s="4"/>
      <c r="T216" s="4"/>
      <c r="U216" s="4"/>
      <c r="V216" s="4"/>
      <c r="W216" s="4"/>
    </row>
    <row r="217" spans="1:23" ht="15.75" customHeight="1">
      <c r="A217" s="4"/>
      <c r="B217" s="4"/>
      <c r="C217" s="4"/>
      <c r="D217" s="4"/>
      <c r="E217" s="4"/>
      <c r="F217" s="4"/>
      <c r="G217" s="4"/>
      <c r="H217" s="4"/>
      <c r="I217" s="4"/>
      <c r="J217" s="4"/>
      <c r="K217" s="4"/>
      <c r="L217" s="4"/>
      <c r="M217" s="4"/>
      <c r="N217" s="4"/>
      <c r="O217" s="4"/>
      <c r="P217" s="4"/>
      <c r="Q217" s="4"/>
      <c r="R217" s="53"/>
      <c r="S217" s="4"/>
      <c r="T217" s="4"/>
      <c r="U217" s="4"/>
      <c r="V217" s="4"/>
      <c r="W217" s="4"/>
    </row>
    <row r="218" spans="1:23" ht="15.75" customHeight="1">
      <c r="A218" s="4"/>
      <c r="B218" s="4"/>
      <c r="C218" s="4"/>
      <c r="D218" s="4"/>
      <c r="E218" s="4"/>
      <c r="F218" s="4"/>
      <c r="G218" s="4"/>
      <c r="H218" s="4"/>
      <c r="I218" s="4"/>
      <c r="J218" s="4"/>
      <c r="K218" s="4"/>
      <c r="L218" s="4"/>
      <c r="M218" s="4"/>
      <c r="N218" s="4"/>
      <c r="O218" s="4"/>
      <c r="P218" s="4"/>
      <c r="Q218" s="4"/>
      <c r="R218" s="53"/>
      <c r="S218" s="4"/>
      <c r="T218" s="4"/>
      <c r="U218" s="4"/>
      <c r="V218" s="4"/>
      <c r="W218" s="4"/>
    </row>
    <row r="219" spans="1:23" ht="15.75" customHeight="1">
      <c r="A219" s="4"/>
      <c r="B219" s="4"/>
      <c r="C219" s="4"/>
      <c r="D219" s="4"/>
      <c r="E219" s="4"/>
      <c r="F219" s="4"/>
      <c r="G219" s="4"/>
      <c r="H219" s="4"/>
      <c r="I219" s="4"/>
      <c r="J219" s="4"/>
      <c r="K219" s="4"/>
      <c r="L219" s="4"/>
      <c r="M219" s="4"/>
      <c r="N219" s="4"/>
      <c r="O219" s="4"/>
      <c r="P219" s="4"/>
      <c r="Q219" s="4"/>
      <c r="R219" s="53"/>
      <c r="S219" s="4"/>
      <c r="T219" s="4"/>
      <c r="U219" s="4"/>
      <c r="V219" s="4"/>
      <c r="W219" s="4"/>
    </row>
    <row r="220" spans="1:23" ht="15.75" customHeight="1">
      <c r="A220" s="4"/>
      <c r="B220" s="4"/>
      <c r="C220" s="4"/>
      <c r="D220" s="4"/>
      <c r="E220" s="4"/>
      <c r="F220" s="4"/>
      <c r="G220" s="4"/>
      <c r="H220" s="4"/>
      <c r="I220" s="4"/>
      <c r="J220" s="4"/>
      <c r="K220" s="4"/>
      <c r="L220" s="4"/>
      <c r="M220" s="4"/>
      <c r="N220" s="4"/>
      <c r="O220" s="4"/>
      <c r="P220" s="4"/>
      <c r="Q220" s="4"/>
      <c r="R220" s="53"/>
      <c r="S220" s="4"/>
      <c r="T220" s="4"/>
      <c r="U220" s="4"/>
      <c r="V220" s="4"/>
      <c r="W220" s="4"/>
    </row>
    <row r="221" spans="1:23" ht="15.75" customHeight="1">
      <c r="A221" s="4"/>
      <c r="B221" s="4"/>
      <c r="C221" s="4"/>
      <c r="D221" s="4"/>
      <c r="E221" s="4"/>
      <c r="F221" s="4"/>
      <c r="G221" s="4"/>
      <c r="H221" s="4"/>
      <c r="I221" s="4"/>
      <c r="J221" s="4"/>
      <c r="K221" s="4"/>
      <c r="L221" s="4"/>
      <c r="M221" s="4"/>
      <c r="N221" s="4"/>
      <c r="O221" s="4"/>
      <c r="P221" s="4"/>
      <c r="Q221" s="4"/>
      <c r="R221" s="53"/>
      <c r="S221" s="4"/>
      <c r="T221" s="4"/>
      <c r="U221" s="4"/>
      <c r="V221" s="4"/>
      <c r="W221" s="4"/>
    </row>
    <row r="222" spans="1:23" ht="15.75" customHeight="1">
      <c r="A222" s="4"/>
      <c r="B222" s="4"/>
      <c r="C222" s="4"/>
      <c r="D222" s="4"/>
      <c r="E222" s="4"/>
      <c r="F222" s="4"/>
      <c r="G222" s="4"/>
      <c r="H222" s="4"/>
      <c r="I222" s="4"/>
      <c r="J222" s="4"/>
      <c r="K222" s="4"/>
      <c r="L222" s="4"/>
      <c r="M222" s="4"/>
      <c r="N222" s="4"/>
      <c r="O222" s="4"/>
      <c r="P222" s="4"/>
      <c r="Q222" s="4"/>
      <c r="R222" s="53"/>
      <c r="S222" s="4"/>
      <c r="T222" s="4"/>
      <c r="U222" s="4"/>
      <c r="V222" s="4"/>
      <c r="W222" s="4"/>
    </row>
    <row r="223" spans="1:23" ht="15.75" customHeight="1">
      <c r="A223" s="4"/>
      <c r="B223" s="4"/>
      <c r="C223" s="4"/>
      <c r="D223" s="4"/>
      <c r="E223" s="4"/>
      <c r="F223" s="4"/>
      <c r="G223" s="4"/>
      <c r="H223" s="4"/>
      <c r="I223" s="4"/>
      <c r="J223" s="4"/>
      <c r="K223" s="4"/>
      <c r="L223" s="4"/>
      <c r="M223" s="4"/>
      <c r="N223" s="4"/>
      <c r="O223" s="4"/>
      <c r="P223" s="4"/>
      <c r="Q223" s="4"/>
      <c r="R223" s="53"/>
      <c r="S223" s="4"/>
      <c r="T223" s="4"/>
      <c r="U223" s="4"/>
      <c r="V223" s="4"/>
      <c r="W223" s="4"/>
    </row>
    <row r="224" spans="1:23" ht="15.75" customHeight="1">
      <c r="A224" s="4"/>
      <c r="B224" s="4"/>
      <c r="C224" s="4"/>
      <c r="D224" s="4"/>
      <c r="E224" s="4"/>
      <c r="F224" s="4"/>
      <c r="G224" s="4"/>
      <c r="H224" s="4"/>
      <c r="I224" s="4"/>
      <c r="J224" s="4"/>
      <c r="K224" s="4"/>
      <c r="L224" s="4"/>
      <c r="M224" s="4"/>
      <c r="N224" s="4"/>
      <c r="O224" s="4"/>
      <c r="P224" s="4"/>
      <c r="Q224" s="4"/>
      <c r="R224" s="53"/>
      <c r="S224" s="4"/>
      <c r="T224" s="4"/>
      <c r="U224" s="4"/>
      <c r="V224" s="4"/>
      <c r="W224" s="4"/>
    </row>
    <row r="225" spans="1:23" ht="15.75" customHeight="1">
      <c r="A225" s="4"/>
      <c r="B225" s="4"/>
      <c r="C225" s="4"/>
      <c r="D225" s="4"/>
      <c r="E225" s="4"/>
      <c r="F225" s="4"/>
      <c r="G225" s="4"/>
      <c r="H225" s="4"/>
      <c r="I225" s="4"/>
      <c r="J225" s="4"/>
      <c r="K225" s="4"/>
      <c r="L225" s="4"/>
      <c r="M225" s="4"/>
      <c r="N225" s="4"/>
      <c r="O225" s="4"/>
      <c r="P225" s="4"/>
      <c r="Q225" s="4"/>
      <c r="R225" s="53"/>
      <c r="S225" s="4"/>
      <c r="T225" s="4"/>
      <c r="U225" s="4"/>
      <c r="V225" s="4"/>
      <c r="W225" s="4"/>
    </row>
    <row r="226" spans="1:23" ht="15.75" customHeight="1">
      <c r="A226" s="4"/>
      <c r="B226" s="4"/>
      <c r="C226" s="4"/>
      <c r="D226" s="4"/>
      <c r="E226" s="4"/>
      <c r="F226" s="4"/>
      <c r="G226" s="4"/>
      <c r="H226" s="4"/>
      <c r="I226" s="4"/>
      <c r="J226" s="4"/>
      <c r="K226" s="4"/>
      <c r="L226" s="4"/>
      <c r="M226" s="4"/>
      <c r="N226" s="4"/>
      <c r="O226" s="4"/>
      <c r="P226" s="4"/>
      <c r="Q226" s="4"/>
      <c r="R226" s="53"/>
      <c r="S226" s="4"/>
      <c r="T226" s="4"/>
      <c r="U226" s="4"/>
      <c r="V226" s="4"/>
      <c r="W226" s="4"/>
    </row>
    <row r="227" spans="1:23" ht="15.75" customHeight="1">
      <c r="A227" s="4"/>
      <c r="B227" s="4"/>
      <c r="C227" s="4"/>
      <c r="D227" s="4"/>
      <c r="E227" s="4"/>
      <c r="F227" s="4"/>
      <c r="G227" s="4"/>
      <c r="H227" s="4"/>
      <c r="I227" s="4"/>
      <c r="J227" s="4"/>
      <c r="K227" s="4"/>
      <c r="L227" s="4"/>
      <c r="M227" s="4"/>
      <c r="N227" s="4"/>
      <c r="O227" s="4"/>
      <c r="P227" s="4"/>
      <c r="Q227" s="4"/>
      <c r="R227" s="53"/>
      <c r="S227" s="4"/>
      <c r="T227" s="4"/>
      <c r="U227" s="4"/>
      <c r="V227" s="4"/>
      <c r="W227" s="4"/>
    </row>
    <row r="228" spans="1:23" ht="15.75" customHeight="1">
      <c r="A228" s="4"/>
      <c r="B228" s="4"/>
      <c r="C228" s="4"/>
      <c r="D228" s="4"/>
      <c r="E228" s="4"/>
      <c r="F228" s="4"/>
      <c r="G228" s="4"/>
      <c r="H228" s="4"/>
      <c r="I228" s="4"/>
      <c r="J228" s="4"/>
      <c r="K228" s="4"/>
      <c r="L228" s="4"/>
      <c r="M228" s="4"/>
      <c r="N228" s="4"/>
      <c r="O228" s="4"/>
      <c r="P228" s="4"/>
      <c r="Q228" s="4"/>
      <c r="R228" s="53"/>
      <c r="S228" s="4"/>
      <c r="T228" s="4"/>
      <c r="U228" s="4"/>
      <c r="V228" s="4"/>
      <c r="W228" s="4"/>
    </row>
    <row r="229" spans="1:23" ht="15.75" customHeight="1">
      <c r="A229" s="4"/>
      <c r="B229" s="4"/>
      <c r="C229" s="4"/>
      <c r="D229" s="4"/>
      <c r="E229" s="4"/>
      <c r="F229" s="4"/>
      <c r="G229" s="4"/>
      <c r="H229" s="4"/>
      <c r="I229" s="4"/>
      <c r="J229" s="4"/>
      <c r="K229" s="4"/>
      <c r="L229" s="4"/>
      <c r="M229" s="4"/>
      <c r="N229" s="4"/>
      <c r="O229" s="4"/>
      <c r="P229" s="4"/>
      <c r="Q229" s="4"/>
      <c r="R229" s="53"/>
      <c r="S229" s="4"/>
      <c r="T229" s="4"/>
      <c r="U229" s="4"/>
      <c r="V229" s="4"/>
      <c r="W229" s="4"/>
    </row>
    <row r="230" spans="1:23" ht="15.75" customHeight="1">
      <c r="A230" s="4"/>
      <c r="B230" s="4"/>
      <c r="C230" s="4"/>
      <c r="D230" s="4"/>
      <c r="E230" s="4"/>
      <c r="F230" s="4"/>
      <c r="G230" s="4"/>
      <c r="H230" s="4"/>
      <c r="I230" s="4"/>
      <c r="J230" s="4"/>
      <c r="K230" s="4"/>
      <c r="L230" s="4"/>
      <c r="M230" s="4"/>
      <c r="N230" s="4"/>
      <c r="O230" s="4"/>
      <c r="P230" s="4"/>
      <c r="Q230" s="4"/>
      <c r="R230" s="53"/>
      <c r="S230" s="4"/>
      <c r="T230" s="4"/>
      <c r="U230" s="4"/>
      <c r="V230" s="4"/>
      <c r="W230" s="4"/>
    </row>
    <row r="231" spans="1:23" ht="15.75" customHeight="1">
      <c r="A231" s="4"/>
      <c r="B231" s="4"/>
      <c r="C231" s="4"/>
      <c r="D231" s="4"/>
      <c r="E231" s="4"/>
      <c r="F231" s="4"/>
      <c r="G231" s="4"/>
      <c r="H231" s="4"/>
      <c r="I231" s="4"/>
      <c r="J231" s="4"/>
      <c r="K231" s="4"/>
      <c r="L231" s="4"/>
      <c r="M231" s="4"/>
      <c r="N231" s="4"/>
      <c r="O231" s="4"/>
      <c r="P231" s="4"/>
      <c r="Q231" s="4"/>
      <c r="R231" s="53"/>
      <c r="S231" s="4"/>
      <c r="T231" s="4"/>
      <c r="U231" s="4"/>
      <c r="V231" s="4"/>
      <c r="W231" s="4"/>
    </row>
    <row r="232" spans="1:23" ht="15.75" customHeight="1">
      <c r="A232" s="4"/>
      <c r="B232" s="4"/>
      <c r="C232" s="4"/>
      <c r="D232" s="4"/>
      <c r="E232" s="4"/>
      <c r="F232" s="4"/>
      <c r="G232" s="4"/>
      <c r="H232" s="4"/>
      <c r="I232" s="4"/>
      <c r="J232" s="4"/>
      <c r="K232" s="4"/>
      <c r="L232" s="4"/>
      <c r="M232" s="4"/>
      <c r="N232" s="4"/>
      <c r="O232" s="4"/>
      <c r="P232" s="4"/>
      <c r="Q232" s="4"/>
      <c r="R232" s="53"/>
      <c r="S232" s="4"/>
      <c r="T232" s="4"/>
      <c r="U232" s="4"/>
      <c r="V232" s="4"/>
      <c r="W232" s="4"/>
    </row>
    <row r="233" spans="1:23" ht="15.75" customHeight="1">
      <c r="A233" s="4"/>
      <c r="B233" s="4"/>
      <c r="C233" s="4"/>
      <c r="D233" s="4"/>
      <c r="E233" s="4"/>
      <c r="F233" s="4"/>
      <c r="G233" s="4"/>
      <c r="H233" s="4"/>
      <c r="I233" s="4"/>
      <c r="J233" s="4"/>
      <c r="K233" s="4"/>
      <c r="L233" s="4"/>
      <c r="M233" s="4"/>
      <c r="N233" s="4"/>
      <c r="O233" s="4"/>
      <c r="P233" s="4"/>
      <c r="Q233" s="4"/>
      <c r="R233" s="53"/>
      <c r="S233" s="4"/>
      <c r="T233" s="4"/>
      <c r="U233" s="4"/>
      <c r="V233" s="4"/>
      <c r="W233" s="4"/>
    </row>
    <row r="234" spans="1:23" ht="15.75" customHeight="1">
      <c r="A234" s="4"/>
      <c r="B234" s="4"/>
      <c r="C234" s="4"/>
      <c r="D234" s="4"/>
      <c r="E234" s="4"/>
      <c r="F234" s="4"/>
      <c r="G234" s="4"/>
      <c r="H234" s="4"/>
      <c r="I234" s="4"/>
      <c r="J234" s="4"/>
      <c r="K234" s="4"/>
      <c r="L234" s="4"/>
      <c r="M234" s="4"/>
      <c r="N234" s="4"/>
      <c r="O234" s="4"/>
      <c r="P234" s="4"/>
      <c r="Q234" s="4"/>
      <c r="R234" s="53"/>
      <c r="S234" s="4"/>
      <c r="T234" s="4"/>
      <c r="U234" s="4"/>
      <c r="V234" s="4"/>
      <c r="W234" s="4"/>
    </row>
    <row r="235" spans="1:23" ht="15.75" customHeight="1">
      <c r="A235" s="4"/>
      <c r="B235" s="4"/>
      <c r="C235" s="4"/>
      <c r="D235" s="4"/>
      <c r="E235" s="4"/>
      <c r="F235" s="4"/>
      <c r="G235" s="4"/>
      <c r="H235" s="4"/>
      <c r="I235" s="4"/>
      <c r="J235" s="4"/>
      <c r="K235" s="4"/>
      <c r="L235" s="4"/>
      <c r="M235" s="4"/>
      <c r="N235" s="4"/>
      <c r="O235" s="4"/>
      <c r="P235" s="4"/>
      <c r="Q235" s="4"/>
      <c r="R235" s="53"/>
      <c r="S235" s="4"/>
      <c r="T235" s="4"/>
      <c r="U235" s="4"/>
      <c r="V235" s="4"/>
      <c r="W235" s="4"/>
    </row>
    <row r="236" spans="1:23" ht="15.75" customHeight="1">
      <c r="A236" s="4"/>
      <c r="B236" s="4"/>
      <c r="C236" s="4"/>
      <c r="D236" s="4"/>
      <c r="E236" s="4"/>
      <c r="F236" s="4"/>
      <c r="G236" s="4"/>
      <c r="H236" s="4"/>
      <c r="I236" s="4"/>
      <c r="J236" s="4"/>
      <c r="K236" s="4"/>
      <c r="L236" s="4"/>
      <c r="M236" s="4"/>
      <c r="N236" s="4"/>
      <c r="O236" s="4"/>
      <c r="P236" s="4"/>
      <c r="Q236" s="4"/>
      <c r="R236" s="53"/>
      <c r="S236" s="4"/>
      <c r="T236" s="4"/>
      <c r="U236" s="4"/>
      <c r="V236" s="4"/>
      <c r="W236" s="4"/>
    </row>
    <row r="237" spans="1:23" ht="15.75" customHeight="1">
      <c r="A237" s="4"/>
      <c r="B237" s="4"/>
      <c r="C237" s="4"/>
      <c r="D237" s="4"/>
      <c r="E237" s="4"/>
      <c r="F237" s="4"/>
      <c r="G237" s="4"/>
      <c r="H237" s="4"/>
      <c r="I237" s="4"/>
      <c r="J237" s="4"/>
      <c r="K237" s="4"/>
      <c r="L237" s="4"/>
      <c r="M237" s="4"/>
      <c r="N237" s="4"/>
      <c r="O237" s="4"/>
      <c r="P237" s="4"/>
      <c r="Q237" s="4"/>
      <c r="R237" s="53"/>
      <c r="S237" s="4"/>
      <c r="T237" s="4"/>
      <c r="U237" s="4"/>
      <c r="V237" s="4"/>
      <c r="W237" s="4"/>
    </row>
    <row r="238" spans="1:23" ht="15.75" customHeight="1">
      <c r="A238" s="4"/>
      <c r="B238" s="4"/>
      <c r="C238" s="4"/>
      <c r="D238" s="4"/>
      <c r="E238" s="4"/>
      <c r="F238" s="4"/>
      <c r="G238" s="4"/>
      <c r="H238" s="4"/>
      <c r="I238" s="4"/>
      <c r="J238" s="4"/>
      <c r="K238" s="4"/>
      <c r="L238" s="4"/>
      <c r="M238" s="4"/>
      <c r="N238" s="4"/>
      <c r="O238" s="4"/>
      <c r="P238" s="4"/>
      <c r="Q238" s="4"/>
      <c r="R238" s="53"/>
      <c r="S238" s="4"/>
      <c r="T238" s="4"/>
      <c r="U238" s="4"/>
      <c r="V238" s="4"/>
      <c r="W238" s="4"/>
    </row>
    <row r="239" spans="1:23" ht="15.75" customHeight="1">
      <c r="A239" s="4"/>
      <c r="B239" s="4"/>
      <c r="C239" s="4"/>
      <c r="D239" s="4"/>
      <c r="E239" s="4"/>
      <c r="F239" s="4"/>
      <c r="G239" s="4"/>
      <c r="H239" s="4"/>
      <c r="I239" s="4"/>
      <c r="J239" s="4"/>
      <c r="K239" s="4"/>
      <c r="L239" s="4"/>
      <c r="M239" s="4"/>
      <c r="N239" s="4"/>
      <c r="O239" s="4"/>
      <c r="P239" s="4"/>
      <c r="Q239" s="4"/>
      <c r="R239" s="53"/>
      <c r="S239" s="4"/>
      <c r="T239" s="4"/>
      <c r="U239" s="4"/>
      <c r="V239" s="4"/>
      <c r="W239" s="4"/>
    </row>
    <row r="240" spans="1:23" ht="15.75" customHeight="1">
      <c r="A240" s="4"/>
      <c r="B240" s="4"/>
      <c r="C240" s="4"/>
      <c r="D240" s="4"/>
      <c r="E240" s="4"/>
      <c r="F240" s="4"/>
      <c r="G240" s="4"/>
      <c r="H240" s="4"/>
      <c r="I240" s="4"/>
      <c r="J240" s="4"/>
      <c r="K240" s="4"/>
      <c r="L240" s="4"/>
      <c r="M240" s="4"/>
      <c r="N240" s="4"/>
      <c r="O240" s="4"/>
      <c r="P240" s="4"/>
      <c r="Q240" s="4"/>
      <c r="R240" s="53"/>
      <c r="S240" s="4"/>
      <c r="T240" s="4"/>
      <c r="U240" s="4"/>
      <c r="V240" s="4"/>
      <c r="W240" s="4"/>
    </row>
    <row r="241" spans="1:23" ht="15.75" customHeight="1">
      <c r="A241" s="4"/>
      <c r="B241" s="4"/>
      <c r="C241" s="4"/>
      <c r="D241" s="4"/>
      <c r="E241" s="4"/>
      <c r="F241" s="4"/>
      <c r="G241" s="4"/>
      <c r="H241" s="4"/>
      <c r="I241" s="4"/>
      <c r="J241" s="4"/>
      <c r="K241" s="4"/>
      <c r="L241" s="4"/>
      <c r="M241" s="4"/>
      <c r="N241" s="4"/>
      <c r="O241" s="4"/>
      <c r="P241" s="4"/>
      <c r="Q241" s="4"/>
      <c r="R241" s="53"/>
      <c r="S241" s="4"/>
      <c r="T241" s="4"/>
      <c r="U241" s="4"/>
      <c r="V241" s="4"/>
      <c r="W241" s="4"/>
    </row>
    <row r="242" spans="1:23" ht="15.75" customHeight="1">
      <c r="A242" s="4"/>
      <c r="B242" s="4"/>
      <c r="C242" s="4"/>
      <c r="D242" s="4"/>
      <c r="E242" s="4"/>
      <c r="F242" s="4"/>
      <c r="G242" s="4"/>
      <c r="H242" s="4"/>
      <c r="I242" s="4"/>
      <c r="J242" s="4"/>
      <c r="K242" s="4"/>
      <c r="L242" s="4"/>
      <c r="M242" s="4"/>
      <c r="N242" s="4"/>
      <c r="O242" s="4"/>
      <c r="P242" s="4"/>
      <c r="Q242" s="4"/>
      <c r="R242" s="53"/>
      <c r="S242" s="4"/>
      <c r="T242" s="4"/>
      <c r="U242" s="4"/>
      <c r="V242" s="4"/>
      <c r="W242" s="4"/>
    </row>
    <row r="243" spans="1:23" ht="15.75" customHeight="1">
      <c r="A243" s="4"/>
      <c r="B243" s="4"/>
      <c r="C243" s="4"/>
      <c r="D243" s="4"/>
      <c r="E243" s="4"/>
      <c r="F243" s="4"/>
      <c r="G243" s="4"/>
      <c r="H243" s="4"/>
      <c r="I243" s="4"/>
      <c r="J243" s="4"/>
      <c r="K243" s="4"/>
      <c r="L243" s="4"/>
      <c r="M243" s="4"/>
      <c r="N243" s="4"/>
      <c r="O243" s="4"/>
      <c r="P243" s="4"/>
      <c r="Q243" s="4"/>
      <c r="R243" s="53"/>
      <c r="S243" s="4"/>
      <c r="T243" s="4"/>
      <c r="U243" s="4"/>
      <c r="V243" s="4"/>
      <c r="W243" s="4"/>
    </row>
    <row r="244" spans="1:23" ht="15.75" customHeight="1">
      <c r="A244" s="4"/>
      <c r="B244" s="4"/>
      <c r="C244" s="4"/>
      <c r="D244" s="4"/>
      <c r="E244" s="4"/>
      <c r="F244" s="4"/>
      <c r="G244" s="4"/>
      <c r="H244" s="4"/>
      <c r="I244" s="4"/>
      <c r="J244" s="4"/>
      <c r="K244" s="4"/>
      <c r="L244" s="4"/>
      <c r="M244" s="4"/>
      <c r="N244" s="4"/>
      <c r="O244" s="4"/>
      <c r="P244" s="4"/>
      <c r="Q244" s="4"/>
      <c r="R244" s="53"/>
      <c r="S244" s="4"/>
      <c r="T244" s="4"/>
      <c r="U244" s="4"/>
      <c r="V244" s="4"/>
      <c r="W244" s="4"/>
    </row>
    <row r="245" spans="1:23" ht="15.75" customHeight="1">
      <c r="A245" s="4"/>
      <c r="B245" s="4"/>
      <c r="C245" s="4"/>
      <c r="D245" s="4"/>
      <c r="E245" s="4"/>
      <c r="F245" s="4"/>
      <c r="G245" s="4"/>
      <c r="H245" s="4"/>
      <c r="I245" s="4"/>
      <c r="J245" s="4"/>
      <c r="K245" s="4"/>
      <c r="L245" s="4"/>
      <c r="M245" s="4"/>
      <c r="N245" s="4"/>
      <c r="O245" s="4"/>
      <c r="P245" s="4"/>
      <c r="Q245" s="4"/>
      <c r="R245" s="53"/>
      <c r="S245" s="4"/>
      <c r="T245" s="4"/>
      <c r="U245" s="4"/>
      <c r="V245" s="4"/>
      <c r="W245" s="4"/>
    </row>
    <row r="246" spans="1:23" ht="15.75" customHeight="1">
      <c r="A246" s="4"/>
      <c r="B246" s="4"/>
      <c r="C246" s="4"/>
      <c r="D246" s="4"/>
      <c r="E246" s="4"/>
      <c r="F246" s="4"/>
      <c r="G246" s="4"/>
      <c r="H246" s="4"/>
      <c r="I246" s="4"/>
      <c r="J246" s="4"/>
      <c r="K246" s="4"/>
      <c r="L246" s="4"/>
      <c r="M246" s="4"/>
      <c r="N246" s="4"/>
      <c r="O246" s="4"/>
      <c r="P246" s="4"/>
      <c r="Q246" s="4"/>
      <c r="R246" s="53"/>
      <c r="S246" s="4"/>
      <c r="T246" s="4"/>
      <c r="U246" s="4"/>
      <c r="V246" s="4"/>
      <c r="W246" s="4"/>
    </row>
    <row r="247" spans="1:23" ht="15.75" customHeight="1">
      <c r="A247" s="4"/>
      <c r="B247" s="4"/>
      <c r="C247" s="4"/>
      <c r="D247" s="4"/>
      <c r="E247" s="4"/>
      <c r="F247" s="4"/>
      <c r="G247" s="4"/>
      <c r="H247" s="4"/>
      <c r="I247" s="4"/>
      <c r="J247" s="4"/>
      <c r="K247" s="4"/>
      <c r="L247" s="4"/>
      <c r="M247" s="4"/>
      <c r="N247" s="4"/>
      <c r="O247" s="4"/>
      <c r="P247" s="4"/>
      <c r="Q247" s="4"/>
      <c r="R247" s="53"/>
      <c r="S247" s="4"/>
      <c r="T247" s="4"/>
      <c r="U247" s="4"/>
      <c r="V247" s="4"/>
      <c r="W247" s="4"/>
    </row>
    <row r="248" spans="1:23" ht="15.75" customHeight="1">
      <c r="A248" s="4"/>
      <c r="B248" s="4"/>
      <c r="C248" s="4"/>
      <c r="D248" s="4"/>
      <c r="E248" s="4"/>
      <c r="F248" s="4"/>
      <c r="G248" s="4"/>
      <c r="H248" s="4"/>
      <c r="I248" s="4"/>
      <c r="J248" s="4"/>
      <c r="K248" s="4"/>
      <c r="L248" s="4"/>
      <c r="M248" s="4"/>
      <c r="N248" s="4"/>
      <c r="O248" s="4"/>
      <c r="P248" s="4"/>
      <c r="Q248" s="4"/>
      <c r="R248" s="53"/>
      <c r="S248" s="4"/>
      <c r="T248" s="4"/>
      <c r="U248" s="4"/>
      <c r="V248" s="4"/>
      <c r="W248" s="4"/>
    </row>
    <row r="249" spans="1:23" ht="15.75" customHeight="1">
      <c r="A249" s="4"/>
      <c r="B249" s="4"/>
      <c r="C249" s="4"/>
      <c r="D249" s="4"/>
      <c r="E249" s="4"/>
      <c r="F249" s="4"/>
      <c r="G249" s="4"/>
      <c r="H249" s="4"/>
      <c r="I249" s="4"/>
      <c r="J249" s="4"/>
      <c r="K249" s="4"/>
      <c r="L249" s="4"/>
      <c r="M249" s="4"/>
      <c r="N249" s="4"/>
      <c r="O249" s="4"/>
      <c r="P249" s="4"/>
      <c r="Q249" s="4"/>
      <c r="R249" s="53"/>
      <c r="S249" s="4"/>
      <c r="T249" s="4"/>
      <c r="U249" s="4"/>
      <c r="V249" s="4"/>
      <c r="W249" s="4"/>
    </row>
    <row r="250" spans="1:23" ht="15.75" customHeight="1">
      <c r="A250" s="4"/>
      <c r="B250" s="4"/>
      <c r="C250" s="4"/>
      <c r="D250" s="4"/>
      <c r="E250" s="4"/>
      <c r="F250" s="4"/>
      <c r="G250" s="4"/>
      <c r="H250" s="4"/>
      <c r="I250" s="4"/>
      <c r="J250" s="4"/>
      <c r="K250" s="4"/>
      <c r="L250" s="4"/>
      <c r="M250" s="4"/>
      <c r="N250" s="4"/>
      <c r="O250" s="4"/>
      <c r="P250" s="4"/>
      <c r="Q250" s="4"/>
      <c r="R250" s="53"/>
      <c r="S250" s="4"/>
      <c r="T250" s="4"/>
      <c r="U250" s="4"/>
      <c r="V250" s="4"/>
      <c r="W250" s="4"/>
    </row>
    <row r="251" spans="1:23" ht="15.75" customHeight="1">
      <c r="A251" s="4"/>
      <c r="B251" s="4"/>
      <c r="C251" s="4"/>
      <c r="D251" s="4"/>
      <c r="E251" s="4"/>
      <c r="F251" s="4"/>
      <c r="G251" s="4"/>
      <c r="H251" s="4"/>
      <c r="I251" s="4"/>
      <c r="J251" s="4"/>
      <c r="K251" s="4"/>
      <c r="L251" s="4"/>
      <c r="M251" s="4"/>
      <c r="N251" s="4"/>
      <c r="O251" s="4"/>
      <c r="P251" s="4"/>
      <c r="Q251" s="4"/>
      <c r="R251" s="53"/>
      <c r="S251" s="4"/>
      <c r="T251" s="4"/>
      <c r="U251" s="4"/>
      <c r="V251" s="4"/>
      <c r="W251" s="4"/>
    </row>
    <row r="252" spans="1:23" ht="15.75" customHeight="1">
      <c r="A252" s="4"/>
      <c r="B252" s="4"/>
      <c r="C252" s="4"/>
      <c r="D252" s="4"/>
      <c r="E252" s="4"/>
      <c r="F252" s="4"/>
      <c r="G252" s="4"/>
      <c r="H252" s="4"/>
      <c r="I252" s="4"/>
      <c r="J252" s="4"/>
      <c r="K252" s="4"/>
      <c r="L252" s="4"/>
      <c r="M252" s="4"/>
      <c r="N252" s="4"/>
      <c r="O252" s="4"/>
      <c r="P252" s="4"/>
      <c r="Q252" s="4"/>
      <c r="R252" s="53"/>
      <c r="S252" s="4"/>
      <c r="T252" s="4"/>
      <c r="U252" s="4"/>
      <c r="V252" s="4"/>
      <c r="W252" s="4"/>
    </row>
    <row r="253" spans="1:23" ht="15.75" customHeight="1">
      <c r="A253" s="4"/>
      <c r="B253" s="4"/>
      <c r="C253" s="4"/>
      <c r="D253" s="4"/>
      <c r="E253" s="4"/>
      <c r="F253" s="4"/>
      <c r="G253" s="4"/>
      <c r="H253" s="4"/>
      <c r="I253" s="4"/>
      <c r="J253" s="4"/>
      <c r="K253" s="4"/>
      <c r="L253" s="4"/>
      <c r="M253" s="4"/>
      <c r="N253" s="4"/>
      <c r="O253" s="4"/>
      <c r="P253" s="4"/>
      <c r="Q253" s="4"/>
      <c r="R253" s="53"/>
      <c r="S253" s="4"/>
      <c r="T253" s="4"/>
      <c r="U253" s="4"/>
      <c r="V253" s="4"/>
      <c r="W253" s="4"/>
    </row>
    <row r="254" spans="1:23" ht="15.75" customHeight="1">
      <c r="A254" s="4"/>
      <c r="B254" s="4"/>
      <c r="C254" s="4"/>
      <c r="D254" s="4"/>
      <c r="E254" s="4"/>
      <c r="F254" s="4"/>
      <c r="G254" s="4"/>
      <c r="H254" s="4"/>
      <c r="I254" s="4"/>
      <c r="J254" s="4"/>
      <c r="K254" s="4"/>
      <c r="L254" s="4"/>
      <c r="M254" s="4"/>
      <c r="N254" s="4"/>
      <c r="O254" s="4"/>
      <c r="P254" s="4"/>
      <c r="Q254" s="4"/>
      <c r="R254" s="53"/>
      <c r="S254" s="4"/>
      <c r="T254" s="4"/>
      <c r="U254" s="4"/>
      <c r="V254" s="4"/>
      <c r="W254" s="4"/>
    </row>
    <row r="255" spans="1:23" ht="15.75" customHeight="1">
      <c r="A255" s="4"/>
      <c r="B255" s="4"/>
      <c r="C255" s="4"/>
      <c r="D255" s="4"/>
      <c r="E255" s="4"/>
      <c r="F255" s="4"/>
      <c r="G255" s="4"/>
      <c r="H255" s="4"/>
      <c r="I255" s="4"/>
      <c r="J255" s="4"/>
      <c r="K255" s="4"/>
      <c r="L255" s="4"/>
      <c r="M255" s="4"/>
      <c r="N255" s="4"/>
      <c r="O255" s="4"/>
      <c r="P255" s="4"/>
      <c r="Q255" s="4"/>
      <c r="R255" s="53"/>
      <c r="S255" s="4"/>
      <c r="T255" s="4"/>
      <c r="U255" s="4"/>
      <c r="V255" s="4"/>
      <c r="W255" s="4"/>
    </row>
    <row r="256" spans="1:23" ht="15.75" customHeight="1">
      <c r="A256" s="4"/>
      <c r="B256" s="4"/>
      <c r="C256" s="4"/>
      <c r="D256" s="4"/>
      <c r="E256" s="4"/>
      <c r="F256" s="4"/>
      <c r="G256" s="4"/>
      <c r="H256" s="4"/>
      <c r="I256" s="4"/>
      <c r="J256" s="4"/>
      <c r="K256" s="4"/>
      <c r="L256" s="4"/>
      <c r="M256" s="4"/>
      <c r="N256" s="4"/>
      <c r="O256" s="4"/>
      <c r="P256" s="4"/>
      <c r="Q256" s="4"/>
      <c r="R256" s="53"/>
      <c r="S256" s="4"/>
      <c r="T256" s="4"/>
      <c r="U256" s="4"/>
      <c r="V256" s="4"/>
      <c r="W256" s="4"/>
    </row>
    <row r="257" spans="1:23" ht="15.75" customHeight="1">
      <c r="A257" s="4"/>
      <c r="B257" s="4"/>
      <c r="C257" s="4"/>
      <c r="D257" s="4"/>
      <c r="E257" s="4"/>
      <c r="F257" s="4"/>
      <c r="G257" s="4"/>
      <c r="H257" s="4"/>
      <c r="I257" s="4"/>
      <c r="J257" s="4"/>
      <c r="K257" s="4"/>
      <c r="L257" s="4"/>
      <c r="M257" s="4"/>
      <c r="N257" s="4"/>
      <c r="O257" s="4"/>
      <c r="P257" s="4"/>
      <c r="Q257" s="4"/>
      <c r="R257" s="53"/>
      <c r="S257" s="4"/>
      <c r="T257" s="4"/>
      <c r="U257" s="4"/>
      <c r="V257" s="4"/>
      <c r="W257" s="4"/>
    </row>
    <row r="258" spans="1:23" ht="15.75" customHeight="1">
      <c r="A258" s="4"/>
      <c r="B258" s="4"/>
      <c r="C258" s="4"/>
      <c r="D258" s="4"/>
      <c r="E258" s="4"/>
      <c r="F258" s="4"/>
      <c r="G258" s="4"/>
      <c r="H258" s="4"/>
      <c r="I258" s="4"/>
      <c r="J258" s="4"/>
      <c r="K258" s="4"/>
      <c r="L258" s="4"/>
      <c r="M258" s="4"/>
      <c r="N258" s="4"/>
      <c r="O258" s="4"/>
      <c r="P258" s="4"/>
      <c r="Q258" s="4"/>
      <c r="R258" s="53"/>
      <c r="S258" s="4"/>
      <c r="T258" s="4"/>
      <c r="U258" s="4"/>
      <c r="V258" s="4"/>
      <c r="W258" s="4"/>
    </row>
    <row r="259" spans="1:23" ht="15.75" customHeight="1">
      <c r="A259" s="4"/>
      <c r="B259" s="4"/>
      <c r="C259" s="4"/>
      <c r="D259" s="4"/>
      <c r="E259" s="4"/>
      <c r="F259" s="4"/>
      <c r="G259" s="4"/>
      <c r="H259" s="4"/>
      <c r="I259" s="4"/>
      <c r="J259" s="4"/>
      <c r="K259" s="4"/>
      <c r="L259" s="4"/>
      <c r="M259" s="4"/>
      <c r="N259" s="4"/>
      <c r="O259" s="4"/>
      <c r="P259" s="4"/>
      <c r="Q259" s="4"/>
      <c r="R259" s="53"/>
      <c r="S259" s="4"/>
      <c r="T259" s="4"/>
      <c r="U259" s="4"/>
      <c r="V259" s="4"/>
      <c r="W259" s="4"/>
    </row>
    <row r="260" spans="1:23" ht="15.75" customHeight="1">
      <c r="A260" s="4"/>
      <c r="B260" s="4"/>
      <c r="C260" s="4"/>
      <c r="D260" s="4"/>
      <c r="E260" s="4"/>
      <c r="F260" s="4"/>
      <c r="G260" s="4"/>
      <c r="H260" s="4"/>
      <c r="I260" s="4"/>
      <c r="J260" s="4"/>
      <c r="K260" s="4"/>
      <c r="L260" s="4"/>
      <c r="M260" s="4"/>
      <c r="N260" s="4"/>
      <c r="O260" s="4"/>
      <c r="P260" s="4"/>
      <c r="Q260" s="4"/>
      <c r="R260" s="53"/>
      <c r="S260" s="4"/>
      <c r="T260" s="4"/>
      <c r="U260" s="4"/>
      <c r="V260" s="4"/>
      <c r="W260" s="4"/>
    </row>
    <row r="261" spans="1:23" ht="15.75" customHeight="1">
      <c r="A261" s="4"/>
      <c r="B261" s="4"/>
      <c r="C261" s="4"/>
      <c r="D261" s="4"/>
      <c r="E261" s="4"/>
      <c r="F261" s="4"/>
      <c r="G261" s="4"/>
      <c r="H261" s="4"/>
      <c r="I261" s="4"/>
      <c r="J261" s="4"/>
      <c r="K261" s="4"/>
      <c r="L261" s="4"/>
      <c r="M261" s="4"/>
      <c r="N261" s="4"/>
      <c r="O261" s="4"/>
      <c r="P261" s="4"/>
      <c r="Q261" s="4"/>
      <c r="R261" s="53"/>
      <c r="S261" s="4"/>
      <c r="T261" s="4"/>
      <c r="U261" s="4"/>
      <c r="V261" s="4"/>
      <c r="W261" s="4"/>
    </row>
    <row r="262" spans="1:23" ht="15.75" customHeight="1">
      <c r="A262" s="4"/>
      <c r="B262" s="4"/>
      <c r="C262" s="4"/>
      <c r="D262" s="4"/>
      <c r="E262" s="4"/>
      <c r="F262" s="4"/>
      <c r="G262" s="4"/>
      <c r="H262" s="4"/>
      <c r="I262" s="4"/>
      <c r="J262" s="4"/>
      <c r="K262" s="4"/>
      <c r="L262" s="4"/>
      <c r="M262" s="4"/>
      <c r="N262" s="4"/>
      <c r="O262" s="4"/>
      <c r="P262" s="4"/>
      <c r="Q262" s="4"/>
      <c r="R262" s="53"/>
      <c r="S262" s="4"/>
      <c r="T262" s="4"/>
      <c r="U262" s="4"/>
      <c r="V262" s="4"/>
      <c r="W262" s="4"/>
    </row>
    <row r="263" spans="1:23" ht="15.75" customHeight="1">
      <c r="A263" s="4"/>
      <c r="B263" s="4"/>
      <c r="C263" s="4"/>
      <c r="D263" s="4"/>
      <c r="E263" s="4"/>
      <c r="F263" s="4"/>
      <c r="G263" s="4"/>
      <c r="H263" s="4"/>
      <c r="I263" s="4"/>
      <c r="J263" s="4"/>
      <c r="K263" s="4"/>
      <c r="L263" s="4"/>
      <c r="M263" s="4"/>
      <c r="N263" s="4"/>
      <c r="O263" s="4"/>
      <c r="P263" s="4"/>
      <c r="Q263" s="4"/>
      <c r="R263" s="53"/>
      <c r="S263" s="4"/>
      <c r="T263" s="4"/>
      <c r="U263" s="4"/>
      <c r="V263" s="4"/>
      <c r="W263" s="4"/>
    </row>
    <row r="264" spans="1:23" ht="15.75" customHeight="1">
      <c r="A264" s="4"/>
      <c r="B264" s="4"/>
      <c r="C264" s="4"/>
      <c r="D264" s="4"/>
      <c r="E264" s="4"/>
      <c r="F264" s="4"/>
      <c r="G264" s="4"/>
      <c r="H264" s="4"/>
      <c r="I264" s="4"/>
      <c r="J264" s="4"/>
      <c r="K264" s="4"/>
      <c r="L264" s="4"/>
      <c r="M264" s="4"/>
      <c r="N264" s="4"/>
      <c r="O264" s="4"/>
      <c r="P264" s="4"/>
      <c r="Q264" s="4"/>
      <c r="R264" s="53"/>
      <c r="S264" s="4"/>
      <c r="T264" s="4"/>
      <c r="U264" s="4"/>
      <c r="V264" s="4"/>
      <c r="W264" s="4"/>
    </row>
    <row r="265" spans="1:23" ht="15.75" customHeight="1">
      <c r="A265" s="4"/>
      <c r="B265" s="4"/>
      <c r="C265" s="4"/>
      <c r="D265" s="4"/>
      <c r="E265" s="4"/>
      <c r="F265" s="4"/>
      <c r="G265" s="4"/>
      <c r="H265" s="4"/>
      <c r="I265" s="4"/>
      <c r="J265" s="4"/>
      <c r="K265" s="4"/>
      <c r="L265" s="4"/>
      <c r="M265" s="4"/>
      <c r="N265" s="4"/>
      <c r="O265" s="4"/>
      <c r="P265" s="4"/>
      <c r="Q265" s="4"/>
      <c r="R265" s="53"/>
      <c r="S265" s="4"/>
      <c r="T265" s="4"/>
      <c r="U265" s="4"/>
      <c r="V265" s="4"/>
      <c r="W265" s="4"/>
    </row>
    <row r="266" spans="1:23" ht="15.75" customHeight="1">
      <c r="A266" s="4"/>
      <c r="B266" s="4"/>
      <c r="C266" s="4"/>
      <c r="D266" s="4"/>
      <c r="E266" s="4"/>
      <c r="F266" s="4"/>
      <c r="G266" s="4"/>
      <c r="H266" s="4"/>
      <c r="I266" s="4"/>
      <c r="J266" s="4"/>
      <c r="K266" s="4"/>
      <c r="L266" s="4"/>
      <c r="M266" s="4"/>
      <c r="N266" s="4"/>
      <c r="O266" s="4"/>
      <c r="P266" s="4"/>
      <c r="Q266" s="4"/>
      <c r="R266" s="53"/>
      <c r="S266" s="4"/>
      <c r="T266" s="4"/>
      <c r="U266" s="4"/>
      <c r="V266" s="4"/>
      <c r="W266" s="4"/>
    </row>
    <row r="267" spans="1:23" ht="15.75" customHeight="1">
      <c r="A267" s="4"/>
      <c r="B267" s="4"/>
      <c r="C267" s="4"/>
      <c r="D267" s="4"/>
      <c r="E267" s="4"/>
      <c r="F267" s="4"/>
      <c r="G267" s="4"/>
      <c r="H267" s="4"/>
      <c r="I267" s="4"/>
      <c r="J267" s="4"/>
      <c r="K267" s="4"/>
      <c r="L267" s="4"/>
      <c r="M267" s="4"/>
      <c r="N267" s="4"/>
      <c r="O267" s="4"/>
      <c r="P267" s="4"/>
      <c r="Q267" s="4"/>
      <c r="R267" s="53"/>
      <c r="S267" s="4"/>
      <c r="T267" s="4"/>
      <c r="U267" s="4"/>
      <c r="V267" s="4"/>
      <c r="W267" s="4"/>
    </row>
    <row r="268" spans="1:23" ht="15.75" customHeight="1">
      <c r="A268" s="4"/>
      <c r="B268" s="4"/>
      <c r="C268" s="4"/>
      <c r="D268" s="4"/>
      <c r="E268" s="4"/>
      <c r="F268" s="4"/>
      <c r="G268" s="4"/>
      <c r="H268" s="4"/>
      <c r="I268" s="4"/>
      <c r="J268" s="4"/>
      <c r="K268" s="4"/>
      <c r="L268" s="4"/>
      <c r="M268" s="4"/>
      <c r="N268" s="4"/>
      <c r="O268" s="4"/>
      <c r="P268" s="4"/>
      <c r="Q268" s="4"/>
      <c r="R268" s="53"/>
      <c r="S268" s="4"/>
      <c r="T268" s="4"/>
      <c r="U268" s="4"/>
      <c r="V268" s="4"/>
      <c r="W268" s="4"/>
    </row>
    <row r="269" spans="1:23" ht="15.75" customHeight="1">
      <c r="A269" s="4"/>
      <c r="B269" s="4"/>
      <c r="C269" s="4"/>
      <c r="D269" s="4"/>
      <c r="E269" s="4"/>
      <c r="F269" s="4"/>
      <c r="G269" s="4"/>
      <c r="H269" s="4"/>
      <c r="I269" s="4"/>
      <c r="J269" s="4"/>
      <c r="K269" s="4"/>
      <c r="L269" s="4"/>
      <c r="M269" s="4"/>
      <c r="N269" s="4"/>
      <c r="O269" s="4"/>
      <c r="P269" s="4"/>
      <c r="Q269" s="4"/>
      <c r="R269" s="53"/>
      <c r="S269" s="4"/>
      <c r="T269" s="4"/>
      <c r="U269" s="4"/>
      <c r="V269" s="4"/>
      <c r="W269" s="4"/>
    </row>
    <row r="270" spans="1:23" ht="15.75" customHeight="1">
      <c r="A270" s="4"/>
      <c r="B270" s="4"/>
      <c r="C270" s="4"/>
      <c r="D270" s="4"/>
      <c r="E270" s="4"/>
      <c r="F270" s="4"/>
      <c r="G270" s="4"/>
      <c r="H270" s="4"/>
      <c r="I270" s="4"/>
      <c r="J270" s="4"/>
      <c r="K270" s="4"/>
      <c r="L270" s="4"/>
      <c r="M270" s="4"/>
      <c r="N270" s="4"/>
      <c r="O270" s="4"/>
      <c r="P270" s="4"/>
      <c r="Q270" s="4"/>
      <c r="R270" s="53"/>
      <c r="S270" s="4"/>
      <c r="T270" s="4"/>
      <c r="U270" s="4"/>
      <c r="V270" s="4"/>
      <c r="W270" s="4"/>
    </row>
    <row r="271" spans="1:23" ht="15.75" customHeight="1">
      <c r="A271" s="4"/>
      <c r="B271" s="4"/>
      <c r="C271" s="4"/>
      <c r="D271" s="4"/>
      <c r="E271" s="4"/>
      <c r="F271" s="4"/>
      <c r="G271" s="4"/>
      <c r="H271" s="4"/>
      <c r="I271" s="4"/>
      <c r="J271" s="4"/>
      <c r="K271" s="4"/>
      <c r="L271" s="4"/>
      <c r="M271" s="4"/>
      <c r="N271" s="4"/>
      <c r="O271" s="4"/>
      <c r="P271" s="4"/>
      <c r="Q271" s="4"/>
      <c r="R271" s="53"/>
      <c r="S271" s="4"/>
      <c r="T271" s="4"/>
      <c r="U271" s="4"/>
      <c r="V271" s="4"/>
      <c r="W271" s="4"/>
    </row>
    <row r="272" spans="1:23" ht="15.75" customHeight="1">
      <c r="A272" s="4"/>
      <c r="B272" s="4"/>
      <c r="C272" s="4"/>
      <c r="D272" s="4"/>
      <c r="E272" s="4"/>
      <c r="F272" s="4"/>
      <c r="G272" s="4"/>
      <c r="H272" s="4"/>
      <c r="I272" s="4"/>
      <c r="J272" s="4"/>
      <c r="K272" s="4"/>
      <c r="L272" s="4"/>
      <c r="M272" s="4"/>
      <c r="N272" s="4"/>
      <c r="O272" s="4"/>
      <c r="P272" s="4"/>
      <c r="Q272" s="4"/>
      <c r="R272" s="53"/>
      <c r="S272" s="4"/>
      <c r="T272" s="4"/>
      <c r="U272" s="4"/>
      <c r="V272" s="4"/>
      <c r="W272" s="4"/>
    </row>
    <row r="273" spans="1:23" ht="15.75" customHeight="1">
      <c r="A273" s="4"/>
      <c r="B273" s="4"/>
      <c r="C273" s="4"/>
      <c r="D273" s="4"/>
      <c r="E273" s="4"/>
      <c r="F273" s="4"/>
      <c r="G273" s="4"/>
      <c r="H273" s="4"/>
      <c r="I273" s="4"/>
      <c r="J273" s="4"/>
      <c r="K273" s="4"/>
      <c r="L273" s="4"/>
      <c r="M273" s="4"/>
      <c r="N273" s="4"/>
      <c r="O273" s="4"/>
      <c r="P273" s="4"/>
      <c r="Q273" s="4"/>
      <c r="R273" s="53"/>
      <c r="S273" s="4"/>
      <c r="T273" s="4"/>
      <c r="U273" s="4"/>
      <c r="V273" s="4"/>
      <c r="W273" s="4"/>
    </row>
    <row r="274" spans="1:23" ht="15.75" customHeight="1">
      <c r="A274" s="4"/>
      <c r="B274" s="4"/>
      <c r="C274" s="4"/>
      <c r="D274" s="4"/>
      <c r="E274" s="4"/>
      <c r="F274" s="4"/>
      <c r="G274" s="4"/>
      <c r="H274" s="4"/>
      <c r="I274" s="4"/>
      <c r="J274" s="4"/>
      <c r="K274" s="4"/>
      <c r="L274" s="4"/>
      <c r="M274" s="4"/>
      <c r="N274" s="4"/>
      <c r="O274" s="4"/>
      <c r="P274" s="4"/>
      <c r="Q274" s="4"/>
      <c r="R274" s="53"/>
      <c r="S274" s="4"/>
      <c r="T274" s="4"/>
      <c r="U274" s="4"/>
      <c r="V274" s="4"/>
      <c r="W274" s="4"/>
    </row>
    <row r="275" spans="1:23" ht="15.75" customHeight="1">
      <c r="A275" s="4"/>
      <c r="B275" s="4"/>
      <c r="C275" s="4"/>
      <c r="D275" s="4"/>
      <c r="E275" s="4"/>
      <c r="F275" s="4"/>
      <c r="G275" s="4"/>
      <c r="H275" s="4"/>
      <c r="I275" s="4"/>
      <c r="J275" s="4"/>
      <c r="K275" s="4"/>
      <c r="L275" s="4"/>
      <c r="M275" s="4"/>
      <c r="N275" s="4"/>
      <c r="O275" s="4"/>
      <c r="P275" s="4"/>
      <c r="Q275" s="4"/>
      <c r="R275" s="53"/>
      <c r="S275" s="4"/>
      <c r="T275" s="4"/>
      <c r="U275" s="4"/>
      <c r="V275" s="4"/>
      <c r="W275" s="4"/>
    </row>
    <row r="276" spans="1:23" ht="15.75" customHeight="1">
      <c r="A276" s="4"/>
      <c r="B276" s="4"/>
      <c r="C276" s="4"/>
      <c r="D276" s="4"/>
      <c r="E276" s="4"/>
      <c r="F276" s="4"/>
      <c r="G276" s="4"/>
      <c r="H276" s="4"/>
      <c r="I276" s="4"/>
      <c r="J276" s="4"/>
      <c r="K276" s="4"/>
      <c r="L276" s="4"/>
      <c r="M276" s="4"/>
      <c r="N276" s="4"/>
      <c r="O276" s="4"/>
      <c r="P276" s="4"/>
      <c r="Q276" s="4"/>
      <c r="R276" s="53"/>
      <c r="S276" s="4"/>
      <c r="T276" s="4"/>
      <c r="U276" s="4"/>
      <c r="V276" s="4"/>
      <c r="W276" s="4"/>
    </row>
    <row r="277" spans="1:23" ht="15.75" customHeight="1">
      <c r="A277" s="4"/>
      <c r="B277" s="4"/>
      <c r="C277" s="4"/>
      <c r="D277" s="4"/>
      <c r="E277" s="4"/>
      <c r="F277" s="4"/>
      <c r="G277" s="4"/>
      <c r="H277" s="4"/>
      <c r="I277" s="4"/>
      <c r="J277" s="4"/>
      <c r="K277" s="4"/>
      <c r="L277" s="4"/>
      <c r="M277" s="4"/>
      <c r="N277" s="4"/>
      <c r="O277" s="4"/>
      <c r="P277" s="4"/>
      <c r="Q277" s="4"/>
      <c r="R277" s="53"/>
      <c r="S277" s="4"/>
      <c r="T277" s="4"/>
      <c r="U277" s="4"/>
      <c r="V277" s="4"/>
      <c r="W277" s="4"/>
    </row>
    <row r="278" spans="1:23" ht="15.75" customHeight="1">
      <c r="A278" s="4"/>
      <c r="B278" s="4"/>
      <c r="C278" s="4"/>
      <c r="D278" s="4"/>
      <c r="E278" s="4"/>
      <c r="F278" s="4"/>
      <c r="G278" s="4"/>
      <c r="H278" s="4"/>
      <c r="I278" s="4"/>
      <c r="J278" s="4"/>
      <c r="K278" s="4"/>
      <c r="L278" s="4"/>
      <c r="M278" s="4"/>
      <c r="N278" s="4"/>
      <c r="O278" s="4"/>
      <c r="P278" s="4"/>
      <c r="Q278" s="4"/>
      <c r="R278" s="53"/>
      <c r="S278" s="4"/>
      <c r="T278" s="4"/>
      <c r="U278" s="4"/>
      <c r="V278" s="4"/>
      <c r="W278" s="4"/>
    </row>
    <row r="279" spans="1:23" ht="15.75" customHeight="1">
      <c r="A279" s="4"/>
      <c r="B279" s="4"/>
      <c r="C279" s="4"/>
      <c r="D279" s="4"/>
      <c r="E279" s="4"/>
      <c r="F279" s="4"/>
      <c r="G279" s="4"/>
      <c r="H279" s="4"/>
      <c r="I279" s="4"/>
      <c r="J279" s="4"/>
      <c r="K279" s="4"/>
      <c r="L279" s="4"/>
      <c r="M279" s="4"/>
      <c r="N279" s="4"/>
      <c r="O279" s="4"/>
      <c r="P279" s="4"/>
      <c r="Q279" s="4"/>
      <c r="R279" s="53"/>
      <c r="S279" s="4"/>
      <c r="T279" s="4"/>
      <c r="U279" s="4"/>
      <c r="V279" s="4"/>
      <c r="W279" s="4"/>
    </row>
    <row r="280" spans="1:23" ht="15.75" customHeight="1">
      <c r="A280" s="4"/>
      <c r="B280" s="4"/>
      <c r="C280" s="4"/>
      <c r="D280" s="4"/>
      <c r="E280" s="4"/>
      <c r="F280" s="4"/>
      <c r="G280" s="4"/>
      <c r="H280" s="4"/>
      <c r="I280" s="4"/>
      <c r="J280" s="4"/>
      <c r="K280" s="4"/>
      <c r="L280" s="4"/>
      <c r="M280" s="4"/>
      <c r="N280" s="4"/>
      <c r="O280" s="4"/>
      <c r="P280" s="4"/>
      <c r="Q280" s="4"/>
      <c r="R280" s="53"/>
      <c r="S280" s="4"/>
      <c r="T280" s="4"/>
      <c r="U280" s="4"/>
      <c r="V280" s="4"/>
      <c r="W280" s="4"/>
    </row>
    <row r="281" spans="1:23" ht="15.75" customHeight="1">
      <c r="A281" s="4"/>
      <c r="B281" s="4"/>
      <c r="C281" s="4"/>
      <c r="D281" s="4"/>
      <c r="E281" s="4"/>
      <c r="F281" s="4"/>
      <c r="G281" s="4"/>
      <c r="H281" s="4"/>
      <c r="I281" s="4"/>
      <c r="J281" s="4"/>
      <c r="K281" s="4"/>
      <c r="L281" s="4"/>
      <c r="M281" s="4"/>
      <c r="N281" s="4"/>
      <c r="O281" s="4"/>
      <c r="P281" s="4"/>
      <c r="Q281" s="4"/>
      <c r="R281" s="53"/>
      <c r="S281" s="4"/>
      <c r="T281" s="4"/>
      <c r="U281" s="4"/>
      <c r="V281" s="4"/>
      <c r="W281" s="4"/>
    </row>
    <row r="282" spans="1:23" ht="15.75" customHeight="1">
      <c r="A282" s="4"/>
      <c r="B282" s="4"/>
      <c r="C282" s="4"/>
      <c r="D282" s="4"/>
      <c r="E282" s="4"/>
      <c r="F282" s="4"/>
      <c r="G282" s="4"/>
      <c r="H282" s="4"/>
      <c r="I282" s="4"/>
      <c r="J282" s="4"/>
      <c r="K282" s="4"/>
      <c r="L282" s="4"/>
      <c r="M282" s="4"/>
      <c r="N282" s="4"/>
      <c r="O282" s="4"/>
      <c r="P282" s="4"/>
      <c r="Q282" s="4"/>
      <c r="R282" s="53"/>
      <c r="S282" s="4"/>
      <c r="T282" s="4"/>
      <c r="U282" s="4"/>
      <c r="V282" s="4"/>
      <c r="W282" s="4"/>
    </row>
    <row r="283" spans="1:23" ht="15.75" customHeight="1">
      <c r="A283" s="4"/>
      <c r="B283" s="4"/>
      <c r="C283" s="4"/>
      <c r="D283" s="4"/>
      <c r="E283" s="4"/>
      <c r="F283" s="4"/>
      <c r="G283" s="4"/>
      <c r="H283" s="4"/>
      <c r="I283" s="4"/>
      <c r="J283" s="4"/>
      <c r="K283" s="4"/>
      <c r="L283" s="4"/>
      <c r="M283" s="4"/>
      <c r="N283" s="4"/>
      <c r="O283" s="4"/>
      <c r="P283" s="4"/>
      <c r="Q283" s="4"/>
      <c r="R283" s="53"/>
      <c r="S283" s="4"/>
      <c r="T283" s="4"/>
      <c r="U283" s="4"/>
      <c r="V283" s="4"/>
      <c r="W283" s="4"/>
    </row>
    <row r="284" spans="1:23" ht="15.75" customHeight="1">
      <c r="A284" s="4"/>
      <c r="B284" s="4"/>
      <c r="C284" s="4"/>
      <c r="D284" s="4"/>
      <c r="E284" s="4"/>
      <c r="F284" s="4"/>
      <c r="G284" s="4"/>
      <c r="H284" s="4"/>
      <c r="I284" s="4"/>
      <c r="J284" s="4"/>
      <c r="K284" s="4"/>
      <c r="L284" s="4"/>
      <c r="M284" s="4"/>
      <c r="N284" s="4"/>
      <c r="O284" s="4"/>
      <c r="P284" s="4"/>
      <c r="Q284" s="4"/>
      <c r="R284" s="53"/>
      <c r="S284" s="4"/>
      <c r="T284" s="4"/>
      <c r="U284" s="4"/>
      <c r="V284" s="4"/>
      <c r="W284" s="4"/>
    </row>
    <row r="285" spans="1:23" ht="15.75" customHeight="1">
      <c r="A285" s="4"/>
      <c r="B285" s="4"/>
      <c r="C285" s="4"/>
      <c r="D285" s="4"/>
      <c r="E285" s="4"/>
      <c r="F285" s="4"/>
      <c r="G285" s="4"/>
      <c r="H285" s="4"/>
      <c r="I285" s="4"/>
      <c r="J285" s="4"/>
      <c r="K285" s="4"/>
      <c r="L285" s="4"/>
      <c r="M285" s="4"/>
      <c r="N285" s="4"/>
      <c r="O285" s="4"/>
      <c r="P285" s="4"/>
      <c r="Q285" s="4"/>
      <c r="R285" s="53"/>
      <c r="S285" s="4"/>
      <c r="T285" s="4"/>
      <c r="U285" s="4"/>
      <c r="V285" s="4"/>
      <c r="W285" s="4"/>
    </row>
    <row r="286" spans="1:23" ht="15.75" customHeight="1">
      <c r="A286" s="4"/>
      <c r="B286" s="4"/>
      <c r="C286" s="4"/>
      <c r="D286" s="4"/>
      <c r="E286" s="4"/>
      <c r="F286" s="4"/>
      <c r="G286" s="4"/>
      <c r="H286" s="4"/>
      <c r="I286" s="4"/>
      <c r="J286" s="4"/>
      <c r="K286" s="4"/>
      <c r="L286" s="4"/>
      <c r="M286" s="4"/>
      <c r="N286" s="4"/>
      <c r="O286" s="4"/>
      <c r="P286" s="4"/>
      <c r="Q286" s="4"/>
      <c r="R286" s="53"/>
      <c r="S286" s="4"/>
      <c r="T286" s="4"/>
      <c r="U286" s="4"/>
      <c r="V286" s="4"/>
      <c r="W286" s="4"/>
    </row>
    <row r="287" spans="1:23" ht="15.75" customHeight="1">
      <c r="A287" s="4"/>
      <c r="B287" s="4"/>
      <c r="C287" s="4"/>
      <c r="D287" s="4"/>
      <c r="E287" s="4"/>
      <c r="F287" s="4"/>
      <c r="G287" s="4"/>
      <c r="H287" s="4"/>
      <c r="I287" s="4"/>
      <c r="J287" s="4"/>
      <c r="K287" s="4"/>
      <c r="L287" s="4"/>
      <c r="M287" s="4"/>
      <c r="N287" s="4"/>
      <c r="O287" s="4"/>
      <c r="P287" s="4"/>
      <c r="Q287" s="4"/>
      <c r="R287" s="53"/>
      <c r="S287" s="4"/>
      <c r="T287" s="4"/>
      <c r="U287" s="4"/>
      <c r="V287" s="4"/>
      <c r="W287" s="4"/>
    </row>
    <row r="288" spans="1:23" ht="15.75" customHeight="1">
      <c r="A288" s="4"/>
      <c r="B288" s="4"/>
      <c r="C288" s="4"/>
      <c r="D288" s="4"/>
      <c r="E288" s="4"/>
      <c r="F288" s="4"/>
      <c r="G288" s="4"/>
      <c r="H288" s="4"/>
      <c r="I288" s="4"/>
      <c r="J288" s="4"/>
      <c r="K288" s="4"/>
      <c r="L288" s="4"/>
      <c r="M288" s="4"/>
      <c r="N288" s="4"/>
      <c r="O288" s="4"/>
      <c r="P288" s="4"/>
      <c r="Q288" s="4"/>
      <c r="R288" s="53"/>
      <c r="S288" s="4"/>
      <c r="T288" s="4"/>
      <c r="U288" s="4"/>
      <c r="V288" s="4"/>
      <c r="W288" s="4"/>
    </row>
    <row r="289" spans="1:23" ht="15.75" customHeight="1">
      <c r="A289" s="4"/>
      <c r="B289" s="4"/>
      <c r="C289" s="4"/>
      <c r="D289" s="4"/>
      <c r="E289" s="4"/>
      <c r="F289" s="4"/>
      <c r="G289" s="4"/>
      <c r="H289" s="4"/>
      <c r="I289" s="4"/>
      <c r="J289" s="4"/>
      <c r="K289" s="4"/>
      <c r="L289" s="4"/>
      <c r="M289" s="4"/>
      <c r="N289" s="4"/>
      <c r="O289" s="4"/>
      <c r="P289" s="4"/>
      <c r="Q289" s="4"/>
      <c r="R289" s="53"/>
      <c r="S289" s="4"/>
      <c r="T289" s="4"/>
      <c r="U289" s="4"/>
      <c r="V289" s="4"/>
      <c r="W289" s="4"/>
    </row>
    <row r="290" spans="1:23" ht="15.75" customHeight="1">
      <c r="A290" s="4"/>
      <c r="B290" s="4"/>
      <c r="C290" s="4"/>
      <c r="D290" s="4"/>
      <c r="E290" s="4"/>
      <c r="F290" s="4"/>
      <c r="G290" s="4"/>
      <c r="H290" s="4"/>
      <c r="I290" s="4"/>
      <c r="J290" s="4"/>
      <c r="K290" s="4"/>
      <c r="L290" s="4"/>
      <c r="M290" s="4"/>
      <c r="N290" s="4"/>
      <c r="O290" s="4"/>
      <c r="P290" s="4"/>
      <c r="Q290" s="4"/>
      <c r="R290" s="53"/>
      <c r="S290" s="4"/>
      <c r="T290" s="4"/>
      <c r="U290" s="4"/>
      <c r="V290" s="4"/>
      <c r="W290" s="4"/>
    </row>
    <row r="291" spans="1:23" ht="15.75" customHeight="1">
      <c r="A291" s="4"/>
      <c r="B291" s="4"/>
      <c r="C291" s="4"/>
      <c r="D291" s="4"/>
      <c r="E291" s="4"/>
      <c r="F291" s="4"/>
      <c r="G291" s="4"/>
      <c r="H291" s="4"/>
      <c r="I291" s="4"/>
      <c r="J291" s="4"/>
      <c r="K291" s="4"/>
      <c r="L291" s="4"/>
      <c r="M291" s="4"/>
      <c r="N291" s="4"/>
      <c r="O291" s="4"/>
      <c r="P291" s="4"/>
      <c r="Q291" s="4"/>
      <c r="R291" s="53"/>
      <c r="S291" s="4"/>
      <c r="T291" s="4"/>
      <c r="U291" s="4"/>
      <c r="V291" s="4"/>
      <c r="W291" s="4"/>
    </row>
    <row r="292" spans="1:23" ht="15.75" customHeight="1">
      <c r="A292" s="4"/>
      <c r="B292" s="4"/>
      <c r="C292" s="4"/>
      <c r="D292" s="4"/>
      <c r="E292" s="4"/>
      <c r="F292" s="4"/>
      <c r="G292" s="4"/>
      <c r="H292" s="4"/>
      <c r="I292" s="4"/>
      <c r="J292" s="4"/>
      <c r="K292" s="4"/>
      <c r="L292" s="4"/>
      <c r="M292" s="4"/>
      <c r="N292" s="4"/>
      <c r="O292" s="4"/>
      <c r="P292" s="4"/>
      <c r="Q292" s="4"/>
      <c r="R292" s="53"/>
      <c r="S292" s="4"/>
      <c r="T292" s="4"/>
      <c r="U292" s="4"/>
      <c r="V292" s="4"/>
      <c r="W292" s="4"/>
    </row>
    <row r="293" spans="1:23" ht="15.75" customHeight="1">
      <c r="A293" s="4"/>
      <c r="B293" s="4"/>
      <c r="C293" s="4"/>
      <c r="D293" s="4"/>
      <c r="E293" s="4"/>
      <c r="F293" s="4"/>
      <c r="G293" s="4"/>
      <c r="H293" s="4"/>
      <c r="I293" s="4"/>
      <c r="J293" s="4"/>
      <c r="K293" s="4"/>
      <c r="L293" s="4"/>
      <c r="M293" s="4"/>
      <c r="N293" s="4"/>
      <c r="O293" s="4"/>
      <c r="P293" s="4"/>
      <c r="Q293" s="4"/>
      <c r="R293" s="53"/>
      <c r="S293" s="4"/>
      <c r="T293" s="4"/>
      <c r="U293" s="4"/>
      <c r="V293" s="4"/>
      <c r="W293" s="4"/>
    </row>
    <row r="294" spans="1:23" ht="15.75" customHeight="1">
      <c r="A294" s="4"/>
      <c r="B294" s="4"/>
      <c r="C294" s="4"/>
      <c r="D294" s="4"/>
      <c r="E294" s="4"/>
      <c r="F294" s="4"/>
      <c r="G294" s="4"/>
      <c r="H294" s="4"/>
      <c r="I294" s="4"/>
      <c r="J294" s="4"/>
      <c r="K294" s="4"/>
      <c r="L294" s="4"/>
      <c r="M294" s="4"/>
      <c r="N294" s="4"/>
      <c r="O294" s="4"/>
      <c r="P294" s="4"/>
      <c r="Q294" s="4"/>
      <c r="R294" s="53"/>
      <c r="S294" s="4"/>
      <c r="T294" s="4"/>
      <c r="U294" s="4"/>
      <c r="V294" s="4"/>
      <c r="W294" s="4"/>
    </row>
    <row r="295" spans="1:23" ht="15.75" customHeight="1">
      <c r="A295" s="4"/>
      <c r="B295" s="4"/>
      <c r="C295" s="4"/>
      <c r="D295" s="4"/>
      <c r="E295" s="4"/>
      <c r="F295" s="4"/>
      <c r="G295" s="4"/>
      <c r="H295" s="4"/>
      <c r="I295" s="4"/>
      <c r="J295" s="4"/>
      <c r="K295" s="4"/>
      <c r="L295" s="4"/>
      <c r="M295" s="4"/>
      <c r="N295" s="4"/>
      <c r="O295" s="4"/>
      <c r="P295" s="4"/>
      <c r="Q295" s="4"/>
      <c r="R295" s="53"/>
      <c r="S295" s="4"/>
      <c r="T295" s="4"/>
      <c r="U295" s="4"/>
      <c r="V295" s="4"/>
      <c r="W295" s="4"/>
    </row>
    <row r="296" spans="1:23" ht="15.75" customHeight="1">
      <c r="A296" s="4"/>
      <c r="B296" s="4"/>
      <c r="C296" s="4"/>
      <c r="D296" s="4"/>
      <c r="E296" s="4"/>
      <c r="F296" s="4"/>
      <c r="G296" s="4"/>
      <c r="H296" s="4"/>
      <c r="I296" s="4"/>
      <c r="J296" s="4"/>
      <c r="K296" s="4"/>
      <c r="L296" s="4"/>
      <c r="M296" s="4"/>
      <c r="N296" s="4"/>
      <c r="O296" s="4"/>
      <c r="P296" s="4"/>
      <c r="Q296" s="4"/>
      <c r="R296" s="53"/>
      <c r="S296" s="4"/>
      <c r="T296" s="4"/>
      <c r="U296" s="4"/>
      <c r="V296" s="4"/>
      <c r="W296" s="4"/>
    </row>
    <row r="297" spans="1:23" ht="15.75" customHeight="1">
      <c r="A297" s="4"/>
      <c r="B297" s="4"/>
      <c r="C297" s="4"/>
      <c r="D297" s="4"/>
      <c r="E297" s="4"/>
      <c r="F297" s="4"/>
      <c r="G297" s="4"/>
      <c r="H297" s="4"/>
      <c r="I297" s="4"/>
      <c r="J297" s="4"/>
      <c r="K297" s="4"/>
      <c r="L297" s="4"/>
      <c r="M297" s="4"/>
      <c r="N297" s="4"/>
      <c r="O297" s="4"/>
      <c r="P297" s="4"/>
      <c r="Q297" s="4"/>
      <c r="R297" s="53"/>
      <c r="S297" s="4"/>
      <c r="T297" s="4"/>
      <c r="U297" s="4"/>
      <c r="V297" s="4"/>
      <c r="W297" s="4"/>
    </row>
    <row r="298" spans="1:23" ht="15.75" customHeight="1">
      <c r="A298" s="4"/>
      <c r="B298" s="4"/>
      <c r="C298" s="4"/>
      <c r="D298" s="4"/>
      <c r="E298" s="4"/>
      <c r="F298" s="4"/>
      <c r="G298" s="4"/>
      <c r="H298" s="4"/>
      <c r="I298" s="4"/>
      <c r="J298" s="4"/>
      <c r="K298" s="4"/>
      <c r="L298" s="4"/>
      <c r="M298" s="4"/>
      <c r="N298" s="4"/>
      <c r="O298" s="4"/>
      <c r="P298" s="4"/>
      <c r="Q298" s="4"/>
      <c r="R298" s="53"/>
      <c r="S298" s="4"/>
      <c r="T298" s="4"/>
      <c r="U298" s="4"/>
      <c r="V298" s="4"/>
      <c r="W298" s="4"/>
    </row>
    <row r="299" spans="1:23" ht="15.75" customHeight="1">
      <c r="A299" s="4"/>
      <c r="B299" s="4"/>
      <c r="C299" s="4"/>
      <c r="D299" s="4"/>
      <c r="E299" s="4"/>
      <c r="F299" s="4"/>
      <c r="G299" s="4"/>
      <c r="H299" s="4"/>
      <c r="I299" s="4"/>
      <c r="J299" s="4"/>
      <c r="K299" s="4"/>
      <c r="L299" s="4"/>
      <c r="M299" s="4"/>
      <c r="N299" s="4"/>
      <c r="O299" s="4"/>
      <c r="P299" s="4"/>
      <c r="Q299" s="4"/>
      <c r="R299" s="53"/>
      <c r="S299" s="4"/>
      <c r="T299" s="4"/>
      <c r="U299" s="4"/>
      <c r="V299" s="4"/>
      <c r="W299" s="4"/>
    </row>
    <row r="300" spans="1:23" ht="15.75" customHeight="1">
      <c r="A300" s="4"/>
      <c r="B300" s="4"/>
      <c r="C300" s="4"/>
      <c r="D300" s="4"/>
      <c r="E300" s="4"/>
      <c r="F300" s="4"/>
      <c r="G300" s="4"/>
      <c r="H300" s="4"/>
      <c r="I300" s="4"/>
      <c r="J300" s="4"/>
      <c r="K300" s="4"/>
      <c r="L300" s="4"/>
      <c r="M300" s="4"/>
      <c r="N300" s="4"/>
      <c r="O300" s="4"/>
      <c r="P300" s="4"/>
      <c r="Q300" s="4"/>
      <c r="R300" s="53"/>
      <c r="S300" s="4"/>
      <c r="T300" s="4"/>
      <c r="U300" s="4"/>
      <c r="V300" s="4"/>
      <c r="W300" s="4"/>
    </row>
    <row r="301" spans="1:23" ht="15.75" customHeight="1">
      <c r="A301" s="4"/>
      <c r="B301" s="4"/>
      <c r="C301" s="4"/>
      <c r="D301" s="4"/>
      <c r="E301" s="4"/>
      <c r="F301" s="4"/>
      <c r="G301" s="4"/>
      <c r="H301" s="4"/>
      <c r="I301" s="4"/>
      <c r="J301" s="4"/>
      <c r="K301" s="4"/>
      <c r="L301" s="4"/>
      <c r="M301" s="4"/>
      <c r="N301" s="4"/>
      <c r="O301" s="4"/>
      <c r="P301" s="4"/>
      <c r="Q301" s="4"/>
      <c r="R301" s="53"/>
      <c r="S301" s="4"/>
      <c r="T301" s="4"/>
      <c r="U301" s="4"/>
      <c r="V301" s="4"/>
      <c r="W301" s="4"/>
    </row>
    <row r="302" spans="1:23" ht="15.75" customHeight="1">
      <c r="A302" s="4"/>
      <c r="B302" s="4"/>
      <c r="C302" s="4"/>
      <c r="D302" s="4"/>
      <c r="E302" s="4"/>
      <c r="F302" s="4"/>
      <c r="G302" s="4"/>
      <c r="H302" s="4"/>
      <c r="I302" s="4"/>
      <c r="J302" s="4"/>
      <c r="K302" s="4"/>
      <c r="L302" s="4"/>
      <c r="M302" s="4"/>
      <c r="N302" s="4"/>
      <c r="O302" s="4"/>
      <c r="P302" s="4"/>
      <c r="Q302" s="4"/>
      <c r="R302" s="4"/>
      <c r="S302" s="4"/>
      <c r="T302" s="4"/>
      <c r="U302" s="4"/>
      <c r="V302" s="4"/>
      <c r="W302" s="4"/>
    </row>
    <row r="303" spans="1:23" ht="15.75" customHeight="1">
      <c r="A303" s="4"/>
      <c r="B303" s="4"/>
      <c r="C303" s="4"/>
      <c r="D303" s="4"/>
      <c r="E303" s="4"/>
      <c r="F303" s="4"/>
      <c r="G303" s="4"/>
      <c r="H303" s="4"/>
      <c r="I303" s="4"/>
      <c r="J303" s="4"/>
      <c r="K303" s="4"/>
      <c r="L303" s="4"/>
      <c r="M303" s="4"/>
      <c r="N303" s="4"/>
      <c r="O303" s="4"/>
      <c r="P303" s="4"/>
      <c r="Q303" s="4"/>
      <c r="R303" s="4"/>
      <c r="S303" s="4"/>
      <c r="T303" s="4"/>
      <c r="U303" s="4"/>
      <c r="V303" s="4"/>
      <c r="W303" s="4"/>
    </row>
    <row r="304" spans="1:23" ht="15.75" customHeight="1">
      <c r="A304" s="4"/>
      <c r="B304" s="4"/>
      <c r="C304" s="4"/>
      <c r="D304" s="4"/>
      <c r="E304" s="4"/>
      <c r="F304" s="4"/>
      <c r="G304" s="4"/>
      <c r="H304" s="4"/>
      <c r="I304" s="4"/>
      <c r="J304" s="4"/>
      <c r="K304" s="4"/>
      <c r="L304" s="4"/>
      <c r="M304" s="4"/>
      <c r="N304" s="4"/>
      <c r="O304" s="4"/>
      <c r="P304" s="4"/>
      <c r="Q304" s="4"/>
      <c r="R304" s="4"/>
      <c r="S304" s="4"/>
      <c r="T304" s="4"/>
      <c r="U304" s="4"/>
      <c r="V304" s="4"/>
      <c r="W304" s="4"/>
    </row>
    <row r="305" spans="1:23" ht="15.75" customHeight="1">
      <c r="A305" s="4"/>
      <c r="B305" s="4"/>
      <c r="C305" s="4"/>
      <c r="D305" s="4"/>
      <c r="E305" s="4"/>
      <c r="F305" s="4"/>
      <c r="G305" s="4"/>
      <c r="H305" s="4"/>
      <c r="I305" s="4"/>
      <c r="J305" s="4"/>
      <c r="K305" s="4"/>
      <c r="L305" s="4"/>
      <c r="M305" s="4"/>
      <c r="N305" s="4"/>
      <c r="O305" s="4"/>
      <c r="P305" s="4"/>
      <c r="Q305" s="4"/>
      <c r="R305" s="4"/>
      <c r="S305" s="4"/>
      <c r="T305" s="4"/>
      <c r="U305" s="4"/>
      <c r="V305" s="4"/>
      <c r="W305" s="4"/>
    </row>
    <row r="306" spans="1:23" ht="15.75" customHeight="1">
      <c r="A306" s="4"/>
      <c r="B306" s="4"/>
      <c r="C306" s="4"/>
      <c r="D306" s="4"/>
      <c r="E306" s="4"/>
      <c r="F306" s="4"/>
      <c r="G306" s="4"/>
      <c r="H306" s="4"/>
      <c r="I306" s="4"/>
      <c r="J306" s="4"/>
      <c r="K306" s="4"/>
      <c r="L306" s="4"/>
      <c r="M306" s="4"/>
      <c r="N306" s="4"/>
      <c r="O306" s="4"/>
      <c r="P306" s="4"/>
      <c r="Q306" s="4"/>
      <c r="R306" s="4"/>
      <c r="S306" s="4"/>
      <c r="T306" s="4"/>
      <c r="U306" s="4"/>
      <c r="V306" s="4"/>
      <c r="W306" s="4"/>
    </row>
    <row r="307" spans="1:23" ht="15.75" customHeight="1">
      <c r="A307" s="4"/>
      <c r="B307" s="4"/>
      <c r="C307" s="4"/>
      <c r="D307" s="4"/>
      <c r="E307" s="4"/>
      <c r="F307" s="4"/>
      <c r="G307" s="4"/>
      <c r="H307" s="4"/>
      <c r="I307" s="4"/>
      <c r="J307" s="4"/>
      <c r="K307" s="4"/>
      <c r="L307" s="4"/>
      <c r="M307" s="4"/>
      <c r="N307" s="4"/>
      <c r="O307" s="4"/>
      <c r="P307" s="4"/>
      <c r="Q307" s="4"/>
      <c r="R307" s="4"/>
      <c r="S307" s="4"/>
      <c r="T307" s="4"/>
      <c r="U307" s="4"/>
      <c r="V307" s="4"/>
      <c r="W307" s="4"/>
    </row>
    <row r="308" spans="1:23" ht="15.75" customHeight="1">
      <c r="A308" s="4"/>
      <c r="B308" s="4"/>
      <c r="C308" s="4"/>
      <c r="D308" s="4"/>
      <c r="E308" s="4"/>
      <c r="F308" s="4"/>
      <c r="G308" s="4"/>
      <c r="H308" s="4"/>
      <c r="I308" s="4"/>
      <c r="J308" s="4"/>
      <c r="K308" s="4"/>
      <c r="L308" s="4"/>
      <c r="M308" s="4"/>
      <c r="N308" s="4"/>
      <c r="O308" s="4"/>
      <c r="P308" s="4"/>
      <c r="Q308" s="4"/>
      <c r="R308" s="4"/>
      <c r="S308" s="4"/>
      <c r="T308" s="4"/>
      <c r="U308" s="4"/>
      <c r="V308" s="4"/>
      <c r="W308" s="4"/>
    </row>
    <row r="309" spans="1:23" ht="15.75" customHeight="1">
      <c r="A309" s="4"/>
      <c r="B309" s="4"/>
      <c r="C309" s="4"/>
      <c r="D309" s="4"/>
      <c r="E309" s="4"/>
      <c r="F309" s="4"/>
      <c r="G309" s="4"/>
      <c r="H309" s="4"/>
      <c r="I309" s="4"/>
      <c r="J309" s="4"/>
      <c r="K309" s="4"/>
      <c r="L309" s="4"/>
      <c r="M309" s="4"/>
      <c r="N309" s="4"/>
      <c r="O309" s="4"/>
      <c r="P309" s="4"/>
      <c r="Q309" s="4"/>
      <c r="R309" s="4"/>
      <c r="S309" s="4"/>
      <c r="T309" s="4"/>
      <c r="U309" s="4"/>
      <c r="V309" s="4"/>
      <c r="W309" s="4"/>
    </row>
    <row r="310" spans="1:23" ht="15.75" customHeight="1">
      <c r="A310" s="4"/>
      <c r="B310" s="4"/>
      <c r="C310" s="4"/>
      <c r="D310" s="4"/>
      <c r="E310" s="4"/>
      <c r="F310" s="4"/>
      <c r="G310" s="4"/>
      <c r="H310" s="4"/>
      <c r="I310" s="4"/>
      <c r="J310" s="4"/>
      <c r="K310" s="4"/>
      <c r="L310" s="4"/>
      <c r="M310" s="4"/>
      <c r="N310" s="4"/>
      <c r="O310" s="4"/>
      <c r="P310" s="4"/>
      <c r="Q310" s="4"/>
      <c r="R310" s="4"/>
      <c r="S310" s="4"/>
      <c r="T310" s="4"/>
      <c r="U310" s="4"/>
      <c r="V310" s="4"/>
      <c r="W310" s="4"/>
    </row>
    <row r="311" spans="1:23" ht="15.75" customHeight="1">
      <c r="A311" s="4"/>
      <c r="B311" s="4"/>
      <c r="C311" s="4"/>
      <c r="D311" s="4"/>
      <c r="E311" s="4"/>
      <c r="F311" s="4"/>
      <c r="G311" s="4"/>
      <c r="H311" s="4"/>
      <c r="I311" s="4"/>
      <c r="J311" s="4"/>
      <c r="K311" s="4"/>
      <c r="L311" s="4"/>
      <c r="M311" s="4"/>
      <c r="N311" s="4"/>
      <c r="O311" s="4"/>
      <c r="P311" s="4"/>
      <c r="Q311" s="4"/>
      <c r="R311" s="4"/>
      <c r="S311" s="4"/>
      <c r="T311" s="4"/>
      <c r="U311" s="4"/>
      <c r="V311" s="4"/>
      <c r="W311" s="4"/>
    </row>
    <row r="312" spans="1:23" ht="15.75" customHeight="1">
      <c r="A312" s="4"/>
      <c r="B312" s="4"/>
      <c r="C312" s="4"/>
      <c r="D312" s="4"/>
      <c r="E312" s="4"/>
      <c r="F312" s="4"/>
      <c r="G312" s="4"/>
      <c r="H312" s="4"/>
      <c r="I312" s="4"/>
      <c r="J312" s="4"/>
      <c r="K312" s="4"/>
      <c r="L312" s="4"/>
      <c r="M312" s="4"/>
      <c r="N312" s="4"/>
      <c r="O312" s="4"/>
      <c r="P312" s="4"/>
      <c r="Q312" s="4"/>
      <c r="R312" s="4"/>
      <c r="S312" s="4"/>
      <c r="T312" s="4"/>
      <c r="U312" s="4"/>
      <c r="V312" s="4"/>
      <c r="W312" s="4"/>
    </row>
    <row r="313" spans="1:23" ht="15.75" customHeight="1">
      <c r="A313" s="4"/>
      <c r="B313" s="4"/>
      <c r="C313" s="4"/>
      <c r="D313" s="4"/>
      <c r="E313" s="4"/>
      <c r="F313" s="4"/>
      <c r="G313" s="4"/>
      <c r="H313" s="4"/>
      <c r="I313" s="4"/>
      <c r="J313" s="4"/>
      <c r="K313" s="4"/>
      <c r="L313" s="4"/>
      <c r="M313" s="4"/>
      <c r="N313" s="4"/>
      <c r="O313" s="4"/>
      <c r="P313" s="4"/>
      <c r="Q313" s="4"/>
      <c r="R313" s="4"/>
      <c r="S313" s="4"/>
      <c r="T313" s="4"/>
      <c r="U313" s="4"/>
      <c r="V313" s="4"/>
      <c r="W313" s="4"/>
    </row>
    <row r="314" spans="1:23" ht="15.75" customHeight="1">
      <c r="A314" s="4"/>
      <c r="B314" s="4"/>
      <c r="C314" s="4"/>
      <c r="D314" s="4"/>
      <c r="E314" s="4"/>
      <c r="F314" s="4"/>
      <c r="G314" s="4"/>
      <c r="H314" s="4"/>
      <c r="I314" s="4"/>
      <c r="J314" s="4"/>
      <c r="K314" s="4"/>
      <c r="L314" s="4"/>
      <c r="M314" s="4"/>
      <c r="N314" s="4"/>
      <c r="O314" s="4"/>
      <c r="P314" s="4"/>
      <c r="Q314" s="4"/>
      <c r="R314" s="4"/>
      <c r="S314" s="4"/>
      <c r="T314" s="4"/>
      <c r="U314" s="4"/>
      <c r="V314" s="4"/>
      <c r="W314" s="4"/>
    </row>
    <row r="315" spans="1:23" ht="15.75" customHeight="1">
      <c r="A315" s="4"/>
      <c r="B315" s="4"/>
      <c r="C315" s="4"/>
      <c r="D315" s="4"/>
      <c r="E315" s="4"/>
      <c r="F315" s="4"/>
      <c r="G315" s="4"/>
      <c r="H315" s="4"/>
      <c r="I315" s="4"/>
      <c r="J315" s="4"/>
      <c r="K315" s="4"/>
      <c r="L315" s="4"/>
      <c r="M315" s="4"/>
      <c r="N315" s="4"/>
      <c r="O315" s="4"/>
      <c r="P315" s="4"/>
      <c r="Q315" s="4"/>
      <c r="R315" s="4"/>
      <c r="S315" s="4"/>
      <c r="T315" s="4"/>
      <c r="U315" s="4"/>
      <c r="V315" s="4"/>
      <c r="W315" s="4"/>
    </row>
    <row r="316" spans="1:23" ht="15.75" customHeight="1">
      <c r="A316" s="4"/>
      <c r="B316" s="4"/>
      <c r="C316" s="4"/>
      <c r="D316" s="4"/>
      <c r="E316" s="4"/>
      <c r="F316" s="4"/>
      <c r="G316" s="4"/>
      <c r="H316" s="4"/>
      <c r="I316" s="4"/>
      <c r="J316" s="4"/>
      <c r="K316" s="4"/>
      <c r="L316" s="4"/>
      <c r="M316" s="4"/>
      <c r="N316" s="4"/>
      <c r="O316" s="4"/>
      <c r="P316" s="4"/>
      <c r="Q316" s="4"/>
      <c r="R316" s="4"/>
      <c r="S316" s="4"/>
      <c r="T316" s="4"/>
      <c r="U316" s="4"/>
      <c r="V316" s="4"/>
      <c r="W316" s="4"/>
    </row>
    <row r="317" spans="1:23" ht="15.75" customHeight="1">
      <c r="A317" s="4"/>
      <c r="B317" s="4"/>
      <c r="C317" s="4"/>
      <c r="D317" s="4"/>
      <c r="E317" s="4"/>
      <c r="F317" s="4"/>
      <c r="G317" s="4"/>
      <c r="H317" s="4"/>
      <c r="I317" s="4"/>
      <c r="J317" s="4"/>
      <c r="K317" s="4"/>
      <c r="L317" s="4"/>
      <c r="M317" s="4"/>
      <c r="N317" s="4"/>
      <c r="O317" s="4"/>
      <c r="P317" s="4"/>
      <c r="Q317" s="4"/>
      <c r="R317" s="4"/>
      <c r="S317" s="4"/>
      <c r="T317" s="4"/>
      <c r="U317" s="4"/>
      <c r="V317" s="4"/>
      <c r="W317" s="4"/>
    </row>
    <row r="318" spans="1:23" ht="15.75" customHeight="1">
      <c r="A318" s="4"/>
      <c r="B318" s="4"/>
      <c r="C318" s="4"/>
      <c r="D318" s="4"/>
      <c r="E318" s="4"/>
      <c r="F318" s="4"/>
      <c r="G318" s="4"/>
      <c r="H318" s="4"/>
      <c r="I318" s="4"/>
      <c r="J318" s="4"/>
      <c r="K318" s="4"/>
      <c r="L318" s="4"/>
      <c r="M318" s="4"/>
      <c r="N318" s="4"/>
      <c r="O318" s="4"/>
      <c r="P318" s="4"/>
      <c r="Q318" s="4"/>
      <c r="R318" s="4"/>
      <c r="S318" s="4"/>
      <c r="T318" s="4"/>
      <c r="U318" s="4"/>
      <c r="V318" s="4"/>
      <c r="W318" s="4"/>
    </row>
    <row r="319" spans="1:23" ht="15.75" customHeight="1">
      <c r="A319" s="4"/>
      <c r="B319" s="4"/>
      <c r="C319" s="4"/>
      <c r="D319" s="4"/>
      <c r="E319" s="4"/>
      <c r="F319" s="4"/>
      <c r="G319" s="4"/>
      <c r="H319" s="4"/>
      <c r="I319" s="4"/>
      <c r="J319" s="4"/>
      <c r="K319" s="4"/>
      <c r="L319" s="4"/>
      <c r="M319" s="4"/>
      <c r="N319" s="4"/>
      <c r="O319" s="4"/>
      <c r="P319" s="4"/>
      <c r="Q319" s="4"/>
      <c r="R319" s="4"/>
      <c r="S319" s="4"/>
      <c r="T319" s="4"/>
      <c r="U319" s="4"/>
      <c r="V319" s="4"/>
      <c r="W319" s="4"/>
    </row>
    <row r="320" spans="1:23" ht="15.75" customHeight="1">
      <c r="A320" s="4"/>
      <c r="B320" s="4"/>
      <c r="C320" s="4"/>
      <c r="D320" s="4"/>
      <c r="E320" s="4"/>
      <c r="F320" s="4"/>
      <c r="G320" s="4"/>
      <c r="H320" s="4"/>
      <c r="I320" s="4"/>
      <c r="J320" s="4"/>
      <c r="K320" s="4"/>
      <c r="L320" s="4"/>
      <c r="M320" s="4"/>
      <c r="N320" s="4"/>
      <c r="O320" s="4"/>
      <c r="P320" s="4"/>
      <c r="Q320" s="4"/>
      <c r="R320" s="4"/>
      <c r="S320" s="4"/>
      <c r="T320" s="4"/>
      <c r="U320" s="4"/>
      <c r="V320" s="4"/>
      <c r="W320" s="4"/>
    </row>
    <row r="321" spans="1:23" ht="15.75" customHeight="1">
      <c r="A321" s="4"/>
      <c r="B321" s="4"/>
      <c r="C321" s="4"/>
      <c r="D321" s="4"/>
      <c r="E321" s="4"/>
      <c r="F321" s="4"/>
      <c r="G321" s="4"/>
      <c r="H321" s="4"/>
      <c r="I321" s="4"/>
      <c r="J321" s="4"/>
      <c r="K321" s="4"/>
      <c r="L321" s="4"/>
      <c r="M321" s="4"/>
      <c r="N321" s="4"/>
      <c r="O321" s="4"/>
      <c r="P321" s="4"/>
      <c r="Q321" s="4"/>
      <c r="R321" s="4"/>
      <c r="S321" s="4"/>
      <c r="T321" s="4"/>
      <c r="U321" s="4"/>
      <c r="V321" s="4"/>
      <c r="W321" s="4"/>
    </row>
    <row r="322" spans="1:23" ht="15.75" customHeight="1">
      <c r="A322" s="4"/>
      <c r="B322" s="4"/>
      <c r="C322" s="4"/>
      <c r="D322" s="4"/>
      <c r="E322" s="4"/>
      <c r="F322" s="4"/>
      <c r="G322" s="4"/>
      <c r="H322" s="4"/>
      <c r="I322" s="4"/>
      <c r="J322" s="4"/>
      <c r="K322" s="4"/>
      <c r="L322" s="4"/>
      <c r="M322" s="4"/>
      <c r="N322" s="4"/>
      <c r="O322" s="4"/>
      <c r="P322" s="4"/>
      <c r="Q322" s="4"/>
      <c r="R322" s="4"/>
      <c r="S322" s="4"/>
      <c r="T322" s="4"/>
      <c r="U322" s="4"/>
      <c r="V322" s="4"/>
      <c r="W322" s="4"/>
    </row>
    <row r="323" spans="1:23" ht="15.75" customHeight="1">
      <c r="A323" s="4"/>
      <c r="B323" s="4"/>
      <c r="C323" s="4"/>
      <c r="D323" s="4"/>
      <c r="E323" s="4"/>
      <c r="F323" s="4"/>
      <c r="G323" s="4"/>
      <c r="H323" s="4"/>
      <c r="I323" s="4"/>
      <c r="J323" s="4"/>
      <c r="K323" s="4"/>
      <c r="L323" s="4"/>
      <c r="M323" s="4"/>
      <c r="N323" s="4"/>
      <c r="O323" s="4"/>
      <c r="P323" s="4"/>
      <c r="Q323" s="4"/>
      <c r="R323" s="4"/>
      <c r="S323" s="4"/>
      <c r="T323" s="4"/>
      <c r="U323" s="4"/>
      <c r="V323" s="4"/>
      <c r="W323" s="4"/>
    </row>
    <row r="324" spans="1:23" ht="15.75" customHeight="1">
      <c r="A324" s="4"/>
      <c r="B324" s="4"/>
      <c r="C324" s="4"/>
      <c r="D324" s="4"/>
      <c r="E324" s="4"/>
      <c r="F324" s="4"/>
      <c r="G324" s="4"/>
      <c r="H324" s="4"/>
      <c r="I324" s="4"/>
      <c r="J324" s="4"/>
      <c r="K324" s="4"/>
      <c r="L324" s="4"/>
      <c r="M324" s="4"/>
      <c r="N324" s="4"/>
      <c r="O324" s="4"/>
      <c r="P324" s="4"/>
      <c r="Q324" s="4"/>
      <c r="R324" s="4"/>
      <c r="S324" s="4"/>
      <c r="T324" s="4"/>
      <c r="U324" s="4"/>
      <c r="V324" s="4"/>
      <c r="W324" s="4"/>
    </row>
    <row r="325" spans="1:23" ht="15.75" customHeight="1">
      <c r="A325" s="4"/>
      <c r="B325" s="4"/>
      <c r="C325" s="4"/>
      <c r="D325" s="4"/>
      <c r="E325" s="4"/>
      <c r="F325" s="4"/>
      <c r="G325" s="4"/>
      <c r="H325" s="4"/>
      <c r="I325" s="4"/>
      <c r="J325" s="4"/>
      <c r="K325" s="4"/>
      <c r="L325" s="4"/>
      <c r="M325" s="4"/>
      <c r="N325" s="4"/>
      <c r="O325" s="4"/>
      <c r="P325" s="4"/>
      <c r="Q325" s="4"/>
      <c r="R325" s="4"/>
      <c r="S325" s="4"/>
      <c r="T325" s="4"/>
      <c r="U325" s="4"/>
      <c r="V325" s="4"/>
      <c r="W325" s="4"/>
    </row>
    <row r="326" spans="1:23" ht="15.75" customHeight="1">
      <c r="A326" s="4"/>
      <c r="B326" s="4"/>
      <c r="C326" s="4"/>
      <c r="D326" s="4"/>
      <c r="E326" s="4"/>
      <c r="F326" s="4"/>
      <c r="G326" s="4"/>
      <c r="H326" s="4"/>
      <c r="I326" s="4"/>
      <c r="J326" s="4"/>
      <c r="K326" s="4"/>
      <c r="L326" s="4"/>
      <c r="M326" s="4"/>
      <c r="N326" s="4"/>
      <c r="O326" s="4"/>
      <c r="P326" s="4"/>
      <c r="Q326" s="4"/>
      <c r="R326" s="4"/>
      <c r="S326" s="4"/>
      <c r="T326" s="4"/>
      <c r="U326" s="4"/>
      <c r="V326" s="4"/>
      <c r="W326" s="4"/>
    </row>
    <row r="327" spans="1:23" ht="15.75" customHeight="1">
      <c r="A327" s="4"/>
      <c r="B327" s="4"/>
      <c r="C327" s="4"/>
      <c r="D327" s="4"/>
      <c r="E327" s="4"/>
      <c r="F327" s="4"/>
      <c r="G327" s="4"/>
      <c r="H327" s="4"/>
      <c r="I327" s="4"/>
      <c r="J327" s="4"/>
      <c r="K327" s="4"/>
      <c r="L327" s="4"/>
      <c r="M327" s="4"/>
      <c r="N327" s="4"/>
      <c r="O327" s="4"/>
      <c r="P327" s="4"/>
      <c r="Q327" s="4"/>
      <c r="R327" s="4"/>
      <c r="S327" s="4"/>
      <c r="T327" s="4"/>
      <c r="U327" s="4"/>
      <c r="V327" s="4"/>
      <c r="W327" s="4"/>
    </row>
    <row r="328" spans="1:23" ht="15.75" customHeight="1">
      <c r="A328" s="4"/>
      <c r="B328" s="4"/>
      <c r="C328" s="4"/>
      <c r="D328" s="4"/>
      <c r="E328" s="4"/>
      <c r="F328" s="4"/>
      <c r="G328" s="4"/>
      <c r="H328" s="4"/>
      <c r="I328" s="4"/>
      <c r="J328" s="4"/>
      <c r="K328" s="4"/>
      <c r="L328" s="4"/>
      <c r="M328" s="4"/>
      <c r="N328" s="4"/>
      <c r="O328" s="4"/>
      <c r="P328" s="4"/>
      <c r="Q328" s="4"/>
      <c r="R328" s="4"/>
      <c r="S328" s="4"/>
      <c r="T328" s="4"/>
      <c r="U328" s="4"/>
      <c r="V328" s="4"/>
      <c r="W328" s="4"/>
    </row>
    <row r="329" spans="1:23" ht="15.75" customHeight="1">
      <c r="A329" s="4"/>
      <c r="B329" s="4"/>
      <c r="C329" s="4"/>
      <c r="D329" s="4"/>
      <c r="E329" s="4"/>
      <c r="F329" s="4"/>
      <c r="G329" s="4"/>
      <c r="H329" s="4"/>
      <c r="I329" s="4"/>
      <c r="J329" s="4"/>
      <c r="K329" s="4"/>
      <c r="L329" s="4"/>
      <c r="M329" s="4"/>
      <c r="N329" s="4"/>
      <c r="O329" s="4"/>
      <c r="P329" s="4"/>
      <c r="Q329" s="4"/>
      <c r="R329" s="4"/>
      <c r="S329" s="4"/>
      <c r="T329" s="4"/>
      <c r="U329" s="4"/>
      <c r="V329" s="4"/>
      <c r="W329" s="4"/>
    </row>
    <row r="330" spans="1:23" ht="15.75" customHeight="1">
      <c r="A330" s="4"/>
      <c r="B330" s="4"/>
      <c r="C330" s="4"/>
      <c r="D330" s="4"/>
      <c r="E330" s="4"/>
      <c r="F330" s="4"/>
      <c r="G330" s="4"/>
      <c r="H330" s="4"/>
      <c r="I330" s="4"/>
      <c r="J330" s="4"/>
      <c r="K330" s="4"/>
      <c r="L330" s="4"/>
      <c r="M330" s="4"/>
      <c r="N330" s="4"/>
      <c r="O330" s="4"/>
      <c r="P330" s="4"/>
      <c r="Q330" s="4"/>
      <c r="R330" s="4"/>
      <c r="S330" s="4"/>
      <c r="T330" s="4"/>
      <c r="U330" s="4"/>
      <c r="V330" s="4"/>
      <c r="W330" s="4"/>
    </row>
    <row r="331" spans="1:23" ht="15.75" customHeight="1">
      <c r="A331" s="4"/>
      <c r="B331" s="4"/>
      <c r="C331" s="4"/>
      <c r="D331" s="4"/>
      <c r="E331" s="4"/>
      <c r="F331" s="4"/>
      <c r="G331" s="4"/>
      <c r="H331" s="4"/>
      <c r="I331" s="4"/>
      <c r="J331" s="4"/>
      <c r="K331" s="4"/>
      <c r="L331" s="4"/>
      <c r="M331" s="4"/>
      <c r="N331" s="4"/>
      <c r="O331" s="4"/>
      <c r="P331" s="4"/>
      <c r="Q331" s="4"/>
      <c r="R331" s="4"/>
      <c r="S331" s="4"/>
      <c r="T331" s="4"/>
      <c r="U331" s="4"/>
      <c r="V331" s="4"/>
      <c r="W331" s="4"/>
    </row>
    <row r="332" spans="1:23" ht="15.75" customHeight="1">
      <c r="A332" s="4"/>
      <c r="B332" s="4"/>
      <c r="C332" s="4"/>
      <c r="D332" s="4"/>
      <c r="E332" s="4"/>
      <c r="F332" s="4"/>
      <c r="G332" s="4"/>
      <c r="H332" s="4"/>
      <c r="I332" s="4"/>
      <c r="J332" s="4"/>
      <c r="K332" s="4"/>
      <c r="L332" s="4"/>
      <c r="M332" s="4"/>
      <c r="N332" s="4"/>
      <c r="O332" s="4"/>
      <c r="P332" s="4"/>
      <c r="Q332" s="4"/>
      <c r="R332" s="4"/>
      <c r="S332" s="4"/>
      <c r="T332" s="4"/>
      <c r="U332" s="4"/>
      <c r="V332" s="4"/>
      <c r="W332" s="4"/>
    </row>
    <row r="333" spans="1:23" ht="15.75" customHeight="1">
      <c r="A333" s="4"/>
      <c r="B333" s="4"/>
      <c r="C333" s="4"/>
      <c r="D333" s="4"/>
      <c r="E333" s="4"/>
      <c r="F333" s="4"/>
      <c r="G333" s="4"/>
      <c r="H333" s="4"/>
      <c r="I333" s="4"/>
      <c r="J333" s="4"/>
      <c r="K333" s="4"/>
      <c r="L333" s="4"/>
      <c r="M333" s="4"/>
      <c r="N333" s="4"/>
      <c r="O333" s="4"/>
      <c r="P333" s="4"/>
      <c r="Q333" s="4"/>
      <c r="R333" s="4"/>
      <c r="S333" s="4"/>
      <c r="T333" s="4"/>
      <c r="U333" s="4"/>
      <c r="V333" s="4"/>
      <c r="W333" s="4"/>
    </row>
    <row r="334" spans="1:23" ht="15.75" customHeight="1">
      <c r="A334" s="4"/>
      <c r="B334" s="4"/>
      <c r="C334" s="4"/>
      <c r="D334" s="4"/>
      <c r="E334" s="4"/>
      <c r="F334" s="4"/>
      <c r="G334" s="4"/>
      <c r="H334" s="4"/>
      <c r="I334" s="4"/>
      <c r="J334" s="4"/>
      <c r="K334" s="4"/>
      <c r="L334" s="4"/>
      <c r="M334" s="4"/>
      <c r="N334" s="4"/>
      <c r="O334" s="4"/>
      <c r="P334" s="4"/>
      <c r="Q334" s="4"/>
      <c r="R334" s="4"/>
      <c r="S334" s="4"/>
      <c r="T334" s="4"/>
      <c r="U334" s="4"/>
      <c r="V334" s="4"/>
      <c r="W334" s="4"/>
    </row>
    <row r="335" spans="1:23" ht="15.75" customHeight="1">
      <c r="A335" s="4"/>
      <c r="B335" s="4"/>
      <c r="C335" s="4"/>
      <c r="D335" s="4"/>
      <c r="E335" s="4"/>
      <c r="F335" s="4"/>
      <c r="G335" s="4"/>
      <c r="H335" s="4"/>
      <c r="I335" s="4"/>
      <c r="J335" s="4"/>
      <c r="K335" s="4"/>
      <c r="L335" s="4"/>
      <c r="M335" s="4"/>
      <c r="N335" s="4"/>
      <c r="O335" s="4"/>
      <c r="P335" s="4"/>
      <c r="Q335" s="4"/>
      <c r="R335" s="4"/>
      <c r="S335" s="4"/>
      <c r="T335" s="4"/>
      <c r="U335" s="4"/>
      <c r="V335" s="4"/>
      <c r="W335" s="4"/>
    </row>
    <row r="336" spans="1:23" ht="15.75" customHeight="1">
      <c r="A336" s="4"/>
      <c r="B336" s="4"/>
      <c r="C336" s="4"/>
      <c r="D336" s="4"/>
      <c r="E336" s="4"/>
      <c r="F336" s="4"/>
      <c r="G336" s="4"/>
      <c r="H336" s="4"/>
      <c r="I336" s="4"/>
      <c r="J336" s="4"/>
      <c r="K336" s="4"/>
      <c r="L336" s="4"/>
      <c r="M336" s="4"/>
      <c r="N336" s="4"/>
      <c r="O336" s="4"/>
      <c r="P336" s="4"/>
      <c r="Q336" s="4"/>
      <c r="R336" s="4"/>
      <c r="S336" s="4"/>
      <c r="T336" s="4"/>
      <c r="U336" s="4"/>
      <c r="V336" s="4"/>
      <c r="W336" s="4"/>
    </row>
    <row r="337" spans="1:23" ht="15.75" customHeight="1">
      <c r="A337" s="4"/>
      <c r="B337" s="4"/>
      <c r="C337" s="4"/>
      <c r="D337" s="4"/>
      <c r="E337" s="4"/>
      <c r="F337" s="4"/>
      <c r="G337" s="4"/>
      <c r="H337" s="4"/>
      <c r="I337" s="4"/>
      <c r="J337" s="4"/>
      <c r="K337" s="4"/>
      <c r="L337" s="4"/>
      <c r="M337" s="4"/>
      <c r="N337" s="4"/>
      <c r="O337" s="4"/>
      <c r="P337" s="4"/>
      <c r="Q337" s="4"/>
      <c r="R337" s="4"/>
      <c r="S337" s="4"/>
      <c r="T337" s="4"/>
      <c r="U337" s="4"/>
      <c r="V337" s="4"/>
      <c r="W337" s="4"/>
    </row>
    <row r="338" spans="1:23" ht="15.75" customHeight="1">
      <c r="A338" s="4"/>
      <c r="B338" s="4"/>
      <c r="C338" s="4"/>
      <c r="D338" s="4"/>
      <c r="E338" s="4"/>
      <c r="F338" s="4"/>
      <c r="G338" s="4"/>
      <c r="H338" s="4"/>
      <c r="I338" s="4"/>
      <c r="J338" s="4"/>
      <c r="K338" s="4"/>
      <c r="L338" s="4"/>
      <c r="M338" s="4"/>
      <c r="N338" s="4"/>
      <c r="O338" s="4"/>
      <c r="P338" s="4"/>
      <c r="Q338" s="4"/>
      <c r="R338" s="4"/>
      <c r="S338" s="4"/>
      <c r="T338" s="4"/>
      <c r="U338" s="4"/>
      <c r="V338" s="4"/>
      <c r="W338" s="4"/>
    </row>
    <row r="339" spans="1:23" ht="15.75" customHeight="1">
      <c r="A339" s="4"/>
      <c r="B339" s="4"/>
      <c r="C339" s="4"/>
      <c r="D339" s="4"/>
      <c r="E339" s="4"/>
      <c r="F339" s="4"/>
      <c r="G339" s="4"/>
      <c r="H339" s="4"/>
      <c r="I339" s="4"/>
      <c r="J339" s="4"/>
      <c r="K339" s="4"/>
      <c r="L339" s="4"/>
      <c r="M339" s="4"/>
      <c r="N339" s="4"/>
      <c r="O339" s="4"/>
      <c r="P339" s="4"/>
      <c r="Q339" s="4"/>
      <c r="R339" s="4"/>
      <c r="S339" s="4"/>
      <c r="T339" s="4"/>
      <c r="U339" s="4"/>
      <c r="V339" s="4"/>
      <c r="W339" s="4"/>
    </row>
    <row r="340" spans="1:23" ht="15.75" customHeight="1">
      <c r="A340" s="4"/>
      <c r="B340" s="4"/>
      <c r="C340" s="4"/>
      <c r="D340" s="4"/>
      <c r="E340" s="4"/>
      <c r="F340" s="4"/>
      <c r="G340" s="4"/>
      <c r="H340" s="4"/>
      <c r="I340" s="4"/>
      <c r="J340" s="4"/>
      <c r="K340" s="4"/>
      <c r="L340" s="4"/>
      <c r="M340" s="4"/>
      <c r="N340" s="4"/>
      <c r="O340" s="4"/>
      <c r="P340" s="4"/>
      <c r="Q340" s="4"/>
      <c r="R340" s="4"/>
      <c r="S340" s="4"/>
      <c r="T340" s="4"/>
      <c r="U340" s="4"/>
      <c r="V340" s="4"/>
      <c r="W340" s="4"/>
    </row>
    <row r="341" spans="1:23" ht="15.75" customHeight="1">
      <c r="A341" s="4"/>
      <c r="B341" s="4"/>
      <c r="C341" s="4"/>
      <c r="D341" s="4"/>
      <c r="E341" s="4"/>
      <c r="F341" s="4"/>
      <c r="G341" s="4"/>
      <c r="H341" s="4"/>
      <c r="I341" s="4"/>
      <c r="J341" s="4"/>
      <c r="K341" s="4"/>
      <c r="L341" s="4"/>
      <c r="M341" s="4"/>
      <c r="N341" s="4"/>
      <c r="O341" s="4"/>
      <c r="P341" s="4"/>
      <c r="Q341" s="4"/>
      <c r="R341" s="4"/>
      <c r="S341" s="4"/>
      <c r="T341" s="4"/>
      <c r="U341" s="4"/>
      <c r="V341" s="4"/>
      <c r="W341" s="4"/>
    </row>
    <row r="342" spans="1:23" ht="15.75" customHeight="1">
      <c r="A342" s="4"/>
      <c r="B342" s="4"/>
      <c r="C342" s="4"/>
      <c r="D342" s="4"/>
      <c r="E342" s="4"/>
      <c r="F342" s="4"/>
      <c r="G342" s="4"/>
      <c r="H342" s="4"/>
      <c r="I342" s="4"/>
      <c r="J342" s="4"/>
      <c r="K342" s="4"/>
      <c r="L342" s="4"/>
      <c r="M342" s="4"/>
      <c r="N342" s="4"/>
      <c r="O342" s="4"/>
      <c r="P342" s="4"/>
      <c r="Q342" s="4"/>
      <c r="R342" s="4"/>
      <c r="S342" s="4"/>
      <c r="T342" s="4"/>
      <c r="U342" s="4"/>
      <c r="V342" s="4"/>
      <c r="W342" s="4"/>
    </row>
    <row r="343" spans="1:23" ht="15.75" customHeight="1">
      <c r="A343" s="4"/>
      <c r="B343" s="4"/>
      <c r="C343" s="4"/>
      <c r="D343" s="4"/>
      <c r="E343" s="4"/>
      <c r="F343" s="4"/>
      <c r="G343" s="4"/>
      <c r="H343" s="4"/>
      <c r="I343" s="4"/>
      <c r="J343" s="4"/>
      <c r="K343" s="4"/>
      <c r="L343" s="4"/>
      <c r="M343" s="4"/>
      <c r="N343" s="4"/>
      <c r="O343" s="4"/>
      <c r="P343" s="4"/>
      <c r="Q343" s="4"/>
      <c r="R343" s="4"/>
      <c r="S343" s="4"/>
      <c r="T343" s="4"/>
      <c r="U343" s="4"/>
      <c r="V343" s="4"/>
      <c r="W343" s="4"/>
    </row>
    <row r="344" spans="1:23" ht="15.75" customHeight="1">
      <c r="A344" s="4"/>
      <c r="B344" s="4"/>
      <c r="C344" s="4"/>
      <c r="D344" s="4"/>
      <c r="E344" s="4"/>
      <c r="F344" s="4"/>
      <c r="G344" s="4"/>
      <c r="H344" s="4"/>
      <c r="I344" s="4"/>
      <c r="J344" s="4"/>
      <c r="K344" s="4"/>
      <c r="L344" s="4"/>
      <c r="M344" s="4"/>
      <c r="N344" s="4"/>
      <c r="O344" s="4"/>
      <c r="P344" s="4"/>
      <c r="Q344" s="4"/>
      <c r="R344" s="4"/>
      <c r="S344" s="4"/>
      <c r="T344" s="4"/>
      <c r="U344" s="4"/>
      <c r="V344" s="4"/>
      <c r="W344" s="4"/>
    </row>
    <row r="345" spans="1:23" ht="15.75" customHeight="1">
      <c r="A345" s="4"/>
      <c r="B345" s="4"/>
      <c r="C345" s="4"/>
      <c r="D345" s="4"/>
      <c r="E345" s="4"/>
      <c r="F345" s="4"/>
      <c r="G345" s="4"/>
      <c r="H345" s="4"/>
      <c r="I345" s="4"/>
      <c r="J345" s="4"/>
      <c r="K345" s="4"/>
      <c r="L345" s="4"/>
      <c r="M345" s="4"/>
      <c r="N345" s="4"/>
      <c r="O345" s="4"/>
      <c r="P345" s="4"/>
      <c r="Q345" s="4"/>
      <c r="R345" s="4"/>
      <c r="S345" s="4"/>
      <c r="T345" s="4"/>
      <c r="U345" s="4"/>
      <c r="V345" s="4"/>
      <c r="W345" s="4"/>
    </row>
    <row r="346" spans="1:23" ht="15.75" customHeight="1">
      <c r="A346" s="4"/>
      <c r="B346" s="4"/>
      <c r="C346" s="4"/>
      <c r="D346" s="4"/>
      <c r="E346" s="4"/>
      <c r="F346" s="4"/>
      <c r="G346" s="4"/>
      <c r="H346" s="4"/>
      <c r="I346" s="4"/>
      <c r="J346" s="4"/>
      <c r="K346" s="4"/>
      <c r="L346" s="4"/>
      <c r="M346" s="4"/>
      <c r="N346" s="4"/>
      <c r="O346" s="4"/>
      <c r="P346" s="4"/>
      <c r="Q346" s="4"/>
      <c r="R346" s="4"/>
      <c r="S346" s="4"/>
      <c r="T346" s="4"/>
      <c r="U346" s="4"/>
      <c r="V346" s="4"/>
      <c r="W346" s="4"/>
    </row>
    <row r="347" spans="1:23" ht="15.75" customHeight="1">
      <c r="A347" s="4"/>
      <c r="B347" s="4"/>
      <c r="C347" s="4"/>
      <c r="D347" s="4"/>
      <c r="E347" s="4"/>
      <c r="F347" s="4"/>
      <c r="G347" s="4"/>
      <c r="H347" s="4"/>
      <c r="I347" s="4"/>
      <c r="J347" s="4"/>
      <c r="K347" s="4"/>
      <c r="L347" s="4"/>
      <c r="M347" s="4"/>
      <c r="N347" s="4"/>
      <c r="O347" s="4"/>
      <c r="P347" s="4"/>
      <c r="Q347" s="4"/>
      <c r="R347" s="4"/>
      <c r="S347" s="4"/>
      <c r="T347" s="4"/>
      <c r="U347" s="4"/>
      <c r="V347" s="4"/>
      <c r="W347" s="4"/>
    </row>
    <row r="348" spans="1:23" ht="15.75" customHeight="1">
      <c r="A348" s="4"/>
      <c r="B348" s="4"/>
      <c r="C348" s="4"/>
      <c r="D348" s="4"/>
      <c r="E348" s="4"/>
      <c r="F348" s="4"/>
      <c r="G348" s="4"/>
      <c r="H348" s="4"/>
      <c r="I348" s="4"/>
      <c r="J348" s="4"/>
      <c r="K348" s="4"/>
      <c r="L348" s="4"/>
      <c r="M348" s="4"/>
      <c r="N348" s="4"/>
      <c r="O348" s="4"/>
      <c r="P348" s="4"/>
      <c r="Q348" s="4"/>
      <c r="R348" s="4"/>
      <c r="S348" s="4"/>
      <c r="T348" s="4"/>
      <c r="U348" s="4"/>
      <c r="V348" s="4"/>
      <c r="W348" s="4"/>
    </row>
    <row r="349" spans="1:23" ht="15.75" customHeight="1">
      <c r="A349" s="4"/>
      <c r="B349" s="4"/>
      <c r="C349" s="4"/>
      <c r="D349" s="4"/>
      <c r="E349" s="4"/>
      <c r="F349" s="4"/>
      <c r="G349" s="4"/>
      <c r="H349" s="4"/>
      <c r="I349" s="4"/>
      <c r="J349" s="4"/>
      <c r="K349" s="4"/>
      <c r="L349" s="4"/>
      <c r="M349" s="4"/>
      <c r="N349" s="4"/>
      <c r="O349" s="4"/>
      <c r="P349" s="4"/>
      <c r="Q349" s="4"/>
      <c r="R349" s="4"/>
      <c r="S349" s="4"/>
      <c r="T349" s="4"/>
      <c r="U349" s="4"/>
      <c r="V349" s="4"/>
      <c r="W349" s="4"/>
    </row>
    <row r="350" spans="1:23" ht="15.75" customHeight="1">
      <c r="A350" s="4"/>
      <c r="B350" s="4"/>
      <c r="C350" s="4"/>
      <c r="D350" s="4"/>
      <c r="E350" s="4"/>
      <c r="F350" s="4"/>
      <c r="G350" s="4"/>
      <c r="H350" s="4"/>
      <c r="I350" s="4"/>
      <c r="J350" s="4"/>
      <c r="K350" s="4"/>
      <c r="L350" s="4"/>
      <c r="M350" s="4"/>
      <c r="N350" s="4"/>
      <c r="O350" s="4"/>
      <c r="P350" s="4"/>
      <c r="Q350" s="4"/>
      <c r="R350" s="4"/>
      <c r="S350" s="4"/>
      <c r="T350" s="4"/>
      <c r="U350" s="4"/>
      <c r="V350" s="4"/>
      <c r="W350" s="4"/>
    </row>
    <row r="351" spans="1:23" ht="15.75" customHeight="1">
      <c r="A351" s="4"/>
      <c r="B351" s="4"/>
      <c r="C351" s="4"/>
      <c r="D351" s="4"/>
      <c r="E351" s="4"/>
      <c r="F351" s="4"/>
      <c r="G351" s="4"/>
      <c r="H351" s="4"/>
      <c r="I351" s="4"/>
      <c r="J351" s="4"/>
      <c r="K351" s="4"/>
      <c r="L351" s="4"/>
      <c r="M351" s="4"/>
      <c r="N351" s="4"/>
      <c r="O351" s="4"/>
      <c r="P351" s="4"/>
      <c r="Q351" s="4"/>
      <c r="R351" s="4"/>
      <c r="S351" s="4"/>
      <c r="T351" s="4"/>
      <c r="U351" s="4"/>
      <c r="V351" s="4"/>
      <c r="W351" s="4"/>
    </row>
    <row r="352" spans="1:23" ht="15.75" customHeight="1">
      <c r="A352" s="4"/>
      <c r="B352" s="4"/>
      <c r="C352" s="4"/>
      <c r="D352" s="4"/>
      <c r="E352" s="4"/>
      <c r="F352" s="4"/>
      <c r="G352" s="4"/>
      <c r="H352" s="4"/>
      <c r="I352" s="4"/>
      <c r="J352" s="4"/>
      <c r="K352" s="4"/>
      <c r="L352" s="4"/>
      <c r="M352" s="4"/>
      <c r="N352" s="4"/>
      <c r="O352" s="4"/>
      <c r="P352" s="4"/>
      <c r="Q352" s="4"/>
      <c r="R352" s="4"/>
      <c r="S352" s="4"/>
      <c r="T352" s="4"/>
      <c r="U352" s="4"/>
      <c r="V352" s="4"/>
      <c r="W352" s="4"/>
    </row>
    <row r="353" spans="1:23" ht="15.75" customHeight="1">
      <c r="A353" s="4"/>
      <c r="B353" s="4"/>
      <c r="C353" s="4"/>
      <c r="D353" s="4"/>
      <c r="E353" s="4"/>
      <c r="F353" s="4"/>
      <c r="G353" s="4"/>
      <c r="H353" s="4"/>
      <c r="I353" s="4"/>
      <c r="J353" s="4"/>
      <c r="K353" s="4"/>
      <c r="L353" s="4"/>
      <c r="M353" s="4"/>
      <c r="N353" s="4"/>
      <c r="O353" s="4"/>
      <c r="P353" s="4"/>
      <c r="Q353" s="4"/>
      <c r="R353" s="4"/>
      <c r="S353" s="4"/>
      <c r="T353" s="4"/>
      <c r="U353" s="4"/>
      <c r="V353" s="4"/>
      <c r="W353" s="4"/>
    </row>
    <row r="354" spans="1:23" ht="15.75" customHeight="1">
      <c r="A354" s="4"/>
      <c r="B354" s="4"/>
      <c r="C354" s="4"/>
      <c r="D354" s="4"/>
      <c r="E354" s="4"/>
      <c r="F354" s="4"/>
      <c r="G354" s="4"/>
      <c r="H354" s="4"/>
      <c r="I354" s="4"/>
      <c r="J354" s="4"/>
      <c r="K354" s="4"/>
      <c r="L354" s="4"/>
      <c r="M354" s="4"/>
      <c r="N354" s="4"/>
      <c r="O354" s="4"/>
      <c r="P354" s="4"/>
      <c r="Q354" s="4"/>
      <c r="R354" s="4"/>
      <c r="S354" s="4"/>
      <c r="T354" s="4"/>
      <c r="U354" s="4"/>
      <c r="V354" s="4"/>
      <c r="W354" s="4"/>
    </row>
    <row r="355" spans="1:23" ht="15.75" customHeight="1">
      <c r="A355" s="4"/>
      <c r="B355" s="4"/>
      <c r="C355" s="4"/>
      <c r="D355" s="4"/>
      <c r="E355" s="4"/>
      <c r="F355" s="4"/>
      <c r="G355" s="4"/>
      <c r="H355" s="4"/>
      <c r="I355" s="4"/>
      <c r="J355" s="4"/>
      <c r="K355" s="4"/>
      <c r="L355" s="4"/>
      <c r="M355" s="4"/>
      <c r="N355" s="4"/>
      <c r="O355" s="4"/>
      <c r="P355" s="4"/>
      <c r="Q355" s="4"/>
      <c r="R355" s="4"/>
      <c r="S355" s="4"/>
      <c r="T355" s="4"/>
      <c r="U355" s="4"/>
      <c r="V355" s="4"/>
      <c r="W355" s="4"/>
    </row>
    <row r="356" spans="1:23" ht="15.75" customHeight="1">
      <c r="A356" s="4"/>
      <c r="B356" s="4"/>
      <c r="C356" s="4"/>
      <c r="D356" s="4"/>
      <c r="E356" s="4"/>
      <c r="F356" s="4"/>
      <c r="G356" s="4"/>
      <c r="H356" s="4"/>
      <c r="I356" s="4"/>
      <c r="J356" s="4"/>
      <c r="K356" s="4"/>
      <c r="L356" s="4"/>
      <c r="M356" s="4"/>
      <c r="N356" s="4"/>
      <c r="O356" s="4"/>
      <c r="P356" s="4"/>
      <c r="Q356" s="4"/>
      <c r="R356" s="4"/>
      <c r="S356" s="4"/>
      <c r="T356" s="4"/>
      <c r="U356" s="4"/>
      <c r="V356" s="4"/>
      <c r="W356" s="4"/>
    </row>
    <row r="357" spans="1:23" ht="15.75" customHeight="1">
      <c r="A357" s="4"/>
      <c r="B357" s="4"/>
      <c r="C357" s="4"/>
      <c r="D357" s="4"/>
      <c r="E357" s="4"/>
      <c r="F357" s="4"/>
      <c r="G357" s="4"/>
      <c r="H357" s="4"/>
      <c r="I357" s="4"/>
      <c r="J357" s="4"/>
      <c r="K357" s="4"/>
      <c r="L357" s="4"/>
      <c r="M357" s="4"/>
      <c r="N357" s="4"/>
      <c r="O357" s="4"/>
      <c r="P357" s="4"/>
      <c r="Q357" s="4"/>
      <c r="R357" s="4"/>
      <c r="S357" s="4"/>
      <c r="T357" s="4"/>
      <c r="U357" s="4"/>
      <c r="V357" s="4"/>
      <c r="W357" s="4"/>
    </row>
    <row r="358" spans="1:23" ht="15.75" customHeight="1">
      <c r="A358" s="4"/>
      <c r="B358" s="4"/>
      <c r="C358" s="4"/>
      <c r="D358" s="4"/>
      <c r="E358" s="4"/>
      <c r="F358" s="4"/>
      <c r="G358" s="4"/>
      <c r="H358" s="4"/>
      <c r="I358" s="4"/>
      <c r="J358" s="4"/>
      <c r="K358" s="4"/>
      <c r="L358" s="4"/>
      <c r="M358" s="4"/>
      <c r="N358" s="4"/>
      <c r="O358" s="4"/>
      <c r="P358" s="4"/>
      <c r="Q358" s="4"/>
      <c r="R358" s="4"/>
      <c r="S358" s="4"/>
      <c r="T358" s="4"/>
      <c r="U358" s="4"/>
      <c r="V358" s="4"/>
      <c r="W358" s="4"/>
    </row>
    <row r="359" spans="1:23" ht="15.75" customHeight="1">
      <c r="A359" s="4"/>
      <c r="B359" s="4"/>
      <c r="C359" s="4"/>
      <c r="D359" s="4"/>
      <c r="E359" s="4"/>
      <c r="F359" s="4"/>
      <c r="G359" s="4"/>
      <c r="H359" s="4"/>
      <c r="I359" s="4"/>
      <c r="J359" s="4"/>
      <c r="K359" s="4"/>
      <c r="L359" s="4"/>
      <c r="M359" s="4"/>
      <c r="N359" s="4"/>
      <c r="O359" s="4"/>
      <c r="P359" s="4"/>
      <c r="Q359" s="4"/>
      <c r="R359" s="4"/>
      <c r="S359" s="4"/>
      <c r="T359" s="4"/>
      <c r="U359" s="4"/>
      <c r="V359" s="4"/>
      <c r="W359" s="4"/>
    </row>
    <row r="360" spans="1:23" ht="15.75" customHeight="1">
      <c r="A360" s="4"/>
      <c r="B360" s="4"/>
      <c r="C360" s="4"/>
      <c r="D360" s="4"/>
      <c r="E360" s="4"/>
      <c r="F360" s="4"/>
      <c r="G360" s="4"/>
      <c r="H360" s="4"/>
      <c r="I360" s="4"/>
      <c r="J360" s="4"/>
      <c r="K360" s="4"/>
      <c r="L360" s="4"/>
      <c r="M360" s="4"/>
      <c r="N360" s="4"/>
      <c r="O360" s="4"/>
      <c r="P360" s="4"/>
      <c r="Q360" s="4"/>
      <c r="R360" s="4"/>
      <c r="S360" s="4"/>
      <c r="T360" s="4"/>
      <c r="U360" s="4"/>
      <c r="V360" s="4"/>
      <c r="W360" s="4"/>
    </row>
    <row r="361" spans="1:23" ht="15.75" customHeight="1">
      <c r="A361" s="4"/>
      <c r="B361" s="4"/>
      <c r="C361" s="4"/>
      <c r="D361" s="4"/>
      <c r="E361" s="4"/>
      <c r="F361" s="4"/>
      <c r="G361" s="4"/>
      <c r="H361" s="4"/>
      <c r="I361" s="4"/>
      <c r="J361" s="4"/>
      <c r="K361" s="4"/>
      <c r="L361" s="4"/>
      <c r="M361" s="4"/>
      <c r="N361" s="4"/>
      <c r="O361" s="4"/>
      <c r="P361" s="4"/>
      <c r="Q361" s="4"/>
      <c r="R361" s="4"/>
      <c r="S361" s="4"/>
      <c r="T361" s="4"/>
      <c r="U361" s="4"/>
      <c r="V361" s="4"/>
      <c r="W361" s="4"/>
    </row>
    <row r="362" spans="1:23" ht="15.75" customHeight="1">
      <c r="A362" s="4"/>
      <c r="B362" s="4"/>
      <c r="C362" s="4"/>
      <c r="D362" s="4"/>
      <c r="E362" s="4"/>
      <c r="F362" s="4"/>
      <c r="G362" s="4"/>
      <c r="H362" s="4"/>
      <c r="I362" s="4"/>
      <c r="J362" s="4"/>
      <c r="K362" s="4"/>
      <c r="L362" s="4"/>
      <c r="M362" s="4"/>
      <c r="N362" s="4"/>
      <c r="O362" s="4"/>
      <c r="P362" s="4"/>
      <c r="Q362" s="4"/>
      <c r="R362" s="4"/>
      <c r="S362" s="4"/>
      <c r="T362" s="4"/>
      <c r="U362" s="4"/>
      <c r="V362" s="4"/>
      <c r="W362" s="4"/>
    </row>
    <row r="363" spans="1:23" ht="15.75" customHeight="1">
      <c r="A363" s="4"/>
      <c r="B363" s="4"/>
      <c r="C363" s="4"/>
      <c r="D363" s="4"/>
      <c r="E363" s="4"/>
      <c r="F363" s="4"/>
      <c r="G363" s="4"/>
      <c r="H363" s="4"/>
      <c r="I363" s="4"/>
      <c r="J363" s="4"/>
      <c r="K363" s="4"/>
      <c r="L363" s="4"/>
      <c r="M363" s="4"/>
      <c r="N363" s="4"/>
      <c r="O363" s="4"/>
      <c r="P363" s="4"/>
      <c r="Q363" s="4"/>
      <c r="R363" s="4"/>
      <c r="S363" s="4"/>
      <c r="T363" s="4"/>
      <c r="U363" s="4"/>
      <c r="V363" s="4"/>
      <c r="W363" s="4"/>
    </row>
    <row r="364" spans="1:23" ht="15.75" customHeight="1">
      <c r="A364" s="4"/>
      <c r="B364" s="4"/>
      <c r="C364" s="4"/>
      <c r="D364" s="4"/>
      <c r="E364" s="4"/>
      <c r="F364" s="4"/>
      <c r="G364" s="4"/>
      <c r="H364" s="4"/>
      <c r="I364" s="4"/>
      <c r="J364" s="4"/>
      <c r="K364" s="4"/>
      <c r="L364" s="4"/>
      <c r="M364" s="4"/>
      <c r="N364" s="4"/>
      <c r="O364" s="4"/>
      <c r="P364" s="4"/>
      <c r="Q364" s="4"/>
      <c r="R364" s="4"/>
      <c r="S364" s="4"/>
      <c r="T364" s="4"/>
      <c r="U364" s="4"/>
      <c r="V364" s="4"/>
      <c r="W364" s="4"/>
    </row>
    <row r="365" spans="1:23" ht="15.75" customHeight="1">
      <c r="A365" s="4"/>
      <c r="B365" s="4"/>
      <c r="C365" s="4"/>
      <c r="D365" s="4"/>
      <c r="E365" s="4"/>
      <c r="F365" s="4"/>
      <c r="G365" s="4"/>
      <c r="H365" s="4"/>
      <c r="I365" s="4"/>
      <c r="J365" s="4"/>
      <c r="K365" s="4"/>
      <c r="L365" s="4"/>
      <c r="M365" s="4"/>
      <c r="N365" s="4"/>
      <c r="O365" s="4"/>
      <c r="P365" s="4"/>
      <c r="Q365" s="4"/>
      <c r="R365" s="4"/>
      <c r="S365" s="4"/>
      <c r="T365" s="4"/>
      <c r="U365" s="4"/>
      <c r="V365" s="4"/>
      <c r="W365" s="4"/>
    </row>
    <row r="366" spans="1:23" ht="15.75" customHeight="1">
      <c r="A366" s="4"/>
      <c r="B366" s="4"/>
      <c r="C366" s="4"/>
      <c r="D366" s="4"/>
      <c r="E366" s="4"/>
      <c r="F366" s="4"/>
      <c r="G366" s="4"/>
      <c r="H366" s="4"/>
      <c r="I366" s="4"/>
      <c r="J366" s="4"/>
      <c r="K366" s="4"/>
      <c r="L366" s="4"/>
      <c r="M366" s="4"/>
      <c r="N366" s="4"/>
      <c r="O366" s="4"/>
      <c r="P366" s="4"/>
      <c r="Q366" s="4"/>
      <c r="R366" s="4"/>
      <c r="S366" s="4"/>
      <c r="T366" s="4"/>
      <c r="U366" s="4"/>
      <c r="V366" s="4"/>
      <c r="W366" s="4"/>
    </row>
    <row r="367" spans="1:23" ht="15.75" customHeight="1">
      <c r="A367" s="4"/>
      <c r="B367" s="4"/>
      <c r="C367" s="4"/>
      <c r="D367" s="4"/>
      <c r="E367" s="4"/>
      <c r="F367" s="4"/>
      <c r="G367" s="4"/>
      <c r="H367" s="4"/>
      <c r="I367" s="4"/>
      <c r="J367" s="4"/>
      <c r="K367" s="4"/>
      <c r="L367" s="4"/>
      <c r="M367" s="4"/>
      <c r="N367" s="4"/>
      <c r="O367" s="4"/>
      <c r="P367" s="4"/>
      <c r="Q367" s="4"/>
      <c r="R367" s="4"/>
      <c r="S367" s="4"/>
      <c r="T367" s="4"/>
      <c r="U367" s="4"/>
      <c r="V367" s="4"/>
      <c r="W367" s="4"/>
    </row>
    <row r="368" spans="1:23" ht="15.75" customHeight="1">
      <c r="A368" s="4"/>
      <c r="B368" s="4"/>
      <c r="C368" s="4"/>
      <c r="D368" s="4"/>
      <c r="E368" s="4"/>
      <c r="F368" s="4"/>
      <c r="G368" s="4"/>
      <c r="H368" s="4"/>
      <c r="I368" s="4"/>
      <c r="J368" s="4"/>
      <c r="K368" s="4"/>
      <c r="L368" s="4"/>
      <c r="M368" s="4"/>
      <c r="N368" s="4"/>
      <c r="O368" s="4"/>
      <c r="P368" s="4"/>
      <c r="Q368" s="4"/>
      <c r="R368" s="4"/>
      <c r="S368" s="4"/>
      <c r="T368" s="4"/>
      <c r="U368" s="4"/>
      <c r="V368" s="4"/>
      <c r="W368" s="4"/>
    </row>
    <row r="369" spans="1:23" ht="15.75" customHeight="1">
      <c r="A369" s="4"/>
      <c r="B369" s="4"/>
      <c r="C369" s="4"/>
      <c r="D369" s="4"/>
      <c r="E369" s="4"/>
      <c r="F369" s="4"/>
      <c r="G369" s="4"/>
      <c r="H369" s="4"/>
      <c r="I369" s="4"/>
      <c r="J369" s="4"/>
      <c r="K369" s="4"/>
      <c r="L369" s="4"/>
      <c r="M369" s="4"/>
      <c r="N369" s="4"/>
      <c r="O369" s="4"/>
      <c r="P369" s="4"/>
      <c r="Q369" s="4"/>
      <c r="R369" s="4"/>
      <c r="S369" s="4"/>
      <c r="T369" s="4"/>
      <c r="U369" s="4"/>
      <c r="V369" s="4"/>
      <c r="W369" s="4"/>
    </row>
    <row r="370" spans="1:23" ht="15.75" customHeight="1">
      <c r="A370" s="4"/>
      <c r="B370" s="4"/>
      <c r="C370" s="4"/>
      <c r="D370" s="4"/>
      <c r="E370" s="4"/>
      <c r="F370" s="4"/>
      <c r="G370" s="4"/>
      <c r="H370" s="4"/>
      <c r="I370" s="4"/>
      <c r="J370" s="4"/>
      <c r="K370" s="4"/>
      <c r="L370" s="4"/>
      <c r="M370" s="4"/>
      <c r="N370" s="4"/>
      <c r="O370" s="4"/>
      <c r="P370" s="4"/>
      <c r="Q370" s="4"/>
      <c r="R370" s="4"/>
      <c r="S370" s="4"/>
      <c r="T370" s="4"/>
      <c r="U370" s="4"/>
      <c r="V370" s="4"/>
      <c r="W370" s="4"/>
    </row>
    <row r="371" spans="1:23" ht="15.75" customHeight="1">
      <c r="A371" s="4"/>
      <c r="B371" s="4"/>
      <c r="C371" s="4"/>
      <c r="D371" s="4"/>
      <c r="E371" s="4"/>
      <c r="F371" s="4"/>
      <c r="G371" s="4"/>
      <c r="H371" s="4"/>
      <c r="I371" s="4"/>
      <c r="J371" s="4"/>
      <c r="K371" s="4"/>
      <c r="L371" s="4"/>
      <c r="M371" s="4"/>
      <c r="N371" s="4"/>
      <c r="O371" s="4"/>
      <c r="P371" s="4"/>
      <c r="Q371" s="4"/>
      <c r="R371" s="4"/>
      <c r="S371" s="4"/>
      <c r="T371" s="4"/>
      <c r="U371" s="4"/>
      <c r="V371" s="4"/>
      <c r="W371" s="4"/>
    </row>
    <row r="372" spans="1:23" ht="15.75" customHeight="1">
      <c r="A372" s="4"/>
      <c r="B372" s="4"/>
      <c r="C372" s="4"/>
      <c r="D372" s="4"/>
      <c r="E372" s="4"/>
      <c r="F372" s="4"/>
      <c r="G372" s="4"/>
      <c r="H372" s="4"/>
      <c r="I372" s="4"/>
      <c r="J372" s="4"/>
      <c r="K372" s="4"/>
      <c r="L372" s="4"/>
      <c r="M372" s="4"/>
      <c r="N372" s="4"/>
      <c r="O372" s="4"/>
      <c r="P372" s="4"/>
      <c r="Q372" s="4"/>
      <c r="R372" s="4"/>
      <c r="S372" s="4"/>
      <c r="T372" s="4"/>
      <c r="U372" s="4"/>
      <c r="V372" s="4"/>
      <c r="W372" s="4"/>
    </row>
    <row r="373" spans="1:23" ht="15.75" customHeight="1">
      <c r="A373" s="4"/>
      <c r="B373" s="4"/>
      <c r="C373" s="4"/>
      <c r="D373" s="4"/>
      <c r="E373" s="4"/>
      <c r="F373" s="4"/>
      <c r="G373" s="4"/>
      <c r="H373" s="4"/>
      <c r="I373" s="4"/>
      <c r="J373" s="4"/>
      <c r="K373" s="4"/>
      <c r="L373" s="4"/>
      <c r="M373" s="4"/>
      <c r="N373" s="4"/>
      <c r="O373" s="4"/>
      <c r="P373" s="4"/>
      <c r="Q373" s="4"/>
      <c r="R373" s="4"/>
      <c r="S373" s="4"/>
      <c r="T373" s="4"/>
      <c r="U373" s="4"/>
      <c r="V373" s="4"/>
      <c r="W373" s="4"/>
    </row>
    <row r="374" spans="1:23" ht="15.75" customHeight="1">
      <c r="A374" s="4"/>
      <c r="B374" s="4"/>
      <c r="C374" s="4"/>
      <c r="D374" s="4"/>
      <c r="E374" s="4"/>
      <c r="F374" s="4"/>
      <c r="G374" s="4"/>
      <c r="H374" s="4"/>
      <c r="I374" s="4"/>
      <c r="J374" s="4"/>
      <c r="K374" s="4"/>
      <c r="L374" s="4"/>
      <c r="M374" s="4"/>
      <c r="N374" s="4"/>
      <c r="O374" s="4"/>
      <c r="P374" s="4"/>
      <c r="Q374" s="4"/>
      <c r="R374" s="4"/>
      <c r="S374" s="4"/>
      <c r="T374" s="4"/>
      <c r="U374" s="4"/>
      <c r="V374" s="4"/>
      <c r="W374" s="4"/>
    </row>
    <row r="375" spans="1:23" ht="15.75" customHeight="1">
      <c r="A375" s="4"/>
      <c r="B375" s="4"/>
      <c r="C375" s="4"/>
      <c r="D375" s="4"/>
      <c r="E375" s="4"/>
      <c r="F375" s="4"/>
      <c r="G375" s="4"/>
      <c r="H375" s="4"/>
      <c r="I375" s="4"/>
      <c r="J375" s="4"/>
      <c r="K375" s="4"/>
      <c r="L375" s="4"/>
      <c r="M375" s="4"/>
      <c r="N375" s="4"/>
      <c r="O375" s="4"/>
      <c r="P375" s="4"/>
      <c r="Q375" s="4"/>
      <c r="R375" s="4"/>
      <c r="S375" s="4"/>
      <c r="T375" s="4"/>
      <c r="U375" s="4"/>
      <c r="V375" s="4"/>
      <c r="W375" s="4"/>
    </row>
    <row r="376" spans="1:23" ht="15.75" customHeight="1">
      <c r="A376" s="4"/>
      <c r="B376" s="4"/>
      <c r="C376" s="4"/>
      <c r="D376" s="4"/>
      <c r="E376" s="4"/>
      <c r="F376" s="4"/>
      <c r="G376" s="4"/>
      <c r="H376" s="4"/>
      <c r="I376" s="4"/>
      <c r="J376" s="4"/>
      <c r="K376" s="4"/>
      <c r="L376" s="4"/>
      <c r="M376" s="4"/>
      <c r="N376" s="4"/>
      <c r="O376" s="4"/>
      <c r="P376" s="4"/>
      <c r="Q376" s="4"/>
      <c r="R376" s="4"/>
      <c r="S376" s="4"/>
      <c r="T376" s="4"/>
      <c r="U376" s="4"/>
      <c r="V376" s="4"/>
      <c r="W376" s="4"/>
    </row>
    <row r="377" spans="1:23" ht="15.75" customHeight="1">
      <c r="A377" s="4"/>
      <c r="B377" s="4"/>
      <c r="C377" s="4"/>
      <c r="D377" s="4"/>
      <c r="E377" s="4"/>
      <c r="F377" s="4"/>
      <c r="G377" s="4"/>
      <c r="H377" s="4"/>
      <c r="I377" s="4"/>
      <c r="J377" s="4"/>
      <c r="K377" s="4"/>
      <c r="L377" s="4"/>
      <c r="M377" s="4"/>
      <c r="N377" s="4"/>
      <c r="O377" s="4"/>
      <c r="P377" s="4"/>
      <c r="Q377" s="4"/>
      <c r="R377" s="4"/>
      <c r="S377" s="4"/>
      <c r="T377" s="4"/>
      <c r="U377" s="4"/>
      <c r="V377" s="4"/>
      <c r="W377" s="4"/>
    </row>
    <row r="378" spans="1:23" ht="15.75" customHeight="1">
      <c r="A378" s="4"/>
      <c r="B378" s="4"/>
      <c r="C378" s="4"/>
      <c r="D378" s="4"/>
      <c r="E378" s="4"/>
      <c r="F378" s="4"/>
      <c r="G378" s="4"/>
      <c r="H378" s="4"/>
      <c r="I378" s="4"/>
      <c r="J378" s="4"/>
      <c r="K378" s="4"/>
      <c r="L378" s="4"/>
      <c r="M378" s="4"/>
      <c r="N378" s="4"/>
      <c r="O378" s="4"/>
      <c r="P378" s="4"/>
      <c r="Q378" s="4"/>
      <c r="R378" s="4"/>
      <c r="S378" s="4"/>
      <c r="T378" s="4"/>
      <c r="U378" s="4"/>
      <c r="V378" s="4"/>
      <c r="W378" s="4"/>
    </row>
    <row r="379" spans="1:23" ht="15.75" customHeight="1">
      <c r="A379" s="4"/>
      <c r="B379" s="4"/>
      <c r="C379" s="4"/>
      <c r="D379" s="4"/>
      <c r="E379" s="4"/>
      <c r="F379" s="4"/>
      <c r="G379" s="4"/>
      <c r="H379" s="4"/>
      <c r="I379" s="4"/>
      <c r="J379" s="4"/>
      <c r="K379" s="4"/>
      <c r="L379" s="4"/>
      <c r="M379" s="4"/>
      <c r="N379" s="4"/>
      <c r="O379" s="4"/>
      <c r="P379" s="4"/>
      <c r="Q379" s="4"/>
      <c r="R379" s="4"/>
      <c r="S379" s="4"/>
      <c r="T379" s="4"/>
      <c r="U379" s="4"/>
      <c r="V379" s="4"/>
      <c r="W379" s="4"/>
    </row>
    <row r="380" spans="1:23" ht="15.75" customHeight="1">
      <c r="A380" s="4"/>
      <c r="B380" s="4"/>
      <c r="C380" s="4"/>
      <c r="D380" s="4"/>
      <c r="E380" s="4"/>
      <c r="F380" s="4"/>
      <c r="G380" s="4"/>
      <c r="H380" s="4"/>
      <c r="I380" s="4"/>
      <c r="J380" s="4"/>
      <c r="K380" s="4"/>
      <c r="L380" s="4"/>
      <c r="M380" s="4"/>
      <c r="N380" s="4"/>
      <c r="O380" s="4"/>
      <c r="P380" s="4"/>
      <c r="Q380" s="4"/>
      <c r="R380" s="4"/>
      <c r="S380" s="4"/>
      <c r="T380" s="4"/>
      <c r="U380" s="4"/>
      <c r="V380" s="4"/>
      <c r="W380" s="4"/>
    </row>
    <row r="381" spans="1:23" ht="15.75" customHeight="1">
      <c r="A381" s="4"/>
      <c r="B381" s="4"/>
      <c r="C381" s="4"/>
      <c r="D381" s="4"/>
      <c r="E381" s="4"/>
      <c r="F381" s="4"/>
      <c r="G381" s="4"/>
      <c r="H381" s="4"/>
      <c r="I381" s="4"/>
      <c r="J381" s="4"/>
      <c r="K381" s="4"/>
      <c r="L381" s="4"/>
      <c r="M381" s="4"/>
      <c r="N381" s="4"/>
      <c r="O381" s="4"/>
      <c r="P381" s="4"/>
      <c r="Q381" s="4"/>
      <c r="R381" s="4"/>
      <c r="S381" s="4"/>
      <c r="T381" s="4"/>
      <c r="U381" s="4"/>
      <c r="V381" s="4"/>
      <c r="W381" s="4"/>
    </row>
    <row r="382" spans="1:23" ht="15.75" customHeight="1">
      <c r="A382" s="4"/>
      <c r="B382" s="4"/>
      <c r="C382" s="4"/>
      <c r="D382" s="4"/>
      <c r="E382" s="4"/>
      <c r="F382" s="4"/>
      <c r="G382" s="4"/>
      <c r="H382" s="4"/>
      <c r="I382" s="4"/>
      <c r="J382" s="4"/>
      <c r="K382" s="4"/>
      <c r="L382" s="4"/>
      <c r="M382" s="4"/>
      <c r="N382" s="4"/>
      <c r="O382" s="4"/>
      <c r="P382" s="4"/>
      <c r="Q382" s="4"/>
      <c r="R382" s="4"/>
      <c r="S382" s="4"/>
      <c r="T382" s="4"/>
      <c r="U382" s="4"/>
      <c r="V382" s="4"/>
      <c r="W382" s="4"/>
    </row>
    <row r="383" spans="1:23" ht="15.75" customHeight="1">
      <c r="A383" s="4"/>
      <c r="B383" s="4"/>
      <c r="C383" s="4"/>
      <c r="D383" s="4"/>
      <c r="E383" s="4"/>
      <c r="F383" s="4"/>
      <c r="G383" s="4"/>
      <c r="H383" s="4"/>
      <c r="I383" s="4"/>
      <c r="J383" s="4"/>
      <c r="K383" s="4"/>
      <c r="L383" s="4"/>
      <c r="M383" s="4"/>
      <c r="N383" s="4"/>
      <c r="O383" s="4"/>
      <c r="P383" s="4"/>
      <c r="Q383" s="4"/>
      <c r="R383" s="4"/>
      <c r="S383" s="4"/>
      <c r="T383" s="4"/>
      <c r="U383" s="4"/>
      <c r="V383" s="4"/>
      <c r="W383" s="4"/>
    </row>
    <row r="384" spans="1:23" ht="15.75" customHeight="1">
      <c r="A384" s="4"/>
      <c r="B384" s="4"/>
      <c r="C384" s="4"/>
      <c r="D384" s="4"/>
      <c r="E384" s="4"/>
      <c r="F384" s="4"/>
      <c r="G384" s="4"/>
      <c r="H384" s="4"/>
      <c r="I384" s="4"/>
      <c r="J384" s="4"/>
      <c r="K384" s="4"/>
      <c r="L384" s="4"/>
      <c r="M384" s="4"/>
      <c r="N384" s="4"/>
      <c r="O384" s="4"/>
      <c r="P384" s="4"/>
      <c r="Q384" s="4"/>
      <c r="R384" s="4"/>
      <c r="S384" s="4"/>
      <c r="T384" s="4"/>
      <c r="U384" s="4"/>
      <c r="V384" s="4"/>
      <c r="W384" s="4"/>
    </row>
    <row r="385" spans="1:23" ht="15.75" customHeight="1">
      <c r="A385" s="4"/>
      <c r="B385" s="4"/>
      <c r="C385" s="4"/>
      <c r="D385" s="4"/>
      <c r="E385" s="4"/>
      <c r="F385" s="4"/>
      <c r="G385" s="4"/>
      <c r="H385" s="4"/>
      <c r="I385" s="4"/>
      <c r="J385" s="4"/>
      <c r="K385" s="4"/>
      <c r="L385" s="4"/>
      <c r="M385" s="4"/>
      <c r="N385" s="4"/>
      <c r="O385" s="4"/>
      <c r="P385" s="4"/>
      <c r="Q385" s="4"/>
      <c r="R385" s="4"/>
      <c r="S385" s="4"/>
      <c r="T385" s="4"/>
      <c r="U385" s="4"/>
      <c r="V385" s="4"/>
      <c r="W385" s="4"/>
    </row>
    <row r="386" spans="1:23" ht="15.75" customHeight="1">
      <c r="A386" s="4"/>
      <c r="B386" s="4"/>
      <c r="C386" s="4"/>
      <c r="D386" s="4"/>
      <c r="E386" s="4"/>
      <c r="F386" s="4"/>
      <c r="G386" s="4"/>
      <c r="H386" s="4"/>
      <c r="I386" s="4"/>
      <c r="J386" s="4"/>
      <c r="K386" s="4"/>
      <c r="L386" s="4"/>
      <c r="M386" s="4"/>
      <c r="N386" s="4"/>
      <c r="O386" s="4"/>
      <c r="P386" s="4"/>
      <c r="Q386" s="4"/>
      <c r="R386" s="4"/>
      <c r="S386" s="4"/>
      <c r="T386" s="4"/>
      <c r="U386" s="4"/>
      <c r="V386" s="4"/>
      <c r="W386" s="4"/>
    </row>
    <row r="387" spans="1:23" ht="15.75" customHeight="1"/>
    <row r="388" spans="1:23" ht="15.75" customHeight="1"/>
    <row r="389" spans="1:23" ht="15.75" customHeight="1"/>
    <row r="390" spans="1:23" ht="15.75" customHeight="1"/>
    <row r="391" spans="1:23" ht="15.75" customHeight="1"/>
    <row r="392" spans="1:23" ht="15.75" customHeight="1"/>
    <row r="393" spans="1:23" ht="15.75" customHeight="1"/>
    <row r="394" spans="1:23" ht="15.75" customHeight="1"/>
    <row r="395" spans="1:23" ht="15.75" customHeight="1"/>
    <row r="396" spans="1:23" ht="15.75" customHeight="1"/>
    <row r="397" spans="1:23" ht="15.75" customHeight="1"/>
    <row r="398" spans="1:23" ht="15.75" customHeight="1"/>
    <row r="399" spans="1:23" ht="15.75" customHeight="1"/>
    <row r="400" spans="1:23"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9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2.5703125" defaultRowHeight="15" customHeight="1"/>
  <cols>
    <col min="2" max="2" width="17.42578125" customWidth="1"/>
    <col min="3" max="3" width="10.42578125" customWidth="1"/>
    <col min="4" max="4" width="15.28515625" customWidth="1"/>
    <col min="5" max="5" width="11.5703125" customWidth="1"/>
    <col min="6" max="6" width="14.28515625" customWidth="1"/>
    <col min="9" max="9" width="15.85546875" customWidth="1"/>
    <col min="11" max="11" width="16.85546875" customWidth="1"/>
    <col min="13" max="13" width="17.42578125" customWidth="1"/>
  </cols>
  <sheetData>
    <row r="1" spans="1:31" ht="33.75" customHeight="1">
      <c r="A1" s="68"/>
      <c r="B1" s="68"/>
      <c r="C1" s="68"/>
      <c r="D1" s="68"/>
      <c r="E1" s="68"/>
      <c r="F1" s="345" t="s">
        <v>222</v>
      </c>
      <c r="G1" s="346"/>
      <c r="H1" s="346"/>
      <c r="I1" s="346"/>
      <c r="J1" s="346"/>
      <c r="K1" s="346"/>
      <c r="L1" s="69"/>
      <c r="M1" s="69"/>
      <c r="N1" s="69"/>
      <c r="O1" s="69"/>
      <c r="P1" s="70"/>
      <c r="Q1" s="70"/>
      <c r="R1" s="70"/>
      <c r="S1" s="70"/>
      <c r="T1" s="70"/>
      <c r="U1" s="70"/>
      <c r="V1" s="70"/>
      <c r="W1" s="70"/>
      <c r="X1" s="70"/>
      <c r="Y1" s="70"/>
      <c r="AB1" s="70"/>
      <c r="AC1" s="70"/>
      <c r="AD1" s="70"/>
      <c r="AE1" s="70"/>
    </row>
    <row r="2" spans="1:31" ht="51">
      <c r="A2" s="68" t="s">
        <v>223</v>
      </c>
      <c r="B2" s="68" t="s">
        <v>224</v>
      </c>
      <c r="C2" s="68" t="s">
        <v>225</v>
      </c>
      <c r="D2" s="68" t="s">
        <v>226</v>
      </c>
      <c r="E2" s="68" t="s">
        <v>227</v>
      </c>
      <c r="F2" s="68" t="s">
        <v>228</v>
      </c>
      <c r="G2" s="68" t="s">
        <v>229</v>
      </c>
      <c r="H2" s="68" t="s">
        <v>230</v>
      </c>
      <c r="I2" s="68" t="s">
        <v>231</v>
      </c>
      <c r="J2" s="68" t="s">
        <v>232</v>
      </c>
      <c r="K2" s="68" t="s">
        <v>233</v>
      </c>
      <c r="L2" s="69"/>
      <c r="M2" s="71"/>
      <c r="N2" s="69"/>
      <c r="O2" s="69"/>
      <c r="P2" s="347"/>
      <c r="Q2" s="346"/>
      <c r="R2" s="346"/>
      <c r="S2" s="346"/>
      <c r="T2" s="346"/>
      <c r="U2" s="346"/>
      <c r="V2" s="346"/>
      <c r="W2" s="346"/>
      <c r="X2" s="70"/>
      <c r="Y2" s="70"/>
      <c r="AB2" s="347"/>
      <c r="AC2" s="346"/>
      <c r="AD2" s="346"/>
      <c r="AE2" s="346"/>
    </row>
    <row r="3" spans="1:31" ht="13.5" customHeight="1">
      <c r="A3" s="72">
        <v>1</v>
      </c>
      <c r="B3" s="73" t="s">
        <v>234</v>
      </c>
      <c r="C3" s="74">
        <v>0.251</v>
      </c>
      <c r="D3" s="75">
        <v>0</v>
      </c>
      <c r="E3" s="76" t="s">
        <v>235</v>
      </c>
      <c r="F3" s="77">
        <v>48441</v>
      </c>
      <c r="G3" s="78">
        <f t="shared" ref="G3:G19" si="0">F3/1000</f>
        <v>48.441000000000003</v>
      </c>
      <c r="H3" s="77">
        <v>240</v>
      </c>
      <c r="I3" s="77">
        <f t="shared" ref="I3:I194" si="1">H3*(1-D3)</f>
        <v>240</v>
      </c>
      <c r="J3" s="79">
        <v>34.200000000000003</v>
      </c>
      <c r="K3" s="77">
        <f t="shared" ref="K3:K194" si="2">I3*J3*1000000</f>
        <v>8208000000</v>
      </c>
      <c r="P3" s="80"/>
      <c r="Q3" s="80"/>
      <c r="R3" s="80"/>
      <c r="S3" s="80"/>
      <c r="T3" s="80"/>
      <c r="U3" s="80"/>
      <c r="V3" s="80"/>
      <c r="W3" s="80"/>
      <c r="AB3" s="80"/>
      <c r="AC3" s="80"/>
      <c r="AD3" s="80"/>
      <c r="AE3" s="80"/>
    </row>
    <row r="4" spans="1:31">
      <c r="A4" s="81">
        <v>2</v>
      </c>
      <c r="B4" s="73" t="s">
        <v>236</v>
      </c>
      <c r="C4" s="74">
        <v>0.26300000000000001</v>
      </c>
      <c r="D4" s="75">
        <v>0</v>
      </c>
      <c r="E4" s="76" t="s">
        <v>235</v>
      </c>
      <c r="F4" s="77">
        <v>48441</v>
      </c>
      <c r="G4" s="78">
        <f t="shared" si="0"/>
        <v>48.441000000000003</v>
      </c>
      <c r="H4" s="77">
        <v>240</v>
      </c>
      <c r="I4" s="77">
        <f t="shared" si="1"/>
        <v>240</v>
      </c>
      <c r="J4" s="79">
        <v>90.5</v>
      </c>
      <c r="K4" s="77">
        <f t="shared" si="2"/>
        <v>21720000000</v>
      </c>
      <c r="R4" s="77"/>
      <c r="S4" s="78"/>
      <c r="T4" s="77"/>
      <c r="U4" s="82"/>
      <c r="V4" s="77"/>
      <c r="W4" s="82"/>
      <c r="AC4" s="78"/>
      <c r="AD4" s="78"/>
      <c r="AE4" s="83"/>
    </row>
    <row r="5" spans="1:31">
      <c r="A5" s="84">
        <v>3</v>
      </c>
      <c r="B5" s="73" t="s">
        <v>237</v>
      </c>
      <c r="C5" s="74">
        <v>0.27</v>
      </c>
      <c r="D5" s="75">
        <v>0</v>
      </c>
      <c r="E5" s="76" t="s">
        <v>235</v>
      </c>
      <c r="F5" s="77">
        <v>48441</v>
      </c>
      <c r="G5" s="78">
        <f t="shared" si="0"/>
        <v>48.441000000000003</v>
      </c>
      <c r="H5" s="77">
        <v>240</v>
      </c>
      <c r="I5" s="77">
        <f t="shared" si="1"/>
        <v>240</v>
      </c>
      <c r="J5" s="79">
        <v>44.1</v>
      </c>
      <c r="K5" s="77">
        <f t="shared" si="2"/>
        <v>10584000000</v>
      </c>
      <c r="R5" s="77"/>
      <c r="S5" s="78"/>
      <c r="T5" s="77"/>
      <c r="U5" s="82"/>
      <c r="V5" s="77"/>
      <c r="W5" s="82"/>
      <c r="AC5" s="78"/>
      <c r="AD5" s="78"/>
      <c r="AE5" s="83"/>
    </row>
    <row r="6" spans="1:31">
      <c r="A6" s="85">
        <v>4</v>
      </c>
      <c r="B6" s="73" t="s">
        <v>238</v>
      </c>
      <c r="C6" s="74">
        <v>0.28100000000000003</v>
      </c>
      <c r="D6" s="75">
        <v>0</v>
      </c>
      <c r="E6" s="76" t="s">
        <v>235</v>
      </c>
      <c r="F6" s="77">
        <v>48441</v>
      </c>
      <c r="G6" s="78">
        <f t="shared" si="0"/>
        <v>48.441000000000003</v>
      </c>
      <c r="H6" s="77">
        <v>240</v>
      </c>
      <c r="I6" s="77">
        <f t="shared" si="1"/>
        <v>240</v>
      </c>
      <c r="J6" s="79">
        <v>575</v>
      </c>
      <c r="K6" s="77">
        <f t="shared" si="2"/>
        <v>138000000000</v>
      </c>
      <c r="R6" s="77"/>
      <c r="S6" s="78"/>
      <c r="T6" s="77"/>
      <c r="U6" s="82"/>
      <c r="V6" s="77"/>
      <c r="W6" s="82"/>
      <c r="AC6" s="78"/>
      <c r="AD6" s="78"/>
      <c r="AE6" s="83"/>
    </row>
    <row r="7" spans="1:31">
      <c r="A7" s="86">
        <v>5</v>
      </c>
      <c r="B7" s="73" t="s">
        <v>239</v>
      </c>
      <c r="C7" s="74">
        <v>0.28499999999999998</v>
      </c>
      <c r="D7" s="75">
        <v>0</v>
      </c>
      <c r="E7" s="76" t="s">
        <v>235</v>
      </c>
      <c r="F7" s="77">
        <v>48441</v>
      </c>
      <c r="G7" s="78">
        <f t="shared" si="0"/>
        <v>48.441000000000003</v>
      </c>
      <c r="H7" s="77">
        <v>240</v>
      </c>
      <c r="I7" s="77">
        <f t="shared" si="1"/>
        <v>240</v>
      </c>
      <c r="J7" s="79">
        <v>302.10000000000002</v>
      </c>
      <c r="K7" s="77">
        <f t="shared" si="2"/>
        <v>72504000000</v>
      </c>
      <c r="R7" s="77"/>
      <c r="S7" s="78"/>
      <c r="T7" s="77"/>
      <c r="U7" s="82"/>
      <c r="V7" s="77"/>
      <c r="W7" s="82"/>
      <c r="AC7" s="78"/>
      <c r="AD7" s="78"/>
      <c r="AE7" s="83"/>
    </row>
    <row r="8" spans="1:31">
      <c r="A8" s="87">
        <v>6</v>
      </c>
      <c r="B8" s="73" t="s">
        <v>240</v>
      </c>
      <c r="C8" s="74">
        <v>0.29199999999999998</v>
      </c>
      <c r="D8" s="75">
        <v>0</v>
      </c>
      <c r="E8" s="76" t="s">
        <v>235</v>
      </c>
      <c r="F8" s="77">
        <v>48441</v>
      </c>
      <c r="G8" s="78">
        <f t="shared" si="0"/>
        <v>48.441000000000003</v>
      </c>
      <c r="H8" s="77">
        <v>240</v>
      </c>
      <c r="I8" s="77">
        <f t="shared" si="1"/>
        <v>240</v>
      </c>
      <c r="J8" s="79">
        <v>217.3</v>
      </c>
      <c r="K8" s="77">
        <f t="shared" si="2"/>
        <v>52152000000</v>
      </c>
      <c r="R8" s="77"/>
      <c r="S8" s="78"/>
      <c r="T8" s="77"/>
      <c r="U8" s="82"/>
      <c r="V8" s="77"/>
      <c r="W8" s="82"/>
      <c r="AC8" s="78"/>
      <c r="AD8" s="78"/>
      <c r="AE8" s="83"/>
    </row>
    <row r="9" spans="1:31">
      <c r="A9" s="87">
        <v>6</v>
      </c>
      <c r="B9" s="73" t="s">
        <v>241</v>
      </c>
      <c r="C9" s="74">
        <v>0.29199999999999998</v>
      </c>
      <c r="D9" s="75">
        <v>0</v>
      </c>
      <c r="E9" s="76" t="s">
        <v>235</v>
      </c>
      <c r="F9" s="77">
        <v>48441</v>
      </c>
      <c r="G9" s="78">
        <f t="shared" si="0"/>
        <v>48.441000000000003</v>
      </c>
      <c r="H9" s="77">
        <v>240</v>
      </c>
      <c r="I9" s="77">
        <f t="shared" si="1"/>
        <v>240</v>
      </c>
      <c r="J9" s="79">
        <v>61.3</v>
      </c>
      <c r="K9" s="77">
        <f t="shared" si="2"/>
        <v>14712000000</v>
      </c>
      <c r="R9" s="77"/>
      <c r="S9" s="78"/>
      <c r="T9" s="77"/>
      <c r="U9" s="82"/>
      <c r="V9" s="77"/>
      <c r="W9" s="82"/>
      <c r="AC9" s="78"/>
      <c r="AD9" s="78"/>
      <c r="AE9" s="83"/>
    </row>
    <row r="10" spans="1:31">
      <c r="A10" s="88">
        <v>8</v>
      </c>
      <c r="B10" s="73" t="s">
        <v>242</v>
      </c>
      <c r="C10" s="74">
        <v>0.29499999999999998</v>
      </c>
      <c r="D10" s="75">
        <v>0</v>
      </c>
      <c r="E10" s="76" t="s">
        <v>235</v>
      </c>
      <c r="F10" s="77">
        <v>48441</v>
      </c>
      <c r="G10" s="78">
        <f t="shared" si="0"/>
        <v>48.441000000000003</v>
      </c>
      <c r="H10" s="77">
        <v>240</v>
      </c>
      <c r="I10" s="77">
        <f t="shared" si="1"/>
        <v>240</v>
      </c>
      <c r="J10" s="79">
        <v>32.299999999999997</v>
      </c>
      <c r="K10" s="77">
        <f t="shared" si="2"/>
        <v>7751999999.999999</v>
      </c>
      <c r="R10" s="77"/>
      <c r="S10" s="78"/>
      <c r="T10" s="77"/>
      <c r="U10" s="82"/>
      <c r="V10" s="77"/>
      <c r="W10" s="82"/>
      <c r="AC10" s="78"/>
      <c r="AD10" s="78"/>
      <c r="AE10" s="83"/>
    </row>
    <row r="11" spans="1:31">
      <c r="A11" s="89">
        <v>9</v>
      </c>
      <c r="B11" s="73" t="s">
        <v>243</v>
      </c>
      <c r="C11" s="74">
        <v>0.29799999999999999</v>
      </c>
      <c r="D11" s="75">
        <v>0</v>
      </c>
      <c r="E11" s="76" t="s">
        <v>235</v>
      </c>
      <c r="F11" s="77">
        <v>48441</v>
      </c>
      <c r="G11" s="78">
        <f t="shared" si="0"/>
        <v>48.441000000000003</v>
      </c>
      <c r="H11" s="77">
        <v>240</v>
      </c>
      <c r="I11" s="77">
        <f t="shared" si="1"/>
        <v>240</v>
      </c>
      <c r="J11" s="79">
        <v>4682</v>
      </c>
      <c r="K11" s="77">
        <f t="shared" si="2"/>
        <v>1123680000000</v>
      </c>
      <c r="R11" s="77"/>
      <c r="S11" s="78"/>
      <c r="T11" s="77"/>
      <c r="U11" s="82"/>
      <c r="V11" s="77"/>
      <c r="W11" s="82"/>
      <c r="AC11" s="78"/>
      <c r="AD11" s="78"/>
      <c r="AE11" s="83"/>
    </row>
    <row r="12" spans="1:31">
      <c r="A12" s="90">
        <v>10</v>
      </c>
      <c r="B12" s="73" t="s">
        <v>244</v>
      </c>
      <c r="C12" s="74">
        <v>0.29899999999999999</v>
      </c>
      <c r="D12" s="75">
        <v>0</v>
      </c>
      <c r="E12" s="76" t="s">
        <v>235</v>
      </c>
      <c r="F12" s="77">
        <v>48441</v>
      </c>
      <c r="G12" s="78">
        <f t="shared" si="0"/>
        <v>48.441000000000003</v>
      </c>
      <c r="H12" s="77">
        <v>240</v>
      </c>
      <c r="I12" s="77">
        <f t="shared" si="1"/>
        <v>240</v>
      </c>
      <c r="J12" s="79">
        <v>58.8</v>
      </c>
      <c r="K12" s="77">
        <f t="shared" si="2"/>
        <v>14112000000</v>
      </c>
      <c r="R12" s="77"/>
      <c r="S12" s="78"/>
      <c r="T12" s="77"/>
      <c r="U12" s="82"/>
      <c r="V12" s="77"/>
      <c r="W12" s="82"/>
      <c r="AC12" s="78"/>
      <c r="AD12" s="78"/>
      <c r="AE12" s="83"/>
    </row>
    <row r="13" spans="1:31">
      <c r="A13" s="90">
        <v>10</v>
      </c>
      <c r="B13" s="73" t="s">
        <v>245</v>
      </c>
      <c r="C13" s="74">
        <v>0.29899999999999999</v>
      </c>
      <c r="D13" s="75">
        <v>0</v>
      </c>
      <c r="E13" s="76" t="s">
        <v>235</v>
      </c>
      <c r="F13" s="77">
        <v>48441</v>
      </c>
      <c r="G13" s="78">
        <f t="shared" si="0"/>
        <v>48.441000000000003</v>
      </c>
      <c r="H13" s="77">
        <v>240</v>
      </c>
      <c r="I13" s="77">
        <f t="shared" si="1"/>
        <v>240</v>
      </c>
      <c r="J13" s="79">
        <v>583</v>
      </c>
      <c r="K13" s="77">
        <f t="shared" si="2"/>
        <v>139920000000</v>
      </c>
      <c r="R13" s="77"/>
      <c r="S13" s="78"/>
      <c r="T13" s="77"/>
      <c r="U13" s="82"/>
      <c r="V13" s="77"/>
      <c r="W13" s="82"/>
      <c r="AC13" s="78"/>
      <c r="AD13" s="78"/>
      <c r="AE13" s="83"/>
    </row>
    <row r="14" spans="1:31">
      <c r="A14" s="91">
        <v>12</v>
      </c>
      <c r="B14" s="73" t="s">
        <v>246</v>
      </c>
      <c r="C14" s="74">
        <v>0.3</v>
      </c>
      <c r="D14" s="75">
        <v>0</v>
      </c>
      <c r="E14" s="76" t="s">
        <v>235</v>
      </c>
      <c r="F14" s="77">
        <v>48441</v>
      </c>
      <c r="G14" s="78">
        <f t="shared" si="0"/>
        <v>48.441000000000003</v>
      </c>
      <c r="H14" s="77">
        <v>240</v>
      </c>
      <c r="I14" s="77">
        <f t="shared" si="1"/>
        <v>240</v>
      </c>
      <c r="J14" s="79">
        <v>282.39999999999998</v>
      </c>
      <c r="K14" s="77">
        <f t="shared" si="2"/>
        <v>67776000000</v>
      </c>
    </row>
    <row r="15" spans="1:31">
      <c r="A15" s="92">
        <v>13</v>
      </c>
      <c r="B15" s="73" t="s">
        <v>247</v>
      </c>
      <c r="C15" s="74">
        <v>0.30199999999999999</v>
      </c>
      <c r="D15" s="75">
        <v>0</v>
      </c>
      <c r="E15" s="76" t="s">
        <v>235</v>
      </c>
      <c r="F15" s="77">
        <v>48441</v>
      </c>
      <c r="G15" s="78">
        <f t="shared" si="0"/>
        <v>48.441000000000003</v>
      </c>
      <c r="H15" s="77">
        <v>240</v>
      </c>
      <c r="I15" s="77">
        <f t="shared" si="1"/>
        <v>240</v>
      </c>
      <c r="J15" s="79">
        <v>286.89999999999998</v>
      </c>
      <c r="K15" s="77">
        <f t="shared" si="2"/>
        <v>68856000000</v>
      </c>
    </row>
    <row r="16" spans="1:31">
      <c r="A16" s="93">
        <v>14</v>
      </c>
      <c r="B16" s="73" t="s">
        <v>248</v>
      </c>
      <c r="C16" s="74">
        <v>0.30599999999999999</v>
      </c>
      <c r="D16" s="75">
        <v>0</v>
      </c>
      <c r="E16" s="76" t="s">
        <v>235</v>
      </c>
      <c r="F16" s="77">
        <v>48441</v>
      </c>
      <c r="G16" s="78">
        <f t="shared" si="0"/>
        <v>48.441000000000003</v>
      </c>
      <c r="H16" s="77">
        <v>240</v>
      </c>
      <c r="I16" s="77">
        <f t="shared" si="1"/>
        <v>240</v>
      </c>
      <c r="J16" s="79">
        <v>373.6</v>
      </c>
      <c r="K16" s="77">
        <f t="shared" si="2"/>
        <v>89664000000</v>
      </c>
    </row>
    <row r="17" spans="1:11">
      <c r="A17" s="94">
        <v>15</v>
      </c>
      <c r="B17" s="73" t="s">
        <v>249</v>
      </c>
      <c r="C17" s="74">
        <v>0.307</v>
      </c>
      <c r="D17" s="75">
        <v>0</v>
      </c>
      <c r="E17" s="76" t="s">
        <v>235</v>
      </c>
      <c r="F17" s="77">
        <v>48441</v>
      </c>
      <c r="G17" s="78">
        <f t="shared" si="0"/>
        <v>48.441000000000003</v>
      </c>
      <c r="H17" s="77">
        <v>240</v>
      </c>
      <c r="I17" s="77">
        <f t="shared" si="1"/>
        <v>240</v>
      </c>
      <c r="J17" s="79">
        <v>7</v>
      </c>
      <c r="K17" s="77">
        <f t="shared" si="2"/>
        <v>1680000000</v>
      </c>
    </row>
    <row r="18" spans="1:11">
      <c r="A18" s="95">
        <v>16</v>
      </c>
      <c r="B18" s="73" t="s">
        <v>250</v>
      </c>
      <c r="C18" s="74">
        <v>0.314</v>
      </c>
      <c r="D18" s="75">
        <v>0</v>
      </c>
      <c r="E18" s="76" t="s">
        <v>235</v>
      </c>
      <c r="F18" s="77">
        <v>48441</v>
      </c>
      <c r="G18" s="78">
        <f t="shared" si="0"/>
        <v>48.441000000000003</v>
      </c>
      <c r="H18" s="77">
        <v>240</v>
      </c>
      <c r="I18" s="77">
        <f t="shared" si="1"/>
        <v>240</v>
      </c>
      <c r="J18" s="79">
        <v>32.5</v>
      </c>
      <c r="K18" s="77">
        <f t="shared" si="2"/>
        <v>7800000000</v>
      </c>
    </row>
    <row r="19" spans="1:11">
      <c r="A19" s="96">
        <v>17</v>
      </c>
      <c r="B19" s="73" t="s">
        <v>251</v>
      </c>
      <c r="C19" s="74">
        <v>0.315</v>
      </c>
      <c r="D19" s="75">
        <v>0</v>
      </c>
      <c r="E19" s="76" t="s">
        <v>235</v>
      </c>
      <c r="F19" s="77">
        <v>48441</v>
      </c>
      <c r="G19" s="78">
        <f t="shared" si="0"/>
        <v>48.441000000000003</v>
      </c>
      <c r="H19" s="77">
        <v>240</v>
      </c>
      <c r="I19" s="77">
        <f t="shared" si="1"/>
        <v>240</v>
      </c>
      <c r="J19" s="79">
        <v>12.1</v>
      </c>
      <c r="K19" s="77">
        <f t="shared" si="2"/>
        <v>2904000000</v>
      </c>
    </row>
    <row r="20" spans="1:11">
      <c r="A20" s="97">
        <v>18</v>
      </c>
      <c r="B20" s="73" t="s">
        <v>252</v>
      </c>
      <c r="C20" s="74">
        <v>0.316</v>
      </c>
      <c r="D20" s="75">
        <v>0</v>
      </c>
      <c r="E20" s="74" t="s">
        <v>253</v>
      </c>
      <c r="F20" s="77">
        <v>10563</v>
      </c>
      <c r="G20" s="78">
        <v>24</v>
      </c>
      <c r="H20" s="77">
        <f>G20*5</f>
        <v>120</v>
      </c>
      <c r="I20" s="77">
        <f t="shared" si="1"/>
        <v>120</v>
      </c>
      <c r="J20" s="79">
        <v>239.9</v>
      </c>
      <c r="K20" s="77">
        <f t="shared" si="2"/>
        <v>28788000000</v>
      </c>
    </row>
    <row r="21" spans="1:11">
      <c r="A21" s="98">
        <v>19</v>
      </c>
      <c r="B21" s="73" t="s">
        <v>254</v>
      </c>
      <c r="C21" s="74">
        <v>0.318</v>
      </c>
      <c r="D21" s="75">
        <v>0</v>
      </c>
      <c r="E21" s="76" t="s">
        <v>235</v>
      </c>
      <c r="F21" s="77">
        <v>48441</v>
      </c>
      <c r="G21" s="78">
        <f t="shared" ref="G21:G23" si="3">F21/1000</f>
        <v>48.441000000000003</v>
      </c>
      <c r="H21" s="77">
        <v>240</v>
      </c>
      <c r="I21" s="77">
        <f t="shared" si="1"/>
        <v>240</v>
      </c>
      <c r="J21" s="79">
        <v>1.7</v>
      </c>
      <c r="K21" s="77">
        <f t="shared" si="2"/>
        <v>408000000</v>
      </c>
    </row>
    <row r="22" spans="1:11">
      <c r="A22" s="99">
        <v>20</v>
      </c>
      <c r="B22" s="73" t="s">
        <v>255</v>
      </c>
      <c r="C22" s="74">
        <v>0.31900000000000001</v>
      </c>
      <c r="D22" s="75">
        <v>0</v>
      </c>
      <c r="E22" s="76" t="s">
        <v>235</v>
      </c>
      <c r="F22" s="77">
        <v>48441</v>
      </c>
      <c r="G22" s="78">
        <f t="shared" si="3"/>
        <v>48.441000000000003</v>
      </c>
      <c r="H22" s="77">
        <v>240</v>
      </c>
      <c r="I22" s="77">
        <f t="shared" si="1"/>
        <v>240</v>
      </c>
      <c r="J22" s="79">
        <v>36.200000000000003</v>
      </c>
      <c r="K22" s="77">
        <f t="shared" si="2"/>
        <v>8688000000</v>
      </c>
    </row>
    <row r="23" spans="1:11">
      <c r="A23" s="100">
        <v>21</v>
      </c>
      <c r="B23" s="73" t="s">
        <v>256</v>
      </c>
      <c r="C23" s="74">
        <v>0.32100000000000001</v>
      </c>
      <c r="D23" s="75">
        <v>0</v>
      </c>
      <c r="E23" s="76" t="s">
        <v>235</v>
      </c>
      <c r="F23" s="77">
        <v>48441</v>
      </c>
      <c r="G23" s="78">
        <f t="shared" si="3"/>
        <v>48.441000000000003</v>
      </c>
      <c r="H23" s="77">
        <v>240</v>
      </c>
      <c r="I23" s="77">
        <f t="shared" si="1"/>
        <v>240</v>
      </c>
      <c r="J23" s="79">
        <v>35.799999999999997</v>
      </c>
      <c r="K23" s="77">
        <f t="shared" si="2"/>
        <v>8592000000</v>
      </c>
    </row>
    <row r="24" spans="1:11">
      <c r="A24" s="101">
        <v>22</v>
      </c>
      <c r="B24" s="73" t="s">
        <v>257</v>
      </c>
      <c r="C24" s="74">
        <v>0.32300000000000001</v>
      </c>
      <c r="D24" s="75">
        <v>0</v>
      </c>
      <c r="E24" s="74" t="s">
        <v>258</v>
      </c>
      <c r="F24" s="77">
        <v>2511</v>
      </c>
      <c r="G24" s="78">
        <v>12</v>
      </c>
      <c r="H24" s="77">
        <f>G24*5</f>
        <v>60</v>
      </c>
      <c r="I24" s="77">
        <f t="shared" si="1"/>
        <v>60</v>
      </c>
      <c r="J24" s="79">
        <v>10.5</v>
      </c>
      <c r="K24" s="77">
        <f t="shared" si="2"/>
        <v>630000000</v>
      </c>
    </row>
    <row r="25" spans="1:11">
      <c r="A25" s="101">
        <v>22</v>
      </c>
      <c r="B25" s="73" t="s">
        <v>259</v>
      </c>
      <c r="C25" s="74">
        <v>0.32300000000000001</v>
      </c>
      <c r="D25" s="75">
        <v>0</v>
      </c>
      <c r="E25" s="76" t="s">
        <v>235</v>
      </c>
      <c r="F25" s="77">
        <v>48441</v>
      </c>
      <c r="G25" s="78">
        <f t="shared" ref="G25:G26" si="4">F25/1000</f>
        <v>48.441000000000003</v>
      </c>
      <c r="H25" s="77">
        <v>240</v>
      </c>
      <c r="I25" s="77">
        <f t="shared" si="1"/>
        <v>240</v>
      </c>
      <c r="J25" s="79">
        <v>2069.5</v>
      </c>
      <c r="K25" s="77">
        <f t="shared" si="2"/>
        <v>496680000000</v>
      </c>
    </row>
    <row r="26" spans="1:11">
      <c r="A26" s="102">
        <v>24</v>
      </c>
      <c r="B26" s="73" t="s">
        <v>260</v>
      </c>
      <c r="C26" s="74">
        <v>0.32400000000000001</v>
      </c>
      <c r="D26" s="75">
        <v>0</v>
      </c>
      <c r="E26" s="76" t="s">
        <v>235</v>
      </c>
      <c r="F26" s="77">
        <v>48441</v>
      </c>
      <c r="G26" s="78">
        <f t="shared" si="4"/>
        <v>48.441000000000003</v>
      </c>
      <c r="H26" s="77">
        <v>240</v>
      </c>
      <c r="I26" s="77">
        <f t="shared" si="1"/>
        <v>240</v>
      </c>
      <c r="J26" s="79">
        <v>35.4</v>
      </c>
      <c r="K26" s="77">
        <f t="shared" si="2"/>
        <v>8496000000</v>
      </c>
    </row>
    <row r="27" spans="1:11">
      <c r="A27" s="103">
        <v>25</v>
      </c>
      <c r="B27" s="73" t="s">
        <v>261</v>
      </c>
      <c r="C27" s="74">
        <v>0.32500000000000001</v>
      </c>
      <c r="D27" s="75">
        <v>0</v>
      </c>
      <c r="E27" s="74" t="s">
        <v>253</v>
      </c>
      <c r="F27" s="77">
        <v>10563</v>
      </c>
      <c r="G27" s="78">
        <v>24</v>
      </c>
      <c r="H27" s="77">
        <f>G27*5</f>
        <v>120</v>
      </c>
      <c r="I27" s="77">
        <f t="shared" si="1"/>
        <v>120</v>
      </c>
      <c r="J27" s="79">
        <v>54.2</v>
      </c>
      <c r="K27" s="77">
        <f t="shared" si="2"/>
        <v>6504000000</v>
      </c>
    </row>
    <row r="28" spans="1:11">
      <c r="A28" s="104">
        <v>26</v>
      </c>
      <c r="B28" s="73" t="s">
        <v>262</v>
      </c>
      <c r="C28" s="74">
        <v>0.32900000000000001</v>
      </c>
      <c r="D28" s="75">
        <v>0</v>
      </c>
      <c r="E28" s="76" t="s">
        <v>235</v>
      </c>
      <c r="F28" s="77">
        <v>48441</v>
      </c>
      <c r="G28" s="78">
        <f t="shared" ref="G28:G32" si="5">F28/1000</f>
        <v>48.441000000000003</v>
      </c>
      <c r="H28" s="77">
        <v>240</v>
      </c>
      <c r="I28" s="77">
        <f t="shared" si="1"/>
        <v>240</v>
      </c>
      <c r="J28" s="79">
        <v>84.3</v>
      </c>
      <c r="K28" s="77">
        <f t="shared" si="2"/>
        <v>20232000000</v>
      </c>
    </row>
    <row r="29" spans="1:11">
      <c r="A29" s="105">
        <v>27</v>
      </c>
      <c r="B29" s="73" t="s">
        <v>263</v>
      </c>
      <c r="C29" s="74">
        <v>0.33</v>
      </c>
      <c r="D29" s="75">
        <v>0</v>
      </c>
      <c r="E29" s="76" t="s">
        <v>235</v>
      </c>
      <c r="F29" s="77">
        <v>48441</v>
      </c>
      <c r="G29" s="78">
        <f t="shared" si="5"/>
        <v>48.441000000000003</v>
      </c>
      <c r="H29" s="77">
        <v>240</v>
      </c>
      <c r="I29" s="77">
        <f t="shared" si="1"/>
        <v>240</v>
      </c>
      <c r="J29" s="79">
        <v>11.4</v>
      </c>
      <c r="K29" s="77">
        <f t="shared" si="2"/>
        <v>2736000000</v>
      </c>
    </row>
    <row r="30" spans="1:11">
      <c r="A30" s="106">
        <v>28</v>
      </c>
      <c r="B30" s="73" t="s">
        <v>264</v>
      </c>
      <c r="C30" s="74">
        <v>0.33400000000000002</v>
      </c>
      <c r="D30" s="75">
        <v>0</v>
      </c>
      <c r="E30" s="76" t="s">
        <v>235</v>
      </c>
      <c r="F30" s="77">
        <v>48441</v>
      </c>
      <c r="G30" s="78">
        <f t="shared" si="5"/>
        <v>48.441000000000003</v>
      </c>
      <c r="H30" s="77">
        <v>240</v>
      </c>
      <c r="I30" s="77">
        <f t="shared" si="1"/>
        <v>240</v>
      </c>
      <c r="J30" s="79">
        <v>84</v>
      </c>
      <c r="K30" s="77">
        <f t="shared" si="2"/>
        <v>20160000000</v>
      </c>
    </row>
    <row r="31" spans="1:11">
      <c r="A31" s="107">
        <v>29</v>
      </c>
      <c r="B31" s="73" t="s">
        <v>265</v>
      </c>
      <c r="C31" s="74">
        <v>0.33900000000000002</v>
      </c>
      <c r="D31" s="75">
        <v>0</v>
      </c>
      <c r="E31" s="76" t="s">
        <v>235</v>
      </c>
      <c r="F31" s="77">
        <v>48441</v>
      </c>
      <c r="G31" s="78">
        <f t="shared" si="5"/>
        <v>48.441000000000003</v>
      </c>
      <c r="H31" s="77">
        <v>240</v>
      </c>
      <c r="I31" s="77">
        <f t="shared" si="1"/>
        <v>240</v>
      </c>
      <c r="J31" s="79">
        <v>51.7</v>
      </c>
      <c r="K31" s="77">
        <f t="shared" si="2"/>
        <v>12408000000</v>
      </c>
    </row>
    <row r="32" spans="1:11">
      <c r="A32" s="108">
        <v>30</v>
      </c>
      <c r="B32" s="73" t="s">
        <v>266</v>
      </c>
      <c r="C32" s="74">
        <v>0.34100000000000003</v>
      </c>
      <c r="D32" s="75">
        <v>0</v>
      </c>
      <c r="E32" s="76" t="s">
        <v>235</v>
      </c>
      <c r="F32" s="77">
        <v>48441</v>
      </c>
      <c r="G32" s="78">
        <f t="shared" si="5"/>
        <v>48.441000000000003</v>
      </c>
      <c r="H32" s="77">
        <v>240</v>
      </c>
      <c r="I32" s="77">
        <f t="shared" si="1"/>
        <v>240</v>
      </c>
      <c r="J32" s="79">
        <v>305.5</v>
      </c>
      <c r="K32" s="77">
        <f t="shared" si="2"/>
        <v>73320000000</v>
      </c>
    </row>
    <row r="33" spans="1:11">
      <c r="A33" s="108">
        <v>30</v>
      </c>
      <c r="B33" s="73" t="s">
        <v>267</v>
      </c>
      <c r="C33" s="74">
        <v>0.34100000000000003</v>
      </c>
      <c r="D33" s="75">
        <v>0</v>
      </c>
      <c r="E33" s="74" t="s">
        <v>253</v>
      </c>
      <c r="F33" s="77">
        <v>10563</v>
      </c>
      <c r="G33" s="78">
        <v>24</v>
      </c>
      <c r="H33" s="77">
        <f>G33*5</f>
        <v>120</v>
      </c>
      <c r="I33" s="77">
        <f t="shared" si="1"/>
        <v>120</v>
      </c>
      <c r="J33" s="79">
        <v>28.1</v>
      </c>
      <c r="K33" s="77">
        <f t="shared" si="2"/>
        <v>3372000000</v>
      </c>
    </row>
    <row r="34" spans="1:11">
      <c r="A34" s="109">
        <v>32</v>
      </c>
      <c r="B34" s="73" t="s">
        <v>268</v>
      </c>
      <c r="C34" s="74">
        <v>0.34699999999999998</v>
      </c>
      <c r="D34" s="75">
        <v>0</v>
      </c>
      <c r="E34" s="76" t="s">
        <v>235</v>
      </c>
      <c r="F34" s="77">
        <v>48441</v>
      </c>
      <c r="G34" s="78">
        <f t="shared" ref="G34:G36" si="6">F34/1000</f>
        <v>48.441000000000003</v>
      </c>
      <c r="H34" s="77">
        <v>240</v>
      </c>
      <c r="I34" s="77">
        <f t="shared" si="1"/>
        <v>240</v>
      </c>
      <c r="J34" s="79">
        <v>34.9</v>
      </c>
      <c r="K34" s="77">
        <f t="shared" si="2"/>
        <v>8376000000</v>
      </c>
    </row>
    <row r="35" spans="1:11">
      <c r="A35" s="110">
        <v>33</v>
      </c>
      <c r="B35" s="73" t="s">
        <v>269</v>
      </c>
      <c r="C35" s="74">
        <v>0.34799999999999998</v>
      </c>
      <c r="D35" s="75">
        <v>0</v>
      </c>
      <c r="E35" s="76" t="s">
        <v>235</v>
      </c>
      <c r="F35" s="77">
        <v>48441</v>
      </c>
      <c r="G35" s="78">
        <f t="shared" si="6"/>
        <v>48.441000000000003</v>
      </c>
      <c r="H35" s="77">
        <v>240</v>
      </c>
      <c r="I35" s="77">
        <f t="shared" si="1"/>
        <v>240</v>
      </c>
      <c r="J35" s="79">
        <v>26.8</v>
      </c>
      <c r="K35" s="77">
        <f t="shared" si="2"/>
        <v>6432000000</v>
      </c>
    </row>
    <row r="36" spans="1:11">
      <c r="A36" s="110">
        <v>33</v>
      </c>
      <c r="B36" s="73" t="s">
        <v>270</v>
      </c>
      <c r="C36" s="74">
        <v>0.34799999999999998</v>
      </c>
      <c r="D36" s="75">
        <v>0</v>
      </c>
      <c r="E36" s="76" t="s">
        <v>235</v>
      </c>
      <c r="F36" s="77">
        <v>48441</v>
      </c>
      <c r="G36" s="78">
        <f t="shared" si="6"/>
        <v>48.441000000000003</v>
      </c>
      <c r="H36" s="77">
        <v>240</v>
      </c>
      <c r="I36" s="77">
        <f t="shared" si="1"/>
        <v>240</v>
      </c>
      <c r="J36" s="79">
        <v>3.1</v>
      </c>
      <c r="K36" s="77">
        <f t="shared" si="2"/>
        <v>744000000</v>
      </c>
    </row>
    <row r="37" spans="1:11">
      <c r="A37" s="111">
        <v>35</v>
      </c>
      <c r="B37" s="73" t="s">
        <v>271</v>
      </c>
      <c r="C37" s="74">
        <v>0.34899999999999998</v>
      </c>
      <c r="D37" s="75">
        <v>0</v>
      </c>
      <c r="E37" s="74" t="s">
        <v>253</v>
      </c>
      <c r="F37" s="77">
        <v>10563</v>
      </c>
      <c r="G37" s="78">
        <v>24</v>
      </c>
      <c r="H37" s="77">
        <f t="shared" ref="H37:H38" si="7">G37*5</f>
        <v>120</v>
      </c>
      <c r="I37" s="77">
        <f t="shared" si="1"/>
        <v>120</v>
      </c>
      <c r="J37" s="79">
        <v>22</v>
      </c>
      <c r="K37" s="77">
        <f t="shared" si="2"/>
        <v>2640000000</v>
      </c>
    </row>
    <row r="38" spans="1:11">
      <c r="A38" s="111">
        <v>35</v>
      </c>
      <c r="B38" s="73" t="s">
        <v>272</v>
      </c>
      <c r="C38" s="74">
        <v>0.34899999999999998</v>
      </c>
      <c r="D38" s="75">
        <v>0</v>
      </c>
      <c r="E38" s="74" t="s">
        <v>258</v>
      </c>
      <c r="F38" s="77">
        <v>2511</v>
      </c>
      <c r="G38" s="78">
        <v>12</v>
      </c>
      <c r="H38" s="77">
        <f t="shared" si="7"/>
        <v>60</v>
      </c>
      <c r="I38" s="77">
        <f t="shared" si="1"/>
        <v>60</v>
      </c>
      <c r="J38" s="79">
        <v>137.9</v>
      </c>
      <c r="K38" s="77">
        <f t="shared" si="2"/>
        <v>8274000000</v>
      </c>
    </row>
    <row r="39" spans="1:11">
      <c r="A39" s="112">
        <v>37</v>
      </c>
      <c r="B39" s="73" t="s">
        <v>273</v>
      </c>
      <c r="C39" s="74">
        <v>0.35199999999999998</v>
      </c>
      <c r="D39" s="75">
        <v>0.1</v>
      </c>
      <c r="E39" s="76" t="s">
        <v>235</v>
      </c>
      <c r="F39" s="77">
        <v>48441</v>
      </c>
      <c r="G39" s="78">
        <f t="shared" ref="G39:G40" si="8">F39/1000</f>
        <v>48.441000000000003</v>
      </c>
      <c r="H39" s="77">
        <v>240</v>
      </c>
      <c r="I39" s="77">
        <f t="shared" si="1"/>
        <v>216</v>
      </c>
      <c r="J39" s="79">
        <v>43.8</v>
      </c>
      <c r="K39" s="77">
        <f t="shared" si="2"/>
        <v>9460800000</v>
      </c>
    </row>
    <row r="40" spans="1:11">
      <c r="A40" s="112">
        <v>37</v>
      </c>
      <c r="B40" s="73" t="s">
        <v>274</v>
      </c>
      <c r="C40" s="74">
        <v>0.35199999999999998</v>
      </c>
      <c r="D40" s="75">
        <v>0.1</v>
      </c>
      <c r="E40" s="76" t="s">
        <v>235</v>
      </c>
      <c r="F40" s="77">
        <v>48441</v>
      </c>
      <c r="G40" s="78">
        <f t="shared" si="8"/>
        <v>48.441000000000003</v>
      </c>
      <c r="H40" s="77">
        <v>240</v>
      </c>
      <c r="I40" s="77">
        <f t="shared" si="1"/>
        <v>216</v>
      </c>
      <c r="J40" s="79">
        <v>127.9</v>
      </c>
      <c r="K40" s="77">
        <f t="shared" si="2"/>
        <v>27626400000</v>
      </c>
    </row>
    <row r="41" spans="1:11">
      <c r="A41" s="113">
        <v>39</v>
      </c>
      <c r="B41" s="73" t="s">
        <v>275</v>
      </c>
      <c r="C41" s="74">
        <v>0.35299999999999998</v>
      </c>
      <c r="D41" s="75">
        <v>0.1</v>
      </c>
      <c r="E41" s="74" t="s">
        <v>253</v>
      </c>
      <c r="F41" s="77">
        <v>10563</v>
      </c>
      <c r="G41" s="78">
        <v>24</v>
      </c>
      <c r="H41" s="77">
        <f>G41*5</f>
        <v>120</v>
      </c>
      <c r="I41" s="77">
        <f t="shared" si="1"/>
        <v>108</v>
      </c>
      <c r="J41" s="79">
        <v>13259.6</v>
      </c>
      <c r="K41" s="77">
        <f t="shared" si="2"/>
        <v>1432036800000</v>
      </c>
    </row>
    <row r="42" spans="1:11">
      <c r="A42" s="113">
        <v>39</v>
      </c>
      <c r="B42" s="73" t="s">
        <v>276</v>
      </c>
      <c r="C42" s="74">
        <v>0.35299999999999998</v>
      </c>
      <c r="D42" s="75">
        <v>0.1</v>
      </c>
      <c r="E42" s="76" t="s">
        <v>235</v>
      </c>
      <c r="F42" s="77">
        <v>48441</v>
      </c>
      <c r="G42" s="78">
        <f t="shared" ref="G42:G44" si="9">F42/1000</f>
        <v>48.441000000000003</v>
      </c>
      <c r="H42" s="77">
        <v>240</v>
      </c>
      <c r="I42" s="77">
        <f t="shared" si="1"/>
        <v>216</v>
      </c>
      <c r="J42" s="79">
        <v>573.5</v>
      </c>
      <c r="K42" s="77">
        <f t="shared" si="2"/>
        <v>123876000000</v>
      </c>
    </row>
    <row r="43" spans="1:11">
      <c r="A43" s="114">
        <v>41</v>
      </c>
      <c r="B43" s="73" t="s">
        <v>277</v>
      </c>
      <c r="C43" s="74">
        <v>0.35499999999999998</v>
      </c>
      <c r="D43" s="75">
        <v>0.1</v>
      </c>
      <c r="E43" s="76" t="s">
        <v>235</v>
      </c>
      <c r="F43" s="77">
        <v>48441</v>
      </c>
      <c r="G43" s="78">
        <f t="shared" si="9"/>
        <v>48.441000000000003</v>
      </c>
      <c r="H43" s="77">
        <v>240</v>
      </c>
      <c r="I43" s="77">
        <f t="shared" si="1"/>
        <v>216</v>
      </c>
      <c r="J43" s="79">
        <v>122.9</v>
      </c>
      <c r="K43" s="77">
        <f t="shared" si="2"/>
        <v>26546400000</v>
      </c>
    </row>
    <row r="44" spans="1:11">
      <c r="A44" s="115">
        <v>42</v>
      </c>
      <c r="B44" s="73" t="s">
        <v>278</v>
      </c>
      <c r="C44" s="74">
        <v>0.35799999999999998</v>
      </c>
      <c r="D44" s="75">
        <v>0.1</v>
      </c>
      <c r="E44" s="76" t="s">
        <v>235</v>
      </c>
      <c r="F44" s="77">
        <v>48441</v>
      </c>
      <c r="G44" s="78">
        <f t="shared" si="9"/>
        <v>48.441000000000003</v>
      </c>
      <c r="H44" s="77">
        <v>240</v>
      </c>
      <c r="I44" s="77">
        <f t="shared" si="1"/>
        <v>216</v>
      </c>
      <c r="J44" s="79">
        <v>39.799999999999997</v>
      </c>
      <c r="K44" s="77">
        <f t="shared" si="2"/>
        <v>8596800000</v>
      </c>
    </row>
    <row r="45" spans="1:11">
      <c r="A45" s="115">
        <v>42</v>
      </c>
      <c r="B45" s="73" t="s">
        <v>279</v>
      </c>
      <c r="C45" s="74">
        <v>0.35799999999999998</v>
      </c>
      <c r="D45" s="75">
        <v>0.1</v>
      </c>
      <c r="E45" s="74" t="s">
        <v>253</v>
      </c>
      <c r="F45" s="77">
        <v>10563</v>
      </c>
      <c r="G45" s="78">
        <v>24</v>
      </c>
      <c r="H45" s="77">
        <f>G45*5</f>
        <v>120</v>
      </c>
      <c r="I45" s="77">
        <f t="shared" si="1"/>
        <v>108</v>
      </c>
      <c r="J45" s="79">
        <v>438.3</v>
      </c>
      <c r="K45" s="77">
        <f t="shared" si="2"/>
        <v>47336400000</v>
      </c>
    </row>
    <row r="46" spans="1:11">
      <c r="A46" s="116">
        <v>44</v>
      </c>
      <c r="B46" s="73" t="s">
        <v>280</v>
      </c>
      <c r="C46" s="74">
        <v>0.35899999999999999</v>
      </c>
      <c r="D46" s="75">
        <v>0.1</v>
      </c>
      <c r="E46" s="76" t="s">
        <v>235</v>
      </c>
      <c r="F46" s="77">
        <v>48441</v>
      </c>
      <c r="G46" s="78">
        <f>F46/1000</f>
        <v>48.441000000000003</v>
      </c>
      <c r="H46" s="77">
        <v>240</v>
      </c>
      <c r="I46" s="77">
        <f t="shared" si="1"/>
        <v>216</v>
      </c>
      <c r="J46" s="79">
        <v>7.2</v>
      </c>
      <c r="K46" s="77">
        <f t="shared" si="2"/>
        <v>1555200000</v>
      </c>
    </row>
    <row r="47" spans="1:11">
      <c r="A47" s="116">
        <v>44</v>
      </c>
      <c r="B47" s="73" t="s">
        <v>281</v>
      </c>
      <c r="C47" s="74">
        <v>0.35899999999999999</v>
      </c>
      <c r="D47" s="75">
        <v>0.1</v>
      </c>
      <c r="E47" s="74" t="s">
        <v>253</v>
      </c>
      <c r="F47" s="77">
        <v>10563</v>
      </c>
      <c r="G47" s="78">
        <v>24</v>
      </c>
      <c r="H47" s="77">
        <f>G47*5</f>
        <v>120</v>
      </c>
      <c r="I47" s="77">
        <f t="shared" si="1"/>
        <v>108</v>
      </c>
      <c r="J47" s="79">
        <v>136.19999999999999</v>
      </c>
      <c r="K47" s="77">
        <f t="shared" si="2"/>
        <v>14709599999.999998</v>
      </c>
    </row>
    <row r="48" spans="1:11">
      <c r="A48" s="117">
        <v>46</v>
      </c>
      <c r="B48" s="73" t="s">
        <v>282</v>
      </c>
      <c r="C48" s="74">
        <v>0.36</v>
      </c>
      <c r="D48" s="75">
        <v>0.1</v>
      </c>
      <c r="E48" s="76" t="s">
        <v>235</v>
      </c>
      <c r="F48" s="77">
        <v>48441</v>
      </c>
      <c r="G48" s="78">
        <f t="shared" ref="G48:G49" si="10">F48/1000</f>
        <v>48.441000000000003</v>
      </c>
      <c r="H48" s="77">
        <v>240</v>
      </c>
      <c r="I48" s="77">
        <f t="shared" si="1"/>
        <v>216</v>
      </c>
      <c r="J48" s="79">
        <v>944.8</v>
      </c>
      <c r="K48" s="77">
        <f t="shared" si="2"/>
        <v>204076800000</v>
      </c>
    </row>
    <row r="49" spans="1:11">
      <c r="A49" s="118">
        <v>47</v>
      </c>
      <c r="B49" s="73" t="s">
        <v>283</v>
      </c>
      <c r="C49" s="74">
        <v>0.36099999999999999</v>
      </c>
      <c r="D49" s="75">
        <v>0.1</v>
      </c>
      <c r="E49" s="76" t="s">
        <v>235</v>
      </c>
      <c r="F49" s="77">
        <v>48441</v>
      </c>
      <c r="G49" s="78">
        <f t="shared" si="10"/>
        <v>48.441000000000003</v>
      </c>
      <c r="H49" s="77">
        <v>240</v>
      </c>
      <c r="I49" s="77">
        <f t="shared" si="1"/>
        <v>216</v>
      </c>
      <c r="J49" s="79">
        <v>13.1</v>
      </c>
      <c r="K49" s="77">
        <f t="shared" si="2"/>
        <v>2829600000</v>
      </c>
    </row>
    <row r="50" spans="1:11">
      <c r="A50" s="119">
        <v>48</v>
      </c>
      <c r="B50" s="73" t="s">
        <v>284</v>
      </c>
      <c r="C50" s="74">
        <v>0.36199999999999999</v>
      </c>
      <c r="D50" s="75">
        <v>0.1</v>
      </c>
      <c r="E50" s="74" t="s">
        <v>253</v>
      </c>
      <c r="F50" s="77">
        <v>10563</v>
      </c>
      <c r="G50" s="78">
        <v>24</v>
      </c>
      <c r="H50" s="77">
        <f t="shared" ref="H50:H52" si="11">G50*5</f>
        <v>120</v>
      </c>
      <c r="I50" s="77">
        <f t="shared" si="1"/>
        <v>108</v>
      </c>
      <c r="J50" s="79">
        <v>7.7</v>
      </c>
      <c r="K50" s="77">
        <f t="shared" si="2"/>
        <v>831600000</v>
      </c>
    </row>
    <row r="51" spans="1:11">
      <c r="A51" s="120">
        <v>49</v>
      </c>
      <c r="B51" s="73" t="s">
        <v>285</v>
      </c>
      <c r="C51" s="74">
        <v>0.36299999999999999</v>
      </c>
      <c r="D51" s="75">
        <v>0.1</v>
      </c>
      <c r="E51" s="74" t="s">
        <v>253</v>
      </c>
      <c r="F51" s="77">
        <v>10563</v>
      </c>
      <c r="G51" s="78">
        <v>24</v>
      </c>
      <c r="H51" s="77">
        <f t="shared" si="11"/>
        <v>120</v>
      </c>
      <c r="I51" s="77">
        <f t="shared" si="1"/>
        <v>108</v>
      </c>
      <c r="J51" s="79">
        <v>479.5</v>
      </c>
      <c r="K51" s="77">
        <f t="shared" si="2"/>
        <v>51786000000</v>
      </c>
    </row>
    <row r="52" spans="1:11">
      <c r="A52" s="121">
        <v>50</v>
      </c>
      <c r="B52" s="73" t="s">
        <v>286</v>
      </c>
      <c r="C52" s="74">
        <v>0.36399999999999999</v>
      </c>
      <c r="D52" s="75">
        <v>0.1</v>
      </c>
      <c r="E52" s="74" t="s">
        <v>253</v>
      </c>
      <c r="F52" s="77">
        <v>10563</v>
      </c>
      <c r="G52" s="78">
        <v>24</v>
      </c>
      <c r="H52" s="77">
        <f t="shared" si="11"/>
        <v>120</v>
      </c>
      <c r="I52" s="77">
        <f t="shared" si="1"/>
        <v>108</v>
      </c>
      <c r="J52" s="79">
        <v>180.4</v>
      </c>
      <c r="K52" s="77">
        <f t="shared" si="2"/>
        <v>19483200000</v>
      </c>
    </row>
    <row r="53" spans="1:11">
      <c r="A53" s="121">
        <v>50</v>
      </c>
      <c r="B53" s="73" t="s">
        <v>287</v>
      </c>
      <c r="C53" s="74">
        <v>0.36399999999999999</v>
      </c>
      <c r="D53" s="75">
        <v>0.1</v>
      </c>
      <c r="E53" s="76" t="s">
        <v>235</v>
      </c>
      <c r="F53" s="77">
        <v>48441</v>
      </c>
      <c r="G53" s="78">
        <f t="shared" ref="G53:G54" si="12">F53/1000</f>
        <v>48.441000000000003</v>
      </c>
      <c r="H53" s="77">
        <v>240</v>
      </c>
      <c r="I53" s="77">
        <f t="shared" si="1"/>
        <v>216</v>
      </c>
      <c r="J53" s="79">
        <v>111.6</v>
      </c>
      <c r="K53" s="77">
        <f t="shared" si="2"/>
        <v>24105600000</v>
      </c>
    </row>
    <row r="54" spans="1:11">
      <c r="A54" s="121">
        <v>50</v>
      </c>
      <c r="B54" s="73" t="s">
        <v>288</v>
      </c>
      <c r="C54" s="74">
        <v>0.36399999999999999</v>
      </c>
      <c r="D54" s="75">
        <v>0.1</v>
      </c>
      <c r="E54" s="76" t="s">
        <v>235</v>
      </c>
      <c r="F54" s="77">
        <v>48441</v>
      </c>
      <c r="G54" s="78">
        <f t="shared" si="12"/>
        <v>48.441000000000003</v>
      </c>
      <c r="H54" s="77">
        <v>240</v>
      </c>
      <c r="I54" s="77">
        <f t="shared" si="1"/>
        <v>216</v>
      </c>
      <c r="J54" s="79">
        <v>6.6</v>
      </c>
      <c r="K54" s="77">
        <f t="shared" si="2"/>
        <v>1425600000</v>
      </c>
    </row>
    <row r="55" spans="1:11">
      <c r="A55" s="121">
        <v>50</v>
      </c>
      <c r="B55" s="73" t="s">
        <v>289</v>
      </c>
      <c r="C55" s="74">
        <v>0.36399999999999999</v>
      </c>
      <c r="D55" s="75">
        <v>0.1</v>
      </c>
      <c r="E55" s="74" t="s">
        <v>253</v>
      </c>
      <c r="F55" s="77">
        <v>10563</v>
      </c>
      <c r="G55" s="78">
        <v>24</v>
      </c>
      <c r="H55" s="77">
        <f t="shared" ref="H55:H61" si="13">G55*5</f>
        <v>120</v>
      </c>
      <c r="I55" s="77">
        <f t="shared" si="1"/>
        <v>108</v>
      </c>
      <c r="J55" s="79">
        <v>283.3</v>
      </c>
      <c r="K55" s="77">
        <f t="shared" si="2"/>
        <v>30596400000</v>
      </c>
    </row>
    <row r="56" spans="1:11">
      <c r="A56" s="122">
        <v>54</v>
      </c>
      <c r="B56" s="73" t="s">
        <v>290</v>
      </c>
      <c r="C56" s="74">
        <v>0.36499999999999999</v>
      </c>
      <c r="D56" s="75">
        <v>0.1</v>
      </c>
      <c r="E56" s="74" t="s">
        <v>253</v>
      </c>
      <c r="F56" s="77">
        <v>10563</v>
      </c>
      <c r="G56" s="78">
        <v>24</v>
      </c>
      <c r="H56" s="77">
        <f t="shared" si="13"/>
        <v>120</v>
      </c>
      <c r="I56" s="77">
        <f t="shared" si="1"/>
        <v>108</v>
      </c>
      <c r="J56" s="79">
        <v>778.8</v>
      </c>
      <c r="K56" s="77">
        <f t="shared" si="2"/>
        <v>84110400000</v>
      </c>
    </row>
    <row r="57" spans="1:11">
      <c r="A57" s="123">
        <v>55</v>
      </c>
      <c r="B57" s="73" t="s">
        <v>291</v>
      </c>
      <c r="C57" s="74">
        <v>0.36599999999999999</v>
      </c>
      <c r="D57" s="75">
        <v>0.1</v>
      </c>
      <c r="E57" s="74" t="s">
        <v>258</v>
      </c>
      <c r="F57" s="77">
        <v>2511</v>
      </c>
      <c r="G57" s="78">
        <v>12</v>
      </c>
      <c r="H57" s="77">
        <f t="shared" si="13"/>
        <v>60</v>
      </c>
      <c r="I57" s="77">
        <f t="shared" si="1"/>
        <v>54</v>
      </c>
      <c r="J57" s="79">
        <v>23.6</v>
      </c>
      <c r="K57" s="77">
        <f t="shared" si="2"/>
        <v>1274400000</v>
      </c>
    </row>
    <row r="58" spans="1:11">
      <c r="A58" s="123">
        <v>55</v>
      </c>
      <c r="B58" s="73" t="s">
        <v>292</v>
      </c>
      <c r="C58" s="74">
        <v>0.36599999999999999</v>
      </c>
      <c r="D58" s="75">
        <v>0.1</v>
      </c>
      <c r="E58" s="74" t="s">
        <v>258</v>
      </c>
      <c r="F58" s="77">
        <v>2511</v>
      </c>
      <c r="G58" s="78">
        <v>12</v>
      </c>
      <c r="H58" s="77">
        <f t="shared" si="13"/>
        <v>60</v>
      </c>
      <c r="I58" s="77">
        <f t="shared" si="1"/>
        <v>54</v>
      </c>
      <c r="J58" s="79">
        <v>69.900000000000006</v>
      </c>
      <c r="K58" s="77">
        <f t="shared" si="2"/>
        <v>3774600000.0000005</v>
      </c>
    </row>
    <row r="59" spans="1:11">
      <c r="A59" s="124">
        <v>57</v>
      </c>
      <c r="B59" s="73" t="s">
        <v>293</v>
      </c>
      <c r="C59" s="74">
        <v>0.36699999999999999</v>
      </c>
      <c r="D59" s="75">
        <v>0.1</v>
      </c>
      <c r="E59" s="74" t="s">
        <v>258</v>
      </c>
      <c r="F59" s="77">
        <v>2511</v>
      </c>
      <c r="G59" s="78">
        <v>12</v>
      </c>
      <c r="H59" s="77">
        <f t="shared" si="13"/>
        <v>60</v>
      </c>
      <c r="I59" s="77">
        <f t="shared" si="1"/>
        <v>54</v>
      </c>
      <c r="J59" s="79">
        <v>9.3000000000000007</v>
      </c>
      <c r="K59" s="77">
        <f t="shared" si="2"/>
        <v>502200000.00000006</v>
      </c>
    </row>
    <row r="60" spans="1:11">
      <c r="A60" s="125">
        <v>58</v>
      </c>
      <c r="B60" s="73" t="s">
        <v>294</v>
      </c>
      <c r="C60" s="74">
        <v>0.36799999999999999</v>
      </c>
      <c r="D60" s="75">
        <v>0.1</v>
      </c>
      <c r="E60" s="74" t="s">
        <v>253</v>
      </c>
      <c r="F60" s="77">
        <v>10563</v>
      </c>
      <c r="G60" s="78">
        <v>24</v>
      </c>
      <c r="H60" s="77">
        <f t="shared" si="13"/>
        <v>120</v>
      </c>
      <c r="I60" s="77">
        <f t="shared" si="1"/>
        <v>108</v>
      </c>
      <c r="J60" s="79">
        <v>487.1</v>
      </c>
      <c r="K60" s="77">
        <f t="shared" si="2"/>
        <v>52606800000</v>
      </c>
    </row>
    <row r="61" spans="1:11">
      <c r="A61" s="126">
        <v>59</v>
      </c>
      <c r="B61" s="73" t="s">
        <v>295</v>
      </c>
      <c r="C61" s="74">
        <v>0.372</v>
      </c>
      <c r="D61" s="75">
        <v>0.1</v>
      </c>
      <c r="E61" s="74" t="s">
        <v>253</v>
      </c>
      <c r="F61" s="77">
        <v>10563</v>
      </c>
      <c r="G61" s="78">
        <v>24</v>
      </c>
      <c r="H61" s="77">
        <f t="shared" si="13"/>
        <v>120</v>
      </c>
      <c r="I61" s="77">
        <f t="shared" si="1"/>
        <v>108</v>
      </c>
      <c r="J61" s="79">
        <v>183.8</v>
      </c>
      <c r="K61" s="77">
        <f t="shared" si="2"/>
        <v>19850400000</v>
      </c>
    </row>
    <row r="62" spans="1:11">
      <c r="A62" s="126">
        <v>59</v>
      </c>
      <c r="B62" s="73" t="s">
        <v>296</v>
      </c>
      <c r="C62" s="74">
        <v>0.372</v>
      </c>
      <c r="D62" s="75">
        <v>0.1</v>
      </c>
      <c r="E62" s="76" t="s">
        <v>235</v>
      </c>
      <c r="F62" s="77">
        <v>48441</v>
      </c>
      <c r="G62" s="78">
        <f>F62/1000</f>
        <v>48.441000000000003</v>
      </c>
      <c r="H62" s="77">
        <v>240</v>
      </c>
      <c r="I62" s="77">
        <f t="shared" si="1"/>
        <v>216</v>
      </c>
      <c r="J62" s="79">
        <v>0.8</v>
      </c>
      <c r="K62" s="77">
        <f t="shared" si="2"/>
        <v>172800000</v>
      </c>
    </row>
    <row r="63" spans="1:11">
      <c r="A63" s="127">
        <v>61</v>
      </c>
      <c r="B63" s="73" t="s">
        <v>297</v>
      </c>
      <c r="C63" s="74">
        <v>0.374</v>
      </c>
      <c r="D63" s="75">
        <v>0.1</v>
      </c>
      <c r="E63" s="74" t="s">
        <v>253</v>
      </c>
      <c r="F63" s="77">
        <v>10563</v>
      </c>
      <c r="G63" s="78">
        <v>24</v>
      </c>
      <c r="H63" s="77">
        <f t="shared" ref="H63:H64" si="14">G63*5</f>
        <v>120</v>
      </c>
      <c r="I63" s="77">
        <f t="shared" si="1"/>
        <v>108</v>
      </c>
      <c r="J63" s="79">
        <v>84.6</v>
      </c>
      <c r="K63" s="77">
        <f t="shared" si="2"/>
        <v>9136800000</v>
      </c>
    </row>
    <row r="64" spans="1:11">
      <c r="A64" s="128">
        <v>62</v>
      </c>
      <c r="B64" s="73" t="s">
        <v>298</v>
      </c>
      <c r="C64" s="74">
        <v>0.375</v>
      </c>
      <c r="D64" s="75">
        <v>0.1</v>
      </c>
      <c r="E64" s="74" t="s">
        <v>253</v>
      </c>
      <c r="F64" s="77">
        <v>10563</v>
      </c>
      <c r="G64" s="78">
        <v>24</v>
      </c>
      <c r="H64" s="77">
        <f t="shared" si="14"/>
        <v>120</v>
      </c>
      <c r="I64" s="77">
        <f t="shared" si="1"/>
        <v>108</v>
      </c>
      <c r="J64" s="79">
        <v>66</v>
      </c>
      <c r="K64" s="77">
        <f t="shared" si="2"/>
        <v>7128000000</v>
      </c>
    </row>
    <row r="65" spans="1:11">
      <c r="A65" s="128">
        <v>62</v>
      </c>
      <c r="B65" s="73" t="s">
        <v>299</v>
      </c>
      <c r="C65" s="74">
        <v>0.375</v>
      </c>
      <c r="D65" s="75">
        <v>0.1</v>
      </c>
      <c r="E65" s="76" t="s">
        <v>235</v>
      </c>
      <c r="F65" s="77">
        <v>48441</v>
      </c>
      <c r="G65" s="78">
        <f>F65/1000</f>
        <v>48.441000000000003</v>
      </c>
      <c r="H65" s="77">
        <v>240</v>
      </c>
      <c r="I65" s="77">
        <f t="shared" si="1"/>
        <v>216</v>
      </c>
      <c r="J65" s="79">
        <v>27.2</v>
      </c>
      <c r="K65" s="77">
        <f t="shared" si="2"/>
        <v>5875200000</v>
      </c>
    </row>
    <row r="66" spans="1:11">
      <c r="A66" s="129">
        <v>64</v>
      </c>
      <c r="B66" s="73" t="s">
        <v>300</v>
      </c>
      <c r="C66" s="74">
        <v>0.376</v>
      </c>
      <c r="D66" s="75">
        <v>0.1</v>
      </c>
      <c r="E66" s="74" t="s">
        <v>258</v>
      </c>
      <c r="F66" s="77">
        <v>2511</v>
      </c>
      <c r="G66" s="78">
        <v>12</v>
      </c>
      <c r="H66" s="77">
        <f t="shared" ref="H66:H69" si="15">G66*5</f>
        <v>60</v>
      </c>
      <c r="I66" s="77">
        <f t="shared" si="1"/>
        <v>54</v>
      </c>
      <c r="J66" s="79">
        <v>31.5</v>
      </c>
      <c r="K66" s="77">
        <f t="shared" si="2"/>
        <v>1701000000</v>
      </c>
    </row>
    <row r="67" spans="1:11">
      <c r="A67" s="130">
        <v>65</v>
      </c>
      <c r="B67" s="73" t="s">
        <v>301</v>
      </c>
      <c r="C67" s="74">
        <v>0.379</v>
      </c>
      <c r="D67" s="75">
        <v>0.1</v>
      </c>
      <c r="E67" s="74" t="s">
        <v>253</v>
      </c>
      <c r="F67" s="77">
        <v>10563</v>
      </c>
      <c r="G67" s="78">
        <v>24</v>
      </c>
      <c r="H67" s="77">
        <f t="shared" si="15"/>
        <v>120</v>
      </c>
      <c r="I67" s="77">
        <f t="shared" si="1"/>
        <v>108</v>
      </c>
      <c r="J67" s="79">
        <v>0.3</v>
      </c>
      <c r="K67" s="77">
        <f t="shared" si="2"/>
        <v>32400000</v>
      </c>
    </row>
    <row r="68" spans="1:11">
      <c r="A68" s="130">
        <v>65</v>
      </c>
      <c r="B68" s="73" t="s">
        <v>302</v>
      </c>
      <c r="C68" s="74">
        <v>0.379</v>
      </c>
      <c r="D68" s="75">
        <v>0.1</v>
      </c>
      <c r="E68" s="74" t="s">
        <v>253</v>
      </c>
      <c r="F68" s="77">
        <v>10563</v>
      </c>
      <c r="G68" s="78">
        <v>24</v>
      </c>
      <c r="H68" s="77">
        <f t="shared" si="15"/>
        <v>120</v>
      </c>
      <c r="I68" s="77">
        <f t="shared" si="1"/>
        <v>108</v>
      </c>
      <c r="J68" s="79">
        <v>8.8000000000000007</v>
      </c>
      <c r="K68" s="77">
        <f t="shared" si="2"/>
        <v>950400000.00000012</v>
      </c>
    </row>
    <row r="69" spans="1:11">
      <c r="A69" s="131">
        <v>67</v>
      </c>
      <c r="B69" s="73" t="s">
        <v>303</v>
      </c>
      <c r="C69" s="74">
        <v>0.38</v>
      </c>
      <c r="D69" s="75">
        <v>0.1</v>
      </c>
      <c r="E69" s="74" t="s">
        <v>253</v>
      </c>
      <c r="F69" s="77">
        <v>10563</v>
      </c>
      <c r="G69" s="78">
        <v>24</v>
      </c>
      <c r="H69" s="77">
        <f t="shared" si="15"/>
        <v>120</v>
      </c>
      <c r="I69" s="77">
        <f t="shared" si="1"/>
        <v>108</v>
      </c>
      <c r="J69" s="79">
        <v>8.6</v>
      </c>
      <c r="K69" s="77">
        <f t="shared" si="2"/>
        <v>928800000</v>
      </c>
    </row>
    <row r="70" spans="1:11">
      <c r="A70" s="131">
        <v>67</v>
      </c>
      <c r="B70" s="73" t="s">
        <v>304</v>
      </c>
      <c r="C70" s="74">
        <v>0.38</v>
      </c>
      <c r="D70" s="75">
        <v>0.1</v>
      </c>
      <c r="E70" s="76" t="s">
        <v>235</v>
      </c>
      <c r="F70" s="77">
        <v>48441</v>
      </c>
      <c r="G70" s="78">
        <f>F70/1000</f>
        <v>48.441000000000003</v>
      </c>
      <c r="H70" s="77">
        <v>240</v>
      </c>
      <c r="I70" s="77">
        <f t="shared" si="1"/>
        <v>216</v>
      </c>
      <c r="J70" s="79">
        <v>17.5</v>
      </c>
      <c r="K70" s="77">
        <f t="shared" si="2"/>
        <v>3780000000</v>
      </c>
    </row>
    <row r="71" spans="1:11">
      <c r="A71" s="132">
        <v>69</v>
      </c>
      <c r="B71" s="73" t="s">
        <v>305</v>
      </c>
      <c r="C71" s="74">
        <v>0.38100000000000001</v>
      </c>
      <c r="D71" s="75">
        <v>0.1</v>
      </c>
      <c r="E71" s="74" t="s">
        <v>253</v>
      </c>
      <c r="F71" s="77">
        <v>10563</v>
      </c>
      <c r="G71" s="78">
        <v>24</v>
      </c>
      <c r="H71" s="77">
        <f>G71*5</f>
        <v>120</v>
      </c>
      <c r="I71" s="77">
        <f t="shared" si="1"/>
        <v>108</v>
      </c>
      <c r="J71" s="79"/>
      <c r="K71" s="77">
        <f t="shared" si="2"/>
        <v>0</v>
      </c>
    </row>
    <row r="72" spans="1:11">
      <c r="A72" s="133">
        <v>70</v>
      </c>
      <c r="B72" s="73" t="s">
        <v>306</v>
      </c>
      <c r="C72" s="74">
        <v>0.38200000000000001</v>
      </c>
      <c r="D72" s="75">
        <v>0.1</v>
      </c>
      <c r="E72" s="76" t="s">
        <v>235</v>
      </c>
      <c r="F72" s="77">
        <v>48441</v>
      </c>
      <c r="G72" s="78">
        <f>F72/1000</f>
        <v>48.441000000000003</v>
      </c>
      <c r="H72" s="77">
        <v>240</v>
      </c>
      <c r="I72" s="77">
        <f t="shared" si="1"/>
        <v>216</v>
      </c>
      <c r="J72" s="79">
        <v>206</v>
      </c>
      <c r="K72" s="77">
        <f t="shared" si="2"/>
        <v>44496000000</v>
      </c>
    </row>
    <row r="73" spans="1:11">
      <c r="A73" s="134">
        <v>71</v>
      </c>
      <c r="B73" s="73" t="s">
        <v>307</v>
      </c>
      <c r="C73" s="74">
        <v>0.38300000000000001</v>
      </c>
      <c r="D73" s="75">
        <v>0.1</v>
      </c>
      <c r="E73" s="74" t="s">
        <v>253</v>
      </c>
      <c r="F73" s="77">
        <v>10563</v>
      </c>
      <c r="G73" s="78">
        <v>24</v>
      </c>
      <c r="H73" s="77">
        <f t="shared" ref="H73:H75" si="16">G73*5</f>
        <v>120</v>
      </c>
      <c r="I73" s="77">
        <f t="shared" si="1"/>
        <v>108</v>
      </c>
      <c r="J73" s="79">
        <v>397.4</v>
      </c>
      <c r="K73" s="77">
        <f t="shared" si="2"/>
        <v>42919200000</v>
      </c>
    </row>
    <row r="74" spans="1:11">
      <c r="A74" s="135">
        <v>72</v>
      </c>
      <c r="B74" s="73" t="s">
        <v>308</v>
      </c>
      <c r="C74" s="74">
        <v>0.38600000000000001</v>
      </c>
      <c r="D74" s="75">
        <v>0.1</v>
      </c>
      <c r="E74" s="74" t="s">
        <v>253</v>
      </c>
      <c r="F74" s="77">
        <v>10563</v>
      </c>
      <c r="G74" s="78">
        <v>24</v>
      </c>
      <c r="H74" s="77">
        <f t="shared" si="16"/>
        <v>120</v>
      </c>
      <c r="I74" s="77">
        <f t="shared" si="1"/>
        <v>108</v>
      </c>
      <c r="J74" s="79">
        <v>4.5999999999999996</v>
      </c>
      <c r="K74" s="77">
        <f t="shared" si="2"/>
        <v>496799999.99999994</v>
      </c>
    </row>
    <row r="75" spans="1:11">
      <c r="A75" s="136">
        <v>73</v>
      </c>
      <c r="B75" s="73" t="s">
        <v>309</v>
      </c>
      <c r="C75" s="74">
        <v>0.38700000000000001</v>
      </c>
      <c r="D75" s="75">
        <v>0.1</v>
      </c>
      <c r="E75" s="74" t="s">
        <v>253</v>
      </c>
      <c r="F75" s="77">
        <v>10563</v>
      </c>
      <c r="G75" s="78">
        <v>24</v>
      </c>
      <c r="H75" s="77">
        <f t="shared" si="16"/>
        <v>120</v>
      </c>
      <c r="I75" s="77">
        <f t="shared" si="1"/>
        <v>108</v>
      </c>
      <c r="J75" s="79">
        <v>0.1</v>
      </c>
      <c r="K75" s="77">
        <f t="shared" si="2"/>
        <v>10800000</v>
      </c>
    </row>
    <row r="76" spans="1:11">
      <c r="A76" s="137">
        <v>74</v>
      </c>
      <c r="B76" s="73" t="s">
        <v>310</v>
      </c>
      <c r="C76" s="74">
        <v>0.39</v>
      </c>
      <c r="D76" s="75">
        <v>0.1</v>
      </c>
      <c r="E76" s="76" t="s">
        <v>235</v>
      </c>
      <c r="F76" s="77">
        <v>48441</v>
      </c>
      <c r="G76" s="78">
        <f>F76/1000</f>
        <v>48.441000000000003</v>
      </c>
      <c r="H76" s="77">
        <v>240</v>
      </c>
      <c r="I76" s="77">
        <f t="shared" si="1"/>
        <v>216</v>
      </c>
      <c r="J76" s="79">
        <v>57.1</v>
      </c>
      <c r="K76" s="77">
        <f t="shared" si="2"/>
        <v>12333600000</v>
      </c>
    </row>
    <row r="77" spans="1:11">
      <c r="A77" s="138">
        <v>75</v>
      </c>
      <c r="B77" s="73" t="s">
        <v>311</v>
      </c>
      <c r="C77" s="74">
        <v>0.39100000000000001</v>
      </c>
      <c r="D77" s="75">
        <v>0.1</v>
      </c>
      <c r="E77" s="74" t="s">
        <v>253</v>
      </c>
      <c r="F77" s="77">
        <v>10563</v>
      </c>
      <c r="G77" s="78">
        <v>24</v>
      </c>
      <c r="H77" s="77">
        <f>G77*5</f>
        <v>120</v>
      </c>
      <c r="I77" s="77">
        <f t="shared" si="1"/>
        <v>108</v>
      </c>
      <c r="J77" s="79">
        <v>8.3000000000000007</v>
      </c>
      <c r="K77" s="77">
        <f t="shared" si="2"/>
        <v>896400000.00000012</v>
      </c>
    </row>
    <row r="78" spans="1:11">
      <c r="A78" s="138">
        <v>75</v>
      </c>
      <c r="B78" s="73" t="s">
        <v>312</v>
      </c>
      <c r="C78" s="74">
        <v>0.39100000000000001</v>
      </c>
      <c r="D78" s="75">
        <v>0.1</v>
      </c>
      <c r="E78" s="76" t="s">
        <v>235</v>
      </c>
      <c r="F78" s="77">
        <v>48441</v>
      </c>
      <c r="G78" s="78">
        <f>F78/1000</f>
        <v>48.441000000000003</v>
      </c>
      <c r="H78" s="77">
        <v>240</v>
      </c>
      <c r="I78" s="77">
        <f t="shared" si="1"/>
        <v>216</v>
      </c>
      <c r="J78" s="79">
        <v>8.8000000000000007</v>
      </c>
      <c r="K78" s="77">
        <f t="shared" si="2"/>
        <v>1900800000.0000002</v>
      </c>
    </row>
    <row r="79" spans="1:11">
      <c r="A79" s="139">
        <v>77</v>
      </c>
      <c r="B79" s="73" t="s">
        <v>313</v>
      </c>
      <c r="C79" s="74">
        <v>0.39300000000000002</v>
      </c>
      <c r="D79" s="75">
        <v>0.1</v>
      </c>
      <c r="E79" s="74" t="s">
        <v>253</v>
      </c>
      <c r="F79" s="77">
        <v>10563</v>
      </c>
      <c r="G79" s="78">
        <v>24</v>
      </c>
      <c r="H79" s="77">
        <f t="shared" ref="H79:H83" si="17">G79*5</f>
        <v>120</v>
      </c>
      <c r="I79" s="77">
        <f t="shared" si="1"/>
        <v>108</v>
      </c>
      <c r="J79" s="79">
        <v>9.9</v>
      </c>
      <c r="K79" s="77">
        <f t="shared" si="2"/>
        <v>1069200000</v>
      </c>
    </row>
    <row r="80" spans="1:11">
      <c r="A80" s="140">
        <v>78</v>
      </c>
      <c r="B80" s="73" t="s">
        <v>314</v>
      </c>
      <c r="C80" s="74">
        <v>0.39600000000000002</v>
      </c>
      <c r="D80" s="75">
        <v>0.1</v>
      </c>
      <c r="E80" s="74" t="s">
        <v>258</v>
      </c>
      <c r="F80" s="77">
        <v>2511</v>
      </c>
      <c r="G80" s="78">
        <v>12</v>
      </c>
      <c r="H80" s="77">
        <f t="shared" si="17"/>
        <v>60</v>
      </c>
      <c r="I80" s="77">
        <f t="shared" si="1"/>
        <v>54</v>
      </c>
      <c r="J80" s="79">
        <v>249.3</v>
      </c>
      <c r="K80" s="77">
        <f t="shared" si="2"/>
        <v>13462200000</v>
      </c>
    </row>
    <row r="81" spans="1:11">
      <c r="A81" s="141">
        <v>79</v>
      </c>
      <c r="B81" s="73" t="s">
        <v>315</v>
      </c>
      <c r="C81" s="74">
        <v>0.39900000000000002</v>
      </c>
      <c r="D81" s="75">
        <v>0.1</v>
      </c>
      <c r="E81" s="74" t="s">
        <v>253</v>
      </c>
      <c r="F81" s="77">
        <v>10563</v>
      </c>
      <c r="G81" s="78">
        <v>24</v>
      </c>
      <c r="H81" s="77">
        <f t="shared" si="17"/>
        <v>120</v>
      </c>
      <c r="I81" s="77">
        <f t="shared" si="1"/>
        <v>108</v>
      </c>
      <c r="J81" s="79">
        <v>12.9</v>
      </c>
      <c r="K81" s="77">
        <f t="shared" si="2"/>
        <v>1393200000</v>
      </c>
    </row>
    <row r="82" spans="1:11">
      <c r="A82" s="142">
        <v>80</v>
      </c>
      <c r="B82" s="73" t="s">
        <v>316</v>
      </c>
      <c r="C82" s="74">
        <v>0.40200000000000002</v>
      </c>
      <c r="D82" s="75">
        <v>0.2</v>
      </c>
      <c r="E82" s="74" t="s">
        <v>258</v>
      </c>
      <c r="F82" s="77">
        <v>2511</v>
      </c>
      <c r="G82" s="78">
        <v>12</v>
      </c>
      <c r="H82" s="77">
        <f t="shared" si="17"/>
        <v>60</v>
      </c>
      <c r="I82" s="77">
        <f t="shared" si="1"/>
        <v>48</v>
      </c>
      <c r="J82" s="79">
        <v>17.3</v>
      </c>
      <c r="K82" s="77">
        <f t="shared" si="2"/>
        <v>830400000.00000012</v>
      </c>
    </row>
    <row r="83" spans="1:11">
      <c r="A83" s="143">
        <v>81</v>
      </c>
      <c r="B83" s="73" t="s">
        <v>317</v>
      </c>
      <c r="C83" s="74">
        <v>0.40300000000000002</v>
      </c>
      <c r="D83" s="75">
        <v>0.2</v>
      </c>
      <c r="E83" s="74" t="s">
        <v>253</v>
      </c>
      <c r="F83" s="77">
        <v>10563</v>
      </c>
      <c r="G83" s="78">
        <v>24</v>
      </c>
      <c r="H83" s="77">
        <f t="shared" si="17"/>
        <v>120</v>
      </c>
      <c r="I83" s="77">
        <f t="shared" si="1"/>
        <v>96</v>
      </c>
      <c r="J83" s="79">
        <v>100.9</v>
      </c>
      <c r="K83" s="77">
        <f t="shared" si="2"/>
        <v>9686400000.0000019</v>
      </c>
    </row>
    <row r="84" spans="1:11">
      <c r="A84" s="144">
        <v>82</v>
      </c>
      <c r="B84" s="73" t="s">
        <v>318</v>
      </c>
      <c r="C84" s="74">
        <v>0.40400000000000003</v>
      </c>
      <c r="D84" s="75">
        <v>0.2</v>
      </c>
      <c r="E84" s="76" t="s">
        <v>235</v>
      </c>
      <c r="F84" s="77">
        <v>48441</v>
      </c>
      <c r="G84" s="78">
        <f>F84/1000</f>
        <v>48.441000000000003</v>
      </c>
      <c r="H84" s="77">
        <v>240</v>
      </c>
      <c r="I84" s="77">
        <f t="shared" si="1"/>
        <v>192</v>
      </c>
      <c r="J84" s="79">
        <v>9.6999999999999993</v>
      </c>
      <c r="K84" s="77">
        <f t="shared" si="2"/>
        <v>1862399999.9999998</v>
      </c>
    </row>
    <row r="85" spans="1:11">
      <c r="A85" s="145">
        <v>83</v>
      </c>
      <c r="B85" s="73" t="s">
        <v>319</v>
      </c>
      <c r="C85" s="74">
        <v>0.40600000000000003</v>
      </c>
      <c r="D85" s="75">
        <v>0.2</v>
      </c>
      <c r="E85" s="74" t="s">
        <v>253</v>
      </c>
      <c r="F85" s="77">
        <v>10563</v>
      </c>
      <c r="G85" s="78">
        <v>24</v>
      </c>
      <c r="H85" s="77">
        <f t="shared" ref="H85:H88" si="18">G85*5</f>
        <v>120</v>
      </c>
      <c r="I85" s="77">
        <f t="shared" si="1"/>
        <v>96</v>
      </c>
      <c r="J85" s="79">
        <v>58.4</v>
      </c>
      <c r="K85" s="77">
        <f t="shared" si="2"/>
        <v>5606400000</v>
      </c>
    </row>
    <row r="86" spans="1:11">
      <c r="A86" s="146">
        <v>84</v>
      </c>
      <c r="B86" s="73" t="s">
        <v>320</v>
      </c>
      <c r="C86" s="74">
        <v>0.40899999999999997</v>
      </c>
      <c r="D86" s="75">
        <v>0.2</v>
      </c>
      <c r="E86" s="74" t="s">
        <v>253</v>
      </c>
      <c r="F86" s="77">
        <v>10563</v>
      </c>
      <c r="G86" s="78">
        <v>24</v>
      </c>
      <c r="H86" s="77">
        <f t="shared" si="18"/>
        <v>120</v>
      </c>
      <c r="I86" s="77">
        <f t="shared" si="1"/>
        <v>96</v>
      </c>
      <c r="J86" s="79">
        <v>42.8</v>
      </c>
      <c r="K86" s="77">
        <f t="shared" si="2"/>
        <v>4108799999.999999</v>
      </c>
    </row>
    <row r="87" spans="1:11">
      <c r="A87" s="147">
        <v>85</v>
      </c>
      <c r="B87" s="73" t="s">
        <v>321</v>
      </c>
      <c r="C87" s="74">
        <v>0.41</v>
      </c>
      <c r="D87" s="75">
        <v>0.2</v>
      </c>
      <c r="E87" s="74" t="s">
        <v>253</v>
      </c>
      <c r="F87" s="77">
        <v>10563</v>
      </c>
      <c r="G87" s="78">
        <v>24</v>
      </c>
      <c r="H87" s="77">
        <f t="shared" si="18"/>
        <v>120</v>
      </c>
      <c r="I87" s="77">
        <f t="shared" si="1"/>
        <v>96</v>
      </c>
      <c r="J87" s="79">
        <v>4.2</v>
      </c>
      <c r="K87" s="77">
        <f t="shared" si="2"/>
        <v>403200000.00000006</v>
      </c>
    </row>
    <row r="88" spans="1:11">
      <c r="A88" s="148">
        <v>86</v>
      </c>
      <c r="B88" s="73" t="s">
        <v>322</v>
      </c>
      <c r="C88" s="74">
        <v>0.41099999999999998</v>
      </c>
      <c r="D88" s="75">
        <v>0.2</v>
      </c>
      <c r="E88" s="74" t="s">
        <v>253</v>
      </c>
      <c r="F88" s="77">
        <v>10563</v>
      </c>
      <c r="G88" s="78">
        <v>24</v>
      </c>
      <c r="H88" s="77">
        <f t="shared" si="18"/>
        <v>120</v>
      </c>
      <c r="I88" s="77">
        <f t="shared" si="1"/>
        <v>96</v>
      </c>
      <c r="J88" s="79">
        <v>3.8</v>
      </c>
      <c r="K88" s="77">
        <f t="shared" si="2"/>
        <v>364799999.99999994</v>
      </c>
    </row>
    <row r="89" spans="1:11">
      <c r="A89" s="148">
        <v>86</v>
      </c>
      <c r="B89" s="73" t="s">
        <v>323</v>
      </c>
      <c r="C89" s="74">
        <v>0.41099999999999998</v>
      </c>
      <c r="D89" s="75">
        <v>0.2</v>
      </c>
      <c r="E89" s="76" t="s">
        <v>235</v>
      </c>
      <c r="F89" s="77">
        <v>48441</v>
      </c>
      <c r="G89" s="78">
        <f>F89/1000</f>
        <v>48.441000000000003</v>
      </c>
      <c r="H89" s="77">
        <v>240</v>
      </c>
      <c r="I89" s="77">
        <f t="shared" si="1"/>
        <v>192</v>
      </c>
      <c r="J89" s="79">
        <v>622.9</v>
      </c>
      <c r="K89" s="77">
        <f t="shared" si="2"/>
        <v>119596799999.99998</v>
      </c>
    </row>
    <row r="90" spans="1:11">
      <c r="A90" s="148">
        <v>86</v>
      </c>
      <c r="B90" s="73" t="s">
        <v>324</v>
      </c>
      <c r="C90" s="74">
        <v>0.41099999999999998</v>
      </c>
      <c r="D90" s="75">
        <v>0.2</v>
      </c>
      <c r="E90" s="74" t="s">
        <v>253</v>
      </c>
      <c r="F90" s="77">
        <v>10563</v>
      </c>
      <c r="G90" s="78">
        <v>24</v>
      </c>
      <c r="H90" s="77">
        <f>G90*5</f>
        <v>120</v>
      </c>
      <c r="I90" s="77">
        <f t="shared" si="1"/>
        <v>96</v>
      </c>
      <c r="J90" s="79">
        <v>274.2</v>
      </c>
      <c r="K90" s="77">
        <f t="shared" si="2"/>
        <v>26323199999.999996</v>
      </c>
    </row>
    <row r="91" spans="1:11">
      <c r="A91" s="149">
        <v>89</v>
      </c>
      <c r="B91" s="73" t="s">
        <v>325</v>
      </c>
      <c r="C91" s="74">
        <v>0.41499999999999998</v>
      </c>
      <c r="D91" s="75">
        <v>0.2</v>
      </c>
      <c r="E91" s="76" t="s">
        <v>235</v>
      </c>
      <c r="F91" s="77">
        <v>48441</v>
      </c>
      <c r="G91" s="78">
        <f>F91/1000</f>
        <v>48.441000000000003</v>
      </c>
      <c r="H91" s="77">
        <v>240</v>
      </c>
      <c r="I91" s="77">
        <f t="shared" si="1"/>
        <v>192</v>
      </c>
      <c r="J91" s="79">
        <v>70.8</v>
      </c>
      <c r="K91" s="77">
        <f t="shared" si="2"/>
        <v>13593599999.999998</v>
      </c>
    </row>
    <row r="92" spans="1:11">
      <c r="A92" s="150">
        <v>90</v>
      </c>
      <c r="B92" s="73" t="s">
        <v>326</v>
      </c>
      <c r="C92" s="74">
        <v>0.41699999999999998</v>
      </c>
      <c r="D92" s="75">
        <v>0.2</v>
      </c>
      <c r="E92" s="74" t="s">
        <v>253</v>
      </c>
      <c r="F92" s="77">
        <v>10563</v>
      </c>
      <c r="G92" s="78">
        <v>24</v>
      </c>
      <c r="H92" s="77">
        <f t="shared" ref="H92:H94" si="19">G92*5</f>
        <v>120</v>
      </c>
      <c r="I92" s="77">
        <f t="shared" si="1"/>
        <v>96</v>
      </c>
      <c r="J92" s="79">
        <v>8.4</v>
      </c>
      <c r="K92" s="77">
        <f t="shared" si="2"/>
        <v>806400000.00000012</v>
      </c>
    </row>
    <row r="93" spans="1:11">
      <c r="A93" s="151">
        <v>91</v>
      </c>
      <c r="B93" s="73" t="s">
        <v>327</v>
      </c>
      <c r="C93" s="74">
        <v>0.42099999999999999</v>
      </c>
      <c r="D93" s="75">
        <v>0.2</v>
      </c>
      <c r="E93" s="74" t="s">
        <v>253</v>
      </c>
      <c r="F93" s="77">
        <v>10563</v>
      </c>
      <c r="G93" s="78">
        <v>24</v>
      </c>
      <c r="H93" s="77">
        <f t="shared" si="19"/>
        <v>120</v>
      </c>
      <c r="I93" s="77">
        <f t="shared" si="1"/>
        <v>96</v>
      </c>
      <c r="J93" s="79"/>
      <c r="K93" s="77">
        <f t="shared" si="2"/>
        <v>0</v>
      </c>
    </row>
    <row r="94" spans="1:11">
      <c r="A94" s="152">
        <v>92</v>
      </c>
      <c r="B94" s="73" t="s">
        <v>328</v>
      </c>
      <c r="C94" s="74">
        <v>0.42199999999999999</v>
      </c>
      <c r="D94" s="75">
        <v>0.2</v>
      </c>
      <c r="E94" s="74" t="s">
        <v>253</v>
      </c>
      <c r="F94" s="77">
        <v>10563</v>
      </c>
      <c r="G94" s="78">
        <v>24</v>
      </c>
      <c r="H94" s="77">
        <f t="shared" si="19"/>
        <v>120</v>
      </c>
      <c r="I94" s="77">
        <f t="shared" si="1"/>
        <v>96</v>
      </c>
      <c r="J94" s="79">
        <v>6.9</v>
      </c>
      <c r="K94" s="77">
        <f t="shared" si="2"/>
        <v>662400000.00000012</v>
      </c>
    </row>
    <row r="95" spans="1:11">
      <c r="A95" s="152">
        <v>92</v>
      </c>
      <c r="B95" s="73" t="s">
        <v>329</v>
      </c>
      <c r="C95" s="74">
        <v>0.42199999999999999</v>
      </c>
      <c r="D95" s="75">
        <v>0.2</v>
      </c>
      <c r="E95" s="76" t="s">
        <v>235</v>
      </c>
      <c r="F95" s="77">
        <v>48441</v>
      </c>
      <c r="G95" s="78">
        <f t="shared" ref="G95:G96" si="20">F95/1000</f>
        <v>48.441000000000003</v>
      </c>
      <c r="H95" s="77">
        <v>240</v>
      </c>
      <c r="I95" s="77">
        <f t="shared" si="1"/>
        <v>192</v>
      </c>
      <c r="J95" s="79">
        <v>93.1</v>
      </c>
      <c r="K95" s="77">
        <f t="shared" si="2"/>
        <v>17875199999.999996</v>
      </c>
    </row>
    <row r="96" spans="1:11">
      <c r="A96" s="152">
        <v>92</v>
      </c>
      <c r="B96" s="73" t="s">
        <v>330</v>
      </c>
      <c r="C96" s="74">
        <v>0.42199999999999999</v>
      </c>
      <c r="D96" s="75">
        <v>0.2</v>
      </c>
      <c r="E96" s="76" t="s">
        <v>235</v>
      </c>
      <c r="F96" s="77">
        <v>48441</v>
      </c>
      <c r="G96" s="78">
        <f t="shared" si="20"/>
        <v>48.441000000000003</v>
      </c>
      <c r="H96" s="77">
        <v>240</v>
      </c>
      <c r="I96" s="77">
        <f t="shared" si="1"/>
        <v>192</v>
      </c>
      <c r="J96" s="79">
        <v>14.7</v>
      </c>
      <c r="K96" s="77">
        <f t="shared" si="2"/>
        <v>2822399999.9999995</v>
      </c>
    </row>
    <row r="97" spans="1:11">
      <c r="A97" s="153">
        <v>95</v>
      </c>
      <c r="B97" s="73" t="s">
        <v>331</v>
      </c>
      <c r="C97" s="74">
        <v>0.42299999999999999</v>
      </c>
      <c r="D97" s="75">
        <v>0.2</v>
      </c>
      <c r="E97" s="74" t="s">
        <v>253</v>
      </c>
      <c r="F97" s="77">
        <v>10563</v>
      </c>
      <c r="G97" s="78">
        <v>24</v>
      </c>
      <c r="H97" s="77">
        <f t="shared" ref="H97:H103" si="21">G97*5</f>
        <v>120</v>
      </c>
      <c r="I97" s="77">
        <f t="shared" si="1"/>
        <v>96</v>
      </c>
      <c r="J97" s="79">
        <v>61.3</v>
      </c>
      <c r="K97" s="77">
        <f t="shared" si="2"/>
        <v>5884799999.999999</v>
      </c>
    </row>
    <row r="98" spans="1:11">
      <c r="A98" s="154">
        <v>96</v>
      </c>
      <c r="B98" s="73" t="s">
        <v>332</v>
      </c>
      <c r="C98" s="74">
        <v>0.42399999999999999</v>
      </c>
      <c r="D98" s="75">
        <v>0.2</v>
      </c>
      <c r="E98" s="74" t="s">
        <v>253</v>
      </c>
      <c r="F98" s="77">
        <v>10563</v>
      </c>
      <c r="G98" s="78">
        <v>24</v>
      </c>
      <c r="H98" s="77">
        <f t="shared" si="21"/>
        <v>120</v>
      </c>
      <c r="I98" s="77">
        <f t="shared" si="1"/>
        <v>96</v>
      </c>
      <c r="J98" s="79">
        <v>2.6</v>
      </c>
      <c r="K98" s="77">
        <f t="shared" si="2"/>
        <v>249600000.00000003</v>
      </c>
    </row>
    <row r="99" spans="1:11">
      <c r="A99" s="155">
        <v>97</v>
      </c>
      <c r="B99" s="73" t="s">
        <v>333</v>
      </c>
      <c r="C99" s="74">
        <v>0.42599999999999999</v>
      </c>
      <c r="D99" s="75">
        <v>0.2</v>
      </c>
      <c r="E99" s="74" t="s">
        <v>253</v>
      </c>
      <c r="F99" s="77">
        <v>10563</v>
      </c>
      <c r="G99" s="78">
        <v>24</v>
      </c>
      <c r="H99" s="77">
        <f t="shared" si="21"/>
        <v>120</v>
      </c>
      <c r="I99" s="77">
        <f t="shared" si="1"/>
        <v>96</v>
      </c>
      <c r="J99" s="79">
        <v>674.5</v>
      </c>
      <c r="K99" s="77">
        <f t="shared" si="2"/>
        <v>64752000000</v>
      </c>
    </row>
    <row r="100" spans="1:11">
      <c r="A100" s="156">
        <v>98</v>
      </c>
      <c r="B100" s="73" t="s">
        <v>334</v>
      </c>
      <c r="C100" s="74">
        <v>0.42799999999999999</v>
      </c>
      <c r="D100" s="75">
        <v>0.2</v>
      </c>
      <c r="E100" s="74" t="s">
        <v>258</v>
      </c>
      <c r="F100" s="77">
        <v>2511</v>
      </c>
      <c r="G100" s="78">
        <v>12</v>
      </c>
      <c r="H100" s="77">
        <f t="shared" si="21"/>
        <v>60</v>
      </c>
      <c r="I100" s="77">
        <f t="shared" si="1"/>
        <v>48</v>
      </c>
      <c r="J100" s="79">
        <v>1</v>
      </c>
      <c r="K100" s="77">
        <f t="shared" si="2"/>
        <v>48000000</v>
      </c>
    </row>
    <row r="101" spans="1:11">
      <c r="A101" s="157">
        <v>99</v>
      </c>
      <c r="B101" s="73" t="s">
        <v>335</v>
      </c>
      <c r="C101" s="74">
        <v>0.432</v>
      </c>
      <c r="D101" s="75">
        <v>0.2</v>
      </c>
      <c r="E101" s="74" t="s">
        <v>253</v>
      </c>
      <c r="F101" s="77">
        <v>10563</v>
      </c>
      <c r="G101" s="78">
        <v>24</v>
      </c>
      <c r="H101" s="77">
        <f t="shared" si="21"/>
        <v>120</v>
      </c>
      <c r="I101" s="77">
        <f t="shared" si="1"/>
        <v>96</v>
      </c>
      <c r="J101" s="79">
        <v>31.4</v>
      </c>
      <c r="K101" s="77">
        <f t="shared" si="2"/>
        <v>3014399999.9999995</v>
      </c>
    </row>
    <row r="102" spans="1:11">
      <c r="A102" s="158">
        <v>100</v>
      </c>
      <c r="B102" s="73" t="s">
        <v>336</v>
      </c>
      <c r="C102" s="74">
        <v>0.433</v>
      </c>
      <c r="D102" s="75">
        <v>0.2</v>
      </c>
      <c r="E102" s="74" t="s">
        <v>253</v>
      </c>
      <c r="F102" s="77">
        <v>10563</v>
      </c>
      <c r="G102" s="78">
        <v>24</v>
      </c>
      <c r="H102" s="77">
        <f t="shared" si="21"/>
        <v>120</v>
      </c>
      <c r="I102" s="77">
        <f t="shared" si="1"/>
        <v>96</v>
      </c>
      <c r="J102" s="79">
        <v>192.9</v>
      </c>
      <c r="K102" s="77">
        <f t="shared" si="2"/>
        <v>18518400000</v>
      </c>
    </row>
    <row r="103" spans="1:11">
      <c r="A103" s="159">
        <v>101</v>
      </c>
      <c r="B103" s="73" t="s">
        <v>337</v>
      </c>
      <c r="C103" s="74">
        <v>0.434</v>
      </c>
      <c r="D103" s="75">
        <v>0.2</v>
      </c>
      <c r="E103" s="74" t="s">
        <v>253</v>
      </c>
      <c r="F103" s="77">
        <v>10563</v>
      </c>
      <c r="G103" s="78">
        <v>24</v>
      </c>
      <c r="H103" s="77">
        <f t="shared" si="21"/>
        <v>120</v>
      </c>
      <c r="I103" s="77">
        <f t="shared" si="1"/>
        <v>96</v>
      </c>
      <c r="J103" s="79">
        <v>7.4</v>
      </c>
      <c r="K103" s="77">
        <f t="shared" si="2"/>
        <v>710400000.00000012</v>
      </c>
    </row>
    <row r="104" spans="1:11">
      <c r="A104" s="160">
        <v>102</v>
      </c>
      <c r="B104" s="73" t="s">
        <v>338</v>
      </c>
      <c r="C104" s="74">
        <v>0.435</v>
      </c>
      <c r="D104" s="75">
        <v>0.2</v>
      </c>
      <c r="E104" s="76" t="s">
        <v>235</v>
      </c>
      <c r="F104" s="77">
        <v>48441</v>
      </c>
      <c r="G104" s="78">
        <f>F104/1000</f>
        <v>48.441000000000003</v>
      </c>
      <c r="H104" s="77">
        <v>240</v>
      </c>
      <c r="I104" s="77">
        <f t="shared" si="1"/>
        <v>192</v>
      </c>
      <c r="J104" s="79">
        <v>37.4</v>
      </c>
      <c r="K104" s="77">
        <f t="shared" si="2"/>
        <v>7180799999.999999</v>
      </c>
    </row>
    <row r="105" spans="1:11">
      <c r="A105" s="160">
        <v>102</v>
      </c>
      <c r="B105" s="73" t="s">
        <v>339</v>
      </c>
      <c r="C105" s="74">
        <v>0.435</v>
      </c>
      <c r="D105" s="75">
        <v>0.2</v>
      </c>
      <c r="E105" s="74" t="s">
        <v>253</v>
      </c>
      <c r="F105" s="77">
        <v>10563</v>
      </c>
      <c r="G105" s="78">
        <v>24</v>
      </c>
      <c r="H105" s="77">
        <f>G105*5</f>
        <v>120</v>
      </c>
      <c r="I105" s="77">
        <f t="shared" si="1"/>
        <v>96</v>
      </c>
      <c r="J105" s="79">
        <v>21.3</v>
      </c>
      <c r="K105" s="77">
        <f t="shared" si="2"/>
        <v>2044800000.0000002</v>
      </c>
    </row>
    <row r="106" spans="1:11">
      <c r="A106" s="161">
        <v>104</v>
      </c>
      <c r="B106" s="73" t="s">
        <v>340</v>
      </c>
      <c r="C106" s="74">
        <v>0.437</v>
      </c>
      <c r="D106" s="75">
        <v>0.2</v>
      </c>
      <c r="E106" s="76" t="s">
        <v>235</v>
      </c>
      <c r="F106" s="77">
        <v>48441</v>
      </c>
      <c r="G106" s="78">
        <f t="shared" ref="G106:G107" si="22">F106/1000</f>
        <v>48.441000000000003</v>
      </c>
      <c r="H106" s="77">
        <v>240</v>
      </c>
      <c r="I106" s="77">
        <f t="shared" si="1"/>
        <v>192</v>
      </c>
      <c r="J106" s="79">
        <v>3.3</v>
      </c>
      <c r="K106" s="77">
        <f t="shared" si="2"/>
        <v>633599999.99999988</v>
      </c>
    </row>
    <row r="107" spans="1:11">
      <c r="A107" s="161">
        <v>104</v>
      </c>
      <c r="B107" s="73" t="s">
        <v>341</v>
      </c>
      <c r="C107" s="74">
        <v>0.437</v>
      </c>
      <c r="D107" s="75">
        <v>0.2</v>
      </c>
      <c r="E107" s="76" t="s">
        <v>235</v>
      </c>
      <c r="F107" s="77">
        <v>48441</v>
      </c>
      <c r="G107" s="78">
        <f t="shared" si="22"/>
        <v>48.441000000000003</v>
      </c>
      <c r="H107" s="77">
        <v>240</v>
      </c>
      <c r="I107" s="77">
        <f t="shared" si="1"/>
        <v>192</v>
      </c>
      <c r="J107" s="79">
        <v>1.2</v>
      </c>
      <c r="K107" s="77">
        <f t="shared" si="2"/>
        <v>230399999.99999997</v>
      </c>
    </row>
    <row r="108" spans="1:11">
      <c r="A108" s="162">
        <v>106</v>
      </c>
      <c r="B108" s="73" t="s">
        <v>342</v>
      </c>
      <c r="C108" s="74">
        <v>0.438</v>
      </c>
      <c r="D108" s="75">
        <v>0.2</v>
      </c>
      <c r="E108" s="74" t="s">
        <v>253</v>
      </c>
      <c r="F108" s="77">
        <v>10563</v>
      </c>
      <c r="G108" s="78">
        <v>24</v>
      </c>
      <c r="H108" s="77">
        <f t="shared" ref="H108:H116" si="23">G108*5</f>
        <v>120</v>
      </c>
      <c r="I108" s="77">
        <f t="shared" si="1"/>
        <v>96</v>
      </c>
      <c r="J108" s="79">
        <v>22.1</v>
      </c>
      <c r="K108" s="77">
        <f t="shared" si="2"/>
        <v>2121600000.0000005</v>
      </c>
    </row>
    <row r="109" spans="1:11">
      <c r="A109" s="163">
        <v>107</v>
      </c>
      <c r="B109" s="73" t="s">
        <v>343</v>
      </c>
      <c r="C109" s="74">
        <v>0.439</v>
      </c>
      <c r="D109" s="75">
        <v>0.2</v>
      </c>
      <c r="E109" s="74" t="s">
        <v>253</v>
      </c>
      <c r="F109" s="77">
        <v>10563</v>
      </c>
      <c r="G109" s="78">
        <v>24</v>
      </c>
      <c r="H109" s="77">
        <f t="shared" si="23"/>
        <v>120</v>
      </c>
      <c r="I109" s="77">
        <f t="shared" si="1"/>
        <v>96</v>
      </c>
      <c r="J109" s="79">
        <v>4.9000000000000004</v>
      </c>
      <c r="K109" s="77">
        <f t="shared" si="2"/>
        <v>470400000.00000006</v>
      </c>
    </row>
    <row r="110" spans="1:11">
      <c r="A110" s="163">
        <v>107</v>
      </c>
      <c r="B110" s="73" t="s">
        <v>344</v>
      </c>
      <c r="C110" s="74">
        <v>0.439</v>
      </c>
      <c r="D110" s="75">
        <v>0.2</v>
      </c>
      <c r="E110" s="74" t="s">
        <v>253</v>
      </c>
      <c r="F110" s="77">
        <v>10563</v>
      </c>
      <c r="G110" s="78">
        <v>24</v>
      </c>
      <c r="H110" s="77">
        <f t="shared" si="23"/>
        <v>120</v>
      </c>
      <c r="I110" s="77">
        <f t="shared" si="1"/>
        <v>96</v>
      </c>
      <c r="J110" s="79">
        <v>0.1</v>
      </c>
      <c r="K110" s="77">
        <f t="shared" si="2"/>
        <v>9600000.0000000019</v>
      </c>
    </row>
    <row r="111" spans="1:11">
      <c r="A111" s="164">
        <v>109</v>
      </c>
      <c r="B111" s="73" t="s">
        <v>345</v>
      </c>
      <c r="C111" s="74">
        <v>0.44400000000000001</v>
      </c>
      <c r="D111" s="75">
        <v>0.2</v>
      </c>
      <c r="E111" s="74" t="s">
        <v>258</v>
      </c>
      <c r="F111" s="77">
        <v>2511</v>
      </c>
      <c r="G111" s="78">
        <v>12</v>
      </c>
      <c r="H111" s="77">
        <f t="shared" si="23"/>
        <v>60</v>
      </c>
      <c r="I111" s="77">
        <f t="shared" si="1"/>
        <v>48</v>
      </c>
      <c r="J111" s="79">
        <v>24.2</v>
      </c>
      <c r="K111" s="77">
        <f t="shared" si="2"/>
        <v>1161600000</v>
      </c>
    </row>
    <row r="112" spans="1:11">
      <c r="A112" s="164">
        <v>109</v>
      </c>
      <c r="B112" s="73" t="s">
        <v>346</v>
      </c>
      <c r="C112" s="74">
        <v>0.44400000000000001</v>
      </c>
      <c r="D112" s="75">
        <v>0.2</v>
      </c>
      <c r="E112" s="74" t="s">
        <v>258</v>
      </c>
      <c r="F112" s="77">
        <v>2511</v>
      </c>
      <c r="G112" s="78">
        <v>12</v>
      </c>
      <c r="H112" s="77">
        <f t="shared" si="23"/>
        <v>60</v>
      </c>
      <c r="I112" s="77">
        <f t="shared" si="1"/>
        <v>48</v>
      </c>
      <c r="J112" s="79">
        <v>161.30000000000001</v>
      </c>
      <c r="K112" s="77">
        <f t="shared" si="2"/>
        <v>7742400000.000001</v>
      </c>
    </row>
    <row r="113" spans="1:11">
      <c r="A113" s="165">
        <v>111</v>
      </c>
      <c r="B113" s="73" t="s">
        <v>347</v>
      </c>
      <c r="C113" s="74">
        <v>0.44700000000000001</v>
      </c>
      <c r="D113" s="75">
        <v>0.2</v>
      </c>
      <c r="E113" s="74" t="s">
        <v>258</v>
      </c>
      <c r="F113" s="77">
        <v>2511</v>
      </c>
      <c r="G113" s="78">
        <v>12</v>
      </c>
      <c r="H113" s="77">
        <f t="shared" si="23"/>
        <v>60</v>
      </c>
      <c r="I113" s="77">
        <f t="shared" si="1"/>
        <v>48</v>
      </c>
      <c r="J113" s="79">
        <v>23.8</v>
      </c>
      <c r="K113" s="77">
        <f t="shared" si="2"/>
        <v>1142400000</v>
      </c>
    </row>
    <row r="114" spans="1:11">
      <c r="A114" s="165">
        <v>111</v>
      </c>
      <c r="B114" s="73" t="s">
        <v>348</v>
      </c>
      <c r="C114" s="74">
        <v>0.44700000000000001</v>
      </c>
      <c r="D114" s="75">
        <v>0.2</v>
      </c>
      <c r="E114" s="74" t="s">
        <v>258</v>
      </c>
      <c r="F114" s="77">
        <v>2511</v>
      </c>
      <c r="G114" s="78">
        <v>12</v>
      </c>
      <c r="H114" s="77">
        <f t="shared" si="23"/>
        <v>60</v>
      </c>
      <c r="I114" s="77">
        <f t="shared" si="1"/>
        <v>48</v>
      </c>
      <c r="J114" s="79">
        <v>10.9</v>
      </c>
      <c r="K114" s="77">
        <f t="shared" si="2"/>
        <v>523200000.00000006</v>
      </c>
    </row>
    <row r="115" spans="1:11">
      <c r="A115" s="166">
        <v>113</v>
      </c>
      <c r="B115" s="73" t="s">
        <v>349</v>
      </c>
      <c r="C115" s="74">
        <v>0.45400000000000001</v>
      </c>
      <c r="D115" s="75">
        <v>0.3</v>
      </c>
      <c r="E115" s="74" t="s">
        <v>258</v>
      </c>
      <c r="F115" s="77">
        <v>2511</v>
      </c>
      <c r="G115" s="78">
        <v>12</v>
      </c>
      <c r="H115" s="77">
        <f t="shared" si="23"/>
        <v>60</v>
      </c>
      <c r="I115" s="77">
        <f t="shared" si="1"/>
        <v>42</v>
      </c>
      <c r="J115" s="79">
        <v>2955.2</v>
      </c>
      <c r="K115" s="77">
        <f t="shared" si="2"/>
        <v>124118400000</v>
      </c>
    </row>
    <row r="116" spans="1:11">
      <c r="A116" s="167">
        <v>114</v>
      </c>
      <c r="B116" s="73" t="s">
        <v>350</v>
      </c>
      <c r="C116" s="74">
        <v>0.45500000000000002</v>
      </c>
      <c r="D116" s="75">
        <v>0.3</v>
      </c>
      <c r="E116" s="74" t="s">
        <v>351</v>
      </c>
      <c r="F116" s="77">
        <v>755</v>
      </c>
      <c r="G116" s="78">
        <v>6</v>
      </c>
      <c r="H116" s="77">
        <f t="shared" si="23"/>
        <v>30</v>
      </c>
      <c r="I116" s="77">
        <f t="shared" si="1"/>
        <v>21</v>
      </c>
      <c r="J116" s="79">
        <v>25.6</v>
      </c>
      <c r="K116" s="77">
        <f t="shared" si="2"/>
        <v>537600000</v>
      </c>
    </row>
    <row r="117" spans="1:11">
      <c r="A117" s="168">
        <v>115</v>
      </c>
      <c r="B117" s="73" t="s">
        <v>352</v>
      </c>
      <c r="C117" s="74">
        <v>0.45700000000000002</v>
      </c>
      <c r="D117" s="75">
        <v>0.3</v>
      </c>
      <c r="E117" s="76" t="s">
        <v>235</v>
      </c>
      <c r="F117" s="77">
        <v>48441</v>
      </c>
      <c r="G117" s="78">
        <f>F117/1000</f>
        <v>48.441000000000003</v>
      </c>
      <c r="H117" s="77">
        <v>240</v>
      </c>
      <c r="I117" s="77">
        <f t="shared" si="1"/>
        <v>168</v>
      </c>
      <c r="J117" s="79">
        <v>1.7</v>
      </c>
      <c r="K117" s="77">
        <f t="shared" si="2"/>
        <v>285599999.99999994</v>
      </c>
    </row>
    <row r="118" spans="1:11">
      <c r="A118" s="168">
        <v>115</v>
      </c>
      <c r="B118" s="73" t="s">
        <v>353</v>
      </c>
      <c r="C118" s="74">
        <v>0.45700000000000002</v>
      </c>
      <c r="D118" s="75">
        <v>0.3</v>
      </c>
      <c r="E118" s="74" t="s">
        <v>253</v>
      </c>
      <c r="F118" s="77">
        <v>10563</v>
      </c>
      <c r="G118" s="78">
        <v>24</v>
      </c>
      <c r="H118" s="77">
        <f t="shared" ref="H118:H128" si="24">G118*5</f>
        <v>120</v>
      </c>
      <c r="I118" s="77">
        <f t="shared" si="1"/>
        <v>84</v>
      </c>
      <c r="J118" s="79">
        <v>2.2000000000000002</v>
      </c>
      <c r="K118" s="77">
        <f t="shared" si="2"/>
        <v>184800000</v>
      </c>
    </row>
    <row r="119" spans="1:11">
      <c r="A119" s="169">
        <v>117</v>
      </c>
      <c r="B119" s="73" t="s">
        <v>354</v>
      </c>
      <c r="C119" s="74">
        <v>0.45800000000000002</v>
      </c>
      <c r="D119" s="75">
        <v>0.3</v>
      </c>
      <c r="E119" s="74" t="s">
        <v>258</v>
      </c>
      <c r="F119" s="77">
        <v>2511</v>
      </c>
      <c r="G119" s="78">
        <v>12</v>
      </c>
      <c r="H119" s="77">
        <f t="shared" si="24"/>
        <v>60</v>
      </c>
      <c r="I119" s="77">
        <f t="shared" si="1"/>
        <v>42</v>
      </c>
      <c r="J119" s="79">
        <v>1.4</v>
      </c>
      <c r="K119" s="77">
        <f t="shared" si="2"/>
        <v>58800000</v>
      </c>
    </row>
    <row r="120" spans="1:11">
      <c r="A120" s="169">
        <v>117</v>
      </c>
      <c r="B120" s="73" t="s">
        <v>355</v>
      </c>
      <c r="C120" s="74">
        <v>0.45800000000000002</v>
      </c>
      <c r="D120" s="75">
        <v>0.3</v>
      </c>
      <c r="E120" s="74" t="s">
        <v>258</v>
      </c>
      <c r="F120" s="77">
        <v>2511</v>
      </c>
      <c r="G120" s="78">
        <v>12</v>
      </c>
      <c r="H120" s="77">
        <f t="shared" si="24"/>
        <v>60</v>
      </c>
      <c r="I120" s="77">
        <f t="shared" si="1"/>
        <v>42</v>
      </c>
      <c r="J120" s="79">
        <v>372.9</v>
      </c>
      <c r="K120" s="77">
        <f t="shared" si="2"/>
        <v>15661800000</v>
      </c>
    </row>
    <row r="121" spans="1:11">
      <c r="A121" s="170">
        <v>119</v>
      </c>
      <c r="B121" s="73" t="s">
        <v>356</v>
      </c>
      <c r="C121" s="74">
        <v>0.45900000000000002</v>
      </c>
      <c r="D121" s="75">
        <v>0.3</v>
      </c>
      <c r="E121" s="74" t="s">
        <v>351</v>
      </c>
      <c r="F121" s="77">
        <v>755</v>
      </c>
      <c r="G121" s="78">
        <v>6</v>
      </c>
      <c r="H121" s="77">
        <f t="shared" si="24"/>
        <v>30</v>
      </c>
      <c r="I121" s="77">
        <f t="shared" si="1"/>
        <v>21</v>
      </c>
      <c r="J121" s="79">
        <v>64.3</v>
      </c>
      <c r="K121" s="77">
        <f t="shared" si="2"/>
        <v>1350300000</v>
      </c>
    </row>
    <row r="122" spans="1:11">
      <c r="A122" s="171">
        <v>120</v>
      </c>
      <c r="B122" s="73" t="s">
        <v>357</v>
      </c>
      <c r="C122" s="74">
        <v>0.46</v>
      </c>
      <c r="D122" s="75">
        <v>0.3</v>
      </c>
      <c r="E122" s="74" t="s">
        <v>253</v>
      </c>
      <c r="F122" s="77">
        <v>10563</v>
      </c>
      <c r="G122" s="78">
        <v>24</v>
      </c>
      <c r="H122" s="77">
        <f t="shared" si="24"/>
        <v>120</v>
      </c>
      <c r="I122" s="77">
        <f t="shared" si="1"/>
        <v>84</v>
      </c>
      <c r="J122" s="79">
        <v>0.1</v>
      </c>
      <c r="K122" s="77">
        <f t="shared" si="2"/>
        <v>8400000</v>
      </c>
    </row>
    <row r="123" spans="1:11">
      <c r="A123" s="171">
        <v>120</v>
      </c>
      <c r="B123" s="73" t="s">
        <v>358</v>
      </c>
      <c r="C123" s="74">
        <v>0.46</v>
      </c>
      <c r="D123" s="75">
        <v>0.3</v>
      </c>
      <c r="E123" s="74" t="s">
        <v>253</v>
      </c>
      <c r="F123" s="77">
        <v>10563</v>
      </c>
      <c r="G123" s="78">
        <v>24</v>
      </c>
      <c r="H123" s="77">
        <f t="shared" si="24"/>
        <v>120</v>
      </c>
      <c r="I123" s="77">
        <f t="shared" si="1"/>
        <v>84</v>
      </c>
      <c r="J123" s="79">
        <v>4.4000000000000004</v>
      </c>
      <c r="K123" s="77">
        <f t="shared" si="2"/>
        <v>369600000</v>
      </c>
    </row>
    <row r="124" spans="1:11">
      <c r="A124" s="172">
        <v>122</v>
      </c>
      <c r="B124" s="73" t="s">
        <v>359</v>
      </c>
      <c r="C124" s="74">
        <v>0.46100000000000002</v>
      </c>
      <c r="D124" s="75">
        <v>0.3</v>
      </c>
      <c r="E124" s="74" t="s">
        <v>258</v>
      </c>
      <c r="F124" s="77">
        <v>2511</v>
      </c>
      <c r="G124" s="78">
        <v>12</v>
      </c>
      <c r="H124" s="77">
        <f t="shared" si="24"/>
        <v>60</v>
      </c>
      <c r="I124" s="77">
        <f t="shared" si="1"/>
        <v>42</v>
      </c>
      <c r="J124" s="79">
        <v>5.7</v>
      </c>
      <c r="K124" s="77">
        <f t="shared" si="2"/>
        <v>239400000</v>
      </c>
    </row>
    <row r="125" spans="1:11">
      <c r="A125" s="173">
        <v>123</v>
      </c>
      <c r="B125" s="73" t="s">
        <v>360</v>
      </c>
      <c r="C125" s="74">
        <v>0.46200000000000002</v>
      </c>
      <c r="D125" s="75">
        <v>0.3</v>
      </c>
      <c r="E125" s="74" t="s">
        <v>253</v>
      </c>
      <c r="F125" s="77">
        <v>10563</v>
      </c>
      <c r="G125" s="78">
        <v>24</v>
      </c>
      <c r="H125" s="77">
        <f t="shared" si="24"/>
        <v>120</v>
      </c>
      <c r="I125" s="77">
        <f t="shared" si="1"/>
        <v>84</v>
      </c>
      <c r="J125" s="79">
        <v>0.3</v>
      </c>
      <c r="K125" s="77">
        <f t="shared" si="2"/>
        <v>25200000</v>
      </c>
    </row>
    <row r="126" spans="1:11">
      <c r="A126" s="173">
        <v>123</v>
      </c>
      <c r="B126" s="73" t="s">
        <v>361</v>
      </c>
      <c r="C126" s="74">
        <v>0.46200000000000002</v>
      </c>
      <c r="D126" s="75">
        <v>0.3</v>
      </c>
      <c r="E126" s="74" t="s">
        <v>258</v>
      </c>
      <c r="F126" s="77">
        <v>2511</v>
      </c>
      <c r="G126" s="78">
        <v>12</v>
      </c>
      <c r="H126" s="77">
        <f t="shared" si="24"/>
        <v>60</v>
      </c>
      <c r="I126" s="77">
        <f t="shared" si="1"/>
        <v>42</v>
      </c>
      <c r="J126" s="79">
        <v>127.9</v>
      </c>
      <c r="K126" s="77">
        <f t="shared" si="2"/>
        <v>5371800000</v>
      </c>
    </row>
    <row r="127" spans="1:11">
      <c r="A127" s="174">
        <v>125</v>
      </c>
      <c r="B127" s="73" t="s">
        <v>362</v>
      </c>
      <c r="C127" s="74">
        <v>0.46500000000000002</v>
      </c>
      <c r="D127" s="75">
        <v>0.3</v>
      </c>
      <c r="E127" s="74" t="s">
        <v>253</v>
      </c>
      <c r="F127" s="77">
        <v>10563</v>
      </c>
      <c r="G127" s="78">
        <v>24</v>
      </c>
      <c r="H127" s="77">
        <f t="shared" si="24"/>
        <v>120</v>
      </c>
      <c r="I127" s="77">
        <f t="shared" si="1"/>
        <v>84</v>
      </c>
      <c r="J127" s="79">
        <v>45.3</v>
      </c>
      <c r="K127" s="77">
        <f t="shared" si="2"/>
        <v>3805200000</v>
      </c>
    </row>
    <row r="128" spans="1:11">
      <c r="A128" s="175">
        <v>126</v>
      </c>
      <c r="B128" s="73" t="s">
        <v>363</v>
      </c>
      <c r="C128" s="74">
        <v>0.46600000000000003</v>
      </c>
      <c r="D128" s="75">
        <v>0.3</v>
      </c>
      <c r="E128" s="74" t="s">
        <v>258</v>
      </c>
      <c r="F128" s="77">
        <v>2511</v>
      </c>
      <c r="G128" s="78">
        <v>12</v>
      </c>
      <c r="H128" s="77">
        <f t="shared" si="24"/>
        <v>60</v>
      </c>
      <c r="I128" s="77">
        <f t="shared" si="1"/>
        <v>42</v>
      </c>
      <c r="J128" s="79">
        <v>20.5</v>
      </c>
      <c r="K128" s="77">
        <f t="shared" si="2"/>
        <v>861000000</v>
      </c>
    </row>
    <row r="129" spans="1:11">
      <c r="A129" s="176">
        <v>127</v>
      </c>
      <c r="B129" s="73" t="s">
        <v>364</v>
      </c>
      <c r="C129" s="74">
        <v>0.46800000000000003</v>
      </c>
      <c r="D129" s="75">
        <v>0.3</v>
      </c>
      <c r="E129" s="76" t="s">
        <v>235</v>
      </c>
      <c r="F129" s="77">
        <v>48441</v>
      </c>
      <c r="G129" s="78">
        <f>F129/1000</f>
        <v>48.441000000000003</v>
      </c>
      <c r="H129" s="77">
        <v>240</v>
      </c>
      <c r="I129" s="77">
        <f t="shared" si="1"/>
        <v>168</v>
      </c>
      <c r="J129" s="79">
        <v>0.3</v>
      </c>
      <c r="K129" s="77">
        <f t="shared" si="2"/>
        <v>50400000</v>
      </c>
    </row>
    <row r="130" spans="1:11">
      <c r="A130" s="177">
        <v>128</v>
      </c>
      <c r="B130" s="73" t="s">
        <v>365</v>
      </c>
      <c r="C130" s="74">
        <v>0.47899999999999998</v>
      </c>
      <c r="D130" s="75">
        <v>0.3</v>
      </c>
      <c r="E130" s="74" t="s">
        <v>351</v>
      </c>
      <c r="F130" s="77">
        <v>755</v>
      </c>
      <c r="G130" s="78">
        <v>6</v>
      </c>
      <c r="H130" s="77">
        <f t="shared" ref="H130:H143" si="25">G130*5</f>
        <v>30</v>
      </c>
      <c r="I130" s="77">
        <f t="shared" si="1"/>
        <v>21</v>
      </c>
      <c r="J130" s="79">
        <v>9.6999999999999993</v>
      </c>
      <c r="K130" s="77">
        <f t="shared" si="2"/>
        <v>203700000</v>
      </c>
    </row>
    <row r="131" spans="1:11">
      <c r="A131" s="178">
        <v>129</v>
      </c>
      <c r="B131" s="73" t="s">
        <v>366</v>
      </c>
      <c r="C131" s="74">
        <v>0.48099999999999998</v>
      </c>
      <c r="D131" s="75">
        <v>0.3</v>
      </c>
      <c r="E131" s="74" t="s">
        <v>258</v>
      </c>
      <c r="F131" s="77">
        <v>2511</v>
      </c>
      <c r="G131" s="78">
        <v>12</v>
      </c>
      <c r="H131" s="77">
        <f t="shared" si="25"/>
        <v>60</v>
      </c>
      <c r="I131" s="77">
        <f t="shared" si="1"/>
        <v>42</v>
      </c>
      <c r="J131" s="79">
        <v>0.9</v>
      </c>
      <c r="K131" s="77">
        <f t="shared" si="2"/>
        <v>37800000.000000007</v>
      </c>
    </row>
    <row r="132" spans="1:11">
      <c r="A132" s="179">
        <v>130</v>
      </c>
      <c r="B132" s="73" t="s">
        <v>367</v>
      </c>
      <c r="C132" s="74">
        <v>0.48299999999999998</v>
      </c>
      <c r="D132" s="75">
        <v>0.3</v>
      </c>
      <c r="E132" s="74" t="s">
        <v>258</v>
      </c>
      <c r="F132" s="77">
        <v>2511</v>
      </c>
      <c r="G132" s="78">
        <v>12</v>
      </c>
      <c r="H132" s="77">
        <f t="shared" si="25"/>
        <v>60</v>
      </c>
      <c r="I132" s="77">
        <f t="shared" si="1"/>
        <v>42</v>
      </c>
      <c r="J132" s="79">
        <v>18</v>
      </c>
      <c r="K132" s="77">
        <f t="shared" si="2"/>
        <v>756000000</v>
      </c>
    </row>
    <row r="133" spans="1:11">
      <c r="A133" s="180">
        <v>131</v>
      </c>
      <c r="B133" s="73" t="s">
        <v>368</v>
      </c>
      <c r="C133" s="74">
        <v>0.48499999999999999</v>
      </c>
      <c r="D133" s="75">
        <v>0.3</v>
      </c>
      <c r="E133" s="74" t="s">
        <v>258</v>
      </c>
      <c r="F133" s="77">
        <v>2511</v>
      </c>
      <c r="G133" s="78">
        <v>12</v>
      </c>
      <c r="H133" s="77">
        <f t="shared" si="25"/>
        <v>60</v>
      </c>
      <c r="I133" s="77">
        <f t="shared" si="1"/>
        <v>42</v>
      </c>
      <c r="J133" s="79">
        <v>14.4</v>
      </c>
      <c r="K133" s="77">
        <f t="shared" si="2"/>
        <v>604800000.00000012</v>
      </c>
    </row>
    <row r="134" spans="1:11">
      <c r="A134" s="181">
        <v>132</v>
      </c>
      <c r="B134" s="73" t="s">
        <v>369</v>
      </c>
      <c r="C134" s="74">
        <v>0.48799999999999999</v>
      </c>
      <c r="D134" s="75">
        <v>0.3</v>
      </c>
      <c r="E134" s="74" t="s">
        <v>258</v>
      </c>
      <c r="F134" s="77">
        <v>2511</v>
      </c>
      <c r="G134" s="78">
        <v>12</v>
      </c>
      <c r="H134" s="77">
        <f t="shared" si="25"/>
        <v>60</v>
      </c>
      <c r="I134" s="77">
        <f t="shared" si="1"/>
        <v>42</v>
      </c>
      <c r="J134" s="79">
        <v>8.1</v>
      </c>
      <c r="K134" s="77">
        <f t="shared" si="2"/>
        <v>340200000</v>
      </c>
    </row>
    <row r="135" spans="1:11">
      <c r="A135" s="182">
        <v>133</v>
      </c>
      <c r="B135" s="73" t="s">
        <v>370</v>
      </c>
      <c r="C135" s="74">
        <v>0.48899999999999999</v>
      </c>
      <c r="D135" s="75">
        <v>0.3</v>
      </c>
      <c r="E135" s="74" t="s">
        <v>258</v>
      </c>
      <c r="F135" s="77">
        <v>2511</v>
      </c>
      <c r="G135" s="78">
        <v>12</v>
      </c>
      <c r="H135" s="77">
        <f t="shared" si="25"/>
        <v>60</v>
      </c>
      <c r="I135" s="77">
        <f t="shared" si="1"/>
        <v>42</v>
      </c>
      <c r="J135" s="79">
        <v>10.8</v>
      </c>
      <c r="K135" s="77">
        <f t="shared" si="2"/>
        <v>453600000</v>
      </c>
    </row>
    <row r="136" spans="1:11">
      <c r="A136" s="182">
        <v>133</v>
      </c>
      <c r="B136" s="73" t="s">
        <v>371</v>
      </c>
      <c r="C136" s="74">
        <v>0.48899999999999999</v>
      </c>
      <c r="D136" s="75">
        <v>0.3</v>
      </c>
      <c r="E136" s="74" t="s">
        <v>258</v>
      </c>
      <c r="F136" s="77">
        <v>2511</v>
      </c>
      <c r="G136" s="78">
        <v>12</v>
      </c>
      <c r="H136" s="77">
        <f t="shared" si="25"/>
        <v>60</v>
      </c>
      <c r="I136" s="77">
        <f t="shared" si="1"/>
        <v>42</v>
      </c>
      <c r="J136" s="79">
        <v>26</v>
      </c>
      <c r="K136" s="77">
        <f t="shared" si="2"/>
        <v>1092000000</v>
      </c>
    </row>
    <row r="137" spans="1:11">
      <c r="A137" s="183">
        <v>135</v>
      </c>
      <c r="B137" s="73" t="s">
        <v>372</v>
      </c>
      <c r="C137" s="74">
        <v>0.49399999999999999</v>
      </c>
      <c r="D137" s="75">
        <v>0.3</v>
      </c>
      <c r="E137" s="74" t="s">
        <v>258</v>
      </c>
      <c r="F137" s="77">
        <v>2511</v>
      </c>
      <c r="G137" s="78">
        <v>12</v>
      </c>
      <c r="H137" s="77">
        <f t="shared" si="25"/>
        <v>60</v>
      </c>
      <c r="I137" s="77">
        <f t="shared" si="1"/>
        <v>42</v>
      </c>
      <c r="J137" s="79">
        <v>21.7</v>
      </c>
      <c r="K137" s="77">
        <f t="shared" si="2"/>
        <v>911400000</v>
      </c>
    </row>
    <row r="138" spans="1:11">
      <c r="A138" s="183">
        <v>135</v>
      </c>
      <c r="B138" s="73" t="s">
        <v>373</v>
      </c>
      <c r="C138" s="74">
        <v>0.49399999999999999</v>
      </c>
      <c r="D138" s="75">
        <v>0.3</v>
      </c>
      <c r="E138" s="74" t="s">
        <v>258</v>
      </c>
      <c r="F138" s="77">
        <v>2511</v>
      </c>
      <c r="G138" s="78">
        <v>12</v>
      </c>
      <c r="H138" s="77">
        <f t="shared" si="25"/>
        <v>60</v>
      </c>
      <c r="I138" s="77">
        <f t="shared" si="1"/>
        <v>42</v>
      </c>
      <c r="J138" s="79">
        <v>17.899999999999999</v>
      </c>
      <c r="K138" s="77">
        <f t="shared" si="2"/>
        <v>751800000</v>
      </c>
    </row>
    <row r="139" spans="1:11">
      <c r="A139" s="184">
        <v>137</v>
      </c>
      <c r="B139" s="73" t="s">
        <v>374</v>
      </c>
      <c r="C139" s="74">
        <v>0.496</v>
      </c>
      <c r="D139" s="75">
        <v>0.3</v>
      </c>
      <c r="E139" s="74" t="s">
        <v>258</v>
      </c>
      <c r="F139" s="77">
        <v>2511</v>
      </c>
      <c r="G139" s="78">
        <v>12</v>
      </c>
      <c r="H139" s="77">
        <f t="shared" si="25"/>
        <v>60</v>
      </c>
      <c r="I139" s="77">
        <f t="shared" si="1"/>
        <v>42</v>
      </c>
      <c r="J139" s="79">
        <v>11.7</v>
      </c>
      <c r="K139" s="77">
        <f t="shared" si="2"/>
        <v>491400000</v>
      </c>
    </row>
    <row r="140" spans="1:11">
      <c r="A140" s="185">
        <v>138</v>
      </c>
      <c r="B140" s="73" t="s">
        <v>375</v>
      </c>
      <c r="C140" s="74">
        <v>0.499</v>
      </c>
      <c r="D140" s="75">
        <v>0.3</v>
      </c>
      <c r="E140" s="74" t="s">
        <v>351</v>
      </c>
      <c r="F140" s="77">
        <v>755</v>
      </c>
      <c r="G140" s="78">
        <v>6</v>
      </c>
      <c r="H140" s="77">
        <f t="shared" si="25"/>
        <v>30</v>
      </c>
      <c r="I140" s="77">
        <f t="shared" si="1"/>
        <v>21</v>
      </c>
      <c r="J140" s="79">
        <v>2.5</v>
      </c>
      <c r="K140" s="77">
        <f t="shared" si="2"/>
        <v>52500000</v>
      </c>
    </row>
    <row r="141" spans="1:11">
      <c r="A141" s="186">
        <v>139</v>
      </c>
      <c r="B141" s="73" t="s">
        <v>376</v>
      </c>
      <c r="C141" s="74">
        <v>0.501</v>
      </c>
      <c r="D141" s="75">
        <v>0.4</v>
      </c>
      <c r="E141" s="74" t="s">
        <v>258</v>
      </c>
      <c r="F141" s="77">
        <v>2511</v>
      </c>
      <c r="G141" s="78">
        <v>12</v>
      </c>
      <c r="H141" s="77">
        <f t="shared" si="25"/>
        <v>60</v>
      </c>
      <c r="I141" s="77">
        <f t="shared" si="1"/>
        <v>36</v>
      </c>
      <c r="J141" s="79">
        <v>0.7</v>
      </c>
      <c r="K141" s="77">
        <f t="shared" si="2"/>
        <v>25200000</v>
      </c>
    </row>
    <row r="142" spans="1:11">
      <c r="A142" s="186">
        <v>139</v>
      </c>
      <c r="B142" s="73" t="s">
        <v>377</v>
      </c>
      <c r="C142" s="74">
        <v>0.501</v>
      </c>
      <c r="D142" s="75">
        <v>0.4</v>
      </c>
      <c r="E142" s="74" t="s">
        <v>258</v>
      </c>
      <c r="F142" s="77">
        <v>2511</v>
      </c>
      <c r="G142" s="78">
        <v>12</v>
      </c>
      <c r="H142" s="77">
        <f t="shared" si="25"/>
        <v>60</v>
      </c>
      <c r="I142" s="77">
        <f t="shared" si="1"/>
        <v>36</v>
      </c>
      <c r="J142" s="79">
        <v>200.5</v>
      </c>
      <c r="K142" s="77">
        <f t="shared" si="2"/>
        <v>7218000000</v>
      </c>
    </row>
    <row r="143" spans="1:11">
      <c r="A143" s="186">
        <v>139</v>
      </c>
      <c r="B143" s="73" t="s">
        <v>378</v>
      </c>
      <c r="C143" s="74">
        <v>0.501</v>
      </c>
      <c r="D143" s="75">
        <v>0.4</v>
      </c>
      <c r="E143" s="74" t="s">
        <v>258</v>
      </c>
      <c r="F143" s="77">
        <v>2511</v>
      </c>
      <c r="G143" s="78">
        <v>12</v>
      </c>
      <c r="H143" s="77">
        <f t="shared" si="25"/>
        <v>60</v>
      </c>
      <c r="I143" s="77">
        <f t="shared" si="1"/>
        <v>36</v>
      </c>
      <c r="J143" s="79">
        <v>19.399999999999999</v>
      </c>
      <c r="K143" s="77">
        <f t="shared" si="2"/>
        <v>698400000</v>
      </c>
    </row>
    <row r="144" spans="1:11">
      <c r="A144" s="187">
        <v>142</v>
      </c>
      <c r="B144" s="73" t="s">
        <v>379</v>
      </c>
      <c r="C144" s="74">
        <v>0.50800000000000001</v>
      </c>
      <c r="D144" s="75">
        <v>0.4</v>
      </c>
      <c r="E144" s="76" t="s">
        <v>235</v>
      </c>
      <c r="F144" s="77">
        <v>48441</v>
      </c>
      <c r="G144" s="78">
        <f>F144/1000</f>
        <v>48.441000000000003</v>
      </c>
      <c r="H144" s="77">
        <v>240</v>
      </c>
      <c r="I144" s="77">
        <f t="shared" si="1"/>
        <v>144</v>
      </c>
      <c r="J144" s="79">
        <v>0</v>
      </c>
      <c r="K144" s="77">
        <f t="shared" si="2"/>
        <v>0</v>
      </c>
    </row>
    <row r="145" spans="1:11">
      <c r="A145" s="188">
        <v>143</v>
      </c>
      <c r="B145" s="73" t="s">
        <v>380</v>
      </c>
      <c r="C145" s="74">
        <v>0.50900000000000001</v>
      </c>
      <c r="D145" s="75">
        <v>0.4</v>
      </c>
      <c r="E145" s="74" t="s">
        <v>258</v>
      </c>
      <c r="F145" s="77">
        <v>2511</v>
      </c>
      <c r="G145" s="78">
        <v>12</v>
      </c>
      <c r="H145" s="77">
        <f t="shared" ref="H145:H147" si="26">G145*5</f>
        <v>60</v>
      </c>
      <c r="I145" s="77">
        <f t="shared" si="1"/>
        <v>36</v>
      </c>
      <c r="J145" s="79">
        <v>28.2</v>
      </c>
      <c r="K145" s="77">
        <f t="shared" si="2"/>
        <v>1015199999.9999999</v>
      </c>
    </row>
    <row r="146" spans="1:11">
      <c r="A146" s="189">
        <v>144</v>
      </c>
      <c r="B146" s="73" t="s">
        <v>381</v>
      </c>
      <c r="C146" s="74">
        <v>0.51</v>
      </c>
      <c r="D146" s="75">
        <v>0.4</v>
      </c>
      <c r="E146" s="74" t="s">
        <v>258</v>
      </c>
      <c r="F146" s="77">
        <v>2511</v>
      </c>
      <c r="G146" s="78">
        <v>12</v>
      </c>
      <c r="H146" s="77">
        <f t="shared" si="26"/>
        <v>60</v>
      </c>
      <c r="I146" s="77">
        <f t="shared" si="1"/>
        <v>36</v>
      </c>
      <c r="J146" s="79">
        <v>3.5</v>
      </c>
      <c r="K146" s="77">
        <f t="shared" si="2"/>
        <v>126000000</v>
      </c>
    </row>
    <row r="147" spans="1:11">
      <c r="A147" s="189">
        <v>144</v>
      </c>
      <c r="B147" s="73" t="s">
        <v>382</v>
      </c>
      <c r="C147" s="74">
        <v>0.51</v>
      </c>
      <c r="D147" s="75">
        <v>0.4</v>
      </c>
      <c r="E147" s="74" t="s">
        <v>258</v>
      </c>
      <c r="F147" s="77">
        <v>2511</v>
      </c>
      <c r="G147" s="78">
        <v>12</v>
      </c>
      <c r="H147" s="77">
        <f t="shared" si="26"/>
        <v>60</v>
      </c>
      <c r="I147" s="77">
        <f t="shared" si="1"/>
        <v>36</v>
      </c>
      <c r="J147" s="79">
        <v>33.4</v>
      </c>
      <c r="K147" s="77">
        <f t="shared" si="2"/>
        <v>1202399999.9999998</v>
      </c>
    </row>
    <row r="148" spans="1:11">
      <c r="A148" s="190">
        <v>146</v>
      </c>
      <c r="B148" s="73" t="s">
        <v>383</v>
      </c>
      <c r="C148" s="74">
        <v>0.51400000000000001</v>
      </c>
      <c r="D148" s="75">
        <v>0.4</v>
      </c>
      <c r="E148" s="76" t="s">
        <v>235</v>
      </c>
      <c r="F148" s="77">
        <v>48441</v>
      </c>
      <c r="G148" s="78">
        <f>F148/1000</f>
        <v>48.441000000000003</v>
      </c>
      <c r="H148" s="77">
        <v>240</v>
      </c>
      <c r="I148" s="77">
        <f t="shared" si="1"/>
        <v>144</v>
      </c>
      <c r="J148" s="79">
        <v>1.4</v>
      </c>
      <c r="K148" s="77">
        <f t="shared" si="2"/>
        <v>201600000</v>
      </c>
    </row>
    <row r="149" spans="1:11">
      <c r="A149" s="191">
        <v>147</v>
      </c>
      <c r="B149" s="73" t="s">
        <v>384</v>
      </c>
      <c r="C149" s="74">
        <v>0.51800000000000002</v>
      </c>
      <c r="D149" s="75">
        <v>0.4</v>
      </c>
      <c r="E149" s="74" t="s">
        <v>258</v>
      </c>
      <c r="F149" s="77">
        <v>2511</v>
      </c>
      <c r="G149" s="78">
        <v>12</v>
      </c>
      <c r="H149" s="77">
        <f t="shared" ref="H149:H189" si="27">G149*5</f>
        <v>60</v>
      </c>
      <c r="I149" s="77">
        <f t="shared" si="1"/>
        <v>36</v>
      </c>
      <c r="J149" s="79">
        <v>7.3</v>
      </c>
      <c r="K149" s="77">
        <f t="shared" si="2"/>
        <v>262800000</v>
      </c>
    </row>
    <row r="150" spans="1:11">
      <c r="A150" s="192">
        <v>148</v>
      </c>
      <c r="B150" s="73" t="s">
        <v>385</v>
      </c>
      <c r="C150" s="74">
        <v>0.52100000000000002</v>
      </c>
      <c r="D150" s="75">
        <v>0.4</v>
      </c>
      <c r="E150" s="74" t="s">
        <v>258</v>
      </c>
      <c r="F150" s="77">
        <v>2511</v>
      </c>
      <c r="G150" s="78">
        <v>12</v>
      </c>
      <c r="H150" s="77">
        <f t="shared" si="27"/>
        <v>60</v>
      </c>
      <c r="I150" s="77">
        <f t="shared" si="1"/>
        <v>36</v>
      </c>
      <c r="J150" s="79">
        <v>0.5</v>
      </c>
      <c r="K150" s="77">
        <f t="shared" si="2"/>
        <v>18000000</v>
      </c>
    </row>
    <row r="151" spans="1:11">
      <c r="A151" s="192">
        <v>148</v>
      </c>
      <c r="B151" s="73" t="s">
        <v>386</v>
      </c>
      <c r="C151" s="74">
        <v>0.52100000000000002</v>
      </c>
      <c r="D151" s="75">
        <v>0.4</v>
      </c>
      <c r="E151" s="74" t="s">
        <v>351</v>
      </c>
      <c r="F151" s="77">
        <v>755</v>
      </c>
      <c r="G151" s="78">
        <v>6</v>
      </c>
      <c r="H151" s="77">
        <f t="shared" si="27"/>
        <v>30</v>
      </c>
      <c r="I151" s="77">
        <f t="shared" si="1"/>
        <v>18</v>
      </c>
      <c r="J151" s="79">
        <v>10.9</v>
      </c>
      <c r="K151" s="77">
        <f t="shared" si="2"/>
        <v>196200000.00000003</v>
      </c>
    </row>
    <row r="152" spans="1:11">
      <c r="A152" s="193">
        <v>150</v>
      </c>
      <c r="B152" s="73" t="s">
        <v>387</v>
      </c>
      <c r="C152" s="74">
        <v>0.52200000000000002</v>
      </c>
      <c r="D152" s="75">
        <v>0.4</v>
      </c>
      <c r="E152" s="74" t="s">
        <v>351</v>
      </c>
      <c r="F152" s="77">
        <v>755</v>
      </c>
      <c r="G152" s="78">
        <v>6</v>
      </c>
      <c r="H152" s="77">
        <f t="shared" si="27"/>
        <v>30</v>
      </c>
      <c r="I152" s="77">
        <f t="shared" si="1"/>
        <v>18</v>
      </c>
      <c r="J152" s="79">
        <v>16.7</v>
      </c>
      <c r="K152" s="77">
        <f t="shared" si="2"/>
        <v>300599999.99999994</v>
      </c>
    </row>
    <row r="153" spans="1:11">
      <c r="A153" s="194">
        <v>151</v>
      </c>
      <c r="B153" s="73" t="s">
        <v>388</v>
      </c>
      <c r="C153" s="74">
        <v>0.52400000000000002</v>
      </c>
      <c r="D153" s="75">
        <v>0.4</v>
      </c>
      <c r="E153" s="74" t="s">
        <v>351</v>
      </c>
      <c r="F153" s="77">
        <v>755</v>
      </c>
      <c r="G153" s="78">
        <v>6</v>
      </c>
      <c r="H153" s="77">
        <f t="shared" si="27"/>
        <v>30</v>
      </c>
      <c r="I153" s="77">
        <f t="shared" si="1"/>
        <v>18</v>
      </c>
      <c r="J153" s="79">
        <v>6</v>
      </c>
      <c r="K153" s="77">
        <f t="shared" si="2"/>
        <v>108000000</v>
      </c>
    </row>
    <row r="154" spans="1:11">
      <c r="A154" s="195">
        <v>152</v>
      </c>
      <c r="B154" s="73" t="s">
        <v>389</v>
      </c>
      <c r="C154" s="74">
        <v>0.52500000000000002</v>
      </c>
      <c r="D154" s="75">
        <v>0.4</v>
      </c>
      <c r="E154" s="74" t="s">
        <v>351</v>
      </c>
      <c r="F154" s="77">
        <v>755</v>
      </c>
      <c r="G154" s="78">
        <v>6</v>
      </c>
      <c r="H154" s="77">
        <f t="shared" si="27"/>
        <v>30</v>
      </c>
      <c r="I154" s="77">
        <f t="shared" si="1"/>
        <v>18</v>
      </c>
      <c r="J154" s="79">
        <v>7.2</v>
      </c>
      <c r="K154" s="77">
        <f t="shared" si="2"/>
        <v>129600000</v>
      </c>
    </row>
    <row r="155" spans="1:11">
      <c r="A155" s="196">
        <v>153</v>
      </c>
      <c r="B155" s="73" t="s">
        <v>390</v>
      </c>
      <c r="C155" s="74">
        <v>0.52700000000000002</v>
      </c>
      <c r="D155" s="75">
        <v>0.4</v>
      </c>
      <c r="E155" s="74" t="s">
        <v>258</v>
      </c>
      <c r="F155" s="77">
        <v>2511</v>
      </c>
      <c r="G155" s="78">
        <v>12</v>
      </c>
      <c r="H155" s="77">
        <f t="shared" si="27"/>
        <v>60</v>
      </c>
      <c r="I155" s="77">
        <f t="shared" si="1"/>
        <v>36</v>
      </c>
      <c r="J155" s="79">
        <v>2</v>
      </c>
      <c r="K155" s="77">
        <f t="shared" si="2"/>
        <v>72000000</v>
      </c>
    </row>
    <row r="156" spans="1:11">
      <c r="A156" s="196">
        <v>153</v>
      </c>
      <c r="B156" s="73" t="s">
        <v>391</v>
      </c>
      <c r="C156" s="74">
        <v>0.52700000000000002</v>
      </c>
      <c r="D156" s="75">
        <v>0.4</v>
      </c>
      <c r="E156" s="74" t="s">
        <v>351</v>
      </c>
      <c r="F156" s="77">
        <v>755</v>
      </c>
      <c r="G156" s="78">
        <v>6</v>
      </c>
      <c r="H156" s="77">
        <f t="shared" si="27"/>
        <v>30</v>
      </c>
      <c r="I156" s="77">
        <f t="shared" si="1"/>
        <v>18</v>
      </c>
      <c r="J156" s="79">
        <v>0.6</v>
      </c>
      <c r="K156" s="77">
        <f t="shared" si="2"/>
        <v>10799999.999999998</v>
      </c>
    </row>
    <row r="157" spans="1:11">
      <c r="A157" s="197">
        <v>155</v>
      </c>
      <c r="B157" s="73" t="s">
        <v>392</v>
      </c>
      <c r="C157" s="74">
        <v>0.53400000000000003</v>
      </c>
      <c r="D157" s="75">
        <v>0.4</v>
      </c>
      <c r="E157" s="74" t="s">
        <v>258</v>
      </c>
      <c r="F157" s="77">
        <v>2511</v>
      </c>
      <c r="G157" s="78">
        <v>12</v>
      </c>
      <c r="H157" s="77">
        <f t="shared" si="27"/>
        <v>60</v>
      </c>
      <c r="I157" s="77">
        <f t="shared" si="1"/>
        <v>36</v>
      </c>
      <c r="J157" s="79">
        <v>3.7</v>
      </c>
      <c r="K157" s="77">
        <f t="shared" si="2"/>
        <v>133200000.00000001</v>
      </c>
    </row>
    <row r="158" spans="1:11">
      <c r="A158" s="197">
        <v>155</v>
      </c>
      <c r="B158" s="73" t="s">
        <v>393</v>
      </c>
      <c r="C158" s="74">
        <v>0.53400000000000003</v>
      </c>
      <c r="D158" s="75">
        <v>0.4</v>
      </c>
      <c r="E158" s="74" t="s">
        <v>258</v>
      </c>
      <c r="F158" s="77">
        <v>2511</v>
      </c>
      <c r="G158" s="78">
        <v>12</v>
      </c>
      <c r="H158" s="77">
        <f t="shared" si="27"/>
        <v>60</v>
      </c>
      <c r="I158" s="77">
        <f t="shared" si="1"/>
        <v>36</v>
      </c>
      <c r="J158" s="79">
        <v>12</v>
      </c>
      <c r="K158" s="77">
        <f t="shared" si="2"/>
        <v>432000000</v>
      </c>
    </row>
    <row r="159" spans="1:11">
      <c r="A159" s="198">
        <v>157</v>
      </c>
      <c r="B159" s="73" t="s">
        <v>394</v>
      </c>
      <c r="C159" s="74">
        <v>0.54200000000000004</v>
      </c>
      <c r="D159" s="75">
        <v>0.4</v>
      </c>
      <c r="E159" s="74" t="s">
        <v>258</v>
      </c>
      <c r="F159" s="77">
        <v>2511</v>
      </c>
      <c r="G159" s="78">
        <v>12</v>
      </c>
      <c r="H159" s="77">
        <f t="shared" si="27"/>
        <v>60</v>
      </c>
      <c r="I159" s="77">
        <f t="shared" si="1"/>
        <v>36</v>
      </c>
      <c r="J159" s="79">
        <v>0.2</v>
      </c>
      <c r="K159" s="77">
        <f t="shared" si="2"/>
        <v>7200000</v>
      </c>
    </row>
    <row r="160" spans="1:11">
      <c r="A160" s="199">
        <v>158</v>
      </c>
      <c r="B160" s="73" t="s">
        <v>395</v>
      </c>
      <c r="C160" s="74">
        <v>0.54300000000000004</v>
      </c>
      <c r="D160" s="75">
        <v>0.4</v>
      </c>
      <c r="E160" s="74" t="s">
        <v>351</v>
      </c>
      <c r="F160" s="77">
        <v>755</v>
      </c>
      <c r="G160" s="78">
        <v>6</v>
      </c>
      <c r="H160" s="77">
        <f t="shared" si="27"/>
        <v>30</v>
      </c>
      <c r="I160" s="77">
        <f t="shared" si="1"/>
        <v>18</v>
      </c>
      <c r="J160" s="79">
        <v>1.6</v>
      </c>
      <c r="K160" s="77">
        <f t="shared" si="2"/>
        <v>28800000</v>
      </c>
    </row>
    <row r="161" spans="1:11">
      <c r="A161" s="200">
        <v>159</v>
      </c>
      <c r="B161" s="73" t="s">
        <v>396</v>
      </c>
      <c r="C161" s="74">
        <v>0.54600000000000004</v>
      </c>
      <c r="D161" s="75">
        <v>0.4</v>
      </c>
      <c r="E161" s="74" t="s">
        <v>258</v>
      </c>
      <c r="F161" s="77">
        <v>2511</v>
      </c>
      <c r="G161" s="78">
        <v>12</v>
      </c>
      <c r="H161" s="77">
        <f t="shared" si="27"/>
        <v>60</v>
      </c>
      <c r="I161" s="77">
        <f t="shared" si="1"/>
        <v>36</v>
      </c>
      <c r="J161" s="79">
        <v>0.3</v>
      </c>
      <c r="K161" s="77">
        <f t="shared" si="2"/>
        <v>10799999.999999998</v>
      </c>
    </row>
    <row r="162" spans="1:11">
      <c r="A162" s="201">
        <v>160</v>
      </c>
      <c r="B162" s="73" t="s">
        <v>397</v>
      </c>
      <c r="C162" s="74">
        <v>0.54900000000000004</v>
      </c>
      <c r="D162" s="75">
        <v>0.4</v>
      </c>
      <c r="E162" s="74" t="s">
        <v>258</v>
      </c>
      <c r="F162" s="77">
        <v>2511</v>
      </c>
      <c r="G162" s="78">
        <v>12</v>
      </c>
      <c r="H162" s="77">
        <f t="shared" si="27"/>
        <v>60</v>
      </c>
      <c r="I162" s="77">
        <f t="shared" si="1"/>
        <v>36</v>
      </c>
      <c r="J162" s="79">
        <v>0.7</v>
      </c>
      <c r="K162" s="77">
        <f t="shared" si="2"/>
        <v>25200000</v>
      </c>
    </row>
    <row r="163" spans="1:11">
      <c r="A163" s="202">
        <v>161</v>
      </c>
      <c r="B163" s="73" t="s">
        <v>398</v>
      </c>
      <c r="C163" s="74">
        <v>0.55100000000000005</v>
      </c>
      <c r="D163" s="75">
        <v>0.5</v>
      </c>
      <c r="E163" s="74" t="s">
        <v>351</v>
      </c>
      <c r="F163" s="77">
        <v>755</v>
      </c>
      <c r="G163" s="78">
        <v>6</v>
      </c>
      <c r="H163" s="77">
        <f t="shared" si="27"/>
        <v>30</v>
      </c>
      <c r="I163" s="77">
        <f t="shared" si="1"/>
        <v>15</v>
      </c>
      <c r="J163" s="79">
        <v>6.4</v>
      </c>
      <c r="K163" s="77">
        <f t="shared" si="2"/>
        <v>96000000</v>
      </c>
    </row>
    <row r="164" spans="1:11">
      <c r="A164" s="202">
        <v>161</v>
      </c>
      <c r="B164" s="73" t="s">
        <v>399</v>
      </c>
      <c r="C164" s="74">
        <v>0.55100000000000005</v>
      </c>
      <c r="D164" s="75">
        <v>0.5</v>
      </c>
      <c r="E164" s="74" t="s">
        <v>258</v>
      </c>
      <c r="F164" s="77">
        <v>2511</v>
      </c>
      <c r="G164" s="78">
        <v>12</v>
      </c>
      <c r="H164" s="77">
        <f t="shared" si="27"/>
        <v>60</v>
      </c>
      <c r="I164" s="77">
        <f t="shared" si="1"/>
        <v>30</v>
      </c>
      <c r="J164" s="79">
        <v>6</v>
      </c>
      <c r="K164" s="77">
        <f t="shared" si="2"/>
        <v>180000000</v>
      </c>
    </row>
    <row r="165" spans="1:11">
      <c r="A165" s="203">
        <v>163</v>
      </c>
      <c r="B165" s="73" t="s">
        <v>400</v>
      </c>
      <c r="C165" s="74">
        <v>0.55400000000000005</v>
      </c>
      <c r="D165" s="75">
        <v>0.5</v>
      </c>
      <c r="E165" s="74" t="s">
        <v>351</v>
      </c>
      <c r="F165" s="77">
        <v>755</v>
      </c>
      <c r="G165" s="78">
        <v>6</v>
      </c>
      <c r="H165" s="77">
        <f t="shared" si="27"/>
        <v>30</v>
      </c>
      <c r="I165" s="77">
        <f t="shared" si="1"/>
        <v>15</v>
      </c>
      <c r="J165" s="79">
        <v>0.8</v>
      </c>
      <c r="K165" s="77">
        <f t="shared" si="2"/>
        <v>12000000</v>
      </c>
    </row>
    <row r="166" spans="1:11">
      <c r="A166" s="203">
        <v>163</v>
      </c>
      <c r="B166" s="73" t="s">
        <v>401</v>
      </c>
      <c r="C166" s="74">
        <v>0.55400000000000005</v>
      </c>
      <c r="D166" s="75">
        <v>0.5</v>
      </c>
      <c r="E166" s="74" t="s">
        <v>258</v>
      </c>
      <c r="F166" s="77">
        <v>2511</v>
      </c>
      <c r="G166" s="78">
        <v>12</v>
      </c>
      <c r="H166" s="77">
        <f t="shared" si="27"/>
        <v>60</v>
      </c>
      <c r="I166" s="77">
        <f t="shared" si="1"/>
        <v>30</v>
      </c>
      <c r="J166" s="79">
        <v>124.8</v>
      </c>
      <c r="K166" s="77">
        <f t="shared" si="2"/>
        <v>3744000000</v>
      </c>
    </row>
    <row r="167" spans="1:11">
      <c r="A167" s="204">
        <v>165</v>
      </c>
      <c r="B167" s="73" t="s">
        <v>402</v>
      </c>
      <c r="C167" s="74">
        <v>0.55900000000000005</v>
      </c>
      <c r="D167" s="75">
        <v>0.5</v>
      </c>
      <c r="E167" s="74" t="s">
        <v>351</v>
      </c>
      <c r="F167" s="77">
        <v>755</v>
      </c>
      <c r="G167" s="78">
        <v>6</v>
      </c>
      <c r="H167" s="77">
        <f t="shared" si="27"/>
        <v>30</v>
      </c>
      <c r="I167" s="77">
        <f t="shared" si="1"/>
        <v>15</v>
      </c>
      <c r="J167" s="79">
        <v>4.0999999999999996</v>
      </c>
      <c r="K167" s="77">
        <f t="shared" si="2"/>
        <v>61499999.999999993</v>
      </c>
    </row>
    <row r="168" spans="1:11">
      <c r="A168" s="205">
        <v>166</v>
      </c>
      <c r="B168" s="73" t="s">
        <v>403</v>
      </c>
      <c r="C168" s="74">
        <v>0.56000000000000005</v>
      </c>
      <c r="D168" s="75">
        <v>0.5</v>
      </c>
      <c r="E168" s="74" t="s">
        <v>258</v>
      </c>
      <c r="F168" s="77">
        <v>2511</v>
      </c>
      <c r="G168" s="78">
        <v>12</v>
      </c>
      <c r="H168" s="77">
        <f t="shared" si="27"/>
        <v>60</v>
      </c>
      <c r="I168" s="77">
        <f t="shared" si="1"/>
        <v>30</v>
      </c>
      <c r="J168" s="79">
        <v>0.3</v>
      </c>
      <c r="K168" s="77">
        <f t="shared" si="2"/>
        <v>9000000</v>
      </c>
    </row>
    <row r="169" spans="1:11">
      <c r="A169" s="206">
        <v>167</v>
      </c>
      <c r="B169" s="73" t="s">
        <v>404</v>
      </c>
      <c r="C169" s="74">
        <v>0.56200000000000006</v>
      </c>
      <c r="D169" s="75">
        <v>0.5</v>
      </c>
      <c r="E169" s="74" t="s">
        <v>351</v>
      </c>
      <c r="F169" s="77">
        <v>755</v>
      </c>
      <c r="G169" s="78">
        <v>6</v>
      </c>
      <c r="H169" s="77">
        <f t="shared" si="27"/>
        <v>30</v>
      </c>
      <c r="I169" s="77">
        <f t="shared" si="1"/>
        <v>15</v>
      </c>
      <c r="J169" s="79">
        <v>3.8</v>
      </c>
      <c r="K169" s="77">
        <f t="shared" si="2"/>
        <v>57000000</v>
      </c>
    </row>
    <row r="170" spans="1:11">
      <c r="A170" s="207">
        <v>168</v>
      </c>
      <c r="B170" s="73" t="s">
        <v>405</v>
      </c>
      <c r="C170" s="74">
        <v>0.56399999999999995</v>
      </c>
      <c r="D170" s="75">
        <v>0.5</v>
      </c>
      <c r="E170" s="74" t="s">
        <v>253</v>
      </c>
      <c r="F170" s="77">
        <v>10563</v>
      </c>
      <c r="G170" s="78">
        <v>24</v>
      </c>
      <c r="H170" s="77">
        <f t="shared" si="27"/>
        <v>120</v>
      </c>
      <c r="I170" s="77">
        <f t="shared" si="1"/>
        <v>60</v>
      </c>
      <c r="J170" s="79">
        <v>2.9</v>
      </c>
      <c r="K170" s="77">
        <f t="shared" si="2"/>
        <v>174000000</v>
      </c>
    </row>
    <row r="171" spans="1:11">
      <c r="A171" s="207">
        <v>169</v>
      </c>
      <c r="B171" s="73" t="s">
        <v>406</v>
      </c>
      <c r="C171" s="74">
        <v>0.56799999999999995</v>
      </c>
      <c r="D171" s="75">
        <v>0.5</v>
      </c>
      <c r="E171" s="74" t="s">
        <v>351</v>
      </c>
      <c r="F171" s="77">
        <v>755</v>
      </c>
      <c r="G171" s="78">
        <v>6</v>
      </c>
      <c r="H171" s="77">
        <f t="shared" si="27"/>
        <v>30</v>
      </c>
      <c r="I171" s="77">
        <f t="shared" si="1"/>
        <v>15</v>
      </c>
      <c r="J171" s="79">
        <v>1.6</v>
      </c>
      <c r="K171" s="77">
        <f t="shared" si="2"/>
        <v>24000000</v>
      </c>
    </row>
    <row r="172" spans="1:11">
      <c r="A172" s="208">
        <v>170</v>
      </c>
      <c r="B172" s="73" t="s">
        <v>407</v>
      </c>
      <c r="C172" s="74">
        <v>0.57199999999999995</v>
      </c>
      <c r="D172" s="75">
        <v>0.5</v>
      </c>
      <c r="E172" s="74" t="s">
        <v>258</v>
      </c>
      <c r="F172" s="77">
        <v>2511</v>
      </c>
      <c r="G172" s="78">
        <v>12</v>
      </c>
      <c r="H172" s="77">
        <f t="shared" si="27"/>
        <v>60</v>
      </c>
      <c r="I172" s="77">
        <f t="shared" si="1"/>
        <v>30</v>
      </c>
      <c r="J172" s="79">
        <v>6.4</v>
      </c>
      <c r="K172" s="77">
        <f t="shared" si="2"/>
        <v>192000000</v>
      </c>
    </row>
    <row r="173" spans="1:11">
      <c r="A173" s="208">
        <v>170</v>
      </c>
      <c r="B173" s="73" t="s">
        <v>408</v>
      </c>
      <c r="C173" s="74">
        <v>0.57199999999999995</v>
      </c>
      <c r="D173" s="75">
        <v>0.5</v>
      </c>
      <c r="E173" s="74" t="s">
        <v>258</v>
      </c>
      <c r="F173" s="77">
        <v>2511</v>
      </c>
      <c r="G173" s="78">
        <v>12</v>
      </c>
      <c r="H173" s="77">
        <f t="shared" si="27"/>
        <v>60</v>
      </c>
      <c r="I173" s="77">
        <f t="shared" si="1"/>
        <v>30</v>
      </c>
      <c r="J173" s="79">
        <v>0.1</v>
      </c>
      <c r="K173" s="77">
        <f t="shared" si="2"/>
        <v>3000000</v>
      </c>
    </row>
    <row r="174" spans="1:11">
      <c r="A174" s="209">
        <v>172</v>
      </c>
      <c r="B174" s="73" t="s">
        <v>409</v>
      </c>
      <c r="C174" s="74">
        <v>0.57799999999999996</v>
      </c>
      <c r="D174" s="75">
        <v>0.5</v>
      </c>
      <c r="E174" s="74" t="s">
        <v>351</v>
      </c>
      <c r="F174" s="77">
        <v>755</v>
      </c>
      <c r="G174" s="78">
        <v>6</v>
      </c>
      <c r="H174" s="77">
        <f t="shared" si="27"/>
        <v>30</v>
      </c>
      <c r="I174" s="77">
        <f t="shared" si="1"/>
        <v>15</v>
      </c>
      <c r="J174" s="79">
        <v>0.4</v>
      </c>
      <c r="K174" s="77">
        <f t="shared" si="2"/>
        <v>6000000</v>
      </c>
    </row>
    <row r="175" spans="1:11">
      <c r="A175" s="210">
        <v>173</v>
      </c>
      <c r="B175" s="73" t="s">
        <v>410</v>
      </c>
      <c r="C175" s="74">
        <v>0.57999999999999996</v>
      </c>
      <c r="D175" s="75">
        <v>0.5</v>
      </c>
      <c r="E175" s="74" t="s">
        <v>253</v>
      </c>
      <c r="F175" s="77">
        <v>10563</v>
      </c>
      <c r="G175" s="78">
        <v>24</v>
      </c>
      <c r="H175" s="77">
        <f t="shared" si="27"/>
        <v>120</v>
      </c>
      <c r="I175" s="77">
        <f t="shared" si="1"/>
        <v>60</v>
      </c>
      <c r="J175" s="79">
        <v>0</v>
      </c>
      <c r="K175" s="77">
        <f t="shared" si="2"/>
        <v>0</v>
      </c>
    </row>
    <row r="176" spans="1:11">
      <c r="A176" s="211">
        <v>174</v>
      </c>
      <c r="B176" s="73" t="s">
        <v>411</v>
      </c>
      <c r="C176" s="74">
        <v>0.58599999999999997</v>
      </c>
      <c r="D176" s="75">
        <v>0.5</v>
      </c>
      <c r="E176" s="74" t="s">
        <v>351</v>
      </c>
      <c r="F176" s="77">
        <v>755</v>
      </c>
      <c r="G176" s="78">
        <v>6</v>
      </c>
      <c r="H176" s="77">
        <f t="shared" si="27"/>
        <v>30</v>
      </c>
      <c r="I176" s="77">
        <f t="shared" si="1"/>
        <v>15</v>
      </c>
      <c r="J176" s="79">
        <v>8.6999999999999993</v>
      </c>
      <c r="K176" s="77">
        <f t="shared" si="2"/>
        <v>130500000</v>
      </c>
    </row>
    <row r="177" spans="1:11">
      <c r="A177" s="212">
        <v>175</v>
      </c>
      <c r="B177" s="73" t="s">
        <v>412</v>
      </c>
      <c r="C177" s="74">
        <v>0.58699999999999997</v>
      </c>
      <c r="D177" s="75">
        <v>0.5</v>
      </c>
      <c r="E177" s="74" t="s">
        <v>253</v>
      </c>
      <c r="F177" s="77">
        <v>10563</v>
      </c>
      <c r="G177" s="78">
        <v>24</v>
      </c>
      <c r="H177" s="77">
        <f t="shared" si="27"/>
        <v>120</v>
      </c>
      <c r="I177" s="77">
        <f t="shared" si="1"/>
        <v>60</v>
      </c>
      <c r="J177" s="79">
        <v>0</v>
      </c>
      <c r="K177" s="77">
        <f t="shared" si="2"/>
        <v>0</v>
      </c>
    </row>
    <row r="178" spans="1:11">
      <c r="A178" s="212">
        <v>175</v>
      </c>
      <c r="B178" s="73" t="s">
        <v>413</v>
      </c>
      <c r="C178" s="74">
        <v>0.58699999999999997</v>
      </c>
      <c r="D178" s="75">
        <v>0.5</v>
      </c>
      <c r="E178" s="74" t="s">
        <v>258</v>
      </c>
      <c r="F178" s="77">
        <v>2511</v>
      </c>
      <c r="G178" s="78">
        <v>12</v>
      </c>
      <c r="H178" s="77">
        <f t="shared" si="27"/>
        <v>60</v>
      </c>
      <c r="I178" s="77">
        <f t="shared" si="1"/>
        <v>30</v>
      </c>
      <c r="J178" s="79">
        <v>4.7</v>
      </c>
      <c r="K178" s="77">
        <f t="shared" si="2"/>
        <v>141000000</v>
      </c>
    </row>
    <row r="179" spans="1:11">
      <c r="A179" s="213">
        <v>177</v>
      </c>
      <c r="B179" s="73" t="s">
        <v>414</v>
      </c>
      <c r="C179" s="74">
        <v>0.59799999999999998</v>
      </c>
      <c r="D179" s="75">
        <v>0.5</v>
      </c>
      <c r="E179" s="74" t="s">
        <v>351</v>
      </c>
      <c r="F179" s="77">
        <v>755</v>
      </c>
      <c r="G179" s="78">
        <v>6</v>
      </c>
      <c r="H179" s="77">
        <f t="shared" si="27"/>
        <v>30</v>
      </c>
      <c r="I179" s="77">
        <f t="shared" si="1"/>
        <v>15</v>
      </c>
      <c r="J179" s="79">
        <v>1.1000000000000001</v>
      </c>
      <c r="K179" s="77">
        <f t="shared" si="2"/>
        <v>16500000</v>
      </c>
    </row>
    <row r="180" spans="1:11">
      <c r="A180" s="214">
        <v>178</v>
      </c>
      <c r="B180" s="73" t="s">
        <v>415</v>
      </c>
      <c r="C180" s="74">
        <v>0.59899999999999998</v>
      </c>
      <c r="D180" s="75">
        <v>0.5</v>
      </c>
      <c r="E180" s="74" t="s">
        <v>351</v>
      </c>
      <c r="F180" s="77">
        <v>755</v>
      </c>
      <c r="G180" s="78">
        <v>6</v>
      </c>
      <c r="H180" s="77">
        <f t="shared" si="27"/>
        <v>30</v>
      </c>
      <c r="I180" s="77">
        <f t="shared" si="1"/>
        <v>15</v>
      </c>
      <c r="J180" s="79">
        <v>6.7</v>
      </c>
      <c r="K180" s="77">
        <f t="shared" si="2"/>
        <v>100500000</v>
      </c>
    </row>
    <row r="181" spans="1:11">
      <c r="A181" s="215">
        <v>179</v>
      </c>
      <c r="B181" s="73" t="s">
        <v>416</v>
      </c>
      <c r="C181" s="74">
        <v>0.60099999999999998</v>
      </c>
      <c r="D181" s="75">
        <v>0.6</v>
      </c>
      <c r="E181" s="74" t="s">
        <v>351</v>
      </c>
      <c r="F181" s="77">
        <v>755</v>
      </c>
      <c r="G181" s="78">
        <v>6</v>
      </c>
      <c r="H181" s="77">
        <f t="shared" si="27"/>
        <v>30</v>
      </c>
      <c r="I181" s="77">
        <f t="shared" si="1"/>
        <v>12</v>
      </c>
      <c r="J181" s="79">
        <v>21.3</v>
      </c>
      <c r="K181" s="77">
        <f t="shared" si="2"/>
        <v>255600000.00000003</v>
      </c>
    </row>
    <row r="182" spans="1:11">
      <c r="A182" s="216">
        <v>180</v>
      </c>
      <c r="B182" s="73" t="s">
        <v>417</v>
      </c>
      <c r="C182" s="74">
        <v>0.60199999999999998</v>
      </c>
      <c r="D182" s="75">
        <v>0.6</v>
      </c>
      <c r="E182" s="74" t="s">
        <v>351</v>
      </c>
      <c r="F182" s="77">
        <v>755</v>
      </c>
      <c r="G182" s="78">
        <v>6</v>
      </c>
      <c r="H182" s="77">
        <f t="shared" si="27"/>
        <v>30</v>
      </c>
      <c r="I182" s="77">
        <f t="shared" si="1"/>
        <v>12</v>
      </c>
      <c r="J182" s="79">
        <v>0.7</v>
      </c>
      <c r="K182" s="77">
        <f t="shared" si="2"/>
        <v>8399999.9999999981</v>
      </c>
    </row>
    <row r="183" spans="1:11">
      <c r="A183" s="217">
        <v>181</v>
      </c>
      <c r="B183" s="73" t="s">
        <v>418</v>
      </c>
      <c r="C183" s="74">
        <v>0.60499999999999998</v>
      </c>
      <c r="D183" s="75">
        <v>0.6</v>
      </c>
      <c r="E183" s="74" t="s">
        <v>253</v>
      </c>
      <c r="F183" s="77">
        <v>10563</v>
      </c>
      <c r="G183" s="78">
        <v>24</v>
      </c>
      <c r="H183" s="77">
        <f t="shared" si="27"/>
        <v>120</v>
      </c>
      <c r="I183" s="77">
        <f t="shared" si="1"/>
        <v>48</v>
      </c>
      <c r="J183" s="79">
        <v>0.2</v>
      </c>
      <c r="K183" s="77">
        <f t="shared" si="2"/>
        <v>9600000.0000000019</v>
      </c>
    </row>
    <row r="184" spans="1:11">
      <c r="A184" s="218">
        <v>182</v>
      </c>
      <c r="B184" s="73" t="s">
        <v>419</v>
      </c>
      <c r="C184" s="74">
        <v>0.60599999999999998</v>
      </c>
      <c r="D184" s="75">
        <v>0.6</v>
      </c>
      <c r="E184" s="74" t="s">
        <v>351</v>
      </c>
      <c r="F184" s="77">
        <v>755</v>
      </c>
      <c r="G184" s="78">
        <v>6</v>
      </c>
      <c r="H184" s="77">
        <f t="shared" si="27"/>
        <v>30</v>
      </c>
      <c r="I184" s="77">
        <f t="shared" si="1"/>
        <v>12</v>
      </c>
      <c r="J184" s="79">
        <v>0.9</v>
      </c>
      <c r="K184" s="77">
        <f t="shared" si="2"/>
        <v>10800000</v>
      </c>
    </row>
    <row r="185" spans="1:11">
      <c r="A185" s="219">
        <v>183</v>
      </c>
      <c r="B185" s="73" t="s">
        <v>420</v>
      </c>
      <c r="C185" s="74">
        <v>0.61699999999999999</v>
      </c>
      <c r="D185" s="75">
        <v>0.6</v>
      </c>
      <c r="E185" s="74" t="s">
        <v>351</v>
      </c>
      <c r="F185" s="77">
        <v>755</v>
      </c>
      <c r="G185" s="78">
        <v>6</v>
      </c>
      <c r="H185" s="77">
        <f t="shared" si="27"/>
        <v>30</v>
      </c>
      <c r="I185" s="77">
        <f t="shared" si="1"/>
        <v>12</v>
      </c>
      <c r="J185" s="79">
        <v>0.3</v>
      </c>
      <c r="K185" s="77">
        <f t="shared" si="2"/>
        <v>3599999.9999999995</v>
      </c>
    </row>
    <row r="186" spans="1:11">
      <c r="A186" s="220">
        <v>184</v>
      </c>
      <c r="B186" s="73" t="s">
        <v>421</v>
      </c>
      <c r="C186" s="74">
        <v>0.621</v>
      </c>
      <c r="D186" s="75">
        <v>0.6</v>
      </c>
      <c r="E186" s="74" t="s">
        <v>258</v>
      </c>
      <c r="F186" s="77">
        <v>2511</v>
      </c>
      <c r="G186" s="78">
        <v>12</v>
      </c>
      <c r="H186" s="77">
        <f t="shared" si="27"/>
        <v>60</v>
      </c>
      <c r="I186" s="77">
        <f t="shared" si="1"/>
        <v>24</v>
      </c>
      <c r="J186" s="79">
        <v>0</v>
      </c>
      <c r="K186" s="77">
        <f t="shared" si="2"/>
        <v>0</v>
      </c>
    </row>
    <row r="187" spans="1:11">
      <c r="A187" s="221">
        <v>185</v>
      </c>
      <c r="B187" s="73" t="s">
        <v>422</v>
      </c>
      <c r="C187" s="74">
        <v>0.63200000000000001</v>
      </c>
      <c r="D187" s="75">
        <v>0.6</v>
      </c>
      <c r="E187" s="74" t="s">
        <v>351</v>
      </c>
      <c r="F187" s="77">
        <v>755</v>
      </c>
      <c r="G187" s="78">
        <v>6</v>
      </c>
      <c r="H187" s="77">
        <f t="shared" si="27"/>
        <v>30</v>
      </c>
      <c r="I187" s="77">
        <f t="shared" si="1"/>
        <v>12</v>
      </c>
      <c r="J187" s="79">
        <v>2.8</v>
      </c>
      <c r="K187" s="77">
        <f t="shared" si="2"/>
        <v>33599999.999999993</v>
      </c>
    </row>
    <row r="188" spans="1:11">
      <c r="A188" s="222">
        <v>186</v>
      </c>
      <c r="B188" s="73" t="s">
        <v>423</v>
      </c>
      <c r="C188" s="74">
        <v>0.63400000000000001</v>
      </c>
      <c r="D188" s="75">
        <v>0.6</v>
      </c>
      <c r="E188" s="74" t="s">
        <v>258</v>
      </c>
      <c r="F188" s="77">
        <v>2511</v>
      </c>
      <c r="G188" s="78">
        <v>12</v>
      </c>
      <c r="H188" s="77">
        <f t="shared" si="27"/>
        <v>60</v>
      </c>
      <c r="I188" s="77">
        <f t="shared" si="1"/>
        <v>24</v>
      </c>
      <c r="J188" s="79">
        <v>0.4</v>
      </c>
      <c r="K188" s="77">
        <f t="shared" si="2"/>
        <v>9600000.0000000019</v>
      </c>
    </row>
    <row r="189" spans="1:11">
      <c r="A189" s="223">
        <v>187</v>
      </c>
      <c r="B189" s="73" t="s">
        <v>424</v>
      </c>
      <c r="C189" s="74">
        <v>0.64600000000000002</v>
      </c>
      <c r="D189" s="75">
        <v>0.6</v>
      </c>
      <c r="E189" s="74" t="s">
        <v>351</v>
      </c>
      <c r="F189" s="77">
        <v>755</v>
      </c>
      <c r="G189" s="78">
        <v>6</v>
      </c>
      <c r="H189" s="77">
        <f t="shared" si="27"/>
        <v>30</v>
      </c>
      <c r="I189" s="77">
        <f t="shared" si="1"/>
        <v>12</v>
      </c>
      <c r="J189" s="79">
        <v>2.6</v>
      </c>
      <c r="K189" s="77">
        <f t="shared" si="2"/>
        <v>31200000.000000004</v>
      </c>
    </row>
    <row r="190" spans="1:11">
      <c r="A190" s="224"/>
      <c r="B190" s="73" t="s">
        <v>425</v>
      </c>
      <c r="C190" s="74" t="s">
        <v>426</v>
      </c>
      <c r="D190" s="75">
        <v>0</v>
      </c>
      <c r="E190" s="76" t="s">
        <v>235</v>
      </c>
      <c r="F190" s="77">
        <v>48441</v>
      </c>
      <c r="G190" s="78">
        <f t="shared" ref="G190:G194" si="28">F190/1000</f>
        <v>48.441000000000003</v>
      </c>
      <c r="H190" s="77">
        <v>240</v>
      </c>
      <c r="I190" s="77">
        <f t="shared" si="1"/>
        <v>240</v>
      </c>
      <c r="J190" s="79"/>
      <c r="K190" s="77">
        <f t="shared" si="2"/>
        <v>0</v>
      </c>
    </row>
    <row r="191" spans="1:11">
      <c r="A191" s="224"/>
      <c r="B191" s="73" t="s">
        <v>427</v>
      </c>
      <c r="C191" s="74" t="s">
        <v>426</v>
      </c>
      <c r="D191" s="75">
        <v>0</v>
      </c>
      <c r="E191" s="76" t="s">
        <v>235</v>
      </c>
      <c r="F191" s="77">
        <v>48441</v>
      </c>
      <c r="G191" s="78">
        <f t="shared" si="28"/>
        <v>48.441000000000003</v>
      </c>
      <c r="H191" s="77">
        <v>240</v>
      </c>
      <c r="I191" s="77">
        <f t="shared" si="1"/>
        <v>240</v>
      </c>
      <c r="J191" s="79"/>
      <c r="K191" s="77">
        <f t="shared" si="2"/>
        <v>0</v>
      </c>
    </row>
    <row r="192" spans="1:11">
      <c r="A192" s="224"/>
      <c r="B192" s="73" t="s">
        <v>428</v>
      </c>
      <c r="C192" s="74" t="s">
        <v>426</v>
      </c>
      <c r="D192" s="75">
        <v>0</v>
      </c>
      <c r="E192" s="76" t="s">
        <v>235</v>
      </c>
      <c r="F192" s="77">
        <v>48441</v>
      </c>
      <c r="G192" s="78">
        <f t="shared" si="28"/>
        <v>48.441000000000003</v>
      </c>
      <c r="H192" s="77">
        <v>240</v>
      </c>
      <c r="I192" s="77">
        <f t="shared" si="1"/>
        <v>240</v>
      </c>
      <c r="J192" s="79"/>
      <c r="K192" s="77">
        <f t="shared" si="2"/>
        <v>0</v>
      </c>
    </row>
    <row r="193" spans="1:11">
      <c r="A193" s="224"/>
      <c r="B193" s="73" t="s">
        <v>429</v>
      </c>
      <c r="C193" s="74" t="s">
        <v>426</v>
      </c>
      <c r="D193" s="75">
        <v>0</v>
      </c>
      <c r="E193" s="76" t="s">
        <v>235</v>
      </c>
      <c r="F193" s="77">
        <v>48441</v>
      </c>
      <c r="G193" s="78">
        <f t="shared" si="28"/>
        <v>48.441000000000003</v>
      </c>
      <c r="H193" s="77">
        <v>240</v>
      </c>
      <c r="I193" s="77">
        <f t="shared" si="1"/>
        <v>240</v>
      </c>
      <c r="J193" s="79"/>
      <c r="K193" s="77">
        <f t="shared" si="2"/>
        <v>0</v>
      </c>
    </row>
    <row r="194" spans="1:11">
      <c r="A194" s="224"/>
      <c r="B194" s="73" t="s">
        <v>430</v>
      </c>
      <c r="C194" s="225" t="s">
        <v>426</v>
      </c>
      <c r="D194" s="75">
        <v>0.1</v>
      </c>
      <c r="E194" s="76" t="s">
        <v>235</v>
      </c>
      <c r="F194" s="77">
        <v>48441</v>
      </c>
      <c r="G194" s="78">
        <f t="shared" si="28"/>
        <v>48.441000000000003</v>
      </c>
      <c r="H194" s="77">
        <v>240</v>
      </c>
      <c r="I194" s="77">
        <f t="shared" si="1"/>
        <v>216</v>
      </c>
      <c r="J194" s="79">
        <v>0.1</v>
      </c>
      <c r="K194" s="77">
        <f t="shared" si="2"/>
        <v>21600000</v>
      </c>
    </row>
    <row r="196" spans="1:11">
      <c r="J196" s="78">
        <f t="shared" ref="J196:K196" si="29">SUM(J3:J194)</f>
        <v>37420.499999999993</v>
      </c>
      <c r="K196" s="77">
        <f t="shared" si="29"/>
        <v>5394342900000</v>
      </c>
    </row>
    <row r="198" spans="1:11" ht="12.75">
      <c r="K198" s="226" t="s">
        <v>431</v>
      </c>
    </row>
    <row r="199" spans="1:11" ht="21.75">
      <c r="K199" s="227">
        <f>K196/J196/1000000</f>
        <v>144.15475207439775</v>
      </c>
    </row>
  </sheetData>
  <mergeCells count="3">
    <mergeCell ref="F1:K1"/>
    <mergeCell ref="P2:W2"/>
    <mergeCell ref="AB2:AE2"/>
  </mergeCells>
  <hyperlinks>
    <hyperlink ref="B3" r:id="rId1"/>
    <hyperlink ref="B4" r:id="rId2"/>
    <hyperlink ref="B5" r:id="rId3"/>
    <hyperlink ref="B6" r:id="rId4"/>
    <hyperlink ref="B7" r:id="rId5"/>
    <hyperlink ref="B8" r:id="rId6"/>
    <hyperlink ref="B9" r:id="rId7"/>
    <hyperlink ref="B10" r:id="rId8"/>
    <hyperlink ref="B11" r:id="rId9"/>
    <hyperlink ref="B12" r:id="rId10"/>
    <hyperlink ref="B13" r:id="rId11"/>
    <hyperlink ref="B14" r:id="rId12"/>
    <hyperlink ref="B15" r:id="rId13"/>
    <hyperlink ref="B16" r:id="rId14"/>
    <hyperlink ref="B17" r:id="rId15"/>
    <hyperlink ref="B18" r:id="rId16"/>
    <hyperlink ref="B19" r:id="rId17"/>
    <hyperlink ref="B20" r:id="rId18"/>
    <hyperlink ref="B21" r:id="rId19"/>
    <hyperlink ref="B22" r:id="rId20"/>
    <hyperlink ref="B23" r:id="rId21"/>
    <hyperlink ref="B24" r:id="rId22"/>
    <hyperlink ref="B25" r:id="rId23"/>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0" r:id="rId38"/>
    <hyperlink ref="B41" r:id="rId39"/>
    <hyperlink ref="B42" r:id="rId40"/>
    <hyperlink ref="B43" r:id="rId41"/>
    <hyperlink ref="B44" r:id="rId42"/>
    <hyperlink ref="B45" r:id="rId43"/>
    <hyperlink ref="B46" r:id="rId44"/>
    <hyperlink ref="B47" r:id="rId45"/>
    <hyperlink ref="B48" r:id="rId46"/>
    <hyperlink ref="B49" r:id="rId47"/>
    <hyperlink ref="B50" r:id="rId48"/>
    <hyperlink ref="B51" r:id="rId49"/>
    <hyperlink ref="B52" r:id="rId50"/>
    <hyperlink ref="B53" r:id="rId51"/>
    <hyperlink ref="B54" r:id="rId52"/>
    <hyperlink ref="B55" r:id="rId53"/>
    <hyperlink ref="B56" r:id="rId54"/>
    <hyperlink ref="B57" r:id="rId55"/>
    <hyperlink ref="B58" r:id="rId56"/>
    <hyperlink ref="B59" r:id="rId57"/>
    <hyperlink ref="B60" r:id="rId58"/>
    <hyperlink ref="B61" r:id="rId59"/>
    <hyperlink ref="B62" r:id="rId60"/>
    <hyperlink ref="B63" r:id="rId61"/>
    <hyperlink ref="B64" r:id="rId62"/>
    <hyperlink ref="B65" r:id="rId63"/>
    <hyperlink ref="B66" r:id="rId64"/>
    <hyperlink ref="B67" r:id="rId65"/>
    <hyperlink ref="B68" r:id="rId66"/>
    <hyperlink ref="B69" r:id="rId67"/>
    <hyperlink ref="B70" r:id="rId68"/>
    <hyperlink ref="B71" r:id="rId69"/>
    <hyperlink ref="B72" r:id="rId70"/>
    <hyperlink ref="B73" r:id="rId71"/>
    <hyperlink ref="B74" r:id="rId72"/>
    <hyperlink ref="B75" r:id="rId73"/>
    <hyperlink ref="B76" r:id="rId74"/>
    <hyperlink ref="B77" r:id="rId75"/>
    <hyperlink ref="B78" r:id="rId76"/>
    <hyperlink ref="B79" r:id="rId77"/>
    <hyperlink ref="B80" r:id="rId78"/>
    <hyperlink ref="B81" r:id="rId79"/>
    <hyperlink ref="B82" r:id="rId80"/>
    <hyperlink ref="B83" r:id="rId81"/>
    <hyperlink ref="B84" r:id="rId82"/>
    <hyperlink ref="B85" r:id="rId83"/>
    <hyperlink ref="B86" r:id="rId84"/>
    <hyperlink ref="B87" r:id="rId85"/>
    <hyperlink ref="B88" r:id="rId86"/>
    <hyperlink ref="B89" r:id="rId87"/>
    <hyperlink ref="B90" r:id="rId88"/>
    <hyperlink ref="B91" r:id="rId89"/>
    <hyperlink ref="B92" r:id="rId90"/>
    <hyperlink ref="B93" r:id="rId91"/>
    <hyperlink ref="B94" r:id="rId92"/>
    <hyperlink ref="B95" r:id="rId93"/>
    <hyperlink ref="B96" r:id="rId94"/>
    <hyperlink ref="B97" r:id="rId95"/>
    <hyperlink ref="B98" r:id="rId96"/>
    <hyperlink ref="B99" r:id="rId97"/>
    <hyperlink ref="B100" r:id="rId98"/>
    <hyperlink ref="B101" r:id="rId99"/>
    <hyperlink ref="B102" r:id="rId100"/>
    <hyperlink ref="B103" r:id="rId101"/>
    <hyperlink ref="B104" r:id="rId102"/>
    <hyperlink ref="B105" r:id="rId103"/>
    <hyperlink ref="B106" r:id="rId104"/>
    <hyperlink ref="B107" r:id="rId105"/>
    <hyperlink ref="B108" r:id="rId106"/>
    <hyperlink ref="B109" r:id="rId107"/>
    <hyperlink ref="B110" r:id="rId108"/>
    <hyperlink ref="B111" r:id="rId109"/>
    <hyperlink ref="B112" r:id="rId110"/>
    <hyperlink ref="B113" r:id="rId111"/>
    <hyperlink ref="B114" r:id="rId112"/>
    <hyperlink ref="B115" r:id="rId113"/>
    <hyperlink ref="B116" r:id="rId114"/>
    <hyperlink ref="B117" r:id="rId115"/>
    <hyperlink ref="B118" r:id="rId116"/>
    <hyperlink ref="B119" r:id="rId117"/>
    <hyperlink ref="B120" r:id="rId118"/>
    <hyperlink ref="B121" r:id="rId119"/>
    <hyperlink ref="B122" r:id="rId120"/>
    <hyperlink ref="B123" r:id="rId121"/>
    <hyperlink ref="B124" r:id="rId122"/>
    <hyperlink ref="B125" r:id="rId123"/>
    <hyperlink ref="B126" r:id="rId124"/>
    <hyperlink ref="B127" r:id="rId125"/>
    <hyperlink ref="B128" r:id="rId126"/>
    <hyperlink ref="B129" r:id="rId127"/>
    <hyperlink ref="B130" r:id="rId128"/>
    <hyperlink ref="B131" r:id="rId129"/>
    <hyperlink ref="B132" r:id="rId130"/>
    <hyperlink ref="B133" r:id="rId131"/>
    <hyperlink ref="B134" r:id="rId132"/>
    <hyperlink ref="B135" r:id="rId133"/>
    <hyperlink ref="B136" r:id="rId134"/>
    <hyperlink ref="B137" r:id="rId135"/>
    <hyperlink ref="B138" r:id="rId136"/>
    <hyperlink ref="B139" r:id="rId137"/>
    <hyperlink ref="B140" r:id="rId138"/>
    <hyperlink ref="B141" r:id="rId139"/>
    <hyperlink ref="B142" r:id="rId140"/>
    <hyperlink ref="B143" r:id="rId141"/>
    <hyperlink ref="B144" r:id="rId142"/>
    <hyperlink ref="B145" r:id="rId143"/>
    <hyperlink ref="B146" r:id="rId144"/>
    <hyperlink ref="B147" r:id="rId145"/>
    <hyperlink ref="B148" r:id="rId146"/>
    <hyperlink ref="B149" r:id="rId147"/>
    <hyperlink ref="B150" r:id="rId148"/>
    <hyperlink ref="B151" r:id="rId149"/>
    <hyperlink ref="B152" r:id="rId150"/>
    <hyperlink ref="B153" r:id="rId151"/>
    <hyperlink ref="B154" r:id="rId152"/>
    <hyperlink ref="B155" r:id="rId153"/>
    <hyperlink ref="B156" r:id="rId154"/>
    <hyperlink ref="B157" r:id="rId155"/>
    <hyperlink ref="B158" r:id="rId156"/>
    <hyperlink ref="B159" r:id="rId157"/>
    <hyperlink ref="B160" r:id="rId158"/>
    <hyperlink ref="B161" r:id="rId159"/>
    <hyperlink ref="B162" r:id="rId160"/>
    <hyperlink ref="B163" r:id="rId161"/>
    <hyperlink ref="B164" r:id="rId162"/>
    <hyperlink ref="B165" r:id="rId163"/>
    <hyperlink ref="B166" r:id="rId164"/>
    <hyperlink ref="B167" r:id="rId165"/>
    <hyperlink ref="B168" r:id="rId166"/>
    <hyperlink ref="B169" r:id="rId167"/>
    <hyperlink ref="B170" r:id="rId168"/>
    <hyperlink ref="B171" r:id="rId169"/>
    <hyperlink ref="B172" r:id="rId170"/>
    <hyperlink ref="B173" r:id="rId171"/>
    <hyperlink ref="B174" r:id="rId172"/>
    <hyperlink ref="B175" r:id="rId173"/>
    <hyperlink ref="B176" r:id="rId174"/>
    <hyperlink ref="B177" r:id="rId175"/>
    <hyperlink ref="B178" r:id="rId176"/>
    <hyperlink ref="B179" r:id="rId177"/>
    <hyperlink ref="B180" r:id="rId178"/>
    <hyperlink ref="B181" r:id="rId179"/>
    <hyperlink ref="B182" r:id="rId180"/>
    <hyperlink ref="B183" r:id="rId181"/>
    <hyperlink ref="B184" r:id="rId182"/>
    <hyperlink ref="B185" r:id="rId183"/>
    <hyperlink ref="B186" r:id="rId184"/>
    <hyperlink ref="B187" r:id="rId185"/>
    <hyperlink ref="B188" r:id="rId186"/>
    <hyperlink ref="B189" r:id="rId187"/>
    <hyperlink ref="B190" r:id="rId188"/>
    <hyperlink ref="B191" r:id="rId189"/>
    <hyperlink ref="B192" r:id="rId190"/>
    <hyperlink ref="B193" r:id="rId191"/>
    <hyperlink ref="B194" r:id="rId192"/>
  </hyperlinks>
  <pageMargins left="0.7" right="0.7" top="0.75" bottom="0.75" header="0.3" footer="0.3"/>
  <legacyDrawing r:id="rId19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Y986"/>
  <sheetViews>
    <sheetView workbookViewId="0"/>
  </sheetViews>
  <sheetFormatPr baseColWidth="10" defaultColWidth="12.5703125" defaultRowHeight="15" customHeight="1"/>
  <cols>
    <col min="1" max="1" width="40.28515625" customWidth="1"/>
  </cols>
  <sheetData>
    <row r="1" spans="1:25" ht="12.75">
      <c r="A1" s="228"/>
      <c r="B1" s="228"/>
      <c r="C1" s="228"/>
      <c r="D1" s="228"/>
      <c r="E1" s="228"/>
      <c r="F1" s="228"/>
      <c r="G1" s="228"/>
      <c r="H1" s="228"/>
      <c r="I1" s="228"/>
      <c r="J1" s="228"/>
      <c r="K1" s="228"/>
      <c r="L1" s="228"/>
      <c r="M1" s="228"/>
      <c r="N1" s="228"/>
      <c r="O1" s="228"/>
      <c r="P1" s="228"/>
      <c r="Q1" s="228"/>
      <c r="R1" s="228"/>
      <c r="S1" s="228"/>
      <c r="T1" s="228"/>
      <c r="U1" s="228"/>
      <c r="V1" s="228"/>
      <c r="W1" s="228"/>
      <c r="X1" s="228"/>
      <c r="Y1" s="228"/>
    </row>
    <row r="2" spans="1:25" ht="12.75">
      <c r="A2" s="228"/>
      <c r="B2" s="228"/>
      <c r="C2" s="228"/>
      <c r="D2" s="228"/>
      <c r="E2" s="228"/>
      <c r="F2" s="228"/>
      <c r="G2" s="228"/>
      <c r="H2" s="228"/>
      <c r="I2" s="228"/>
      <c r="J2" s="228"/>
      <c r="K2" s="228"/>
      <c r="L2" s="228"/>
      <c r="M2" s="228"/>
      <c r="N2" s="228"/>
      <c r="O2" s="228"/>
      <c r="P2" s="228"/>
      <c r="Q2" s="228"/>
      <c r="R2" s="228"/>
      <c r="S2" s="228"/>
      <c r="T2" s="228"/>
      <c r="U2" s="228"/>
      <c r="V2" s="228"/>
      <c r="W2" s="228"/>
      <c r="X2" s="228"/>
      <c r="Y2" s="228"/>
    </row>
    <row r="3" spans="1:25" ht="20.25">
      <c r="A3" s="228"/>
      <c r="B3" s="229">
        <v>2025</v>
      </c>
      <c r="C3" s="229">
        <v>2030</v>
      </c>
      <c r="D3" s="229">
        <v>2035</v>
      </c>
      <c r="E3" s="229">
        <v>2040</v>
      </c>
      <c r="F3" s="229">
        <v>2063</v>
      </c>
      <c r="G3" s="228"/>
      <c r="H3" s="228"/>
      <c r="I3" s="228"/>
      <c r="J3" s="228"/>
      <c r="K3" s="228"/>
      <c r="L3" s="228"/>
      <c r="M3" s="228"/>
      <c r="N3" s="228"/>
      <c r="O3" s="228"/>
      <c r="P3" s="228"/>
      <c r="Q3" s="228"/>
      <c r="R3" s="228"/>
      <c r="S3" s="228"/>
      <c r="T3" s="228"/>
      <c r="U3" s="228"/>
      <c r="V3" s="228"/>
      <c r="W3" s="228"/>
      <c r="X3" s="228"/>
      <c r="Y3" s="228"/>
    </row>
    <row r="4" spans="1:25" ht="18">
      <c r="A4" s="348" t="s">
        <v>432</v>
      </c>
      <c r="B4" s="349"/>
      <c r="C4" s="349"/>
      <c r="D4" s="349"/>
      <c r="E4" s="349"/>
      <c r="F4" s="350"/>
      <c r="G4" s="228"/>
      <c r="H4" s="228"/>
      <c r="I4" s="228"/>
      <c r="J4" s="228"/>
      <c r="K4" s="228"/>
      <c r="L4" s="228"/>
      <c r="M4" s="228"/>
      <c r="N4" s="228"/>
      <c r="O4" s="228"/>
      <c r="P4" s="228"/>
      <c r="Q4" s="228"/>
      <c r="R4" s="228"/>
      <c r="S4" s="228"/>
      <c r="T4" s="228"/>
      <c r="U4" s="228"/>
      <c r="V4" s="228"/>
      <c r="W4" s="228"/>
      <c r="X4" s="228"/>
      <c r="Y4" s="228"/>
    </row>
    <row r="5" spans="1:25" ht="12.75">
      <c r="A5" s="230" t="s">
        <v>433</v>
      </c>
      <c r="B5" s="231">
        <f>'Malawi-only'!$L$9</f>
        <v>4400673.5625</v>
      </c>
      <c r="C5" s="232">
        <f>'Malawi-only'!$L$14</f>
        <v>113530628.33416045</v>
      </c>
      <c r="D5" s="232">
        <f>'Malawi-only'!$L$19</f>
        <v>734805183.02040792</v>
      </c>
      <c r="E5" s="233">
        <f>'Malawi-only'!$L$24</f>
        <v>4772594918.0275793</v>
      </c>
      <c r="F5" s="234">
        <f>'Malawi-only'!$L$47</f>
        <v>57905474411.07119</v>
      </c>
      <c r="G5" s="228"/>
      <c r="H5" s="228"/>
      <c r="I5" s="228"/>
      <c r="J5" s="228"/>
      <c r="K5" s="228"/>
      <c r="L5" s="228"/>
      <c r="M5" s="228"/>
      <c r="N5" s="228"/>
      <c r="O5" s="228"/>
      <c r="P5" s="228"/>
      <c r="Q5" s="228"/>
      <c r="R5" s="228"/>
      <c r="S5" s="228"/>
      <c r="T5" s="228"/>
      <c r="U5" s="228"/>
      <c r="V5" s="228"/>
      <c r="W5" s="228"/>
      <c r="X5" s="228"/>
      <c r="Y5" s="228"/>
    </row>
    <row r="6" spans="1:25" ht="12.75">
      <c r="A6" s="235" t="s">
        <v>434</v>
      </c>
      <c r="B6" s="236">
        <f t="shared" ref="B6:F6" si="0">B5/65000000</f>
        <v>6.770267019230769E-2</v>
      </c>
      <c r="C6" s="237">
        <f t="shared" si="0"/>
        <v>1.7466250512947761</v>
      </c>
      <c r="D6" s="237">
        <f t="shared" si="0"/>
        <v>11.304695123390891</v>
      </c>
      <c r="E6" s="237">
        <f t="shared" si="0"/>
        <v>73.424537200424297</v>
      </c>
      <c r="F6" s="238">
        <f t="shared" si="0"/>
        <v>890.85345247801831</v>
      </c>
      <c r="G6" s="228"/>
      <c r="H6" s="228"/>
      <c r="I6" s="228"/>
      <c r="J6" s="228"/>
      <c r="K6" s="228"/>
      <c r="L6" s="228"/>
      <c r="M6" s="228"/>
      <c r="N6" s="228"/>
      <c r="O6" s="228"/>
      <c r="P6" s="228"/>
      <c r="Q6" s="228"/>
      <c r="R6" s="228"/>
      <c r="S6" s="228"/>
      <c r="T6" s="228"/>
      <c r="U6" s="228"/>
      <c r="V6" s="228"/>
      <c r="W6" s="228"/>
      <c r="X6" s="228"/>
      <c r="Y6" s="228"/>
    </row>
    <row r="7" spans="1:25" ht="12.75">
      <c r="A7" s="239" t="s">
        <v>435</v>
      </c>
      <c r="B7" s="240">
        <f>'Malawi-only'!$R$9</f>
        <v>19713872.8125</v>
      </c>
      <c r="C7" s="240">
        <f>'Malawi-only'!$R$14</f>
        <v>117820114.03048803</v>
      </c>
      <c r="D7" s="240">
        <f>'Malawi-only'!$R$19</f>
        <v>381314301.13042676</v>
      </c>
      <c r="E7" s="240">
        <f>'Malawi-only'!$R$24</f>
        <v>837588360.2580725</v>
      </c>
      <c r="F7" s="241">
        <f>'Malawi-only'!$R$47</f>
        <v>1768120061.8282635</v>
      </c>
      <c r="G7" s="228"/>
      <c r="H7" s="228"/>
      <c r="I7" s="228"/>
      <c r="J7" s="228"/>
      <c r="K7" s="228"/>
      <c r="L7" s="228"/>
      <c r="M7" s="228"/>
      <c r="N7" s="228"/>
      <c r="O7" s="228"/>
      <c r="P7" s="228"/>
      <c r="Q7" s="228"/>
      <c r="R7" s="228"/>
      <c r="S7" s="228"/>
      <c r="T7" s="228"/>
      <c r="U7" s="228"/>
      <c r="V7" s="228"/>
      <c r="W7" s="228"/>
      <c r="X7" s="228"/>
      <c r="Y7" s="228"/>
    </row>
    <row r="8" spans="1:25" ht="12.75">
      <c r="A8" s="242" t="s">
        <v>436</v>
      </c>
      <c r="B8" s="243">
        <f>'Malawi-only'!$V$9</f>
        <v>7.3947328983413843E-2</v>
      </c>
      <c r="C8" s="243">
        <f>'Malawi-only'!$V$14</f>
        <v>0.42453984267092054</v>
      </c>
      <c r="D8" s="243">
        <f>'Malawi-only'!$V$19</f>
        <v>1.3251067846012885</v>
      </c>
      <c r="E8" s="243">
        <f>'Malawi-only'!$V$24</f>
        <v>2.8180999357880108</v>
      </c>
      <c r="F8" s="244">
        <f>'Malawi-only'!$V$47</f>
        <v>5.4268949837004001</v>
      </c>
      <c r="G8" s="228"/>
      <c r="H8" s="228"/>
      <c r="I8" s="228"/>
      <c r="J8" s="228"/>
      <c r="K8" s="228"/>
      <c r="L8" s="228"/>
      <c r="M8" s="228"/>
      <c r="N8" s="228"/>
      <c r="O8" s="228"/>
      <c r="P8" s="228"/>
      <c r="Q8" s="228"/>
      <c r="R8" s="228"/>
      <c r="S8" s="228"/>
      <c r="T8" s="228"/>
      <c r="U8" s="228"/>
      <c r="V8" s="228"/>
      <c r="W8" s="228"/>
      <c r="X8" s="228"/>
      <c r="Y8" s="228"/>
    </row>
    <row r="9" spans="1:25" ht="12.75">
      <c r="A9" s="245" t="s">
        <v>437</v>
      </c>
      <c r="B9" s="246">
        <f t="shared" ref="B9:F9" si="1">B8*4</f>
        <v>0.29578931593365537</v>
      </c>
      <c r="C9" s="246">
        <f t="shared" si="1"/>
        <v>1.6981593706836822</v>
      </c>
      <c r="D9" s="246">
        <f t="shared" si="1"/>
        <v>5.300427138405154</v>
      </c>
      <c r="E9" s="246">
        <f t="shared" si="1"/>
        <v>11.272399743152043</v>
      </c>
      <c r="F9" s="247">
        <f t="shared" si="1"/>
        <v>21.707579934801601</v>
      </c>
      <c r="G9" s="228"/>
      <c r="H9" s="228"/>
      <c r="I9" s="228"/>
      <c r="J9" s="228"/>
      <c r="K9" s="228"/>
      <c r="L9" s="228"/>
      <c r="M9" s="228"/>
      <c r="N9" s="228"/>
      <c r="O9" s="228"/>
      <c r="P9" s="228"/>
      <c r="Q9" s="228"/>
      <c r="R9" s="228"/>
      <c r="S9" s="228"/>
      <c r="T9" s="228"/>
      <c r="U9" s="228"/>
      <c r="V9" s="228"/>
      <c r="W9" s="228"/>
      <c r="X9" s="228"/>
      <c r="Y9" s="228"/>
    </row>
    <row r="10" spans="1:25" ht="18">
      <c r="A10" s="348" t="s">
        <v>438</v>
      </c>
      <c r="B10" s="349"/>
      <c r="C10" s="349"/>
      <c r="D10" s="349"/>
      <c r="E10" s="349"/>
      <c r="F10" s="350"/>
      <c r="G10" s="228"/>
      <c r="H10" s="228"/>
      <c r="I10" s="228"/>
      <c r="J10" s="228"/>
      <c r="K10" s="228"/>
      <c r="L10" s="228"/>
      <c r="M10" s="228"/>
      <c r="N10" s="228"/>
      <c r="O10" s="228"/>
      <c r="P10" s="228"/>
      <c r="Q10" s="228"/>
      <c r="R10" s="228"/>
      <c r="S10" s="228"/>
      <c r="T10" s="228"/>
      <c r="U10" s="228"/>
      <c r="V10" s="228"/>
      <c r="W10" s="228"/>
      <c r="X10" s="228"/>
      <c r="Y10" s="228"/>
    </row>
    <row r="11" spans="1:25" ht="12.75">
      <c r="A11" s="230" t="s">
        <v>433</v>
      </c>
      <c r="B11" s="233">
        <f>'Malawi and Norway'!$L$9</f>
        <v>2833018870.8602433</v>
      </c>
      <c r="C11" s="248">
        <f>'Malawi and Norway'!$L$14</f>
        <v>13333036906.254677</v>
      </c>
      <c r="D11" s="248">
        <f>'Malawi and Norway'!$L$19</f>
        <v>16840343976.825426</v>
      </c>
      <c r="E11" s="248">
        <f>'Malawi and Norway'!$L$24</f>
        <v>20837910108.568184</v>
      </c>
      <c r="F11" s="234">
        <f>'Malawi and Norway'!$L$47</f>
        <v>73843518907.657303</v>
      </c>
      <c r="G11" s="228"/>
      <c r="H11" s="228"/>
      <c r="I11" s="228"/>
      <c r="J11" s="228"/>
      <c r="K11" s="228"/>
      <c r="L11" s="228"/>
      <c r="M11" s="228"/>
      <c r="N11" s="228"/>
      <c r="O11" s="228"/>
      <c r="P11" s="228"/>
      <c r="Q11" s="228"/>
      <c r="R11" s="228"/>
      <c r="S11" s="228"/>
      <c r="T11" s="228"/>
      <c r="U11" s="228"/>
      <c r="V11" s="228"/>
      <c r="W11" s="228"/>
      <c r="X11" s="228"/>
      <c r="Y11" s="228"/>
    </row>
    <row r="12" spans="1:25" ht="12.75">
      <c r="A12" s="235" t="s">
        <v>434</v>
      </c>
      <c r="B12" s="237">
        <f t="shared" ref="B12:F12" si="2">B11/65000000</f>
        <v>43.584905705542205</v>
      </c>
      <c r="C12" s="237">
        <f t="shared" si="2"/>
        <v>205.12364471161041</v>
      </c>
      <c r="D12" s="237">
        <f t="shared" si="2"/>
        <v>259.08221502808345</v>
      </c>
      <c r="E12" s="237">
        <f t="shared" si="2"/>
        <v>320.58323243951054</v>
      </c>
      <c r="F12" s="238">
        <f t="shared" si="2"/>
        <v>1136.0541370408816</v>
      </c>
      <c r="G12" s="228"/>
      <c r="H12" s="228"/>
      <c r="I12" s="228"/>
      <c r="J12" s="228"/>
      <c r="K12" s="228"/>
      <c r="L12" s="228"/>
      <c r="M12" s="228"/>
      <c r="N12" s="228"/>
      <c r="O12" s="228"/>
      <c r="P12" s="228"/>
      <c r="Q12" s="228"/>
      <c r="R12" s="228"/>
      <c r="S12" s="228"/>
      <c r="T12" s="228"/>
      <c r="U12" s="228"/>
      <c r="V12" s="228"/>
      <c r="W12" s="228"/>
      <c r="X12" s="228"/>
      <c r="Y12" s="228"/>
    </row>
    <row r="13" spans="1:25" ht="12.75">
      <c r="A13" s="239" t="s">
        <v>435</v>
      </c>
      <c r="B13" s="249">
        <f>'Malawi and Norway'!$R$9</f>
        <v>19713872.8125</v>
      </c>
      <c r="C13" s="240">
        <f>'Malawi and Norway'!$R$14</f>
        <v>486523475.08175814</v>
      </c>
      <c r="D13" s="240">
        <f>'Malawi and Norway'!$R$19</f>
        <v>889561276.48290396</v>
      </c>
      <c r="E13" s="250">
        <f>'Malawi and Norway'!$R$24</f>
        <v>1344565988.1544571</v>
      </c>
      <c r="F13" s="251">
        <f>'Malawi and Norway'!$R$47</f>
        <v>2262595210.0758219</v>
      </c>
      <c r="G13" s="228"/>
      <c r="H13" s="228"/>
      <c r="I13" s="228"/>
      <c r="J13" s="228"/>
      <c r="K13" s="228"/>
      <c r="L13" s="228"/>
      <c r="M13" s="228"/>
      <c r="N13" s="228"/>
      <c r="O13" s="228"/>
      <c r="P13" s="228"/>
      <c r="Q13" s="228"/>
      <c r="R13" s="228"/>
      <c r="S13" s="228"/>
      <c r="T13" s="228"/>
      <c r="U13" s="228"/>
      <c r="V13" s="228"/>
      <c r="W13" s="228"/>
      <c r="X13" s="228"/>
      <c r="Y13" s="228"/>
    </row>
    <row r="14" spans="1:25" ht="12.75">
      <c r="A14" s="242" t="s">
        <v>436</v>
      </c>
      <c r="B14" s="243">
        <f>'Malawi and Norway'!$V$9</f>
        <v>7.3947328983413843E-2</v>
      </c>
      <c r="C14" s="243">
        <f>'Malawi and Norway'!$V$14</f>
        <v>1.7530843631119815</v>
      </c>
      <c r="D14" s="243">
        <f>'Malawi and Norway'!$V$19</f>
        <v>3.0913177903151556</v>
      </c>
      <c r="E14" s="243">
        <f>'Malawi and Norway'!$V$24</f>
        <v>4.5238466825319046</v>
      </c>
      <c r="F14" s="244">
        <f>'Malawi and Norway'!$V$47</f>
        <v>6.9445886966569974</v>
      </c>
      <c r="G14" s="228"/>
      <c r="H14" s="228"/>
      <c r="I14" s="228"/>
      <c r="J14" s="228"/>
      <c r="K14" s="228"/>
      <c r="L14" s="228"/>
      <c r="M14" s="228"/>
      <c r="N14" s="228"/>
      <c r="O14" s="228"/>
      <c r="P14" s="228"/>
      <c r="Q14" s="228"/>
      <c r="R14" s="228"/>
      <c r="S14" s="228"/>
      <c r="T14" s="228"/>
      <c r="U14" s="228"/>
      <c r="V14" s="228"/>
      <c r="W14" s="228"/>
      <c r="X14" s="228"/>
      <c r="Y14" s="228"/>
    </row>
    <row r="15" spans="1:25" ht="12.75">
      <c r="A15" s="245" t="s">
        <v>437</v>
      </c>
      <c r="B15" s="246">
        <f t="shared" ref="B15:F15" si="3">B14*4</f>
        <v>0.29578931593365537</v>
      </c>
      <c r="C15" s="246">
        <f t="shared" si="3"/>
        <v>7.0123374524479258</v>
      </c>
      <c r="D15" s="246">
        <f t="shared" si="3"/>
        <v>12.365271161260623</v>
      </c>
      <c r="E15" s="246">
        <f t="shared" si="3"/>
        <v>18.095386730127618</v>
      </c>
      <c r="F15" s="247">
        <f t="shared" si="3"/>
        <v>27.77835478662799</v>
      </c>
      <c r="G15" s="228"/>
      <c r="H15" s="228"/>
      <c r="I15" s="228"/>
      <c r="J15" s="228"/>
      <c r="K15" s="228"/>
      <c r="L15" s="228"/>
      <c r="M15" s="228"/>
      <c r="N15" s="228"/>
      <c r="O15" s="228"/>
      <c r="P15" s="228"/>
      <c r="Q15" s="228"/>
      <c r="R15" s="228"/>
      <c r="S15" s="228"/>
      <c r="T15" s="228"/>
      <c r="U15" s="228"/>
      <c r="V15" s="228"/>
      <c r="W15" s="228"/>
      <c r="X15" s="228"/>
      <c r="Y15" s="228"/>
    </row>
    <row r="16" spans="1:25" ht="18">
      <c r="A16" s="348" t="s">
        <v>439</v>
      </c>
      <c r="B16" s="349"/>
      <c r="C16" s="349"/>
      <c r="D16" s="349"/>
      <c r="E16" s="349"/>
      <c r="F16" s="350"/>
      <c r="G16" s="228"/>
      <c r="H16" s="228"/>
      <c r="I16" s="228"/>
      <c r="J16" s="228"/>
      <c r="K16" s="228"/>
      <c r="L16" s="228"/>
      <c r="M16" s="228"/>
      <c r="N16" s="228"/>
      <c r="O16" s="228"/>
      <c r="P16" s="228"/>
      <c r="Q16" s="228"/>
      <c r="R16" s="228"/>
      <c r="S16" s="228"/>
      <c r="T16" s="228"/>
      <c r="U16" s="228"/>
      <c r="V16" s="228"/>
      <c r="W16" s="228"/>
      <c r="X16" s="228"/>
      <c r="Y16" s="228"/>
    </row>
    <row r="17" spans="1:25" ht="12.75">
      <c r="A17" s="230" t="s">
        <v>433</v>
      </c>
      <c r="B17" s="233">
        <f>'Malawi and Norway'!$X$9</f>
        <v>1862126115.6301217</v>
      </c>
      <c r="C17" s="248">
        <f>'Malawi and Norway'!$X$14</f>
        <v>10068087694.386904</v>
      </c>
      <c r="D17" s="248">
        <f>'Malawi and Norway'!$X$19</f>
        <v>16259367634.503658</v>
      </c>
      <c r="E17" s="248">
        <f>'Malawi and Norway'!$X$24</f>
        <v>29265275617.610352</v>
      </c>
      <c r="F17" s="234">
        <f>'Malawi and Norway'!$X$47</f>
        <v>120859182945.68085</v>
      </c>
      <c r="G17" s="252"/>
      <c r="H17" s="252"/>
      <c r="I17" s="228"/>
      <c r="J17" s="228"/>
      <c r="K17" s="228"/>
      <c r="L17" s="228"/>
      <c r="M17" s="228"/>
      <c r="N17" s="228"/>
      <c r="O17" s="228"/>
      <c r="P17" s="228"/>
      <c r="Q17" s="228"/>
      <c r="R17" s="228"/>
      <c r="S17" s="228"/>
      <c r="T17" s="228"/>
      <c r="U17" s="228"/>
      <c r="V17" s="228"/>
      <c r="W17" s="228"/>
      <c r="X17" s="228"/>
      <c r="Y17" s="228"/>
    </row>
    <row r="18" spans="1:25" ht="12.75">
      <c r="A18" s="235" t="s">
        <v>434</v>
      </c>
      <c r="B18" s="237">
        <f t="shared" ref="B18:F18" si="4">B17/65000000</f>
        <v>28.648094086617256</v>
      </c>
      <c r="C18" s="237">
        <f t="shared" si="4"/>
        <v>154.89365683672159</v>
      </c>
      <c r="D18" s="237">
        <f t="shared" si="4"/>
        <v>250.14411745390242</v>
      </c>
      <c r="E18" s="237">
        <f t="shared" si="4"/>
        <v>450.23500950169773</v>
      </c>
      <c r="F18" s="238">
        <f t="shared" si="4"/>
        <v>1859.3720453181668</v>
      </c>
      <c r="G18" s="228"/>
      <c r="H18" s="228"/>
      <c r="I18" s="228"/>
      <c r="J18" s="228"/>
      <c r="K18" s="228"/>
      <c r="L18" s="228"/>
      <c r="M18" s="228"/>
      <c r="N18" s="228"/>
      <c r="O18" s="228"/>
      <c r="P18" s="228"/>
      <c r="Q18" s="228"/>
      <c r="R18" s="228"/>
      <c r="S18" s="228"/>
      <c r="T18" s="228"/>
      <c r="U18" s="228"/>
      <c r="V18" s="228"/>
      <c r="W18" s="228"/>
      <c r="X18" s="228"/>
      <c r="Y18" s="228"/>
    </row>
    <row r="19" spans="1:25" ht="12.75">
      <c r="A19" s="239" t="s">
        <v>435</v>
      </c>
      <c r="B19" s="249">
        <f>'Malawi and Norway'!$Z$9</f>
        <v>409106298.20624995</v>
      </c>
      <c r="C19" s="240">
        <f>'Malawi and Norway'!$Z$14</f>
        <v>650546126.22261071</v>
      </c>
      <c r="D19" s="240">
        <f>'Malawi and Norway'!$Z$19</f>
        <v>854149931.17824936</v>
      </c>
      <c r="E19" s="250">
        <f>'Malawi and Norway'!$Z$24</f>
        <v>1083239313.4045615</v>
      </c>
      <c r="F19" s="251">
        <f>'Malawi and Norway'!$Z$47</f>
        <v>1646829805.6675057</v>
      </c>
      <c r="G19" s="228"/>
      <c r="H19" s="228"/>
      <c r="I19" s="228"/>
      <c r="J19" s="228"/>
      <c r="K19" s="228"/>
      <c r="L19" s="228"/>
      <c r="M19" s="228"/>
      <c r="N19" s="228"/>
      <c r="O19" s="228"/>
      <c r="P19" s="228"/>
      <c r="Q19" s="228"/>
      <c r="R19" s="228"/>
      <c r="S19" s="228"/>
      <c r="T19" s="228"/>
      <c r="U19" s="228"/>
      <c r="V19" s="228"/>
      <c r="W19" s="228"/>
      <c r="X19" s="228"/>
      <c r="Y19" s="228"/>
    </row>
    <row r="20" spans="1:25" ht="12.75">
      <c r="A20" s="242" t="s">
        <v>436</v>
      </c>
      <c r="B20" s="243">
        <f>'Malawi and Norway'!$AA$9</f>
        <v>21.570916533974525</v>
      </c>
      <c r="C20" s="243">
        <f>'Malawi and Norway'!$AA$14</f>
        <v>22.479488372118784</v>
      </c>
      <c r="D20" s="243">
        <f>'Malawi and Norway'!$AA$19</f>
        <v>22.90156872874843</v>
      </c>
      <c r="E20" s="243">
        <f>'Malawi and Norway'!$AA$24</f>
        <v>23.471303978999497</v>
      </c>
      <c r="F20" s="244">
        <f>'Malawi and Norway'!$AA$47</f>
        <v>28.270853212210621</v>
      </c>
      <c r="G20" s="228"/>
      <c r="H20" s="228"/>
      <c r="I20" s="228"/>
      <c r="J20" s="228"/>
      <c r="K20" s="228"/>
      <c r="L20" s="228"/>
      <c r="M20" s="228"/>
      <c r="N20" s="228"/>
      <c r="O20" s="228"/>
      <c r="P20" s="228"/>
      <c r="Q20" s="228"/>
      <c r="R20" s="228"/>
      <c r="S20" s="228"/>
      <c r="T20" s="228"/>
      <c r="U20" s="228"/>
      <c r="V20" s="228"/>
      <c r="W20" s="228"/>
      <c r="X20" s="228"/>
      <c r="Y20" s="228"/>
    </row>
    <row r="21" spans="1:25" ht="12.75">
      <c r="A21" s="245" t="s">
        <v>437</v>
      </c>
      <c r="B21" s="246">
        <f t="shared" ref="B21:F21" si="5">B20*4</f>
        <v>86.283666135898102</v>
      </c>
      <c r="C21" s="246">
        <f t="shared" si="5"/>
        <v>89.917953488475135</v>
      </c>
      <c r="D21" s="246">
        <f t="shared" si="5"/>
        <v>91.606274914993719</v>
      </c>
      <c r="E21" s="246">
        <f t="shared" si="5"/>
        <v>93.885215915997989</v>
      </c>
      <c r="F21" s="247">
        <f t="shared" si="5"/>
        <v>113.08341284884249</v>
      </c>
      <c r="G21" s="228"/>
      <c r="H21" s="228"/>
      <c r="I21" s="228"/>
      <c r="J21" s="228"/>
      <c r="K21" s="228"/>
      <c r="L21" s="228"/>
      <c r="M21" s="228"/>
      <c r="N21" s="228"/>
      <c r="O21" s="228"/>
      <c r="P21" s="228"/>
      <c r="Q21" s="228"/>
      <c r="R21" s="228"/>
      <c r="S21" s="228"/>
      <c r="T21" s="228"/>
      <c r="U21" s="228"/>
      <c r="V21" s="228"/>
      <c r="W21" s="228"/>
      <c r="X21" s="228"/>
      <c r="Y21" s="228"/>
    </row>
    <row r="22" spans="1:25" ht="12.75">
      <c r="A22" s="228"/>
      <c r="B22" s="228"/>
      <c r="C22" s="228"/>
      <c r="D22" s="228"/>
      <c r="E22" s="228"/>
      <c r="F22" s="228"/>
      <c r="G22" s="228"/>
      <c r="H22" s="228"/>
      <c r="I22" s="228"/>
      <c r="J22" s="228"/>
      <c r="K22" s="228"/>
      <c r="L22" s="228"/>
      <c r="M22" s="228"/>
      <c r="N22" s="228"/>
      <c r="O22" s="228"/>
      <c r="P22" s="228"/>
      <c r="Q22" s="228"/>
      <c r="R22" s="228"/>
      <c r="S22" s="228"/>
      <c r="T22" s="228"/>
      <c r="U22" s="228"/>
      <c r="V22" s="228"/>
      <c r="W22" s="228"/>
      <c r="X22" s="228"/>
      <c r="Y22" s="228"/>
    </row>
    <row r="23" spans="1:25" ht="12.75">
      <c r="A23" s="228"/>
      <c r="B23" s="228"/>
      <c r="C23" s="228"/>
      <c r="D23" s="228"/>
      <c r="E23" s="228"/>
      <c r="F23" s="228"/>
      <c r="G23" s="228"/>
      <c r="H23" s="228"/>
      <c r="I23" s="228"/>
      <c r="J23" s="228"/>
      <c r="K23" s="228"/>
      <c r="L23" s="228"/>
      <c r="M23" s="228"/>
      <c r="N23" s="228"/>
      <c r="O23" s="228"/>
      <c r="P23" s="228"/>
      <c r="Q23" s="228"/>
      <c r="R23" s="228"/>
      <c r="S23" s="228"/>
      <c r="T23" s="228"/>
      <c r="U23" s="228"/>
      <c r="V23" s="228"/>
      <c r="W23" s="228"/>
      <c r="X23" s="228"/>
      <c r="Y23" s="228"/>
    </row>
    <row r="24" spans="1:25" ht="12.75">
      <c r="A24" s="228"/>
      <c r="B24" s="228"/>
      <c r="C24" s="228"/>
      <c r="D24" s="228"/>
      <c r="E24" s="228"/>
      <c r="F24" s="228"/>
      <c r="G24" s="228"/>
      <c r="H24" s="228"/>
      <c r="I24" s="228"/>
      <c r="J24" s="228"/>
      <c r="K24" s="228"/>
      <c r="L24" s="228"/>
      <c r="M24" s="228"/>
      <c r="N24" s="228"/>
      <c r="O24" s="228"/>
      <c r="P24" s="228"/>
      <c r="Q24" s="228"/>
      <c r="R24" s="228"/>
      <c r="S24" s="228"/>
      <c r="T24" s="228"/>
      <c r="U24" s="228"/>
      <c r="V24" s="228"/>
      <c r="W24" s="228"/>
      <c r="X24" s="228"/>
      <c r="Y24" s="228"/>
    </row>
    <row r="25" spans="1:25" ht="20.25">
      <c r="A25" s="228"/>
      <c r="B25" s="229">
        <v>2025</v>
      </c>
      <c r="C25" s="229">
        <v>2030</v>
      </c>
      <c r="D25" s="229">
        <v>2035</v>
      </c>
      <c r="E25" s="229">
        <v>2040</v>
      </c>
      <c r="F25" s="229">
        <v>2063</v>
      </c>
      <c r="G25" s="228"/>
      <c r="H25" s="228"/>
      <c r="I25" s="228"/>
      <c r="J25" s="228"/>
      <c r="K25" s="228"/>
      <c r="L25" s="228"/>
      <c r="M25" s="228"/>
      <c r="N25" s="228"/>
      <c r="O25" s="228"/>
      <c r="P25" s="228"/>
      <c r="Q25" s="228"/>
      <c r="R25" s="228"/>
      <c r="S25" s="228"/>
      <c r="T25" s="228"/>
      <c r="U25" s="228"/>
      <c r="V25" s="228"/>
      <c r="W25" s="228"/>
      <c r="X25" s="228"/>
      <c r="Y25" s="228"/>
    </row>
    <row r="26" spans="1:25" ht="18">
      <c r="A26" s="348" t="s">
        <v>432</v>
      </c>
      <c r="B26" s="349"/>
      <c r="C26" s="349"/>
      <c r="D26" s="349"/>
      <c r="E26" s="349"/>
      <c r="F26" s="350"/>
      <c r="G26" s="228"/>
      <c r="H26" s="228"/>
      <c r="I26" s="228"/>
      <c r="J26" s="228"/>
      <c r="K26" s="228"/>
      <c r="L26" s="228"/>
      <c r="M26" s="228"/>
      <c r="N26" s="228"/>
      <c r="O26" s="228"/>
      <c r="P26" s="228"/>
      <c r="Q26" s="228"/>
      <c r="R26" s="228"/>
      <c r="S26" s="228"/>
      <c r="T26" s="228"/>
      <c r="U26" s="228"/>
      <c r="V26" s="228"/>
      <c r="W26" s="228"/>
      <c r="X26" s="228"/>
      <c r="Y26" s="228"/>
    </row>
    <row r="27" spans="1:25" ht="12.75">
      <c r="A27" s="242" t="s">
        <v>436</v>
      </c>
      <c r="B27" s="243">
        <f>'Malawi-only'!$V$9</f>
        <v>7.3947328983413843E-2</v>
      </c>
      <c r="C27" s="243">
        <f>'Malawi-only'!$V$14</f>
        <v>0.42453984267092054</v>
      </c>
      <c r="D27" s="243">
        <f>'Malawi-only'!$V$19</f>
        <v>1.3251067846012885</v>
      </c>
      <c r="E27" s="243">
        <f>'Malawi-only'!$V$24</f>
        <v>2.8180999357880108</v>
      </c>
      <c r="F27" s="243">
        <f>'Malawi-only'!$V$47</f>
        <v>5.4268949837004001</v>
      </c>
      <c r="G27" s="228"/>
      <c r="H27" s="228"/>
      <c r="I27" s="228"/>
      <c r="J27" s="228"/>
      <c r="K27" s="228"/>
      <c r="L27" s="228"/>
      <c r="M27" s="228"/>
      <c r="N27" s="228"/>
      <c r="O27" s="228"/>
      <c r="P27" s="228"/>
      <c r="Q27" s="228"/>
      <c r="R27" s="228"/>
      <c r="S27" s="228"/>
      <c r="T27" s="228"/>
      <c r="U27" s="228"/>
      <c r="V27" s="228"/>
      <c r="W27" s="228"/>
      <c r="X27" s="228"/>
      <c r="Y27" s="228"/>
    </row>
    <row r="28" spans="1:25" ht="12.75">
      <c r="A28" s="245" t="s">
        <v>437</v>
      </c>
      <c r="B28" s="246">
        <f t="shared" ref="B28:F28" si="6">B27*4</f>
        <v>0.29578931593365537</v>
      </c>
      <c r="C28" s="246">
        <f t="shared" si="6"/>
        <v>1.6981593706836822</v>
      </c>
      <c r="D28" s="246">
        <f t="shared" si="6"/>
        <v>5.300427138405154</v>
      </c>
      <c r="E28" s="246">
        <f t="shared" si="6"/>
        <v>11.272399743152043</v>
      </c>
      <c r="F28" s="247">
        <f t="shared" si="6"/>
        <v>21.707579934801601</v>
      </c>
      <c r="G28" s="228"/>
      <c r="H28" s="228"/>
      <c r="I28" s="228"/>
      <c r="J28" s="228"/>
      <c r="K28" s="228"/>
      <c r="L28" s="228"/>
      <c r="M28" s="228"/>
      <c r="N28" s="228"/>
      <c r="O28" s="228"/>
      <c r="P28" s="228"/>
      <c r="Q28" s="228"/>
      <c r="R28" s="228"/>
      <c r="S28" s="228"/>
      <c r="T28" s="228"/>
      <c r="U28" s="228"/>
      <c r="V28" s="228"/>
      <c r="W28" s="228"/>
      <c r="X28" s="228"/>
      <c r="Y28" s="228"/>
    </row>
    <row r="29" spans="1:25" ht="18">
      <c r="A29" s="348" t="s">
        <v>438</v>
      </c>
      <c r="B29" s="349"/>
      <c r="C29" s="349"/>
      <c r="D29" s="349"/>
      <c r="E29" s="349"/>
      <c r="F29" s="350"/>
      <c r="G29" s="228"/>
      <c r="H29" s="228"/>
      <c r="I29" s="228"/>
      <c r="J29" s="228"/>
      <c r="K29" s="228"/>
      <c r="L29" s="228"/>
      <c r="M29" s="228"/>
      <c r="N29" s="228"/>
      <c r="O29" s="228"/>
      <c r="P29" s="228"/>
      <c r="Q29" s="228"/>
      <c r="R29" s="228"/>
      <c r="S29" s="228"/>
      <c r="T29" s="228"/>
      <c r="U29" s="228"/>
      <c r="V29" s="228"/>
      <c r="W29" s="228"/>
      <c r="X29" s="228"/>
      <c r="Y29" s="228"/>
    </row>
    <row r="30" spans="1:25" ht="12.75">
      <c r="A30" s="242" t="s">
        <v>436</v>
      </c>
      <c r="B30" s="243">
        <f>'Malawi and Norway'!$V$9</f>
        <v>7.3947328983413843E-2</v>
      </c>
      <c r="C30" s="243">
        <f>'Malawi and Norway'!$V$14</f>
        <v>1.7530843631119815</v>
      </c>
      <c r="D30" s="243">
        <f>'Malawi and Norway'!$V$19</f>
        <v>3.0913177903151556</v>
      </c>
      <c r="E30" s="243">
        <f>'Malawi and Norway'!$V$24</f>
        <v>4.5238466825319046</v>
      </c>
      <c r="F30" s="243">
        <f>'Malawi and Norway'!$V$47</f>
        <v>6.9445886966569974</v>
      </c>
      <c r="G30" s="228"/>
      <c r="H30" s="228"/>
      <c r="I30" s="228"/>
      <c r="J30" s="228"/>
      <c r="K30" s="228"/>
      <c r="L30" s="228"/>
      <c r="M30" s="228"/>
      <c r="N30" s="228"/>
      <c r="O30" s="228"/>
      <c r="P30" s="228"/>
      <c r="Q30" s="228"/>
      <c r="R30" s="228"/>
      <c r="S30" s="228"/>
      <c r="T30" s="228"/>
      <c r="U30" s="228"/>
      <c r="V30" s="228"/>
      <c r="W30" s="228"/>
      <c r="X30" s="228"/>
      <c r="Y30" s="228"/>
    </row>
    <row r="31" spans="1:25" ht="12.75">
      <c r="A31" s="245" t="s">
        <v>437</v>
      </c>
      <c r="B31" s="246">
        <f t="shared" ref="B31:F31" si="7">B30*4</f>
        <v>0.29578931593365537</v>
      </c>
      <c r="C31" s="246">
        <f t="shared" si="7"/>
        <v>7.0123374524479258</v>
      </c>
      <c r="D31" s="246">
        <f t="shared" si="7"/>
        <v>12.365271161260623</v>
      </c>
      <c r="E31" s="246">
        <f t="shared" si="7"/>
        <v>18.095386730127618</v>
      </c>
      <c r="F31" s="247">
        <f t="shared" si="7"/>
        <v>27.77835478662799</v>
      </c>
      <c r="G31" s="228"/>
      <c r="H31" s="228"/>
      <c r="I31" s="228"/>
      <c r="J31" s="228"/>
      <c r="K31" s="228"/>
      <c r="L31" s="228"/>
      <c r="M31" s="228"/>
      <c r="N31" s="228"/>
      <c r="O31" s="228"/>
      <c r="P31" s="228"/>
      <c r="Q31" s="228"/>
      <c r="R31" s="228"/>
      <c r="S31" s="228"/>
      <c r="T31" s="228"/>
      <c r="U31" s="228"/>
      <c r="V31" s="228"/>
      <c r="W31" s="228"/>
      <c r="X31" s="228"/>
      <c r="Y31" s="228"/>
    </row>
    <row r="32" spans="1:25" ht="18">
      <c r="A32" s="348" t="s">
        <v>439</v>
      </c>
      <c r="B32" s="349"/>
      <c r="C32" s="349"/>
      <c r="D32" s="349"/>
      <c r="E32" s="349"/>
      <c r="F32" s="350"/>
      <c r="G32" s="228"/>
      <c r="H32" s="228"/>
      <c r="I32" s="228"/>
      <c r="J32" s="228"/>
      <c r="K32" s="228"/>
      <c r="L32" s="228"/>
      <c r="M32" s="228"/>
      <c r="N32" s="228"/>
      <c r="O32" s="228"/>
      <c r="P32" s="228"/>
      <c r="Q32" s="228"/>
      <c r="R32" s="228"/>
      <c r="S32" s="228"/>
      <c r="T32" s="228"/>
      <c r="U32" s="228"/>
      <c r="V32" s="228"/>
      <c r="W32" s="228"/>
      <c r="X32" s="228"/>
      <c r="Y32" s="228"/>
    </row>
    <row r="33" spans="1:25" ht="12.75">
      <c r="A33" s="242" t="s">
        <v>436</v>
      </c>
      <c r="B33" s="243">
        <f>'Malawi and Norway'!$AA$9</f>
        <v>21.570916533974525</v>
      </c>
      <c r="C33" s="243">
        <f>'Malawi and Norway'!$AA$14</f>
        <v>22.479488372118784</v>
      </c>
      <c r="D33" s="243">
        <f>'Malawi and Norway'!$AA$19</f>
        <v>22.90156872874843</v>
      </c>
      <c r="E33" s="243">
        <f>'Malawi and Norway'!$AA$24</f>
        <v>23.471303978999497</v>
      </c>
      <c r="F33" s="243">
        <f>'Malawi and Norway'!$AA$47</f>
        <v>28.270853212210621</v>
      </c>
      <c r="G33" s="228"/>
      <c r="H33" s="228"/>
      <c r="I33" s="228"/>
      <c r="J33" s="228"/>
      <c r="K33" s="228"/>
      <c r="L33" s="228"/>
      <c r="M33" s="228"/>
      <c r="N33" s="228"/>
      <c r="O33" s="228"/>
      <c r="P33" s="228"/>
      <c r="Q33" s="228"/>
      <c r="R33" s="228"/>
      <c r="S33" s="228"/>
      <c r="T33" s="228"/>
      <c r="U33" s="228"/>
      <c r="V33" s="228"/>
      <c r="W33" s="228"/>
      <c r="X33" s="228"/>
      <c r="Y33" s="228"/>
    </row>
    <row r="34" spans="1:25" ht="12.75">
      <c r="A34" s="245" t="s">
        <v>437</v>
      </c>
      <c r="B34" s="246">
        <f t="shared" ref="B34:F34" si="8">B33*4</f>
        <v>86.283666135898102</v>
      </c>
      <c r="C34" s="246">
        <f t="shared" si="8"/>
        <v>89.917953488475135</v>
      </c>
      <c r="D34" s="246">
        <f t="shared" si="8"/>
        <v>91.606274914993719</v>
      </c>
      <c r="E34" s="246">
        <f t="shared" si="8"/>
        <v>93.885215915997989</v>
      </c>
      <c r="F34" s="247">
        <f t="shared" si="8"/>
        <v>113.08341284884249</v>
      </c>
      <c r="G34" s="228"/>
      <c r="H34" s="228"/>
      <c r="I34" s="228"/>
      <c r="J34" s="228"/>
      <c r="K34" s="228"/>
      <c r="L34" s="228"/>
      <c r="M34" s="228"/>
      <c r="N34" s="228"/>
      <c r="O34" s="228"/>
      <c r="P34" s="228"/>
      <c r="Q34" s="228"/>
      <c r="R34" s="228"/>
      <c r="S34" s="228"/>
      <c r="T34" s="228"/>
      <c r="U34" s="228"/>
      <c r="V34" s="228"/>
      <c r="W34" s="228"/>
      <c r="X34" s="228"/>
      <c r="Y34" s="228"/>
    </row>
    <row r="35" spans="1:25" ht="12.75">
      <c r="A35" s="228"/>
      <c r="B35" s="228"/>
      <c r="C35" s="228"/>
      <c r="D35" s="228"/>
      <c r="E35" s="228"/>
      <c r="F35" s="228"/>
      <c r="G35" s="228"/>
      <c r="H35" s="228"/>
      <c r="I35" s="228"/>
      <c r="J35" s="228"/>
      <c r="K35" s="228"/>
      <c r="L35" s="228"/>
      <c r="M35" s="228"/>
      <c r="N35" s="228"/>
      <c r="O35" s="228"/>
      <c r="P35" s="228"/>
      <c r="Q35" s="228"/>
      <c r="R35" s="228"/>
      <c r="S35" s="228"/>
      <c r="T35" s="228"/>
      <c r="U35" s="228"/>
      <c r="V35" s="228"/>
      <c r="W35" s="228"/>
      <c r="X35" s="228"/>
      <c r="Y35" s="228"/>
    </row>
    <row r="36" spans="1:25" ht="12.75">
      <c r="A36" s="228"/>
      <c r="B36" s="228"/>
      <c r="C36" s="228"/>
      <c r="D36" s="228"/>
      <c r="E36" s="228"/>
      <c r="F36" s="228"/>
      <c r="G36" s="228"/>
      <c r="H36" s="228"/>
      <c r="I36" s="228"/>
      <c r="J36" s="228"/>
      <c r="K36" s="228"/>
      <c r="L36" s="228"/>
      <c r="M36" s="228"/>
      <c r="N36" s="228"/>
      <c r="O36" s="228"/>
      <c r="P36" s="228"/>
      <c r="Q36" s="228"/>
      <c r="R36" s="228"/>
      <c r="S36" s="228"/>
      <c r="T36" s="228"/>
      <c r="U36" s="228"/>
      <c r="V36" s="228"/>
      <c r="W36" s="228"/>
      <c r="X36" s="228"/>
      <c r="Y36" s="228"/>
    </row>
    <row r="37" spans="1:25" ht="20.25">
      <c r="A37" s="228"/>
      <c r="B37" s="229">
        <v>2025</v>
      </c>
      <c r="C37" s="229">
        <v>2030</v>
      </c>
      <c r="D37" s="229">
        <v>2035</v>
      </c>
      <c r="E37" s="229">
        <v>2040</v>
      </c>
      <c r="F37" s="229">
        <v>2063</v>
      </c>
      <c r="G37" s="228"/>
      <c r="H37" s="228"/>
      <c r="I37" s="228"/>
      <c r="J37" s="228"/>
      <c r="K37" s="228"/>
      <c r="L37" s="228"/>
      <c r="M37" s="228"/>
      <c r="N37" s="228"/>
      <c r="O37" s="228"/>
      <c r="P37" s="228"/>
      <c r="Q37" s="228"/>
      <c r="R37" s="228"/>
      <c r="S37" s="228"/>
      <c r="T37" s="228"/>
      <c r="U37" s="228"/>
      <c r="V37" s="228"/>
      <c r="W37" s="228"/>
      <c r="X37" s="228"/>
      <c r="Y37" s="228"/>
    </row>
    <row r="38" spans="1:25" ht="18">
      <c r="A38" s="348" t="s">
        <v>432</v>
      </c>
      <c r="B38" s="349"/>
      <c r="C38" s="349"/>
      <c r="D38" s="349"/>
      <c r="E38" s="349"/>
      <c r="F38" s="350"/>
      <c r="G38" s="228"/>
      <c r="H38" s="228"/>
      <c r="I38" s="228"/>
      <c r="J38" s="228"/>
      <c r="K38" s="228"/>
      <c r="L38" s="228"/>
      <c r="M38" s="228"/>
      <c r="N38" s="228"/>
      <c r="O38" s="228"/>
      <c r="P38" s="228"/>
      <c r="Q38" s="228"/>
      <c r="R38" s="228"/>
      <c r="S38" s="228"/>
      <c r="T38" s="228"/>
      <c r="U38" s="228"/>
      <c r="V38" s="228"/>
      <c r="W38" s="228"/>
      <c r="X38" s="228"/>
      <c r="Y38" s="228"/>
    </row>
    <row r="39" spans="1:25" ht="12.75">
      <c r="A39" s="230" t="s">
        <v>433</v>
      </c>
      <c r="B39" s="231">
        <f>'Malawi-only'!$L$9</f>
        <v>4400673.5625</v>
      </c>
      <c r="C39" s="232">
        <f>'Malawi-only'!$L$14</f>
        <v>113530628.33416045</v>
      </c>
      <c r="D39" s="232">
        <f>'Malawi-only'!$L$19</f>
        <v>734805183.02040792</v>
      </c>
      <c r="E39" s="233">
        <f>'Malawi-only'!$L$24</f>
        <v>4772594918.0275793</v>
      </c>
      <c r="F39" s="234">
        <f>'Malawi-only'!$L$47</f>
        <v>57905474411.07119</v>
      </c>
      <c r="G39" s="228"/>
      <c r="H39" s="228"/>
      <c r="I39" s="228"/>
      <c r="J39" s="228"/>
      <c r="K39" s="228"/>
      <c r="L39" s="228"/>
      <c r="M39" s="228"/>
      <c r="N39" s="228"/>
      <c r="O39" s="228"/>
      <c r="P39" s="228"/>
      <c r="Q39" s="228"/>
      <c r="R39" s="228"/>
      <c r="S39" s="228"/>
      <c r="T39" s="228"/>
      <c r="U39" s="228"/>
      <c r="V39" s="228"/>
      <c r="W39" s="228"/>
      <c r="X39" s="228"/>
      <c r="Y39" s="228"/>
    </row>
    <row r="40" spans="1:25" ht="12.75">
      <c r="A40" s="253" t="s">
        <v>434</v>
      </c>
      <c r="B40" s="254">
        <f t="shared" ref="B40:F40" si="9">B39/65000000</f>
        <v>6.770267019230769E-2</v>
      </c>
      <c r="C40" s="255">
        <f t="shared" si="9"/>
        <v>1.7466250512947761</v>
      </c>
      <c r="D40" s="255">
        <f t="shared" si="9"/>
        <v>11.304695123390891</v>
      </c>
      <c r="E40" s="255">
        <f t="shared" si="9"/>
        <v>73.424537200424297</v>
      </c>
      <c r="F40" s="256">
        <f t="shared" si="9"/>
        <v>890.85345247801831</v>
      </c>
      <c r="G40" s="228"/>
      <c r="H40" s="228"/>
      <c r="I40" s="228"/>
      <c r="J40" s="228"/>
      <c r="K40" s="228"/>
      <c r="L40" s="228"/>
      <c r="M40" s="228"/>
      <c r="N40" s="228"/>
      <c r="O40" s="228"/>
      <c r="P40" s="228"/>
      <c r="Q40" s="228"/>
      <c r="R40" s="228"/>
      <c r="S40" s="228"/>
      <c r="T40" s="228"/>
      <c r="U40" s="228"/>
      <c r="V40" s="228"/>
      <c r="W40" s="228"/>
      <c r="X40" s="228"/>
      <c r="Y40" s="228"/>
    </row>
    <row r="41" spans="1:25" ht="18">
      <c r="A41" s="348" t="s">
        <v>438</v>
      </c>
      <c r="B41" s="349"/>
      <c r="C41" s="349"/>
      <c r="D41" s="349"/>
      <c r="E41" s="349"/>
      <c r="F41" s="350"/>
      <c r="G41" s="228"/>
      <c r="H41" s="228"/>
      <c r="I41" s="228"/>
      <c r="J41" s="228"/>
      <c r="K41" s="228"/>
      <c r="L41" s="228"/>
      <c r="M41" s="228"/>
      <c r="N41" s="228"/>
      <c r="O41" s="228"/>
      <c r="P41" s="228"/>
      <c r="Q41" s="228"/>
      <c r="R41" s="228"/>
      <c r="S41" s="228"/>
      <c r="T41" s="228"/>
      <c r="U41" s="228"/>
      <c r="V41" s="228"/>
      <c r="W41" s="228"/>
      <c r="X41" s="228"/>
      <c r="Y41" s="228"/>
    </row>
    <row r="42" spans="1:25" ht="12.75">
      <c r="A42" s="230" t="s">
        <v>433</v>
      </c>
      <c r="B42" s="233">
        <f>'Malawi and Norway'!$L$9</f>
        <v>2833018870.8602433</v>
      </c>
      <c r="C42" s="248">
        <f>'Malawi and Norway'!$L$14</f>
        <v>13333036906.254677</v>
      </c>
      <c r="D42" s="248">
        <f>'Malawi and Norway'!$L$19</f>
        <v>16840343976.825426</v>
      </c>
      <c r="E42" s="248">
        <f>'Malawi and Norway'!$L$24</f>
        <v>20837910108.568184</v>
      </c>
      <c r="F42" s="234">
        <f>'Malawi and Norway'!$L$47</f>
        <v>73843518907.657303</v>
      </c>
      <c r="G42" s="228"/>
      <c r="H42" s="228"/>
      <c r="I42" s="228"/>
      <c r="J42" s="228"/>
      <c r="K42" s="228"/>
      <c r="L42" s="228"/>
      <c r="M42" s="228"/>
      <c r="N42" s="228"/>
      <c r="O42" s="228"/>
      <c r="P42" s="228"/>
      <c r="Q42" s="228"/>
      <c r="R42" s="228"/>
      <c r="S42" s="228"/>
      <c r="T42" s="228"/>
      <c r="U42" s="228"/>
      <c r="V42" s="228"/>
      <c r="W42" s="228"/>
      <c r="X42" s="228"/>
      <c r="Y42" s="228"/>
    </row>
    <row r="43" spans="1:25" ht="12.75">
      <c r="A43" s="253" t="s">
        <v>434</v>
      </c>
      <c r="B43" s="255">
        <f t="shared" ref="B43:F43" si="10">B42/65000000</f>
        <v>43.584905705542205</v>
      </c>
      <c r="C43" s="255">
        <f t="shared" si="10"/>
        <v>205.12364471161041</v>
      </c>
      <c r="D43" s="255">
        <f t="shared" si="10"/>
        <v>259.08221502808345</v>
      </c>
      <c r="E43" s="255">
        <f t="shared" si="10"/>
        <v>320.58323243951054</v>
      </c>
      <c r="F43" s="256">
        <f t="shared" si="10"/>
        <v>1136.0541370408816</v>
      </c>
      <c r="G43" s="228"/>
      <c r="H43" s="228"/>
      <c r="I43" s="228"/>
      <c r="J43" s="228"/>
      <c r="K43" s="228"/>
      <c r="L43" s="228"/>
      <c r="M43" s="228"/>
      <c r="N43" s="228"/>
      <c r="O43" s="228"/>
      <c r="P43" s="228"/>
      <c r="Q43" s="228"/>
      <c r="R43" s="228"/>
      <c r="S43" s="228"/>
      <c r="T43" s="228"/>
      <c r="U43" s="228"/>
      <c r="V43" s="228"/>
      <c r="W43" s="228"/>
      <c r="X43" s="228"/>
      <c r="Y43" s="228"/>
    </row>
    <row r="44" spans="1:25" ht="18">
      <c r="A44" s="348" t="s">
        <v>439</v>
      </c>
      <c r="B44" s="349"/>
      <c r="C44" s="349"/>
      <c r="D44" s="349"/>
      <c r="E44" s="349"/>
      <c r="F44" s="350"/>
      <c r="G44" s="228"/>
      <c r="H44" s="228"/>
      <c r="I44" s="228"/>
      <c r="J44" s="228"/>
      <c r="K44" s="228"/>
      <c r="L44" s="228"/>
      <c r="M44" s="228"/>
      <c r="N44" s="228"/>
      <c r="O44" s="228"/>
      <c r="P44" s="228"/>
      <c r="Q44" s="228"/>
      <c r="R44" s="228"/>
      <c r="S44" s="228"/>
      <c r="T44" s="228"/>
      <c r="U44" s="228"/>
      <c r="V44" s="228"/>
      <c r="W44" s="228"/>
      <c r="X44" s="228"/>
      <c r="Y44" s="228"/>
    </row>
    <row r="45" spans="1:25" ht="12.75">
      <c r="A45" s="230" t="s">
        <v>433</v>
      </c>
      <c r="B45" s="233">
        <f>'Malawi and Norway'!$X$9</f>
        <v>1862126115.6301217</v>
      </c>
      <c r="C45" s="248">
        <f>'Malawi and Norway'!$X$14</f>
        <v>10068087694.386904</v>
      </c>
      <c r="D45" s="248">
        <f>'Malawi and Norway'!$X$19</f>
        <v>16259367634.503658</v>
      </c>
      <c r="E45" s="248">
        <f>'Malawi and Norway'!$X$24</f>
        <v>29265275617.610352</v>
      </c>
      <c r="F45" s="234">
        <f>'Malawi and Norway'!$X$47</f>
        <v>120859182945.68085</v>
      </c>
      <c r="G45" s="228"/>
      <c r="H45" s="228"/>
      <c r="I45" s="228"/>
      <c r="J45" s="228"/>
      <c r="K45" s="228"/>
      <c r="L45" s="228"/>
      <c r="M45" s="228"/>
      <c r="N45" s="228"/>
      <c r="O45" s="228"/>
      <c r="P45" s="228"/>
      <c r="Q45" s="228"/>
      <c r="R45" s="228"/>
      <c r="S45" s="228"/>
      <c r="T45" s="228"/>
      <c r="U45" s="228"/>
      <c r="V45" s="228"/>
      <c r="W45" s="228"/>
      <c r="X45" s="228"/>
      <c r="Y45" s="228"/>
    </row>
    <row r="46" spans="1:25" ht="12.75">
      <c r="A46" s="253" t="s">
        <v>434</v>
      </c>
      <c r="B46" s="255">
        <f t="shared" ref="B46:F46" si="11">B45/65000000</f>
        <v>28.648094086617256</v>
      </c>
      <c r="C46" s="255">
        <f t="shared" si="11"/>
        <v>154.89365683672159</v>
      </c>
      <c r="D46" s="255">
        <f t="shared" si="11"/>
        <v>250.14411745390242</v>
      </c>
      <c r="E46" s="255">
        <f t="shared" si="11"/>
        <v>450.23500950169773</v>
      </c>
      <c r="F46" s="256">
        <f t="shared" si="11"/>
        <v>1859.3720453181668</v>
      </c>
      <c r="G46" s="228"/>
      <c r="H46" s="228"/>
      <c r="I46" s="228"/>
      <c r="J46" s="228"/>
      <c r="K46" s="228"/>
      <c r="L46" s="228"/>
      <c r="M46" s="228"/>
      <c r="N46" s="228"/>
      <c r="O46" s="228"/>
      <c r="P46" s="228"/>
      <c r="Q46" s="228"/>
      <c r="R46" s="228"/>
      <c r="S46" s="228"/>
      <c r="T46" s="228"/>
      <c r="U46" s="228"/>
      <c r="V46" s="228"/>
      <c r="W46" s="228"/>
      <c r="X46" s="228"/>
      <c r="Y46" s="228"/>
    </row>
    <row r="47" spans="1:25" ht="12.75">
      <c r="A47" s="228"/>
      <c r="B47" s="228"/>
      <c r="C47" s="228"/>
      <c r="D47" s="228"/>
      <c r="E47" s="228"/>
      <c r="F47" s="228"/>
      <c r="G47" s="228"/>
      <c r="H47" s="228"/>
      <c r="I47" s="228"/>
      <c r="J47" s="228"/>
      <c r="K47" s="228"/>
      <c r="L47" s="228"/>
      <c r="M47" s="228"/>
      <c r="N47" s="228"/>
      <c r="O47" s="228"/>
      <c r="P47" s="228"/>
      <c r="Q47" s="228"/>
      <c r="R47" s="228"/>
      <c r="S47" s="228"/>
      <c r="T47" s="228"/>
      <c r="U47" s="228"/>
      <c r="V47" s="228"/>
      <c r="W47" s="228"/>
      <c r="X47" s="228"/>
      <c r="Y47" s="228"/>
    </row>
    <row r="48" spans="1:25" ht="12.75">
      <c r="A48" s="228"/>
      <c r="B48" s="228"/>
      <c r="C48" s="228"/>
      <c r="D48" s="228"/>
      <c r="E48" s="228"/>
      <c r="F48" s="228"/>
      <c r="G48" s="228"/>
      <c r="H48" s="228"/>
      <c r="I48" s="228"/>
      <c r="J48" s="228"/>
      <c r="K48" s="228"/>
      <c r="L48" s="228"/>
      <c r="M48" s="228"/>
      <c r="N48" s="228"/>
      <c r="O48" s="228"/>
      <c r="P48" s="228"/>
      <c r="Q48" s="228"/>
      <c r="R48" s="228"/>
      <c r="S48" s="228"/>
      <c r="T48" s="228"/>
      <c r="U48" s="228"/>
      <c r="V48" s="228"/>
      <c r="W48" s="228"/>
      <c r="X48" s="228"/>
      <c r="Y48" s="228"/>
    </row>
    <row r="49" spans="1:25" ht="20.25">
      <c r="A49" s="228"/>
      <c r="B49" s="257">
        <v>2025</v>
      </c>
      <c r="C49" s="257">
        <v>2030</v>
      </c>
      <c r="D49" s="257">
        <v>2035</v>
      </c>
      <c r="E49" s="257">
        <v>2040</v>
      </c>
      <c r="F49" s="257">
        <v>2063</v>
      </c>
      <c r="G49" s="228"/>
      <c r="H49" s="228"/>
      <c r="I49" s="228"/>
      <c r="J49" s="228"/>
      <c r="K49" s="228"/>
      <c r="L49" s="228"/>
      <c r="M49" s="228"/>
      <c r="N49" s="228"/>
      <c r="O49" s="228"/>
      <c r="P49" s="228"/>
      <c r="Q49" s="228"/>
      <c r="R49" s="228"/>
      <c r="S49" s="228"/>
      <c r="T49" s="228"/>
      <c r="U49" s="228"/>
      <c r="V49" s="228"/>
      <c r="W49" s="228"/>
      <c r="X49" s="228"/>
      <c r="Y49" s="228"/>
    </row>
    <row r="50" spans="1:25" ht="18">
      <c r="A50" s="348" t="s">
        <v>432</v>
      </c>
      <c r="B50" s="349"/>
      <c r="C50" s="349"/>
      <c r="D50" s="349"/>
      <c r="E50" s="349"/>
      <c r="F50" s="350"/>
      <c r="G50" s="228"/>
      <c r="H50" s="228"/>
      <c r="I50" s="228"/>
      <c r="J50" s="228"/>
      <c r="K50" s="228"/>
      <c r="L50" s="228"/>
      <c r="M50" s="228"/>
      <c r="N50" s="228"/>
      <c r="O50" s="228"/>
      <c r="P50" s="228"/>
      <c r="Q50" s="228"/>
      <c r="R50" s="228"/>
      <c r="S50" s="228"/>
      <c r="T50" s="228"/>
      <c r="U50" s="228"/>
      <c r="V50" s="228"/>
      <c r="W50" s="228"/>
      <c r="X50" s="228"/>
      <c r="Y50" s="228"/>
    </row>
    <row r="51" spans="1:25" ht="12.75">
      <c r="A51" s="230" t="s">
        <v>433</v>
      </c>
      <c r="B51" s="231">
        <f>'Malawi-only'!$L$9</f>
        <v>4400673.5625</v>
      </c>
      <c r="C51" s="232">
        <f>'Malawi-only'!$L$14</f>
        <v>113530628.33416045</v>
      </c>
      <c r="D51" s="232">
        <f>'Malawi-only'!$L$19</f>
        <v>734805183.02040792</v>
      </c>
      <c r="E51" s="233">
        <f>'Malawi-only'!$L$24</f>
        <v>4772594918.0275793</v>
      </c>
      <c r="F51" s="234">
        <f>'Malawi-only'!$L$47</f>
        <v>57905474411.07119</v>
      </c>
      <c r="G51" s="228"/>
      <c r="H51" s="228"/>
      <c r="I51" s="228"/>
      <c r="J51" s="228"/>
      <c r="K51" s="228"/>
      <c r="L51" s="228"/>
      <c r="M51" s="228"/>
      <c r="N51" s="228"/>
      <c r="O51" s="228"/>
      <c r="P51" s="228"/>
      <c r="Q51" s="228"/>
      <c r="R51" s="228"/>
      <c r="S51" s="228"/>
      <c r="T51" s="228"/>
      <c r="U51" s="228"/>
      <c r="V51" s="228"/>
      <c r="W51" s="228"/>
      <c r="X51" s="228"/>
      <c r="Y51" s="228"/>
    </row>
    <row r="52" spans="1:25" ht="12.75">
      <c r="A52" s="235" t="s">
        <v>434</v>
      </c>
      <c r="B52" s="236">
        <f t="shared" ref="B52:F52" si="12">B51/65000000</f>
        <v>6.770267019230769E-2</v>
      </c>
      <c r="C52" s="237">
        <f t="shared" si="12"/>
        <v>1.7466250512947761</v>
      </c>
      <c r="D52" s="237">
        <f t="shared" si="12"/>
        <v>11.304695123390891</v>
      </c>
      <c r="E52" s="237">
        <f t="shared" si="12"/>
        <v>73.424537200424297</v>
      </c>
      <c r="F52" s="238">
        <f t="shared" si="12"/>
        <v>890.85345247801831</v>
      </c>
      <c r="G52" s="228"/>
      <c r="H52" s="228"/>
      <c r="I52" s="228"/>
      <c r="J52" s="228"/>
      <c r="K52" s="228"/>
      <c r="L52" s="228"/>
      <c r="M52" s="228"/>
      <c r="N52" s="228"/>
      <c r="O52" s="228"/>
      <c r="P52" s="228"/>
      <c r="Q52" s="228"/>
      <c r="R52" s="228"/>
      <c r="S52" s="228"/>
      <c r="T52" s="228"/>
      <c r="U52" s="228"/>
      <c r="V52" s="228"/>
      <c r="W52" s="228"/>
      <c r="X52" s="228"/>
      <c r="Y52" s="228"/>
    </row>
    <row r="53" spans="1:25" ht="12.75">
      <c r="A53" s="258" t="s">
        <v>440</v>
      </c>
      <c r="B53" s="259">
        <f>(B52*100740000)/'Malawi-only'!$A$3</f>
        <v>0.30700081720719358</v>
      </c>
      <c r="C53" s="260">
        <f>(C52*100740000)/'Malawi-only'!$A$3</f>
        <v>7.9201502182845491</v>
      </c>
      <c r="D53" s="260">
        <f>(D52*100740000)/'Malawi-only'!$A$3</f>
        <v>51.261650852191941</v>
      </c>
      <c r="E53" s="260">
        <f>(E52*100740000)/'Malawi-only'!$A$3</f>
        <v>332.94688170439952</v>
      </c>
      <c r="F53" s="261">
        <f>(F52*100740000)/'Malawi-only'!$A$3</f>
        <v>4039.6152344619836</v>
      </c>
      <c r="G53" s="228"/>
      <c r="H53" s="228"/>
      <c r="I53" s="228"/>
      <c r="J53" s="228"/>
      <c r="K53" s="228"/>
      <c r="L53" s="228"/>
      <c r="M53" s="228"/>
      <c r="N53" s="228"/>
      <c r="O53" s="228"/>
      <c r="P53" s="228"/>
      <c r="Q53" s="228"/>
      <c r="R53" s="228"/>
      <c r="S53" s="228"/>
      <c r="T53" s="228"/>
      <c r="U53" s="228"/>
      <c r="V53" s="228"/>
      <c r="W53" s="228"/>
      <c r="X53" s="228"/>
      <c r="Y53" s="228"/>
    </row>
    <row r="54" spans="1:25" ht="18">
      <c r="A54" s="348" t="s">
        <v>438</v>
      </c>
      <c r="B54" s="349"/>
      <c r="C54" s="349"/>
      <c r="D54" s="349"/>
      <c r="E54" s="349"/>
      <c r="F54" s="350"/>
      <c r="G54" s="228"/>
      <c r="H54" s="228"/>
      <c r="I54" s="228"/>
      <c r="J54" s="228"/>
      <c r="K54" s="228"/>
      <c r="L54" s="228"/>
      <c r="M54" s="228"/>
      <c r="N54" s="228"/>
      <c r="O54" s="228"/>
      <c r="P54" s="228"/>
      <c r="Q54" s="228"/>
      <c r="R54" s="228"/>
      <c r="S54" s="228"/>
      <c r="T54" s="228"/>
      <c r="U54" s="228"/>
      <c r="V54" s="228"/>
      <c r="W54" s="228"/>
      <c r="X54" s="228"/>
      <c r="Y54" s="228"/>
    </row>
    <row r="55" spans="1:25" ht="12.75">
      <c r="A55" s="230" t="s">
        <v>433</v>
      </c>
      <c r="B55" s="233">
        <f>'Malawi and Norway'!$L$9</f>
        <v>2833018870.8602433</v>
      </c>
      <c r="C55" s="248">
        <f>'Malawi and Norway'!$L$14</f>
        <v>13333036906.254677</v>
      </c>
      <c r="D55" s="248">
        <f>'Malawi and Norway'!$L$19</f>
        <v>16840343976.825426</v>
      </c>
      <c r="E55" s="248">
        <f>'Malawi and Norway'!$L$24</f>
        <v>20837910108.568184</v>
      </c>
      <c r="F55" s="234">
        <f>'Malawi and Norway'!$L$47</f>
        <v>73843518907.657303</v>
      </c>
      <c r="G55" s="228"/>
      <c r="H55" s="228"/>
      <c r="I55" s="228"/>
      <c r="J55" s="228"/>
      <c r="K55" s="228"/>
      <c r="L55" s="228"/>
      <c r="M55" s="228"/>
      <c r="N55" s="228"/>
      <c r="O55" s="228"/>
      <c r="P55" s="228"/>
      <c r="Q55" s="228"/>
      <c r="R55" s="228"/>
      <c r="S55" s="228"/>
      <c r="T55" s="228"/>
      <c r="U55" s="228"/>
      <c r="V55" s="228"/>
      <c r="W55" s="228"/>
      <c r="X55" s="228"/>
      <c r="Y55" s="228"/>
    </row>
    <row r="56" spans="1:25" ht="12.75">
      <c r="A56" s="235" t="s">
        <v>434</v>
      </c>
      <c r="B56" s="237">
        <f t="shared" ref="B56:F56" si="13">B55/65000000</f>
        <v>43.584905705542205</v>
      </c>
      <c r="C56" s="237">
        <f t="shared" si="13"/>
        <v>205.12364471161041</v>
      </c>
      <c r="D56" s="237">
        <f t="shared" si="13"/>
        <v>259.08221502808345</v>
      </c>
      <c r="E56" s="237">
        <f t="shared" si="13"/>
        <v>320.58323243951054</v>
      </c>
      <c r="F56" s="238">
        <f t="shared" si="13"/>
        <v>1136.0541370408816</v>
      </c>
      <c r="G56" s="228"/>
      <c r="H56" s="228"/>
      <c r="I56" s="228"/>
      <c r="J56" s="228"/>
      <c r="K56" s="228"/>
      <c r="L56" s="228"/>
      <c r="M56" s="228"/>
      <c r="N56" s="228"/>
      <c r="O56" s="228"/>
      <c r="P56" s="228"/>
      <c r="Q56" s="228"/>
      <c r="R56" s="228"/>
      <c r="S56" s="228"/>
      <c r="T56" s="228"/>
      <c r="U56" s="228"/>
      <c r="V56" s="228"/>
      <c r="W56" s="228"/>
      <c r="X56" s="228"/>
      <c r="Y56" s="228"/>
    </row>
    <row r="57" spans="1:25" ht="12.75">
      <c r="A57" s="258" t="s">
        <v>440</v>
      </c>
      <c r="B57" s="260">
        <f>(B56*100740000)/'Malawi-only'!$A$3</f>
        <v>197.63772435404209</v>
      </c>
      <c r="C57" s="260">
        <f>(C56*100740000)/'Malawi-only'!$A$3</f>
        <v>930.14243568398217</v>
      </c>
      <c r="D57" s="260">
        <f>(D56*100740000)/'Malawi-only'!$A$3</f>
        <v>1174.8200109618208</v>
      </c>
      <c r="E57" s="260">
        <f>(E56*100740000)/'Malawi-only'!$A$3</f>
        <v>1453.6991534055583</v>
      </c>
      <c r="F57" s="261">
        <f>(F56*100740000)/'Malawi-only'!$A$3</f>
        <v>5151.4888182769273</v>
      </c>
      <c r="G57" s="228"/>
      <c r="H57" s="228"/>
      <c r="I57" s="228"/>
      <c r="J57" s="228"/>
      <c r="K57" s="228"/>
      <c r="L57" s="228"/>
      <c r="M57" s="228"/>
      <c r="N57" s="228"/>
      <c r="O57" s="228"/>
      <c r="P57" s="228"/>
      <c r="Q57" s="228"/>
      <c r="R57" s="228"/>
      <c r="S57" s="228"/>
      <c r="T57" s="228"/>
      <c r="U57" s="228"/>
      <c r="V57" s="228"/>
      <c r="W57" s="228"/>
      <c r="X57" s="228"/>
      <c r="Y57" s="228"/>
    </row>
    <row r="58" spans="1:25" ht="18">
      <c r="A58" s="348" t="s">
        <v>439</v>
      </c>
      <c r="B58" s="349"/>
      <c r="C58" s="349"/>
      <c r="D58" s="349"/>
      <c r="E58" s="349"/>
      <c r="F58" s="350"/>
      <c r="G58" s="228"/>
      <c r="H58" s="228"/>
      <c r="I58" s="228"/>
      <c r="J58" s="228"/>
      <c r="K58" s="228"/>
      <c r="L58" s="228"/>
      <c r="M58" s="228"/>
      <c r="N58" s="228"/>
      <c r="O58" s="228"/>
      <c r="P58" s="228"/>
      <c r="Q58" s="228"/>
      <c r="R58" s="228"/>
      <c r="S58" s="228"/>
      <c r="T58" s="228"/>
      <c r="U58" s="228"/>
      <c r="V58" s="228"/>
      <c r="W58" s="228"/>
      <c r="X58" s="228"/>
      <c r="Y58" s="228"/>
    </row>
    <row r="59" spans="1:25" ht="12.75">
      <c r="A59" s="230" t="s">
        <v>433</v>
      </c>
      <c r="B59" s="233">
        <f>'Malawi and Norway'!$X$9</f>
        <v>1862126115.6301217</v>
      </c>
      <c r="C59" s="248">
        <f>'Malawi and Norway'!$X$14</f>
        <v>10068087694.386904</v>
      </c>
      <c r="D59" s="248">
        <f>'Malawi and Norway'!$X$19</f>
        <v>16259367634.503658</v>
      </c>
      <c r="E59" s="248">
        <f>'Malawi and Norway'!$X$24</f>
        <v>29265275617.610352</v>
      </c>
      <c r="F59" s="234">
        <f>'Malawi and Norway'!$X$47</f>
        <v>120859182945.68085</v>
      </c>
      <c r="G59" s="228"/>
      <c r="H59" s="228"/>
      <c r="I59" s="228"/>
      <c r="J59" s="228"/>
      <c r="K59" s="228"/>
      <c r="L59" s="228"/>
      <c r="M59" s="228"/>
      <c r="N59" s="228"/>
      <c r="O59" s="228"/>
      <c r="P59" s="228"/>
      <c r="Q59" s="228"/>
      <c r="R59" s="228"/>
      <c r="S59" s="228"/>
      <c r="T59" s="228"/>
      <c r="U59" s="228"/>
      <c r="V59" s="228"/>
      <c r="W59" s="228"/>
      <c r="X59" s="228"/>
      <c r="Y59" s="228"/>
    </row>
    <row r="60" spans="1:25" ht="12.75">
      <c r="A60" s="235" t="s">
        <v>434</v>
      </c>
      <c r="B60" s="237">
        <f t="shared" ref="B60:F60" si="14">B59/65000000</f>
        <v>28.648094086617256</v>
      </c>
      <c r="C60" s="237">
        <f t="shared" si="14"/>
        <v>154.89365683672159</v>
      </c>
      <c r="D60" s="237">
        <f t="shared" si="14"/>
        <v>250.14411745390242</v>
      </c>
      <c r="E60" s="237">
        <f t="shared" si="14"/>
        <v>450.23500950169773</v>
      </c>
      <c r="F60" s="238">
        <f t="shared" si="14"/>
        <v>1859.3720453181668</v>
      </c>
      <c r="G60" s="228"/>
      <c r="H60" s="228"/>
      <c r="I60" s="228"/>
      <c r="J60" s="228"/>
      <c r="K60" s="228"/>
      <c r="L60" s="228"/>
      <c r="M60" s="228"/>
      <c r="N60" s="228"/>
      <c r="O60" s="228"/>
      <c r="P60" s="228"/>
      <c r="Q60" s="228"/>
      <c r="R60" s="228"/>
      <c r="S60" s="228"/>
      <c r="T60" s="228"/>
      <c r="U60" s="228"/>
      <c r="V60" s="228"/>
      <c r="W60" s="228"/>
      <c r="X60" s="228"/>
      <c r="Y60" s="228"/>
    </row>
    <row r="61" spans="1:25" ht="12.75">
      <c r="A61" s="262" t="s">
        <v>440</v>
      </c>
      <c r="B61" s="263">
        <f>(B60*100740000)/'Malawi-only'!$A$3</f>
        <v>129.90607713164235</v>
      </c>
      <c r="C61" s="263">
        <f>(C60*100740000)/'Malawi-only'!$A$3</f>
        <v>702.37228596763669</v>
      </c>
      <c r="D61" s="263">
        <f>(D60*100740000)/'Malawi-only'!$A$3</f>
        <v>1134.2898036338536</v>
      </c>
      <c r="E61" s="263">
        <f>(E60*100740000)/'Malawi-only'!$A$3</f>
        <v>2041.6109949532604</v>
      </c>
      <c r="F61" s="264">
        <f>(F60*100740000)/'Malawi-only'!$A$3</f>
        <v>8431.4065572814743</v>
      </c>
      <c r="G61" s="228"/>
      <c r="H61" s="228"/>
      <c r="I61" s="228"/>
      <c r="J61" s="228"/>
      <c r="K61" s="228"/>
      <c r="L61" s="228"/>
      <c r="M61" s="228"/>
      <c r="N61" s="228"/>
      <c r="O61" s="228"/>
      <c r="P61" s="228"/>
      <c r="Q61" s="228"/>
      <c r="R61" s="228"/>
      <c r="S61" s="228"/>
      <c r="T61" s="228"/>
      <c r="U61" s="228"/>
      <c r="V61" s="228"/>
      <c r="W61" s="228"/>
      <c r="X61" s="228"/>
      <c r="Y61" s="228"/>
    </row>
    <row r="62" spans="1:25" ht="12.75">
      <c r="A62" s="228"/>
      <c r="B62" s="228"/>
      <c r="C62" s="228"/>
      <c r="D62" s="228"/>
      <c r="E62" s="228"/>
      <c r="F62" s="228"/>
      <c r="G62" s="228"/>
      <c r="H62" s="228"/>
      <c r="I62" s="228"/>
      <c r="J62" s="228"/>
      <c r="K62" s="228"/>
      <c r="L62" s="228"/>
      <c r="M62" s="228"/>
      <c r="N62" s="228"/>
      <c r="O62" s="228"/>
      <c r="P62" s="228"/>
      <c r="Q62" s="228"/>
      <c r="R62" s="228"/>
      <c r="S62" s="228"/>
      <c r="T62" s="228"/>
      <c r="U62" s="228"/>
      <c r="V62" s="228"/>
      <c r="W62" s="228"/>
      <c r="X62" s="228"/>
      <c r="Y62" s="228"/>
    </row>
    <row r="63" spans="1:25" ht="73.5" customHeight="1">
      <c r="A63" s="351" t="s">
        <v>441</v>
      </c>
      <c r="B63" s="346"/>
      <c r="C63" s="346"/>
      <c r="D63" s="346"/>
      <c r="E63" s="346"/>
      <c r="F63" s="346"/>
      <c r="G63" s="228"/>
      <c r="H63" s="228"/>
      <c r="I63" s="228"/>
      <c r="J63" s="228"/>
      <c r="K63" s="228"/>
      <c r="L63" s="228"/>
      <c r="M63" s="228"/>
      <c r="N63" s="228"/>
      <c r="O63" s="228"/>
      <c r="P63" s="228"/>
      <c r="Q63" s="228"/>
      <c r="R63" s="228"/>
      <c r="S63" s="228"/>
      <c r="T63" s="228"/>
      <c r="U63" s="228"/>
      <c r="V63" s="228"/>
      <c r="W63" s="228"/>
      <c r="X63" s="228"/>
      <c r="Y63" s="228"/>
    </row>
    <row r="64" spans="1:25" ht="12.75">
      <c r="A64" s="228"/>
      <c r="B64" s="228"/>
      <c r="C64" s="228"/>
      <c r="D64" s="228"/>
      <c r="E64" s="228"/>
      <c r="F64" s="228"/>
      <c r="G64" s="228"/>
      <c r="H64" s="228"/>
      <c r="I64" s="228"/>
      <c r="J64" s="228"/>
      <c r="K64" s="228"/>
      <c r="L64" s="228"/>
      <c r="M64" s="228"/>
      <c r="N64" s="228"/>
      <c r="O64" s="228"/>
      <c r="P64" s="228"/>
      <c r="Q64" s="228"/>
      <c r="R64" s="228"/>
      <c r="S64" s="228"/>
      <c r="T64" s="228"/>
      <c r="U64" s="228"/>
      <c r="V64" s="228"/>
      <c r="W64" s="228"/>
      <c r="X64" s="228"/>
      <c r="Y64" s="228"/>
    </row>
    <row r="65" spans="1:25" ht="12.75">
      <c r="A65" s="228"/>
      <c r="B65" s="228"/>
      <c r="C65" s="228"/>
      <c r="D65" s="228"/>
      <c r="E65" s="228"/>
      <c r="F65" s="228"/>
      <c r="G65" s="228"/>
      <c r="H65" s="228"/>
      <c r="I65" s="228"/>
      <c r="J65" s="228"/>
      <c r="K65" s="228"/>
      <c r="L65" s="228"/>
      <c r="M65" s="228"/>
      <c r="N65" s="228"/>
      <c r="O65" s="228"/>
      <c r="P65" s="228"/>
      <c r="Q65" s="228"/>
      <c r="R65" s="228"/>
      <c r="S65" s="228"/>
      <c r="T65" s="228"/>
      <c r="U65" s="228"/>
      <c r="V65" s="228"/>
      <c r="W65" s="228"/>
      <c r="X65" s="228"/>
      <c r="Y65" s="228"/>
    </row>
    <row r="66" spans="1:25" ht="12.75">
      <c r="A66" s="228"/>
      <c r="B66" s="228"/>
      <c r="C66" s="228"/>
      <c r="D66" s="228"/>
      <c r="E66" s="228"/>
      <c r="F66" s="228"/>
      <c r="G66" s="228"/>
      <c r="H66" s="228"/>
      <c r="I66" s="228"/>
      <c r="J66" s="228"/>
      <c r="K66" s="228"/>
      <c r="L66" s="228"/>
      <c r="M66" s="228"/>
      <c r="N66" s="228"/>
      <c r="O66" s="228"/>
      <c r="P66" s="228"/>
      <c r="Q66" s="228"/>
      <c r="R66" s="228"/>
      <c r="S66" s="228"/>
      <c r="T66" s="228"/>
      <c r="U66" s="228"/>
      <c r="V66" s="228"/>
      <c r="W66" s="228"/>
      <c r="X66" s="228"/>
      <c r="Y66" s="228"/>
    </row>
    <row r="67" spans="1:25" ht="12.75">
      <c r="A67" s="228"/>
      <c r="B67" s="228"/>
      <c r="C67" s="228"/>
      <c r="D67" s="228"/>
      <c r="E67" s="228"/>
      <c r="F67" s="228"/>
      <c r="G67" s="228"/>
      <c r="H67" s="228"/>
      <c r="I67" s="228"/>
      <c r="J67" s="228"/>
      <c r="K67" s="228"/>
      <c r="L67" s="228"/>
      <c r="M67" s="228"/>
      <c r="N67" s="228"/>
      <c r="O67" s="228"/>
      <c r="P67" s="228"/>
      <c r="Q67" s="228"/>
      <c r="R67" s="228"/>
      <c r="S67" s="228"/>
      <c r="T67" s="228"/>
      <c r="U67" s="228"/>
      <c r="V67" s="228"/>
      <c r="W67" s="228"/>
      <c r="X67" s="228"/>
      <c r="Y67" s="228"/>
    </row>
    <row r="68" spans="1:25" ht="12.75">
      <c r="A68" s="228"/>
      <c r="B68" s="228"/>
      <c r="C68" s="228"/>
      <c r="D68" s="228"/>
      <c r="E68" s="228"/>
      <c r="F68" s="228"/>
      <c r="G68" s="228"/>
      <c r="H68" s="228"/>
      <c r="I68" s="228"/>
      <c r="J68" s="228"/>
      <c r="K68" s="228"/>
      <c r="L68" s="228"/>
      <c r="M68" s="228"/>
      <c r="N68" s="228"/>
      <c r="O68" s="228"/>
      <c r="P68" s="228"/>
      <c r="Q68" s="228"/>
      <c r="R68" s="228"/>
      <c r="S68" s="228"/>
      <c r="T68" s="228"/>
      <c r="U68" s="228"/>
      <c r="V68" s="228"/>
      <c r="W68" s="228"/>
      <c r="X68" s="228"/>
      <c r="Y68" s="228"/>
    </row>
    <row r="69" spans="1:25" ht="12.75">
      <c r="A69" s="228"/>
      <c r="B69" s="228"/>
      <c r="C69" s="228"/>
      <c r="D69" s="228"/>
      <c r="E69" s="228"/>
      <c r="F69" s="228"/>
      <c r="G69" s="228"/>
      <c r="H69" s="228"/>
      <c r="I69" s="228"/>
      <c r="J69" s="228"/>
      <c r="K69" s="228"/>
      <c r="L69" s="228"/>
      <c r="M69" s="228"/>
      <c r="N69" s="228"/>
      <c r="O69" s="228"/>
      <c r="P69" s="228"/>
      <c r="Q69" s="228"/>
      <c r="R69" s="228"/>
      <c r="S69" s="228"/>
      <c r="T69" s="228"/>
      <c r="U69" s="228"/>
      <c r="V69" s="228"/>
      <c r="W69" s="228"/>
      <c r="X69" s="228"/>
      <c r="Y69" s="228"/>
    </row>
    <row r="70" spans="1:25" ht="12.75">
      <c r="A70" s="228"/>
      <c r="B70" s="228"/>
      <c r="C70" s="228"/>
      <c r="D70" s="228"/>
      <c r="E70" s="228"/>
      <c r="F70" s="228"/>
      <c r="G70" s="228"/>
      <c r="H70" s="228"/>
      <c r="I70" s="228"/>
      <c r="J70" s="228"/>
      <c r="K70" s="228"/>
      <c r="L70" s="228"/>
      <c r="M70" s="228"/>
      <c r="N70" s="228"/>
      <c r="O70" s="228"/>
      <c r="P70" s="228"/>
      <c r="Q70" s="228"/>
      <c r="R70" s="228"/>
      <c r="S70" s="228"/>
      <c r="T70" s="228"/>
      <c r="U70" s="228"/>
      <c r="V70" s="228"/>
      <c r="W70" s="228"/>
      <c r="X70" s="228"/>
      <c r="Y70" s="228"/>
    </row>
    <row r="71" spans="1:25" ht="12.75">
      <c r="A71" s="228"/>
      <c r="B71" s="228"/>
      <c r="C71" s="228"/>
      <c r="D71" s="228"/>
      <c r="E71" s="228"/>
      <c r="F71" s="228"/>
      <c r="G71" s="228"/>
      <c r="H71" s="228"/>
      <c r="I71" s="228"/>
      <c r="J71" s="228"/>
      <c r="K71" s="228"/>
      <c r="L71" s="228"/>
      <c r="M71" s="228"/>
      <c r="N71" s="228"/>
      <c r="O71" s="228"/>
      <c r="P71" s="228"/>
      <c r="Q71" s="228"/>
      <c r="R71" s="228"/>
      <c r="S71" s="228"/>
      <c r="T71" s="228"/>
      <c r="U71" s="228"/>
      <c r="V71" s="228"/>
      <c r="W71" s="228"/>
      <c r="X71" s="228"/>
      <c r="Y71" s="228"/>
    </row>
    <row r="72" spans="1:25" ht="12.75">
      <c r="A72" s="228"/>
      <c r="B72" s="228"/>
      <c r="C72" s="228"/>
      <c r="D72" s="228"/>
      <c r="E72" s="228"/>
      <c r="F72" s="228"/>
      <c r="G72" s="228"/>
      <c r="H72" s="228"/>
      <c r="I72" s="228"/>
      <c r="J72" s="228"/>
      <c r="K72" s="228"/>
      <c r="L72" s="228"/>
      <c r="M72" s="228"/>
      <c r="N72" s="228"/>
      <c r="O72" s="228"/>
      <c r="P72" s="228"/>
      <c r="Q72" s="228"/>
      <c r="R72" s="228"/>
      <c r="S72" s="228"/>
      <c r="T72" s="228"/>
      <c r="U72" s="228"/>
      <c r="V72" s="228"/>
      <c r="W72" s="228"/>
      <c r="X72" s="228"/>
      <c r="Y72" s="228"/>
    </row>
    <row r="73" spans="1:25" ht="12.75">
      <c r="A73" s="228"/>
      <c r="B73" s="228"/>
      <c r="C73" s="228"/>
      <c r="D73" s="228"/>
      <c r="E73" s="228"/>
      <c r="F73" s="228"/>
      <c r="G73" s="228"/>
      <c r="H73" s="228"/>
      <c r="I73" s="228"/>
      <c r="J73" s="228"/>
      <c r="K73" s="228"/>
      <c r="L73" s="228"/>
      <c r="M73" s="228"/>
      <c r="N73" s="228"/>
      <c r="O73" s="228"/>
      <c r="P73" s="228"/>
      <c r="Q73" s="228"/>
      <c r="R73" s="228"/>
      <c r="S73" s="228"/>
      <c r="T73" s="228"/>
      <c r="U73" s="228"/>
      <c r="V73" s="228"/>
      <c r="W73" s="228"/>
      <c r="X73" s="228"/>
      <c r="Y73" s="228"/>
    </row>
    <row r="74" spans="1:25" ht="12.75">
      <c r="A74" s="228"/>
      <c r="B74" s="228"/>
      <c r="C74" s="228"/>
      <c r="D74" s="228"/>
      <c r="E74" s="228"/>
      <c r="F74" s="228"/>
      <c r="G74" s="228"/>
      <c r="H74" s="228"/>
      <c r="I74" s="228"/>
      <c r="J74" s="228"/>
      <c r="K74" s="228"/>
      <c r="L74" s="228"/>
      <c r="M74" s="228"/>
      <c r="N74" s="228"/>
      <c r="O74" s="228"/>
      <c r="P74" s="228"/>
      <c r="Q74" s="228"/>
      <c r="R74" s="228"/>
      <c r="S74" s="228"/>
      <c r="T74" s="228"/>
      <c r="U74" s="228"/>
      <c r="V74" s="228"/>
      <c r="W74" s="228"/>
      <c r="X74" s="228"/>
      <c r="Y74" s="228"/>
    </row>
    <row r="75" spans="1:25" ht="12.75">
      <c r="A75" s="228"/>
      <c r="B75" s="228"/>
      <c r="C75" s="228"/>
      <c r="D75" s="228"/>
      <c r="E75" s="228"/>
      <c r="F75" s="228"/>
      <c r="G75" s="228"/>
      <c r="H75" s="228"/>
      <c r="I75" s="228"/>
      <c r="J75" s="228"/>
      <c r="K75" s="228"/>
      <c r="L75" s="228"/>
      <c r="M75" s="228"/>
      <c r="N75" s="228"/>
      <c r="O75" s="228"/>
      <c r="P75" s="228"/>
      <c r="Q75" s="228"/>
      <c r="R75" s="228"/>
      <c r="S75" s="228"/>
      <c r="T75" s="228"/>
      <c r="U75" s="228"/>
      <c r="V75" s="228"/>
      <c r="W75" s="228"/>
      <c r="X75" s="228"/>
      <c r="Y75" s="228"/>
    </row>
    <row r="76" spans="1:25" ht="12.75">
      <c r="A76" s="228"/>
      <c r="B76" s="228"/>
      <c r="C76" s="228"/>
      <c r="D76" s="228"/>
      <c r="E76" s="228"/>
      <c r="F76" s="228"/>
      <c r="G76" s="228"/>
      <c r="H76" s="228"/>
      <c r="I76" s="228"/>
      <c r="J76" s="228"/>
      <c r="K76" s="228"/>
      <c r="L76" s="228"/>
      <c r="M76" s="228"/>
      <c r="N76" s="228"/>
      <c r="O76" s="228"/>
      <c r="P76" s="228"/>
      <c r="Q76" s="228"/>
      <c r="R76" s="228"/>
      <c r="S76" s="228"/>
      <c r="T76" s="228"/>
      <c r="U76" s="228"/>
      <c r="V76" s="228"/>
      <c r="W76" s="228"/>
      <c r="X76" s="228"/>
      <c r="Y76" s="228"/>
    </row>
    <row r="77" spans="1:25" ht="12.75">
      <c r="A77" s="228"/>
      <c r="B77" s="228"/>
      <c r="C77" s="228"/>
      <c r="D77" s="228"/>
      <c r="E77" s="228"/>
      <c r="F77" s="228"/>
      <c r="G77" s="228"/>
      <c r="H77" s="228"/>
      <c r="I77" s="228"/>
      <c r="J77" s="228"/>
      <c r="K77" s="228"/>
      <c r="L77" s="228"/>
      <c r="M77" s="228"/>
      <c r="N77" s="228"/>
      <c r="O77" s="228"/>
      <c r="P77" s="228"/>
      <c r="Q77" s="228"/>
      <c r="R77" s="228"/>
      <c r="S77" s="228"/>
      <c r="T77" s="228"/>
      <c r="U77" s="228"/>
      <c r="V77" s="228"/>
      <c r="W77" s="228"/>
      <c r="X77" s="228"/>
      <c r="Y77" s="228"/>
    </row>
    <row r="78" spans="1:25" ht="12.75">
      <c r="A78" s="228"/>
      <c r="B78" s="228"/>
      <c r="C78" s="228"/>
      <c r="D78" s="228"/>
      <c r="E78" s="228"/>
      <c r="F78" s="228"/>
      <c r="G78" s="228"/>
      <c r="H78" s="228"/>
      <c r="I78" s="228"/>
      <c r="J78" s="228"/>
      <c r="K78" s="228"/>
      <c r="L78" s="228"/>
      <c r="M78" s="228"/>
      <c r="N78" s="228"/>
      <c r="O78" s="228"/>
      <c r="P78" s="228"/>
      <c r="Q78" s="228"/>
      <c r="R78" s="228"/>
      <c r="S78" s="228"/>
      <c r="T78" s="228"/>
      <c r="U78" s="228"/>
      <c r="V78" s="228"/>
      <c r="W78" s="228"/>
      <c r="X78" s="228"/>
      <c r="Y78" s="228"/>
    </row>
    <row r="79" spans="1:25" ht="12.75">
      <c r="A79" s="228"/>
      <c r="B79" s="228"/>
      <c r="C79" s="228"/>
      <c r="D79" s="228"/>
      <c r="E79" s="228"/>
      <c r="F79" s="228"/>
      <c r="G79" s="228"/>
      <c r="H79" s="228"/>
      <c r="I79" s="228"/>
      <c r="J79" s="228"/>
      <c r="K79" s="228"/>
      <c r="L79" s="228"/>
      <c r="M79" s="228"/>
      <c r="N79" s="228"/>
      <c r="O79" s="228"/>
      <c r="P79" s="228"/>
      <c r="Q79" s="228"/>
      <c r="R79" s="228"/>
      <c r="S79" s="228"/>
      <c r="T79" s="228"/>
      <c r="U79" s="228"/>
      <c r="V79" s="228"/>
      <c r="W79" s="228"/>
      <c r="X79" s="228"/>
      <c r="Y79" s="228"/>
    </row>
    <row r="80" spans="1:25" ht="12.75">
      <c r="A80" s="228"/>
      <c r="B80" s="228"/>
      <c r="C80" s="228"/>
      <c r="D80" s="228"/>
      <c r="E80" s="228"/>
      <c r="F80" s="228"/>
      <c r="G80" s="228"/>
      <c r="H80" s="228"/>
      <c r="I80" s="228"/>
      <c r="J80" s="228"/>
      <c r="K80" s="228"/>
      <c r="L80" s="228"/>
      <c r="M80" s="228"/>
      <c r="N80" s="228"/>
      <c r="O80" s="228"/>
      <c r="P80" s="228"/>
      <c r="Q80" s="228"/>
      <c r="R80" s="228"/>
      <c r="S80" s="228"/>
      <c r="T80" s="228"/>
      <c r="U80" s="228"/>
      <c r="V80" s="228"/>
      <c r="W80" s="228"/>
      <c r="X80" s="228"/>
      <c r="Y80" s="228"/>
    </row>
    <row r="81" spans="1:25" ht="12.75">
      <c r="A81" s="228"/>
      <c r="B81" s="228"/>
      <c r="C81" s="228"/>
      <c r="D81" s="228"/>
      <c r="E81" s="228"/>
      <c r="F81" s="228"/>
      <c r="G81" s="228"/>
      <c r="H81" s="228"/>
      <c r="I81" s="228"/>
      <c r="J81" s="228"/>
      <c r="K81" s="228"/>
      <c r="L81" s="228"/>
      <c r="M81" s="228"/>
      <c r="N81" s="228"/>
      <c r="O81" s="228"/>
      <c r="P81" s="228"/>
      <c r="Q81" s="228"/>
      <c r="R81" s="228"/>
      <c r="S81" s="228"/>
      <c r="T81" s="228"/>
      <c r="U81" s="228"/>
      <c r="V81" s="228"/>
      <c r="W81" s="228"/>
      <c r="X81" s="228"/>
      <c r="Y81" s="228"/>
    </row>
    <row r="82" spans="1:25" ht="12.75">
      <c r="A82" s="228"/>
      <c r="B82" s="228"/>
      <c r="C82" s="228"/>
      <c r="D82" s="228"/>
      <c r="E82" s="228"/>
      <c r="F82" s="228"/>
      <c r="G82" s="228"/>
      <c r="H82" s="228"/>
      <c r="I82" s="228"/>
      <c r="J82" s="228"/>
      <c r="K82" s="228"/>
      <c r="L82" s="228"/>
      <c r="M82" s="228"/>
      <c r="N82" s="228"/>
      <c r="O82" s="228"/>
      <c r="P82" s="228"/>
      <c r="Q82" s="228"/>
      <c r="R82" s="228"/>
      <c r="S82" s="228"/>
      <c r="T82" s="228"/>
      <c r="U82" s="228"/>
      <c r="V82" s="228"/>
      <c r="W82" s="228"/>
      <c r="X82" s="228"/>
      <c r="Y82" s="228"/>
    </row>
    <row r="83" spans="1:25" ht="12.75">
      <c r="A83" s="228"/>
      <c r="B83" s="228"/>
      <c r="C83" s="228"/>
      <c r="D83" s="228"/>
      <c r="E83" s="228"/>
      <c r="F83" s="228"/>
      <c r="G83" s="228"/>
      <c r="H83" s="228"/>
      <c r="I83" s="228"/>
      <c r="J83" s="228"/>
      <c r="K83" s="228"/>
      <c r="L83" s="228"/>
      <c r="M83" s="228"/>
      <c r="N83" s="228"/>
      <c r="O83" s="228"/>
      <c r="P83" s="228"/>
      <c r="Q83" s="228"/>
      <c r="R83" s="228"/>
      <c r="S83" s="228"/>
      <c r="T83" s="228"/>
      <c r="U83" s="228"/>
      <c r="V83" s="228"/>
      <c r="W83" s="228"/>
      <c r="X83" s="228"/>
      <c r="Y83" s="228"/>
    </row>
    <row r="84" spans="1:25" ht="12.75">
      <c r="A84" s="228"/>
      <c r="B84" s="228"/>
      <c r="C84" s="228"/>
      <c r="D84" s="228"/>
      <c r="E84" s="228"/>
      <c r="F84" s="228"/>
      <c r="G84" s="228"/>
      <c r="H84" s="228"/>
      <c r="I84" s="228"/>
      <c r="J84" s="228"/>
      <c r="K84" s="228"/>
      <c r="L84" s="228"/>
      <c r="M84" s="228"/>
      <c r="N84" s="228"/>
      <c r="O84" s="228"/>
      <c r="P84" s="228"/>
      <c r="Q84" s="228"/>
      <c r="R84" s="228"/>
      <c r="S84" s="228"/>
      <c r="T84" s="228"/>
      <c r="U84" s="228"/>
      <c r="V84" s="228"/>
      <c r="W84" s="228"/>
      <c r="X84" s="228"/>
      <c r="Y84" s="228"/>
    </row>
    <row r="85" spans="1:25" ht="12.75">
      <c r="A85" s="228"/>
      <c r="B85" s="228"/>
      <c r="C85" s="228"/>
      <c r="D85" s="228"/>
      <c r="E85" s="228"/>
      <c r="F85" s="228"/>
      <c r="G85" s="228"/>
      <c r="H85" s="228"/>
      <c r="I85" s="228"/>
      <c r="J85" s="228"/>
      <c r="K85" s="228"/>
      <c r="L85" s="228"/>
      <c r="M85" s="228"/>
      <c r="N85" s="228"/>
      <c r="O85" s="228"/>
      <c r="P85" s="228"/>
      <c r="Q85" s="228"/>
      <c r="R85" s="228"/>
      <c r="S85" s="228"/>
      <c r="T85" s="228"/>
      <c r="U85" s="228"/>
      <c r="V85" s="228"/>
      <c r="W85" s="228"/>
      <c r="X85" s="228"/>
      <c r="Y85" s="228"/>
    </row>
    <row r="86" spans="1:25" ht="12.75">
      <c r="A86" s="228"/>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row>
    <row r="87" spans="1:25" ht="12.75">
      <c r="A87" s="228"/>
      <c r="B87" s="228"/>
      <c r="C87" s="228"/>
      <c r="D87" s="228"/>
      <c r="E87" s="228"/>
      <c r="F87" s="228"/>
      <c r="G87" s="228"/>
      <c r="H87" s="228"/>
      <c r="I87" s="228"/>
      <c r="J87" s="228"/>
      <c r="K87" s="228"/>
      <c r="L87" s="228"/>
      <c r="M87" s="228"/>
      <c r="N87" s="228"/>
      <c r="O87" s="228"/>
      <c r="P87" s="228"/>
      <c r="Q87" s="228"/>
      <c r="R87" s="228"/>
      <c r="S87" s="228"/>
      <c r="T87" s="228"/>
      <c r="U87" s="228"/>
      <c r="V87" s="228"/>
      <c r="W87" s="228"/>
      <c r="X87" s="228"/>
      <c r="Y87" s="228"/>
    </row>
    <row r="88" spans="1:25" ht="12.75">
      <c r="A88" s="228"/>
      <c r="B88" s="228"/>
      <c r="C88" s="228"/>
      <c r="D88" s="228"/>
      <c r="E88" s="228"/>
      <c r="F88" s="228"/>
      <c r="G88" s="228"/>
      <c r="H88" s="228"/>
      <c r="I88" s="228"/>
      <c r="J88" s="228"/>
      <c r="K88" s="228"/>
      <c r="L88" s="228"/>
      <c r="M88" s="228"/>
      <c r="N88" s="228"/>
      <c r="O88" s="228"/>
      <c r="P88" s="228"/>
      <c r="Q88" s="228"/>
      <c r="R88" s="228"/>
      <c r="S88" s="228"/>
      <c r="T88" s="228"/>
      <c r="U88" s="228"/>
      <c r="V88" s="228"/>
      <c r="W88" s="228"/>
      <c r="X88" s="228"/>
      <c r="Y88" s="228"/>
    </row>
    <row r="89" spans="1:25" ht="12.75">
      <c r="A89" s="228"/>
      <c r="B89" s="228"/>
      <c r="C89" s="228"/>
      <c r="D89" s="228"/>
      <c r="E89" s="228"/>
      <c r="F89" s="228"/>
      <c r="G89" s="228"/>
      <c r="H89" s="228"/>
      <c r="I89" s="228"/>
      <c r="J89" s="228"/>
      <c r="K89" s="228"/>
      <c r="L89" s="228"/>
      <c r="M89" s="228"/>
      <c r="N89" s="228"/>
      <c r="O89" s="228"/>
      <c r="P89" s="228"/>
      <c r="Q89" s="228"/>
      <c r="R89" s="228"/>
      <c r="S89" s="228"/>
      <c r="T89" s="228"/>
      <c r="U89" s="228"/>
      <c r="V89" s="228"/>
      <c r="W89" s="228"/>
      <c r="X89" s="228"/>
      <c r="Y89" s="228"/>
    </row>
    <row r="90" spans="1:25" ht="12.75">
      <c r="A90" s="228"/>
      <c r="B90" s="228"/>
      <c r="C90" s="228"/>
      <c r="D90" s="228"/>
      <c r="E90" s="228"/>
      <c r="F90" s="228"/>
      <c r="G90" s="228"/>
      <c r="H90" s="228"/>
      <c r="I90" s="228"/>
      <c r="J90" s="228"/>
      <c r="K90" s="228"/>
      <c r="L90" s="228"/>
      <c r="M90" s="228"/>
      <c r="N90" s="228"/>
      <c r="O90" s="228"/>
      <c r="P90" s="228"/>
      <c r="Q90" s="228"/>
      <c r="R90" s="228"/>
      <c r="S90" s="228"/>
      <c r="T90" s="228"/>
      <c r="U90" s="228"/>
      <c r="V90" s="228"/>
      <c r="W90" s="228"/>
      <c r="X90" s="228"/>
      <c r="Y90" s="228"/>
    </row>
    <row r="91" spans="1:25" ht="12.75">
      <c r="A91" s="228"/>
      <c r="B91" s="228"/>
      <c r="C91" s="228"/>
      <c r="D91" s="228"/>
      <c r="E91" s="228"/>
      <c r="F91" s="228"/>
      <c r="G91" s="228"/>
      <c r="H91" s="228"/>
      <c r="I91" s="228"/>
      <c r="J91" s="228"/>
      <c r="K91" s="228"/>
      <c r="L91" s="228"/>
      <c r="M91" s="228"/>
      <c r="N91" s="228"/>
      <c r="O91" s="228"/>
      <c r="P91" s="228"/>
      <c r="Q91" s="228"/>
      <c r="R91" s="228"/>
      <c r="S91" s="228"/>
      <c r="T91" s="228"/>
      <c r="U91" s="228"/>
      <c r="V91" s="228"/>
      <c r="W91" s="228"/>
      <c r="X91" s="228"/>
      <c r="Y91" s="228"/>
    </row>
    <row r="92" spans="1:25" ht="12.75">
      <c r="A92" s="228"/>
      <c r="B92" s="228"/>
      <c r="C92" s="228"/>
      <c r="D92" s="228"/>
      <c r="E92" s="228"/>
      <c r="F92" s="228"/>
      <c r="G92" s="228"/>
      <c r="H92" s="228"/>
      <c r="I92" s="228"/>
      <c r="J92" s="228"/>
      <c r="K92" s="228"/>
      <c r="L92" s="228"/>
      <c r="M92" s="228"/>
      <c r="N92" s="228"/>
      <c r="O92" s="228"/>
      <c r="P92" s="228"/>
      <c r="Q92" s="228"/>
      <c r="R92" s="228"/>
      <c r="S92" s="228"/>
      <c r="T92" s="228"/>
      <c r="U92" s="228"/>
      <c r="V92" s="228"/>
      <c r="W92" s="228"/>
      <c r="X92" s="228"/>
      <c r="Y92" s="228"/>
    </row>
    <row r="93" spans="1:25" ht="12.75">
      <c r="A93" s="228"/>
      <c r="B93" s="228"/>
      <c r="C93" s="228"/>
      <c r="D93" s="228"/>
      <c r="E93" s="228"/>
      <c r="F93" s="228"/>
      <c r="G93" s="228"/>
      <c r="H93" s="228"/>
      <c r="I93" s="228"/>
      <c r="J93" s="228"/>
      <c r="K93" s="228"/>
      <c r="L93" s="228"/>
      <c r="M93" s="228"/>
      <c r="N93" s="228"/>
      <c r="O93" s="228"/>
      <c r="P93" s="228"/>
      <c r="Q93" s="228"/>
      <c r="R93" s="228"/>
      <c r="S93" s="228"/>
      <c r="T93" s="228"/>
      <c r="U93" s="228"/>
      <c r="V93" s="228"/>
      <c r="W93" s="228"/>
      <c r="X93" s="228"/>
      <c r="Y93" s="228"/>
    </row>
    <row r="94" spans="1:25" ht="12.75">
      <c r="A94" s="228"/>
      <c r="B94" s="228"/>
      <c r="C94" s="228"/>
      <c r="D94" s="228"/>
      <c r="E94" s="228"/>
      <c r="F94" s="228"/>
      <c r="G94" s="228"/>
      <c r="H94" s="228"/>
      <c r="I94" s="228"/>
      <c r="J94" s="228"/>
      <c r="K94" s="228"/>
      <c r="L94" s="228"/>
      <c r="M94" s="228"/>
      <c r="N94" s="228"/>
      <c r="O94" s="228"/>
      <c r="P94" s="228"/>
      <c r="Q94" s="228"/>
      <c r="R94" s="228"/>
      <c r="S94" s="228"/>
      <c r="T94" s="228"/>
      <c r="U94" s="228"/>
      <c r="V94" s="228"/>
      <c r="W94" s="228"/>
      <c r="X94" s="228"/>
      <c r="Y94" s="228"/>
    </row>
    <row r="95" spans="1:25" ht="12.75">
      <c r="A95" s="228"/>
      <c r="B95" s="228"/>
      <c r="C95" s="228"/>
      <c r="D95" s="228"/>
      <c r="E95" s="228"/>
      <c r="F95" s="228"/>
      <c r="G95" s="228"/>
      <c r="H95" s="228"/>
      <c r="I95" s="228"/>
      <c r="J95" s="228"/>
      <c r="K95" s="228"/>
      <c r="L95" s="228"/>
      <c r="M95" s="228"/>
      <c r="N95" s="228"/>
      <c r="O95" s="228"/>
      <c r="P95" s="228"/>
      <c r="Q95" s="228"/>
      <c r="R95" s="228"/>
      <c r="S95" s="228"/>
      <c r="T95" s="228"/>
      <c r="U95" s="228"/>
      <c r="V95" s="228"/>
      <c r="W95" s="228"/>
      <c r="X95" s="228"/>
      <c r="Y95" s="228"/>
    </row>
    <row r="96" spans="1:25" ht="12.75">
      <c r="A96" s="228"/>
      <c r="B96" s="228"/>
      <c r="C96" s="228"/>
      <c r="D96" s="228"/>
      <c r="E96" s="228"/>
      <c r="F96" s="228"/>
      <c r="G96" s="228"/>
      <c r="H96" s="228"/>
      <c r="I96" s="228"/>
      <c r="J96" s="228"/>
      <c r="K96" s="228"/>
      <c r="L96" s="228"/>
      <c r="M96" s="228"/>
      <c r="N96" s="228"/>
      <c r="O96" s="228"/>
      <c r="P96" s="228"/>
      <c r="Q96" s="228"/>
      <c r="R96" s="228"/>
      <c r="S96" s="228"/>
      <c r="T96" s="228"/>
      <c r="U96" s="228"/>
      <c r="V96" s="228"/>
      <c r="W96" s="228"/>
      <c r="X96" s="228"/>
      <c r="Y96" s="228"/>
    </row>
    <row r="97" spans="1:25" ht="12.75">
      <c r="A97" s="228"/>
      <c r="B97" s="228"/>
      <c r="C97" s="228"/>
      <c r="D97" s="228"/>
      <c r="E97" s="228"/>
      <c r="F97" s="228"/>
      <c r="G97" s="228"/>
      <c r="H97" s="228"/>
      <c r="I97" s="228"/>
      <c r="J97" s="228"/>
      <c r="K97" s="228"/>
      <c r="L97" s="228"/>
      <c r="M97" s="228"/>
      <c r="N97" s="228"/>
      <c r="O97" s="228"/>
      <c r="P97" s="228"/>
      <c r="Q97" s="228"/>
      <c r="R97" s="228"/>
      <c r="S97" s="228"/>
      <c r="T97" s="228"/>
      <c r="U97" s="228"/>
      <c r="V97" s="228"/>
      <c r="W97" s="228"/>
      <c r="X97" s="228"/>
      <c r="Y97" s="228"/>
    </row>
    <row r="98" spans="1:25" ht="12.75">
      <c r="A98" s="228"/>
      <c r="B98" s="228"/>
      <c r="C98" s="228"/>
      <c r="D98" s="228"/>
      <c r="E98" s="228"/>
      <c r="F98" s="228"/>
      <c r="G98" s="228"/>
      <c r="H98" s="228"/>
      <c r="I98" s="228"/>
      <c r="J98" s="228"/>
      <c r="K98" s="228"/>
      <c r="L98" s="228"/>
      <c r="M98" s="228"/>
      <c r="N98" s="228"/>
      <c r="O98" s="228"/>
      <c r="P98" s="228"/>
      <c r="Q98" s="228"/>
      <c r="R98" s="228"/>
      <c r="S98" s="228"/>
      <c r="T98" s="228"/>
      <c r="U98" s="228"/>
      <c r="V98" s="228"/>
      <c r="W98" s="228"/>
      <c r="X98" s="228"/>
      <c r="Y98" s="228"/>
    </row>
    <row r="99" spans="1:25" ht="12.75">
      <c r="A99" s="228"/>
      <c r="B99" s="228"/>
      <c r="C99" s="228"/>
      <c r="D99" s="228"/>
      <c r="E99" s="228"/>
      <c r="F99" s="228"/>
      <c r="G99" s="228"/>
      <c r="H99" s="228"/>
      <c r="I99" s="228"/>
      <c r="J99" s="228"/>
      <c r="K99" s="228"/>
      <c r="L99" s="228"/>
      <c r="M99" s="228"/>
      <c r="N99" s="228"/>
      <c r="O99" s="228"/>
      <c r="P99" s="228"/>
      <c r="Q99" s="228"/>
      <c r="R99" s="228"/>
      <c r="S99" s="228"/>
      <c r="T99" s="228"/>
      <c r="U99" s="228"/>
      <c r="V99" s="228"/>
      <c r="W99" s="228"/>
      <c r="X99" s="228"/>
      <c r="Y99" s="228"/>
    </row>
    <row r="100" spans="1:25" ht="12.75">
      <c r="A100" s="228"/>
      <c r="B100" s="228"/>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row>
    <row r="101" spans="1:25" ht="12.75">
      <c r="A101" s="228"/>
      <c r="B101" s="228"/>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row>
    <row r="102" spans="1:25" ht="12.75">
      <c r="A102" s="228"/>
      <c r="B102" s="228"/>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row>
    <row r="103" spans="1:25" ht="12.75">
      <c r="A103" s="228"/>
      <c r="B103" s="228"/>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row>
    <row r="104" spans="1:25" ht="12.75">
      <c r="A104" s="228"/>
      <c r="B104" s="228"/>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row>
    <row r="105" spans="1:25" ht="12.75">
      <c r="A105" s="228"/>
      <c r="B105" s="228"/>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row>
    <row r="106" spans="1:25" ht="12.75">
      <c r="A106" s="228"/>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row>
    <row r="107" spans="1:25" ht="12.75">
      <c r="A107" s="228"/>
      <c r="B107" s="228"/>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row>
    <row r="108" spans="1:25" ht="12.75">
      <c r="A108" s="228"/>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row>
    <row r="109" spans="1:25" ht="12.75">
      <c r="A109" s="228"/>
      <c r="B109" s="228"/>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row>
    <row r="110" spans="1:25" ht="12.75">
      <c r="A110" s="228"/>
      <c r="B110" s="228"/>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row>
    <row r="111" spans="1:25" ht="12.75">
      <c r="A111" s="228"/>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row>
    <row r="112" spans="1:25" ht="12.75">
      <c r="A112" s="228"/>
      <c r="B112" s="228"/>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row>
    <row r="113" spans="1:25" ht="12.75">
      <c r="A113" s="228"/>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row>
    <row r="114" spans="1:25" ht="12.75">
      <c r="A114" s="228"/>
      <c r="B114" s="228"/>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row>
    <row r="115" spans="1:25" ht="12.75">
      <c r="A115" s="228"/>
      <c r="B115" s="228"/>
      <c r="C115" s="22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row>
    <row r="116" spans="1:25" ht="12.75">
      <c r="A116" s="228"/>
      <c r="B116" s="228"/>
      <c r="C116" s="22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row>
    <row r="117" spans="1:25" ht="12.75">
      <c r="A117" s="228"/>
      <c r="B117" s="228"/>
      <c r="C117" s="22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row>
    <row r="118" spans="1:25" ht="12.75">
      <c r="A118" s="228"/>
      <c r="B118" s="228"/>
      <c r="C118" s="22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row>
    <row r="119" spans="1:25" ht="12.75">
      <c r="A119" s="228"/>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row>
    <row r="120" spans="1:25" ht="12.75">
      <c r="A120" s="228"/>
      <c r="B120" s="228"/>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row>
    <row r="121" spans="1:25" ht="12.75">
      <c r="A121" s="228"/>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row>
    <row r="122" spans="1:25" ht="12.75">
      <c r="A122" s="228"/>
      <c r="B122" s="228"/>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row>
    <row r="123" spans="1:25" ht="12.75">
      <c r="A123" s="228"/>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row>
    <row r="124" spans="1:25" ht="12.75">
      <c r="A124" s="228"/>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row>
    <row r="125" spans="1:25" ht="12.75">
      <c r="A125" s="228"/>
      <c r="B125" s="228"/>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row>
    <row r="126" spans="1:25" ht="12.75">
      <c r="A126" s="228"/>
      <c r="B126" s="228"/>
      <c r="C126" s="22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row>
    <row r="127" spans="1:25" ht="12.75">
      <c r="A127" s="228"/>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row>
    <row r="128" spans="1:25" ht="12.75">
      <c r="A128" s="228"/>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row>
    <row r="129" spans="1:25" ht="12.75">
      <c r="A129" s="228"/>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row>
    <row r="130" spans="1:25" ht="12.75">
      <c r="A130" s="228"/>
      <c r="B130" s="228"/>
      <c r="C130" s="22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row>
    <row r="131" spans="1:25" ht="12.75">
      <c r="A131" s="228"/>
      <c r="B131" s="228"/>
      <c r="C131" s="22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row>
    <row r="132" spans="1:25" ht="12.75">
      <c r="A132" s="228"/>
      <c r="B132" s="228"/>
      <c r="C132" s="22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row>
    <row r="133" spans="1:25" ht="12.75">
      <c r="A133" s="228"/>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row>
    <row r="134" spans="1:25" ht="12.75">
      <c r="A134" s="228"/>
      <c r="B134" s="228"/>
      <c r="C134" s="22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row>
    <row r="135" spans="1:25" ht="12.75">
      <c r="A135" s="228"/>
      <c r="B135" s="228"/>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row>
    <row r="136" spans="1:25" ht="12.75">
      <c r="A136" s="228"/>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row>
    <row r="137" spans="1:25" ht="12.75">
      <c r="A137" s="228"/>
      <c r="B137" s="228"/>
      <c r="C137" s="22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row>
    <row r="138" spans="1:25" ht="12.75">
      <c r="A138" s="228"/>
      <c r="B138" s="228"/>
      <c r="C138" s="22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row>
    <row r="139" spans="1:25" ht="12.75">
      <c r="A139" s="228"/>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row>
    <row r="140" spans="1:25" ht="12.75">
      <c r="A140" s="228"/>
      <c r="B140" s="228"/>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row>
    <row r="141" spans="1:25" ht="12.75">
      <c r="A141" s="228"/>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row>
    <row r="142" spans="1:25" ht="12.75">
      <c r="A142" s="228"/>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row>
    <row r="143" spans="1:25" ht="12.75">
      <c r="A143" s="228"/>
      <c r="B143" s="228"/>
      <c r="C143" s="22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row>
    <row r="144" spans="1:25" ht="12.75">
      <c r="A144" s="228"/>
      <c r="B144" s="228"/>
      <c r="C144" s="22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row>
    <row r="145" spans="1:25" ht="12.75">
      <c r="A145" s="228"/>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row>
    <row r="146" spans="1:25" ht="12.75">
      <c r="A146" s="228"/>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row>
    <row r="147" spans="1:25" ht="12.75">
      <c r="A147" s="228"/>
      <c r="B147" s="228"/>
      <c r="C147" s="22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row>
    <row r="148" spans="1:25" ht="12.75">
      <c r="A148" s="228"/>
      <c r="B148" s="228"/>
      <c r="C148" s="22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row>
    <row r="149" spans="1:25" ht="12.75">
      <c r="A149" s="228"/>
      <c r="B149" s="228"/>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row>
    <row r="150" spans="1:25" ht="12.75">
      <c r="A150" s="228"/>
      <c r="B150" s="228"/>
      <c r="C150" s="22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row>
    <row r="151" spans="1:25" ht="12.75">
      <c r="A151" s="228"/>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row>
    <row r="152" spans="1:25" ht="12.75">
      <c r="A152" s="228"/>
      <c r="B152" s="228"/>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row>
    <row r="153" spans="1:25" ht="12.75">
      <c r="A153" s="228"/>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row>
    <row r="154" spans="1:25" ht="12.75">
      <c r="A154" s="228"/>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row>
    <row r="155" spans="1:25" ht="12.75">
      <c r="A155" s="228"/>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row>
    <row r="156" spans="1:25" ht="12.75">
      <c r="A156" s="228"/>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row>
    <row r="157" spans="1:25" ht="12.75">
      <c r="A157" s="228"/>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row>
    <row r="158" spans="1:25" ht="12.75">
      <c r="A158" s="228"/>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row>
    <row r="159" spans="1:25" ht="12.75">
      <c r="A159" s="228"/>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row>
    <row r="160" spans="1:25" ht="12.75">
      <c r="A160" s="228"/>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row>
    <row r="161" spans="1:25" ht="12.75">
      <c r="A161" s="228"/>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row>
    <row r="162" spans="1:25" ht="12.75">
      <c r="A162" s="228"/>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row>
    <row r="163" spans="1:25" ht="12.75">
      <c r="A163" s="228"/>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row>
    <row r="164" spans="1:25" ht="12.75">
      <c r="A164" s="228"/>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row>
    <row r="165" spans="1:25" ht="12.75">
      <c r="A165" s="228"/>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row>
    <row r="166" spans="1:25" ht="12.75">
      <c r="A166" s="228"/>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row>
    <row r="167" spans="1:25" ht="12.75">
      <c r="A167" s="228"/>
      <c r="B167" s="228"/>
      <c r="C167" s="22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row>
    <row r="168" spans="1:25" ht="12.75">
      <c r="A168" s="228"/>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row>
    <row r="169" spans="1:25" ht="12.75">
      <c r="A169" s="228"/>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row>
    <row r="170" spans="1:25" ht="12.75">
      <c r="A170" s="228"/>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row>
    <row r="171" spans="1:25" ht="12.75">
      <c r="A171" s="228"/>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row>
    <row r="172" spans="1:25" ht="12.75">
      <c r="A172" s="228"/>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row>
    <row r="173" spans="1:25" ht="12.75">
      <c r="A173" s="228"/>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row>
    <row r="174" spans="1:25" ht="12.75">
      <c r="A174" s="228"/>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row>
    <row r="175" spans="1:25" ht="12.75">
      <c r="A175" s="228"/>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row>
    <row r="176" spans="1:25" ht="12.75">
      <c r="A176" s="228"/>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row>
    <row r="177" spans="1:25" ht="12.75">
      <c r="A177" s="228"/>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row>
    <row r="178" spans="1:25" ht="12.75">
      <c r="A178" s="228"/>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row>
    <row r="179" spans="1:25" ht="12.75">
      <c r="A179" s="228"/>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row>
    <row r="180" spans="1:25" ht="12.75">
      <c r="A180" s="228"/>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row>
    <row r="181" spans="1:25" ht="12.75">
      <c r="A181" s="228"/>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row>
    <row r="182" spans="1:25" ht="12.75">
      <c r="A182" s="228"/>
      <c r="B182" s="228"/>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row>
    <row r="183" spans="1:25" ht="12.75">
      <c r="A183" s="228"/>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row>
    <row r="184" spans="1:25" ht="12.75">
      <c r="A184" s="228"/>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row>
    <row r="185" spans="1:25" ht="12.75">
      <c r="A185" s="228"/>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row>
    <row r="186" spans="1:25" ht="12.75">
      <c r="A186" s="228"/>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row>
    <row r="187" spans="1:25" ht="12.75">
      <c r="A187" s="228"/>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row>
    <row r="188" spans="1:25" ht="12.75">
      <c r="A188" s="228"/>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row>
    <row r="189" spans="1:25" ht="12.75">
      <c r="A189" s="228"/>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row>
    <row r="190" spans="1:25" ht="12.75">
      <c r="A190" s="228"/>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row>
    <row r="191" spans="1:25" ht="12.75">
      <c r="A191" s="228"/>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row>
    <row r="192" spans="1:25" ht="12.75">
      <c r="A192" s="228"/>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row>
    <row r="193" spans="1:25" ht="12.75">
      <c r="A193" s="228"/>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row>
    <row r="194" spans="1:25" ht="12.75">
      <c r="A194" s="228"/>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row>
    <row r="195" spans="1:25" ht="12.75">
      <c r="A195" s="228"/>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row>
    <row r="196" spans="1:25" ht="12.75">
      <c r="A196" s="228"/>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row>
    <row r="197" spans="1:25" ht="12.75">
      <c r="A197" s="228"/>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row>
    <row r="198" spans="1:25" ht="12.75">
      <c r="A198" s="228"/>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row>
    <row r="199" spans="1:25" ht="12.75">
      <c r="A199" s="228"/>
      <c r="B199" s="228"/>
      <c r="C199" s="22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row>
    <row r="200" spans="1:25" ht="12.75">
      <c r="A200" s="228"/>
      <c r="B200" s="228"/>
      <c r="C200" s="22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row>
    <row r="201" spans="1:25" ht="12.75">
      <c r="A201" s="228"/>
      <c r="B201" s="228"/>
      <c r="C201" s="22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row>
    <row r="202" spans="1:25" ht="12.75">
      <c r="A202" s="228"/>
      <c r="B202" s="228"/>
      <c r="C202" s="22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row>
    <row r="203" spans="1:25" ht="12.75">
      <c r="A203" s="228"/>
      <c r="B203" s="228"/>
      <c r="C203" s="22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row>
    <row r="204" spans="1:25" ht="12.75">
      <c r="A204" s="228"/>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row>
    <row r="205" spans="1:25" ht="12.75">
      <c r="A205" s="228"/>
      <c r="B205" s="228"/>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row>
    <row r="206" spans="1:25" ht="12.75">
      <c r="A206" s="228"/>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row>
    <row r="207" spans="1:25" ht="12.75">
      <c r="A207" s="228"/>
      <c r="B207" s="228"/>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row>
    <row r="208" spans="1:25" ht="12.75">
      <c r="A208" s="228"/>
      <c r="B208" s="228"/>
      <c r="C208" s="22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row>
    <row r="209" spans="1:25" ht="12.75">
      <c r="A209" s="228"/>
      <c r="B209" s="228"/>
      <c r="C209" s="22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row>
    <row r="210" spans="1:25" ht="12.75">
      <c r="A210" s="228"/>
      <c r="B210" s="228"/>
      <c r="C210" s="22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row>
    <row r="211" spans="1:25" ht="12.75">
      <c r="A211" s="228"/>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row>
    <row r="212" spans="1:25" ht="12.75">
      <c r="A212" s="228"/>
      <c r="B212" s="228"/>
      <c r="C212" s="22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row>
    <row r="213" spans="1:25" ht="12.75">
      <c r="A213" s="228"/>
      <c r="B213" s="228"/>
      <c r="C213" s="22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row>
    <row r="214" spans="1:25" ht="12.75">
      <c r="A214" s="228"/>
      <c r="B214" s="228"/>
      <c r="C214" s="22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row>
    <row r="215" spans="1:25" ht="12.75">
      <c r="A215" s="228"/>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row>
    <row r="216" spans="1:25" ht="12.75">
      <c r="A216" s="228"/>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row>
    <row r="217" spans="1:25" ht="12.75">
      <c r="A217" s="228"/>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row>
    <row r="218" spans="1:25" ht="12.75">
      <c r="A218" s="228"/>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row>
    <row r="219" spans="1:25" ht="12.75">
      <c r="A219" s="228"/>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row>
    <row r="220" spans="1:25" ht="12.75">
      <c r="A220" s="228"/>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row>
    <row r="221" spans="1:25" ht="12.75">
      <c r="A221" s="228"/>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row>
    <row r="222" spans="1:25" ht="12.75">
      <c r="A222" s="228"/>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row>
    <row r="223" spans="1:25" ht="12.75">
      <c r="A223" s="228"/>
      <c r="B223" s="228"/>
      <c r="C223" s="22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row>
    <row r="224" spans="1:25" ht="12.75">
      <c r="A224" s="228"/>
      <c r="B224" s="228"/>
      <c r="C224" s="22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row>
    <row r="225" spans="1:25" ht="12.75">
      <c r="A225" s="228"/>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row>
    <row r="226" spans="1:25" ht="12.75">
      <c r="A226" s="228"/>
      <c r="B226" s="228"/>
      <c r="C226" s="22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row>
    <row r="227" spans="1:25" ht="12.75">
      <c r="A227" s="228"/>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row>
    <row r="228" spans="1:25" ht="12.75">
      <c r="A228" s="228"/>
      <c r="B228" s="228"/>
      <c r="C228" s="22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row>
    <row r="229" spans="1:25" ht="12.75">
      <c r="A229" s="228"/>
      <c r="B229" s="228"/>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row>
    <row r="230" spans="1:25" ht="12.75">
      <c r="A230" s="228"/>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row>
    <row r="231" spans="1:25" ht="12.75">
      <c r="A231" s="228"/>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row>
    <row r="232" spans="1:25" ht="12.75">
      <c r="A232" s="228"/>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row>
    <row r="233" spans="1:25" ht="12.75">
      <c r="A233" s="228"/>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row>
    <row r="234" spans="1:25" ht="12.75">
      <c r="A234" s="228"/>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row>
    <row r="235" spans="1:25" ht="12.75">
      <c r="A235" s="228"/>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row>
    <row r="236" spans="1:25" ht="12.75">
      <c r="A236" s="228"/>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row>
    <row r="237" spans="1:25" ht="12.75">
      <c r="A237" s="228"/>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row>
    <row r="238" spans="1:25" ht="12.75">
      <c r="A238" s="228"/>
      <c r="B238" s="228"/>
      <c r="C238" s="22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row>
    <row r="239" spans="1:25" ht="12.75">
      <c r="A239" s="228"/>
      <c r="B239" s="228"/>
      <c r="C239" s="22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row>
    <row r="240" spans="1:25" ht="12.75">
      <c r="A240" s="228"/>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row>
    <row r="241" spans="1:25" ht="12.75">
      <c r="A241" s="228"/>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row>
    <row r="242" spans="1:25" ht="12.75">
      <c r="A242" s="228"/>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row>
    <row r="243" spans="1:25" ht="12.75">
      <c r="A243" s="228"/>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row>
    <row r="244" spans="1:25" ht="12.75">
      <c r="A244" s="228"/>
      <c r="B244" s="228"/>
      <c r="C244" s="22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row>
    <row r="245" spans="1:25" ht="12.75">
      <c r="A245" s="228"/>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row>
    <row r="246" spans="1:25" ht="12.75">
      <c r="A246" s="228"/>
      <c r="B246" s="228"/>
      <c r="C246" s="22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row>
    <row r="247" spans="1:25" ht="12.75">
      <c r="A247" s="228"/>
      <c r="B247" s="228"/>
      <c r="C247" s="22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row>
    <row r="248" spans="1:25" ht="12.75">
      <c r="A248" s="228"/>
      <c r="B248" s="228"/>
      <c r="C248" s="22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row>
    <row r="249" spans="1:25" ht="12.75">
      <c r="A249" s="228"/>
      <c r="B249" s="228"/>
      <c r="C249" s="22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row>
    <row r="250" spans="1:25" ht="12.75">
      <c r="A250" s="228"/>
      <c r="B250" s="228"/>
      <c r="C250" s="22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row>
    <row r="251" spans="1:25" ht="12.75">
      <c r="A251" s="228"/>
      <c r="B251" s="228"/>
      <c r="C251" s="22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row>
    <row r="252" spans="1:25" ht="12.75">
      <c r="A252" s="228"/>
      <c r="B252" s="228"/>
      <c r="C252" s="22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row>
    <row r="253" spans="1:25" ht="12.75">
      <c r="A253" s="228"/>
      <c r="B253" s="228"/>
      <c r="C253" s="22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row>
    <row r="254" spans="1:25" ht="12.75">
      <c r="A254" s="228"/>
      <c r="B254" s="228"/>
      <c r="C254" s="22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row>
    <row r="255" spans="1:25" ht="12.75">
      <c r="A255" s="228"/>
      <c r="B255" s="228"/>
      <c r="C255" s="22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row>
    <row r="256" spans="1:25" ht="12.75">
      <c r="A256" s="228"/>
      <c r="B256" s="228"/>
      <c r="C256" s="22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row>
    <row r="257" spans="1:25" ht="12.75">
      <c r="A257" s="228"/>
      <c r="B257" s="228"/>
      <c r="C257" s="22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row>
    <row r="258" spans="1:25" ht="12.75">
      <c r="A258" s="228"/>
      <c r="B258" s="228"/>
      <c r="C258" s="22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row>
    <row r="259" spans="1:25" ht="12.75">
      <c r="A259" s="228"/>
      <c r="B259" s="228"/>
      <c r="C259" s="22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row>
    <row r="260" spans="1:25" ht="12.75">
      <c r="A260" s="228"/>
      <c r="B260" s="228"/>
      <c r="C260" s="22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row>
    <row r="261" spans="1:25" ht="12.75">
      <c r="A261" s="228"/>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row>
    <row r="262" spans="1:25" ht="12.75">
      <c r="A262" s="228"/>
      <c r="B262" s="228"/>
      <c r="C262" s="22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row>
    <row r="263" spans="1:25" ht="12.75">
      <c r="A263" s="228"/>
      <c r="B263" s="228"/>
      <c r="C263" s="22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row>
    <row r="264" spans="1:25" ht="12.75">
      <c r="A264" s="228"/>
      <c r="B264" s="228"/>
      <c r="C264" s="22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row>
    <row r="265" spans="1:25" ht="12.75">
      <c r="A265" s="228"/>
      <c r="B265" s="228"/>
      <c r="C265" s="22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row>
    <row r="266" spans="1:25" ht="12.75">
      <c r="A266" s="228"/>
      <c r="B266" s="228"/>
      <c r="C266" s="22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row>
    <row r="267" spans="1:25" ht="12.75">
      <c r="A267" s="228"/>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row>
    <row r="268" spans="1:25" ht="12.75">
      <c r="A268" s="228"/>
      <c r="B268" s="228"/>
      <c r="C268" s="22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row>
    <row r="269" spans="1:25" ht="12.75">
      <c r="A269" s="228"/>
      <c r="B269" s="228"/>
      <c r="C269" s="22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row>
    <row r="270" spans="1:25" ht="12.75">
      <c r="A270" s="228"/>
      <c r="B270" s="228"/>
      <c r="C270" s="22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row>
    <row r="271" spans="1:25" ht="12.75">
      <c r="A271" s="228"/>
      <c r="B271" s="228"/>
      <c r="C271" s="22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row>
    <row r="272" spans="1:25" ht="12.75">
      <c r="A272" s="228"/>
      <c r="B272" s="228"/>
      <c r="C272" s="22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row>
    <row r="273" spans="1:25" ht="12.75">
      <c r="A273" s="228"/>
      <c r="B273" s="228"/>
      <c r="C273" s="22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row>
    <row r="274" spans="1:25" ht="12.75">
      <c r="A274" s="228"/>
      <c r="B274" s="228"/>
      <c r="C274" s="22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row>
    <row r="275" spans="1:25" ht="12.75">
      <c r="A275" s="228"/>
      <c r="B275" s="228"/>
      <c r="C275" s="22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row>
    <row r="276" spans="1:25" ht="12.75">
      <c r="A276" s="228"/>
      <c r="B276" s="228"/>
      <c r="C276" s="22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row>
    <row r="277" spans="1:25" ht="12.75">
      <c r="A277" s="228"/>
      <c r="B277" s="228"/>
      <c r="C277" s="22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row>
    <row r="278" spans="1:25" ht="12.75">
      <c r="A278" s="228"/>
      <c r="B278" s="228"/>
      <c r="C278" s="22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row>
    <row r="279" spans="1:25" ht="12.75">
      <c r="A279" s="228"/>
      <c r="B279" s="228"/>
      <c r="C279" s="22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row>
    <row r="280" spans="1:25" ht="12.75">
      <c r="A280" s="228"/>
      <c r="B280" s="228"/>
      <c r="C280" s="22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row>
    <row r="281" spans="1:25" ht="12.75">
      <c r="A281" s="228"/>
      <c r="B281" s="228"/>
      <c r="C281" s="22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row>
    <row r="282" spans="1:25" ht="12.75">
      <c r="A282" s="228"/>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row>
    <row r="283" spans="1:25" ht="12.75">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row>
    <row r="284" spans="1:25" ht="12.75">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row>
    <row r="285" spans="1:25" ht="12.75">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row>
    <row r="286" spans="1:25" ht="12.75">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row>
    <row r="287" spans="1:25" ht="12.75">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row>
    <row r="288" spans="1:25" ht="12.75">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row>
    <row r="289" spans="1:25" ht="12.75">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row>
    <row r="290" spans="1:25" ht="12.75">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row>
    <row r="291" spans="1:25" ht="12.75">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row>
    <row r="292" spans="1:25" ht="12.75">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row>
    <row r="293" spans="1:25" ht="12.75">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row>
    <row r="294" spans="1:25" ht="12.75">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row>
    <row r="295" spans="1:25" ht="12.75">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row>
    <row r="296" spans="1:25" ht="12.75">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row>
    <row r="297" spans="1:25" ht="12.75">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row>
    <row r="298" spans="1:25" ht="12.75">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row>
    <row r="299" spans="1:25" ht="12.75">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row>
    <row r="300" spans="1:25" ht="12.75">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row>
    <row r="301" spans="1:25" ht="12.75">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row>
    <row r="302" spans="1:25" ht="12.75">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row>
    <row r="303" spans="1:25" ht="12.75">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row>
    <row r="304" spans="1:25" ht="12.75">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row>
    <row r="305" spans="1:25" ht="12.75">
      <c r="A305" s="228"/>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row>
    <row r="306" spans="1:25" ht="12.75">
      <c r="A306" s="228"/>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row>
    <row r="307" spans="1:25" ht="12.75">
      <c r="A307" s="228"/>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row>
    <row r="308" spans="1:25" ht="12.75">
      <c r="A308" s="228"/>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row>
    <row r="309" spans="1:25" ht="12.75">
      <c r="A309" s="228"/>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row>
    <row r="310" spans="1:25" ht="12.75">
      <c r="A310" s="228"/>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row>
    <row r="311" spans="1:25" ht="12.75">
      <c r="A311" s="228"/>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row>
    <row r="312" spans="1:25" ht="12.75">
      <c r="A312" s="228"/>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row>
    <row r="313" spans="1:25" ht="12.75">
      <c r="A313" s="228"/>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row>
    <row r="314" spans="1:25" ht="12.75">
      <c r="A314" s="228"/>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row>
    <row r="315" spans="1:25" ht="12.75">
      <c r="A315" s="228"/>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row>
    <row r="316" spans="1:25" ht="12.75">
      <c r="A316" s="228"/>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row>
    <row r="317" spans="1:25" ht="12.75">
      <c r="A317" s="228"/>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row>
    <row r="318" spans="1:25" ht="12.75">
      <c r="A318" s="228"/>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row>
    <row r="319" spans="1:25" ht="12.75">
      <c r="A319" s="228"/>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row>
    <row r="320" spans="1:25" ht="12.75">
      <c r="A320" s="228"/>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row>
    <row r="321" spans="1:25" ht="12.75">
      <c r="A321" s="228"/>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row>
    <row r="322" spans="1:25" ht="12.75">
      <c r="A322" s="228"/>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row>
    <row r="323" spans="1:25" ht="12.75">
      <c r="A323" s="228"/>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row>
    <row r="324" spans="1:25" ht="12.75">
      <c r="A324" s="228"/>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row>
    <row r="325" spans="1:25" ht="12.75">
      <c r="A325" s="228"/>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row>
    <row r="326" spans="1:25" ht="12.75">
      <c r="A326" s="228"/>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row>
    <row r="327" spans="1:25" ht="12.75">
      <c r="A327" s="228"/>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row>
    <row r="328" spans="1:25" ht="12.75">
      <c r="A328" s="228"/>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row>
    <row r="329" spans="1:25" ht="12.75">
      <c r="A329" s="228"/>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row>
    <row r="330" spans="1:25" ht="12.75">
      <c r="A330" s="228"/>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row>
    <row r="331" spans="1:25" ht="12.75">
      <c r="A331" s="228"/>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row>
    <row r="332" spans="1:25" ht="12.75">
      <c r="A332" s="228"/>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row>
    <row r="333" spans="1:25" ht="12.75">
      <c r="A333" s="228"/>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row>
    <row r="334" spans="1:25" ht="12.75">
      <c r="A334" s="228"/>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row>
    <row r="335" spans="1:25" ht="12.75">
      <c r="A335" s="228"/>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row>
    <row r="336" spans="1:25" ht="12.75">
      <c r="A336" s="228"/>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row>
    <row r="337" spans="1:25" ht="12.75">
      <c r="A337" s="228"/>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row>
    <row r="338" spans="1:25" ht="12.75">
      <c r="A338" s="228"/>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row>
    <row r="339" spans="1:25" ht="12.75">
      <c r="A339" s="228"/>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row>
    <row r="340" spans="1:25" ht="12.75">
      <c r="A340" s="228"/>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row>
    <row r="341" spans="1:25" ht="12.75">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row>
    <row r="342" spans="1:25" ht="12.75">
      <c r="A342" s="228"/>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row>
    <row r="343" spans="1:25" ht="12.75">
      <c r="A343" s="228"/>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row>
    <row r="344" spans="1:25" ht="12.75">
      <c r="A344" s="228"/>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row>
    <row r="345" spans="1:25" ht="12.75">
      <c r="A345" s="228"/>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row>
    <row r="346" spans="1:25" ht="12.75">
      <c r="A346" s="228"/>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row>
    <row r="347" spans="1:25" ht="12.75">
      <c r="A347" s="228"/>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row>
    <row r="348" spans="1:25" ht="12.75">
      <c r="A348" s="228"/>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row>
    <row r="349" spans="1:25" ht="12.75">
      <c r="A349" s="228"/>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row>
    <row r="350" spans="1:25" ht="12.75">
      <c r="A350" s="228"/>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row>
    <row r="351" spans="1:25" ht="12.75">
      <c r="A351" s="228"/>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row>
    <row r="352" spans="1:25" ht="12.75">
      <c r="A352" s="228"/>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row>
    <row r="353" spans="1:25" ht="12.75">
      <c r="A353" s="228"/>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row>
    <row r="354" spans="1:25" ht="12.75">
      <c r="A354" s="228"/>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row>
    <row r="355" spans="1:25" ht="12.75">
      <c r="A355" s="228"/>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row>
    <row r="356" spans="1:25" ht="12.75">
      <c r="A356" s="228"/>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row>
    <row r="357" spans="1:25" ht="12.75">
      <c r="A357" s="228"/>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row>
    <row r="358" spans="1:25" ht="12.75">
      <c r="A358" s="228"/>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row>
    <row r="359" spans="1:25" ht="12.75">
      <c r="A359" s="228"/>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row>
    <row r="360" spans="1:25" ht="12.75">
      <c r="A360" s="228"/>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row>
    <row r="361" spans="1:25" ht="12.75">
      <c r="A361" s="228"/>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row>
    <row r="362" spans="1:25" ht="12.75">
      <c r="A362" s="228"/>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row>
    <row r="363" spans="1:25" ht="12.75">
      <c r="A363" s="228"/>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row>
    <row r="364" spans="1:25" ht="12.75">
      <c r="A364" s="228"/>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row>
    <row r="365" spans="1:25" ht="12.75">
      <c r="A365" s="228"/>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row>
    <row r="366" spans="1:25" ht="12.75">
      <c r="A366" s="228"/>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row>
    <row r="367" spans="1:25" ht="12.75">
      <c r="A367" s="228"/>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row>
    <row r="368" spans="1:25" ht="12.75">
      <c r="A368" s="228"/>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row>
    <row r="369" spans="1:25" ht="12.75">
      <c r="A369" s="228"/>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row>
    <row r="370" spans="1:25" ht="12.75">
      <c r="A370" s="228"/>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row>
    <row r="371" spans="1:25" ht="12.75">
      <c r="A371" s="228"/>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row>
    <row r="372" spans="1:25" ht="12.75">
      <c r="A372" s="228"/>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row>
    <row r="373" spans="1:25" ht="12.75">
      <c r="A373" s="228"/>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row>
    <row r="374" spans="1:25" ht="12.75">
      <c r="A374" s="228"/>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row>
    <row r="375" spans="1:25" ht="12.75">
      <c r="A375" s="228"/>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row>
    <row r="376" spans="1:25" ht="12.75">
      <c r="A376" s="228"/>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row>
    <row r="377" spans="1:25" ht="12.75">
      <c r="A377" s="228"/>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row>
    <row r="378" spans="1:25" ht="12.75">
      <c r="A378" s="228"/>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row>
    <row r="379" spans="1:25" ht="12.75">
      <c r="A379" s="228"/>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row>
    <row r="380" spans="1:25" ht="12.75">
      <c r="A380" s="228"/>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row>
    <row r="381" spans="1:25" ht="12.75">
      <c r="A381" s="228"/>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row>
    <row r="382" spans="1:25" ht="12.75">
      <c r="A382" s="228"/>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row>
    <row r="383" spans="1:25" ht="12.75">
      <c r="A383" s="228"/>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row>
    <row r="384" spans="1:25" ht="12.75">
      <c r="A384" s="228"/>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row>
    <row r="385" spans="1:25" ht="12.75">
      <c r="A385" s="228"/>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row>
    <row r="386" spans="1:25" ht="12.75">
      <c r="A386" s="228"/>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row>
    <row r="387" spans="1:25" ht="12.75">
      <c r="A387" s="228"/>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row>
    <row r="388" spans="1:25" ht="12.75">
      <c r="A388" s="228"/>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row>
    <row r="389" spans="1:25" ht="12.75">
      <c r="A389" s="228"/>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row>
    <row r="390" spans="1:25" ht="12.75">
      <c r="A390" s="228"/>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row>
    <row r="391" spans="1:25" ht="12.75">
      <c r="A391" s="228"/>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row>
    <row r="392" spans="1:25" ht="12.75">
      <c r="A392" s="228"/>
      <c r="B392" s="228"/>
      <c r="C392" s="228"/>
      <c r="D392" s="228"/>
      <c r="E392" s="228"/>
      <c r="F392" s="228"/>
      <c r="G392" s="228"/>
      <c r="H392" s="228"/>
      <c r="I392" s="228"/>
      <c r="J392" s="228"/>
      <c r="K392" s="228"/>
      <c r="L392" s="228"/>
      <c r="M392" s="228"/>
      <c r="N392" s="228"/>
      <c r="O392" s="228"/>
      <c r="P392" s="228"/>
      <c r="Q392" s="228"/>
      <c r="R392" s="228"/>
      <c r="S392" s="228"/>
      <c r="T392" s="228"/>
      <c r="U392" s="228"/>
      <c r="V392" s="228"/>
      <c r="W392" s="228"/>
      <c r="X392" s="228"/>
      <c r="Y392" s="228"/>
    </row>
    <row r="393" spans="1:25" ht="12.75">
      <c r="A393" s="228"/>
      <c r="B393" s="228"/>
      <c r="C393" s="228"/>
      <c r="D393" s="228"/>
      <c r="E393" s="228"/>
      <c r="F393" s="228"/>
      <c r="G393" s="228"/>
      <c r="H393" s="228"/>
      <c r="I393" s="228"/>
      <c r="J393" s="228"/>
      <c r="K393" s="228"/>
      <c r="L393" s="228"/>
      <c r="M393" s="228"/>
      <c r="N393" s="228"/>
      <c r="O393" s="228"/>
      <c r="P393" s="228"/>
      <c r="Q393" s="228"/>
      <c r="R393" s="228"/>
      <c r="S393" s="228"/>
      <c r="T393" s="228"/>
      <c r="U393" s="228"/>
      <c r="V393" s="228"/>
      <c r="W393" s="228"/>
      <c r="X393" s="228"/>
      <c r="Y393" s="228"/>
    </row>
    <row r="394" spans="1:25" ht="12.75">
      <c r="A394" s="228"/>
      <c r="B394" s="228"/>
      <c r="C394" s="228"/>
      <c r="D394" s="228"/>
      <c r="E394" s="228"/>
      <c r="F394" s="228"/>
      <c r="G394" s="228"/>
      <c r="H394" s="228"/>
      <c r="I394" s="228"/>
      <c r="J394" s="228"/>
      <c r="K394" s="228"/>
      <c r="L394" s="228"/>
      <c r="M394" s="228"/>
      <c r="N394" s="228"/>
      <c r="O394" s="228"/>
      <c r="P394" s="228"/>
      <c r="Q394" s="228"/>
      <c r="R394" s="228"/>
      <c r="S394" s="228"/>
      <c r="T394" s="228"/>
      <c r="U394" s="228"/>
      <c r="V394" s="228"/>
      <c r="W394" s="228"/>
      <c r="X394" s="228"/>
      <c r="Y394" s="228"/>
    </row>
    <row r="395" spans="1:25" ht="12.75">
      <c r="A395" s="228"/>
      <c r="B395" s="228"/>
      <c r="C395" s="228"/>
      <c r="D395" s="228"/>
      <c r="E395" s="228"/>
      <c r="F395" s="228"/>
      <c r="G395" s="228"/>
      <c r="H395" s="228"/>
      <c r="I395" s="228"/>
      <c r="J395" s="228"/>
      <c r="K395" s="228"/>
      <c r="L395" s="228"/>
      <c r="M395" s="228"/>
      <c r="N395" s="228"/>
      <c r="O395" s="228"/>
      <c r="P395" s="228"/>
      <c r="Q395" s="228"/>
      <c r="R395" s="228"/>
      <c r="S395" s="228"/>
      <c r="T395" s="228"/>
      <c r="U395" s="228"/>
      <c r="V395" s="228"/>
      <c r="W395" s="228"/>
      <c r="X395" s="228"/>
      <c r="Y395" s="228"/>
    </row>
    <row r="396" spans="1:25" ht="12.75">
      <c r="A396" s="228"/>
      <c r="B396" s="228"/>
      <c r="C396" s="228"/>
      <c r="D396" s="228"/>
      <c r="E396" s="228"/>
      <c r="F396" s="228"/>
      <c r="G396" s="228"/>
      <c r="H396" s="228"/>
      <c r="I396" s="228"/>
      <c r="J396" s="228"/>
      <c r="K396" s="228"/>
      <c r="L396" s="228"/>
      <c r="M396" s="228"/>
      <c r="N396" s="228"/>
      <c r="O396" s="228"/>
      <c r="P396" s="228"/>
      <c r="Q396" s="228"/>
      <c r="R396" s="228"/>
      <c r="S396" s="228"/>
      <c r="T396" s="228"/>
      <c r="U396" s="228"/>
      <c r="V396" s="228"/>
      <c r="W396" s="228"/>
      <c r="X396" s="228"/>
      <c r="Y396" s="228"/>
    </row>
    <row r="397" spans="1:25" ht="12.75">
      <c r="A397" s="228"/>
      <c r="B397" s="228"/>
      <c r="C397" s="228"/>
      <c r="D397" s="228"/>
      <c r="E397" s="228"/>
      <c r="F397" s="228"/>
      <c r="G397" s="228"/>
      <c r="H397" s="228"/>
      <c r="I397" s="228"/>
      <c r="J397" s="228"/>
      <c r="K397" s="228"/>
      <c r="L397" s="228"/>
      <c r="M397" s="228"/>
      <c r="N397" s="228"/>
      <c r="O397" s="228"/>
      <c r="P397" s="228"/>
      <c r="Q397" s="228"/>
      <c r="R397" s="228"/>
      <c r="S397" s="228"/>
      <c r="T397" s="228"/>
      <c r="U397" s="228"/>
      <c r="V397" s="228"/>
      <c r="W397" s="228"/>
      <c r="X397" s="228"/>
      <c r="Y397" s="228"/>
    </row>
    <row r="398" spans="1:25" ht="12.75">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row>
    <row r="399" spans="1:25" ht="12.75">
      <c r="A399" s="228"/>
      <c r="B399" s="228"/>
      <c r="C399" s="228"/>
      <c r="D399" s="228"/>
      <c r="E399" s="228"/>
      <c r="F399" s="228"/>
      <c r="G399" s="228"/>
      <c r="H399" s="228"/>
      <c r="I399" s="228"/>
      <c r="J399" s="228"/>
      <c r="K399" s="228"/>
      <c r="L399" s="228"/>
      <c r="M399" s="228"/>
      <c r="N399" s="228"/>
      <c r="O399" s="228"/>
      <c r="P399" s="228"/>
      <c r="Q399" s="228"/>
      <c r="R399" s="228"/>
      <c r="S399" s="228"/>
      <c r="T399" s="228"/>
      <c r="U399" s="228"/>
      <c r="V399" s="228"/>
      <c r="W399" s="228"/>
      <c r="X399" s="228"/>
      <c r="Y399" s="228"/>
    </row>
    <row r="400" spans="1:25" ht="12.75">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row>
    <row r="401" spans="1:25" ht="12.75">
      <c r="A401" s="228"/>
      <c r="B401" s="228"/>
      <c r="C401" s="228"/>
      <c r="D401" s="228"/>
      <c r="E401" s="228"/>
      <c r="F401" s="228"/>
      <c r="G401" s="228"/>
      <c r="H401" s="228"/>
      <c r="I401" s="228"/>
      <c r="J401" s="228"/>
      <c r="K401" s="228"/>
      <c r="L401" s="228"/>
      <c r="M401" s="228"/>
      <c r="N401" s="228"/>
      <c r="O401" s="228"/>
      <c r="P401" s="228"/>
      <c r="Q401" s="228"/>
      <c r="R401" s="228"/>
      <c r="S401" s="228"/>
      <c r="T401" s="228"/>
      <c r="U401" s="228"/>
      <c r="V401" s="228"/>
      <c r="W401" s="228"/>
      <c r="X401" s="228"/>
      <c r="Y401" s="228"/>
    </row>
    <row r="402" spans="1:25" ht="12.75">
      <c r="A402" s="228"/>
      <c r="B402" s="228"/>
      <c r="C402" s="228"/>
      <c r="D402" s="228"/>
      <c r="E402" s="228"/>
      <c r="F402" s="228"/>
      <c r="G402" s="228"/>
      <c r="H402" s="228"/>
      <c r="I402" s="228"/>
      <c r="J402" s="228"/>
      <c r="K402" s="228"/>
      <c r="L402" s="228"/>
      <c r="M402" s="228"/>
      <c r="N402" s="228"/>
      <c r="O402" s="228"/>
      <c r="P402" s="228"/>
      <c r="Q402" s="228"/>
      <c r="R402" s="228"/>
      <c r="S402" s="228"/>
      <c r="T402" s="228"/>
      <c r="U402" s="228"/>
      <c r="V402" s="228"/>
      <c r="W402" s="228"/>
      <c r="X402" s="228"/>
      <c r="Y402" s="228"/>
    </row>
    <row r="403" spans="1:25" ht="12.75">
      <c r="A403" s="228"/>
      <c r="B403" s="228"/>
      <c r="C403" s="228"/>
      <c r="D403" s="228"/>
      <c r="E403" s="228"/>
      <c r="F403" s="228"/>
      <c r="G403" s="228"/>
      <c r="H403" s="228"/>
      <c r="I403" s="228"/>
      <c r="J403" s="228"/>
      <c r="K403" s="228"/>
      <c r="L403" s="228"/>
      <c r="M403" s="228"/>
      <c r="N403" s="228"/>
      <c r="O403" s="228"/>
      <c r="P403" s="228"/>
      <c r="Q403" s="228"/>
      <c r="R403" s="228"/>
      <c r="S403" s="228"/>
      <c r="T403" s="228"/>
      <c r="U403" s="228"/>
      <c r="V403" s="228"/>
      <c r="W403" s="228"/>
      <c r="X403" s="228"/>
      <c r="Y403" s="228"/>
    </row>
    <row r="404" spans="1:25" ht="12.75">
      <c r="A404" s="228"/>
      <c r="B404" s="228"/>
      <c r="C404" s="228"/>
      <c r="D404" s="228"/>
      <c r="E404" s="228"/>
      <c r="F404" s="228"/>
      <c r="G404" s="228"/>
      <c r="H404" s="228"/>
      <c r="I404" s="228"/>
      <c r="J404" s="228"/>
      <c r="K404" s="228"/>
      <c r="L404" s="228"/>
      <c r="M404" s="228"/>
      <c r="N404" s="228"/>
      <c r="O404" s="228"/>
      <c r="P404" s="228"/>
      <c r="Q404" s="228"/>
      <c r="R404" s="228"/>
      <c r="S404" s="228"/>
      <c r="T404" s="228"/>
      <c r="U404" s="228"/>
      <c r="V404" s="228"/>
      <c r="W404" s="228"/>
      <c r="X404" s="228"/>
      <c r="Y404" s="228"/>
    </row>
    <row r="405" spans="1:25" ht="12.75">
      <c r="A405" s="228"/>
      <c r="B405" s="228"/>
      <c r="C405" s="228"/>
      <c r="D405" s="228"/>
      <c r="E405" s="228"/>
      <c r="F405" s="228"/>
      <c r="G405" s="228"/>
      <c r="H405" s="228"/>
      <c r="I405" s="228"/>
      <c r="J405" s="228"/>
      <c r="K405" s="228"/>
      <c r="L405" s="228"/>
      <c r="M405" s="228"/>
      <c r="N405" s="228"/>
      <c r="O405" s="228"/>
      <c r="P405" s="228"/>
      <c r="Q405" s="228"/>
      <c r="R405" s="228"/>
      <c r="S405" s="228"/>
      <c r="T405" s="228"/>
      <c r="U405" s="228"/>
      <c r="V405" s="228"/>
      <c r="W405" s="228"/>
      <c r="X405" s="228"/>
      <c r="Y405" s="228"/>
    </row>
    <row r="406" spans="1:25" ht="12.75">
      <c r="A406" s="228"/>
      <c r="B406" s="228"/>
      <c r="C406" s="228"/>
      <c r="D406" s="228"/>
      <c r="E406" s="228"/>
      <c r="F406" s="228"/>
      <c r="G406" s="228"/>
      <c r="H406" s="228"/>
      <c r="I406" s="228"/>
      <c r="J406" s="228"/>
      <c r="K406" s="228"/>
      <c r="L406" s="228"/>
      <c r="M406" s="228"/>
      <c r="N406" s="228"/>
      <c r="O406" s="228"/>
      <c r="P406" s="228"/>
      <c r="Q406" s="228"/>
      <c r="R406" s="228"/>
      <c r="S406" s="228"/>
      <c r="T406" s="228"/>
      <c r="U406" s="228"/>
      <c r="V406" s="228"/>
      <c r="W406" s="228"/>
      <c r="X406" s="228"/>
      <c r="Y406" s="228"/>
    </row>
    <row r="407" spans="1:25" ht="12.75">
      <c r="A407" s="228"/>
      <c r="B407" s="228"/>
      <c r="C407" s="228"/>
      <c r="D407" s="228"/>
      <c r="E407" s="228"/>
      <c r="F407" s="228"/>
      <c r="G407" s="228"/>
      <c r="H407" s="228"/>
      <c r="I407" s="228"/>
      <c r="J407" s="228"/>
      <c r="K407" s="228"/>
      <c r="L407" s="228"/>
      <c r="M407" s="228"/>
      <c r="N407" s="228"/>
      <c r="O407" s="228"/>
      <c r="P407" s="228"/>
      <c r="Q407" s="228"/>
      <c r="R407" s="228"/>
      <c r="S407" s="228"/>
      <c r="T407" s="228"/>
      <c r="U407" s="228"/>
      <c r="V407" s="228"/>
      <c r="W407" s="228"/>
      <c r="X407" s="228"/>
      <c r="Y407" s="228"/>
    </row>
    <row r="408" spans="1:25" ht="12.75">
      <c r="A408" s="228"/>
      <c r="B408" s="228"/>
      <c r="C408" s="228"/>
      <c r="D408" s="228"/>
      <c r="E408" s="228"/>
      <c r="F408" s="228"/>
      <c r="G408" s="228"/>
      <c r="H408" s="228"/>
      <c r="I408" s="228"/>
      <c r="J408" s="228"/>
      <c r="K408" s="228"/>
      <c r="L408" s="228"/>
      <c r="M408" s="228"/>
      <c r="N408" s="228"/>
      <c r="O408" s="228"/>
      <c r="P408" s="228"/>
      <c r="Q408" s="228"/>
      <c r="R408" s="228"/>
      <c r="S408" s="228"/>
      <c r="T408" s="228"/>
      <c r="U408" s="228"/>
      <c r="V408" s="228"/>
      <c r="W408" s="228"/>
      <c r="X408" s="228"/>
      <c r="Y408" s="228"/>
    </row>
    <row r="409" spans="1:25" ht="12.75">
      <c r="A409" s="228"/>
      <c r="B409" s="228"/>
      <c r="C409" s="228"/>
      <c r="D409" s="228"/>
      <c r="E409" s="228"/>
      <c r="F409" s="228"/>
      <c r="G409" s="228"/>
      <c r="H409" s="228"/>
      <c r="I409" s="228"/>
      <c r="J409" s="228"/>
      <c r="K409" s="228"/>
      <c r="L409" s="228"/>
      <c r="M409" s="228"/>
      <c r="N409" s="228"/>
      <c r="O409" s="228"/>
      <c r="P409" s="228"/>
      <c r="Q409" s="228"/>
      <c r="R409" s="228"/>
      <c r="S409" s="228"/>
      <c r="T409" s="228"/>
      <c r="U409" s="228"/>
      <c r="V409" s="228"/>
      <c r="W409" s="228"/>
      <c r="X409" s="228"/>
      <c r="Y409" s="228"/>
    </row>
    <row r="410" spans="1:25" ht="12.75">
      <c r="A410" s="228"/>
      <c r="B410" s="228"/>
      <c r="C410" s="228"/>
      <c r="D410" s="228"/>
      <c r="E410" s="228"/>
      <c r="F410" s="228"/>
      <c r="G410" s="228"/>
      <c r="H410" s="228"/>
      <c r="I410" s="228"/>
      <c r="J410" s="228"/>
      <c r="K410" s="228"/>
      <c r="L410" s="228"/>
      <c r="M410" s="228"/>
      <c r="N410" s="228"/>
      <c r="O410" s="228"/>
      <c r="P410" s="228"/>
      <c r="Q410" s="228"/>
      <c r="R410" s="228"/>
      <c r="S410" s="228"/>
      <c r="T410" s="228"/>
      <c r="U410" s="228"/>
      <c r="V410" s="228"/>
      <c r="W410" s="228"/>
      <c r="X410" s="228"/>
      <c r="Y410" s="228"/>
    </row>
    <row r="411" spans="1:25" ht="12.75">
      <c r="A411" s="228"/>
      <c r="B411" s="228"/>
      <c r="C411" s="228"/>
      <c r="D411" s="228"/>
      <c r="E411" s="228"/>
      <c r="F411" s="228"/>
      <c r="G411" s="228"/>
      <c r="H411" s="228"/>
      <c r="I411" s="228"/>
      <c r="J411" s="228"/>
      <c r="K411" s="228"/>
      <c r="L411" s="228"/>
      <c r="M411" s="228"/>
      <c r="N411" s="228"/>
      <c r="O411" s="228"/>
      <c r="P411" s="228"/>
      <c r="Q411" s="228"/>
      <c r="R411" s="228"/>
      <c r="S411" s="228"/>
      <c r="T411" s="228"/>
      <c r="U411" s="228"/>
      <c r="V411" s="228"/>
      <c r="W411" s="228"/>
      <c r="X411" s="228"/>
      <c r="Y411" s="228"/>
    </row>
    <row r="412" spans="1:25" ht="12.75">
      <c r="A412" s="228"/>
      <c r="B412" s="228"/>
      <c r="C412" s="228"/>
      <c r="D412" s="228"/>
      <c r="E412" s="228"/>
      <c r="F412" s="228"/>
      <c r="G412" s="228"/>
      <c r="H412" s="228"/>
      <c r="I412" s="228"/>
      <c r="J412" s="228"/>
      <c r="K412" s="228"/>
      <c r="L412" s="228"/>
      <c r="M412" s="228"/>
      <c r="N412" s="228"/>
      <c r="O412" s="228"/>
      <c r="P412" s="228"/>
      <c r="Q412" s="228"/>
      <c r="R412" s="228"/>
      <c r="S412" s="228"/>
      <c r="T412" s="228"/>
      <c r="U412" s="228"/>
      <c r="V412" s="228"/>
      <c r="W412" s="228"/>
      <c r="X412" s="228"/>
      <c r="Y412" s="228"/>
    </row>
    <row r="413" spans="1:25" ht="12.75">
      <c r="A413" s="228"/>
      <c r="B413" s="228"/>
      <c r="C413" s="228"/>
      <c r="D413" s="228"/>
      <c r="E413" s="228"/>
      <c r="F413" s="228"/>
      <c r="G413" s="228"/>
      <c r="H413" s="228"/>
      <c r="I413" s="228"/>
      <c r="J413" s="228"/>
      <c r="K413" s="228"/>
      <c r="L413" s="228"/>
      <c r="M413" s="228"/>
      <c r="N413" s="228"/>
      <c r="O413" s="228"/>
      <c r="P413" s="228"/>
      <c r="Q413" s="228"/>
      <c r="R413" s="228"/>
      <c r="S413" s="228"/>
      <c r="T413" s="228"/>
      <c r="U413" s="228"/>
      <c r="V413" s="228"/>
      <c r="W413" s="228"/>
      <c r="X413" s="228"/>
      <c r="Y413" s="228"/>
    </row>
    <row r="414" spans="1:25" ht="12.75">
      <c r="A414" s="228"/>
      <c r="B414" s="228"/>
      <c r="C414" s="228"/>
      <c r="D414" s="228"/>
      <c r="E414" s="228"/>
      <c r="F414" s="228"/>
      <c r="G414" s="228"/>
      <c r="H414" s="228"/>
      <c r="I414" s="228"/>
      <c r="J414" s="228"/>
      <c r="K414" s="228"/>
      <c r="L414" s="228"/>
      <c r="M414" s="228"/>
      <c r="N414" s="228"/>
      <c r="O414" s="228"/>
      <c r="P414" s="228"/>
      <c r="Q414" s="228"/>
      <c r="R414" s="228"/>
      <c r="S414" s="228"/>
      <c r="T414" s="228"/>
      <c r="U414" s="228"/>
      <c r="V414" s="228"/>
      <c r="W414" s="228"/>
      <c r="X414" s="228"/>
      <c r="Y414" s="228"/>
    </row>
    <row r="415" spans="1:25" ht="12.75">
      <c r="A415" s="228"/>
      <c r="B415" s="228"/>
      <c r="C415" s="228"/>
      <c r="D415" s="228"/>
      <c r="E415" s="228"/>
      <c r="F415" s="228"/>
      <c r="G415" s="228"/>
      <c r="H415" s="228"/>
      <c r="I415" s="228"/>
      <c r="J415" s="228"/>
      <c r="K415" s="228"/>
      <c r="L415" s="228"/>
      <c r="M415" s="228"/>
      <c r="N415" s="228"/>
      <c r="O415" s="228"/>
      <c r="P415" s="228"/>
      <c r="Q415" s="228"/>
      <c r="R415" s="228"/>
      <c r="S415" s="228"/>
      <c r="T415" s="228"/>
      <c r="U415" s="228"/>
      <c r="V415" s="228"/>
      <c r="W415" s="228"/>
      <c r="X415" s="228"/>
      <c r="Y415" s="228"/>
    </row>
    <row r="416" spans="1:25" ht="12.75">
      <c r="A416" s="228"/>
      <c r="B416" s="228"/>
      <c r="C416" s="228"/>
      <c r="D416" s="228"/>
      <c r="E416" s="228"/>
      <c r="F416" s="228"/>
      <c r="G416" s="228"/>
      <c r="H416" s="228"/>
      <c r="I416" s="228"/>
      <c r="J416" s="228"/>
      <c r="K416" s="228"/>
      <c r="L416" s="228"/>
      <c r="M416" s="228"/>
      <c r="N416" s="228"/>
      <c r="O416" s="228"/>
      <c r="P416" s="228"/>
      <c r="Q416" s="228"/>
      <c r="R416" s="228"/>
      <c r="S416" s="228"/>
      <c r="T416" s="228"/>
      <c r="U416" s="228"/>
      <c r="V416" s="228"/>
      <c r="W416" s="228"/>
      <c r="X416" s="228"/>
      <c r="Y416" s="228"/>
    </row>
    <row r="417" spans="1:25" ht="12.75">
      <c r="A417" s="228"/>
      <c r="B417" s="228"/>
      <c r="C417" s="228"/>
      <c r="D417" s="228"/>
      <c r="E417" s="228"/>
      <c r="F417" s="228"/>
      <c r="G417" s="228"/>
      <c r="H417" s="228"/>
      <c r="I417" s="228"/>
      <c r="J417" s="228"/>
      <c r="K417" s="228"/>
      <c r="L417" s="228"/>
      <c r="M417" s="228"/>
      <c r="N417" s="228"/>
      <c r="O417" s="228"/>
      <c r="P417" s="228"/>
      <c r="Q417" s="228"/>
      <c r="R417" s="228"/>
      <c r="S417" s="228"/>
      <c r="T417" s="228"/>
      <c r="U417" s="228"/>
      <c r="V417" s="228"/>
      <c r="W417" s="228"/>
      <c r="X417" s="228"/>
      <c r="Y417" s="228"/>
    </row>
    <row r="418" spans="1:25" ht="12.75">
      <c r="A418" s="228"/>
      <c r="B418" s="228"/>
      <c r="C418" s="228"/>
      <c r="D418" s="228"/>
      <c r="E418" s="228"/>
      <c r="F418" s="228"/>
      <c r="G418" s="228"/>
      <c r="H418" s="228"/>
      <c r="I418" s="228"/>
      <c r="J418" s="228"/>
      <c r="K418" s="228"/>
      <c r="L418" s="228"/>
      <c r="M418" s="228"/>
      <c r="N418" s="228"/>
      <c r="O418" s="228"/>
      <c r="P418" s="228"/>
      <c r="Q418" s="228"/>
      <c r="R418" s="228"/>
      <c r="S418" s="228"/>
      <c r="T418" s="228"/>
      <c r="U418" s="228"/>
      <c r="V418" s="228"/>
      <c r="W418" s="228"/>
      <c r="X418" s="228"/>
      <c r="Y418" s="228"/>
    </row>
    <row r="419" spans="1:25" ht="12.75">
      <c r="A419" s="228"/>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row>
    <row r="420" spans="1:25" ht="12.75">
      <c r="A420" s="228"/>
      <c r="B420" s="228"/>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row>
    <row r="421" spans="1:25" ht="12.75">
      <c r="A421" s="228"/>
      <c r="B421" s="228"/>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row>
    <row r="422" spans="1:25" ht="12.75">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row>
    <row r="423" spans="1:25" ht="12.75">
      <c r="A423" s="228"/>
      <c r="B423" s="228"/>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row>
    <row r="424" spans="1:25" ht="12.75">
      <c r="A424" s="228"/>
      <c r="B424" s="228"/>
      <c r="C424" s="228"/>
      <c r="D424" s="228"/>
      <c r="E424" s="228"/>
      <c r="F424" s="228"/>
      <c r="G424" s="228"/>
      <c r="H424" s="228"/>
      <c r="I424" s="228"/>
      <c r="J424" s="228"/>
      <c r="K424" s="228"/>
      <c r="L424" s="228"/>
      <c r="M424" s="228"/>
      <c r="N424" s="228"/>
      <c r="O424" s="228"/>
      <c r="P424" s="228"/>
      <c r="Q424" s="228"/>
      <c r="R424" s="228"/>
      <c r="S424" s="228"/>
      <c r="T424" s="228"/>
      <c r="U424" s="228"/>
      <c r="V424" s="228"/>
      <c r="W424" s="228"/>
      <c r="X424" s="228"/>
      <c r="Y424" s="228"/>
    </row>
    <row r="425" spans="1:25" ht="12.75">
      <c r="A425" s="228"/>
      <c r="B425" s="228"/>
      <c r="C425" s="228"/>
      <c r="D425" s="228"/>
      <c r="E425" s="228"/>
      <c r="F425" s="228"/>
      <c r="G425" s="228"/>
      <c r="H425" s="228"/>
      <c r="I425" s="228"/>
      <c r="J425" s="228"/>
      <c r="K425" s="228"/>
      <c r="L425" s="228"/>
      <c r="M425" s="228"/>
      <c r="N425" s="228"/>
      <c r="O425" s="228"/>
      <c r="P425" s="228"/>
      <c r="Q425" s="228"/>
      <c r="R425" s="228"/>
      <c r="S425" s="228"/>
      <c r="T425" s="228"/>
      <c r="U425" s="228"/>
      <c r="V425" s="228"/>
      <c r="W425" s="228"/>
      <c r="X425" s="228"/>
      <c r="Y425" s="228"/>
    </row>
    <row r="426" spans="1:25" ht="12.75">
      <c r="A426" s="228"/>
      <c r="B426" s="228"/>
      <c r="C426" s="228"/>
      <c r="D426" s="228"/>
      <c r="E426" s="228"/>
      <c r="F426" s="228"/>
      <c r="G426" s="228"/>
      <c r="H426" s="228"/>
      <c r="I426" s="228"/>
      <c r="J426" s="228"/>
      <c r="K426" s="228"/>
      <c r="L426" s="228"/>
      <c r="M426" s="228"/>
      <c r="N426" s="228"/>
      <c r="O426" s="228"/>
      <c r="P426" s="228"/>
      <c r="Q426" s="228"/>
      <c r="R426" s="228"/>
      <c r="S426" s="228"/>
      <c r="T426" s="228"/>
      <c r="U426" s="228"/>
      <c r="V426" s="228"/>
      <c r="W426" s="228"/>
      <c r="X426" s="228"/>
      <c r="Y426" s="228"/>
    </row>
    <row r="427" spans="1:25" ht="12.75">
      <c r="A427" s="228"/>
      <c r="B427" s="228"/>
      <c r="C427" s="228"/>
      <c r="D427" s="228"/>
      <c r="E427" s="228"/>
      <c r="F427" s="228"/>
      <c r="G427" s="228"/>
      <c r="H427" s="228"/>
      <c r="I427" s="228"/>
      <c r="J427" s="228"/>
      <c r="K427" s="228"/>
      <c r="L427" s="228"/>
      <c r="M427" s="228"/>
      <c r="N427" s="228"/>
      <c r="O427" s="228"/>
      <c r="P427" s="228"/>
      <c r="Q427" s="228"/>
      <c r="R427" s="228"/>
      <c r="S427" s="228"/>
      <c r="T427" s="228"/>
      <c r="U427" s="228"/>
      <c r="V427" s="228"/>
      <c r="W427" s="228"/>
      <c r="X427" s="228"/>
      <c r="Y427" s="228"/>
    </row>
    <row r="428" spans="1:25" ht="12.75">
      <c r="A428" s="228"/>
      <c r="B428" s="228"/>
      <c r="C428" s="228"/>
      <c r="D428" s="228"/>
      <c r="E428" s="228"/>
      <c r="F428" s="228"/>
      <c r="G428" s="228"/>
      <c r="H428" s="228"/>
      <c r="I428" s="228"/>
      <c r="J428" s="228"/>
      <c r="K428" s="228"/>
      <c r="L428" s="228"/>
      <c r="M428" s="228"/>
      <c r="N428" s="228"/>
      <c r="O428" s="228"/>
      <c r="P428" s="228"/>
      <c r="Q428" s="228"/>
      <c r="R428" s="228"/>
      <c r="S428" s="228"/>
      <c r="T428" s="228"/>
      <c r="U428" s="228"/>
      <c r="V428" s="228"/>
      <c r="W428" s="228"/>
      <c r="X428" s="228"/>
      <c r="Y428" s="228"/>
    </row>
    <row r="429" spans="1:25" ht="12.75">
      <c r="A429" s="228"/>
      <c r="B429" s="228"/>
      <c r="C429" s="228"/>
      <c r="D429" s="228"/>
      <c r="E429" s="228"/>
      <c r="F429" s="228"/>
      <c r="G429" s="228"/>
      <c r="H429" s="228"/>
      <c r="I429" s="228"/>
      <c r="J429" s="228"/>
      <c r="K429" s="228"/>
      <c r="L429" s="228"/>
      <c r="M429" s="228"/>
      <c r="N429" s="228"/>
      <c r="O429" s="228"/>
      <c r="P429" s="228"/>
      <c r="Q429" s="228"/>
      <c r="R429" s="228"/>
      <c r="S429" s="228"/>
      <c r="T429" s="228"/>
      <c r="U429" s="228"/>
      <c r="V429" s="228"/>
      <c r="W429" s="228"/>
      <c r="X429" s="228"/>
      <c r="Y429" s="228"/>
    </row>
    <row r="430" spans="1:25" ht="12.75">
      <c r="A430" s="228"/>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row>
    <row r="431" spans="1:25" ht="12.75">
      <c r="A431" s="228"/>
      <c r="B431" s="228"/>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row>
    <row r="432" spans="1:25" ht="12.75">
      <c r="A432" s="228"/>
      <c r="B432" s="228"/>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row>
    <row r="433" spans="1:25" ht="12.75">
      <c r="A433" s="228"/>
      <c r="B433" s="228"/>
      <c r="C433" s="228"/>
      <c r="D433" s="228"/>
      <c r="E433" s="228"/>
      <c r="F433" s="228"/>
      <c r="G433" s="228"/>
      <c r="H433" s="228"/>
      <c r="I433" s="228"/>
      <c r="J433" s="228"/>
      <c r="K433" s="228"/>
      <c r="L433" s="228"/>
      <c r="M433" s="228"/>
      <c r="N433" s="228"/>
      <c r="O433" s="228"/>
      <c r="P433" s="228"/>
      <c r="Q433" s="228"/>
      <c r="R433" s="228"/>
      <c r="S433" s="228"/>
      <c r="T433" s="228"/>
      <c r="U433" s="228"/>
      <c r="V433" s="228"/>
      <c r="W433" s="228"/>
      <c r="X433" s="228"/>
      <c r="Y433" s="228"/>
    </row>
    <row r="434" spans="1:25" ht="12.75">
      <c r="A434" s="228"/>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row>
    <row r="435" spans="1:25" ht="12.75">
      <c r="A435" s="228"/>
      <c r="B435" s="228"/>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row>
    <row r="436" spans="1:25" ht="12.75">
      <c r="A436" s="228"/>
      <c r="B436" s="228"/>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row>
    <row r="437" spans="1:25" ht="12.75">
      <c r="A437" s="228"/>
      <c r="B437" s="228"/>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row>
    <row r="438" spans="1:25" ht="12.75">
      <c r="A438" s="228"/>
      <c r="B438" s="228"/>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row>
    <row r="439" spans="1:25" ht="12.75">
      <c r="A439" s="228"/>
      <c r="B439" s="228"/>
      <c r="C439" s="228"/>
      <c r="D439" s="228"/>
      <c r="E439" s="228"/>
      <c r="F439" s="228"/>
      <c r="G439" s="228"/>
      <c r="H439" s="228"/>
      <c r="I439" s="228"/>
      <c r="J439" s="228"/>
      <c r="K439" s="228"/>
      <c r="L439" s="228"/>
      <c r="M439" s="228"/>
      <c r="N439" s="228"/>
      <c r="O439" s="228"/>
      <c r="P439" s="228"/>
      <c r="Q439" s="228"/>
      <c r="R439" s="228"/>
      <c r="S439" s="228"/>
      <c r="T439" s="228"/>
      <c r="U439" s="228"/>
      <c r="V439" s="228"/>
      <c r="W439" s="228"/>
      <c r="X439" s="228"/>
      <c r="Y439" s="228"/>
    </row>
    <row r="440" spans="1:25" ht="12.75">
      <c r="A440" s="228"/>
      <c r="B440" s="228"/>
      <c r="C440" s="228"/>
      <c r="D440" s="228"/>
      <c r="E440" s="228"/>
      <c r="F440" s="228"/>
      <c r="G440" s="228"/>
      <c r="H440" s="228"/>
      <c r="I440" s="228"/>
      <c r="J440" s="228"/>
      <c r="K440" s="228"/>
      <c r="L440" s="228"/>
      <c r="M440" s="228"/>
      <c r="N440" s="228"/>
      <c r="O440" s="228"/>
      <c r="P440" s="228"/>
      <c r="Q440" s="228"/>
      <c r="R440" s="228"/>
      <c r="S440" s="228"/>
      <c r="T440" s="228"/>
      <c r="U440" s="228"/>
      <c r="V440" s="228"/>
      <c r="W440" s="228"/>
      <c r="X440" s="228"/>
      <c r="Y440" s="228"/>
    </row>
    <row r="441" spans="1:25" ht="12.75">
      <c r="A441" s="228"/>
      <c r="B441" s="228"/>
      <c r="C441" s="228"/>
      <c r="D441" s="228"/>
      <c r="E441" s="228"/>
      <c r="F441" s="228"/>
      <c r="G441" s="228"/>
      <c r="H441" s="228"/>
      <c r="I441" s="228"/>
      <c r="J441" s="228"/>
      <c r="K441" s="228"/>
      <c r="L441" s="228"/>
      <c r="M441" s="228"/>
      <c r="N441" s="228"/>
      <c r="O441" s="228"/>
      <c r="P441" s="228"/>
      <c r="Q441" s="228"/>
      <c r="R441" s="228"/>
      <c r="S441" s="228"/>
      <c r="T441" s="228"/>
      <c r="U441" s="228"/>
      <c r="V441" s="228"/>
      <c r="W441" s="228"/>
      <c r="X441" s="228"/>
      <c r="Y441" s="228"/>
    </row>
    <row r="442" spans="1:25" ht="12.75">
      <c r="A442" s="228"/>
      <c r="B442" s="228"/>
      <c r="C442" s="228"/>
      <c r="D442" s="228"/>
      <c r="E442" s="228"/>
      <c r="F442" s="228"/>
      <c r="G442" s="228"/>
      <c r="H442" s="228"/>
      <c r="I442" s="228"/>
      <c r="J442" s="228"/>
      <c r="K442" s="228"/>
      <c r="L442" s="228"/>
      <c r="M442" s="228"/>
      <c r="N442" s="228"/>
      <c r="O442" s="228"/>
      <c r="P442" s="228"/>
      <c r="Q442" s="228"/>
      <c r="R442" s="228"/>
      <c r="S442" s="228"/>
      <c r="T442" s="228"/>
      <c r="U442" s="228"/>
      <c r="V442" s="228"/>
      <c r="W442" s="228"/>
      <c r="X442" s="228"/>
      <c r="Y442" s="228"/>
    </row>
    <row r="443" spans="1:25" ht="12.75">
      <c r="A443" s="228"/>
      <c r="B443" s="228"/>
      <c r="C443" s="228"/>
      <c r="D443" s="228"/>
      <c r="E443" s="228"/>
      <c r="F443" s="228"/>
      <c r="G443" s="228"/>
      <c r="H443" s="228"/>
      <c r="I443" s="228"/>
      <c r="J443" s="228"/>
      <c r="K443" s="228"/>
      <c r="L443" s="228"/>
      <c r="M443" s="228"/>
      <c r="N443" s="228"/>
      <c r="O443" s="228"/>
      <c r="P443" s="228"/>
      <c r="Q443" s="228"/>
      <c r="R443" s="228"/>
      <c r="S443" s="228"/>
      <c r="T443" s="228"/>
      <c r="U443" s="228"/>
      <c r="V443" s="228"/>
      <c r="W443" s="228"/>
      <c r="X443" s="228"/>
      <c r="Y443" s="228"/>
    </row>
    <row r="444" spans="1:25" ht="12.75">
      <c r="A444" s="228"/>
      <c r="B444" s="228"/>
      <c r="C444" s="228"/>
      <c r="D444" s="228"/>
      <c r="E444" s="228"/>
      <c r="F444" s="228"/>
      <c r="G444" s="228"/>
      <c r="H444" s="228"/>
      <c r="I444" s="228"/>
      <c r="J444" s="228"/>
      <c r="K444" s="228"/>
      <c r="L444" s="228"/>
      <c r="M444" s="228"/>
      <c r="N444" s="228"/>
      <c r="O444" s="228"/>
      <c r="P444" s="228"/>
      <c r="Q444" s="228"/>
      <c r="R444" s="228"/>
      <c r="S444" s="228"/>
      <c r="T444" s="228"/>
      <c r="U444" s="228"/>
      <c r="V444" s="228"/>
      <c r="W444" s="228"/>
      <c r="X444" s="228"/>
      <c r="Y444" s="228"/>
    </row>
    <row r="445" spans="1:25" ht="12.75">
      <c r="A445" s="228"/>
      <c r="B445" s="228"/>
      <c r="C445" s="228"/>
      <c r="D445" s="228"/>
      <c r="E445" s="228"/>
      <c r="F445" s="228"/>
      <c r="G445" s="228"/>
      <c r="H445" s="228"/>
      <c r="I445" s="228"/>
      <c r="J445" s="228"/>
      <c r="K445" s="228"/>
      <c r="L445" s="228"/>
      <c r="M445" s="228"/>
      <c r="N445" s="228"/>
      <c r="O445" s="228"/>
      <c r="P445" s="228"/>
      <c r="Q445" s="228"/>
      <c r="R445" s="228"/>
      <c r="S445" s="228"/>
      <c r="T445" s="228"/>
      <c r="U445" s="228"/>
      <c r="V445" s="228"/>
      <c r="W445" s="228"/>
      <c r="X445" s="228"/>
      <c r="Y445" s="228"/>
    </row>
    <row r="446" spans="1:25" ht="12.75">
      <c r="A446" s="228"/>
      <c r="B446" s="228"/>
      <c r="C446" s="228"/>
      <c r="D446" s="228"/>
      <c r="E446" s="228"/>
      <c r="F446" s="228"/>
      <c r="G446" s="228"/>
      <c r="H446" s="228"/>
      <c r="I446" s="228"/>
      <c r="J446" s="228"/>
      <c r="K446" s="228"/>
      <c r="L446" s="228"/>
      <c r="M446" s="228"/>
      <c r="N446" s="228"/>
      <c r="O446" s="228"/>
      <c r="P446" s="228"/>
      <c r="Q446" s="228"/>
      <c r="R446" s="228"/>
      <c r="S446" s="228"/>
      <c r="T446" s="228"/>
      <c r="U446" s="228"/>
      <c r="V446" s="228"/>
      <c r="W446" s="228"/>
      <c r="X446" s="228"/>
      <c r="Y446" s="228"/>
    </row>
    <row r="447" spans="1:25" ht="12.75">
      <c r="A447" s="228"/>
      <c r="B447" s="228"/>
      <c r="C447" s="228"/>
      <c r="D447" s="228"/>
      <c r="E447" s="228"/>
      <c r="F447" s="228"/>
      <c r="G447" s="228"/>
      <c r="H447" s="228"/>
      <c r="I447" s="228"/>
      <c r="J447" s="228"/>
      <c r="K447" s="228"/>
      <c r="L447" s="228"/>
      <c r="M447" s="228"/>
      <c r="N447" s="228"/>
      <c r="O447" s="228"/>
      <c r="P447" s="228"/>
      <c r="Q447" s="228"/>
      <c r="R447" s="228"/>
      <c r="S447" s="228"/>
      <c r="T447" s="228"/>
      <c r="U447" s="228"/>
      <c r="V447" s="228"/>
      <c r="W447" s="228"/>
      <c r="X447" s="228"/>
      <c r="Y447" s="228"/>
    </row>
    <row r="448" spans="1:25" ht="12.75">
      <c r="A448" s="228"/>
      <c r="B448" s="228"/>
      <c r="C448" s="228"/>
      <c r="D448" s="228"/>
      <c r="E448" s="228"/>
      <c r="F448" s="228"/>
      <c r="G448" s="228"/>
      <c r="H448" s="228"/>
      <c r="I448" s="228"/>
      <c r="J448" s="228"/>
      <c r="K448" s="228"/>
      <c r="L448" s="228"/>
      <c r="M448" s="228"/>
      <c r="N448" s="228"/>
      <c r="O448" s="228"/>
      <c r="P448" s="228"/>
      <c r="Q448" s="228"/>
      <c r="R448" s="228"/>
      <c r="S448" s="228"/>
      <c r="T448" s="228"/>
      <c r="U448" s="228"/>
      <c r="V448" s="228"/>
      <c r="W448" s="228"/>
      <c r="X448" s="228"/>
      <c r="Y448" s="228"/>
    </row>
    <row r="449" spans="1:25" ht="12.75">
      <c r="A449" s="228"/>
      <c r="B449" s="228"/>
      <c r="C449" s="228"/>
      <c r="D449" s="228"/>
      <c r="E449" s="228"/>
      <c r="F449" s="228"/>
      <c r="G449" s="228"/>
      <c r="H449" s="228"/>
      <c r="I449" s="228"/>
      <c r="J449" s="228"/>
      <c r="K449" s="228"/>
      <c r="L449" s="228"/>
      <c r="M449" s="228"/>
      <c r="N449" s="228"/>
      <c r="O449" s="228"/>
      <c r="P449" s="228"/>
      <c r="Q449" s="228"/>
      <c r="R449" s="228"/>
      <c r="S449" s="228"/>
      <c r="T449" s="228"/>
      <c r="U449" s="228"/>
      <c r="V449" s="228"/>
      <c r="W449" s="228"/>
      <c r="X449" s="228"/>
      <c r="Y449" s="228"/>
    </row>
    <row r="450" spans="1:25" ht="12.75">
      <c r="A450" s="228"/>
      <c r="B450" s="228"/>
      <c r="C450" s="228"/>
      <c r="D450" s="228"/>
      <c r="E450" s="228"/>
      <c r="F450" s="228"/>
      <c r="G450" s="228"/>
      <c r="H450" s="228"/>
      <c r="I450" s="228"/>
      <c r="J450" s="228"/>
      <c r="K450" s="228"/>
      <c r="L450" s="228"/>
      <c r="M450" s="228"/>
      <c r="N450" s="228"/>
      <c r="O450" s="228"/>
      <c r="P450" s="228"/>
      <c r="Q450" s="228"/>
      <c r="R450" s="228"/>
      <c r="S450" s="228"/>
      <c r="T450" s="228"/>
      <c r="U450" s="228"/>
      <c r="V450" s="228"/>
      <c r="W450" s="228"/>
      <c r="X450" s="228"/>
      <c r="Y450" s="228"/>
    </row>
    <row r="451" spans="1:25" ht="12.75">
      <c r="A451" s="228"/>
      <c r="B451" s="228"/>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row>
    <row r="452" spans="1:25" ht="12.75">
      <c r="A452" s="228"/>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row>
    <row r="453" spans="1:25" ht="12.75">
      <c r="A453" s="228"/>
      <c r="B453" s="228"/>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row>
    <row r="454" spans="1:25" ht="12.75">
      <c r="A454" s="228"/>
      <c r="B454" s="228"/>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row>
    <row r="455" spans="1:25" ht="12.75">
      <c r="A455" s="228"/>
      <c r="B455" s="228"/>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row>
    <row r="456" spans="1:25" ht="12.75">
      <c r="A456" s="228"/>
      <c r="B456" s="228"/>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row>
    <row r="457" spans="1:25" ht="12.75">
      <c r="A457" s="228"/>
      <c r="B457" s="228"/>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row>
    <row r="458" spans="1:25" ht="12.75">
      <c r="A458" s="228"/>
      <c r="B458" s="228"/>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row>
    <row r="459" spans="1:25" ht="12.75">
      <c r="A459" s="228"/>
      <c r="B459" s="228"/>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row>
    <row r="460" spans="1:25" ht="12.75">
      <c r="A460" s="228"/>
      <c r="B460" s="228"/>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row>
    <row r="461" spans="1:25" ht="12.75">
      <c r="A461" s="228"/>
      <c r="B461" s="228"/>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row>
    <row r="462" spans="1:25" ht="12.75">
      <c r="A462" s="228"/>
      <c r="B462" s="228"/>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row>
    <row r="463" spans="1:25" ht="12.75">
      <c r="A463" s="228"/>
      <c r="B463" s="228"/>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row>
    <row r="464" spans="1:25" ht="12.75">
      <c r="A464" s="228"/>
      <c r="B464" s="228"/>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row>
    <row r="465" spans="1:25" ht="12.75">
      <c r="A465" s="228"/>
      <c r="B465" s="228"/>
      <c r="C465" s="228"/>
      <c r="D465" s="228"/>
      <c r="E465" s="228"/>
      <c r="F465" s="228"/>
      <c r="G465" s="228"/>
      <c r="H465" s="228"/>
      <c r="I465" s="228"/>
      <c r="J465" s="228"/>
      <c r="K465" s="228"/>
      <c r="L465" s="228"/>
      <c r="M465" s="228"/>
      <c r="N465" s="228"/>
      <c r="O465" s="228"/>
      <c r="P465" s="228"/>
      <c r="Q465" s="228"/>
      <c r="R465" s="228"/>
      <c r="S465" s="228"/>
      <c r="T465" s="228"/>
      <c r="U465" s="228"/>
      <c r="V465" s="228"/>
      <c r="W465" s="228"/>
      <c r="X465" s="228"/>
      <c r="Y465" s="228"/>
    </row>
    <row r="466" spans="1:25" ht="12.75">
      <c r="A466" s="228"/>
      <c r="B466" s="228"/>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row>
    <row r="467" spans="1:25" ht="12.75">
      <c r="A467" s="228"/>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row>
    <row r="468" spans="1:25" ht="12.75">
      <c r="A468" s="228"/>
      <c r="B468" s="228"/>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row>
    <row r="469" spans="1:25" ht="12.75">
      <c r="A469" s="228"/>
      <c r="B469" s="228"/>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row>
    <row r="470" spans="1:25" ht="12.75">
      <c r="A470" s="228"/>
      <c r="B470" s="228"/>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row>
    <row r="471" spans="1:25" ht="12.75">
      <c r="A471" s="228"/>
      <c r="B471" s="228"/>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row>
    <row r="472" spans="1:25" ht="12.75">
      <c r="A472" s="228"/>
      <c r="B472" s="228"/>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row>
    <row r="473" spans="1:25" ht="12.75">
      <c r="A473" s="228"/>
      <c r="B473" s="228"/>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row>
    <row r="474" spans="1:25" ht="12.75">
      <c r="A474" s="228"/>
      <c r="B474" s="228"/>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row>
    <row r="475" spans="1:25" ht="12.75">
      <c r="A475" s="228"/>
      <c r="B475" s="228"/>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row>
    <row r="476" spans="1:25" ht="12.75">
      <c r="A476" s="228"/>
      <c r="B476" s="228"/>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row>
    <row r="477" spans="1:25" ht="12.75">
      <c r="A477" s="228"/>
      <c r="B477" s="228"/>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row>
    <row r="478" spans="1:25" ht="12.75">
      <c r="A478" s="228"/>
      <c r="B478" s="228"/>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row>
    <row r="479" spans="1:25" ht="12.75">
      <c r="A479" s="228"/>
      <c r="B479" s="228"/>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row>
    <row r="480" spans="1:25" ht="12.75">
      <c r="A480" s="228"/>
      <c r="B480" s="228"/>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row>
    <row r="481" spans="1:25" ht="12.75">
      <c r="A481" s="228"/>
      <c r="B481" s="228"/>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row>
    <row r="482" spans="1:25" ht="12.75">
      <c r="A482" s="228"/>
      <c r="B482" s="228"/>
      <c r="C482" s="228"/>
      <c r="D482" s="228"/>
      <c r="E482" s="228"/>
      <c r="F482" s="228"/>
      <c r="G482" s="228"/>
      <c r="H482" s="228"/>
      <c r="I482" s="228"/>
      <c r="J482" s="228"/>
      <c r="K482" s="228"/>
      <c r="L482" s="228"/>
      <c r="M482" s="228"/>
      <c r="N482" s="228"/>
      <c r="O482" s="228"/>
      <c r="P482" s="228"/>
      <c r="Q482" s="228"/>
      <c r="R482" s="228"/>
      <c r="S482" s="228"/>
      <c r="T482" s="228"/>
      <c r="U482" s="228"/>
      <c r="V482" s="228"/>
      <c r="W482" s="228"/>
      <c r="X482" s="228"/>
      <c r="Y482" s="228"/>
    </row>
    <row r="483" spans="1:25" ht="12.75">
      <c r="A483" s="228"/>
      <c r="B483" s="228"/>
      <c r="C483" s="228"/>
      <c r="D483" s="228"/>
      <c r="E483" s="228"/>
      <c r="F483" s="228"/>
      <c r="G483" s="228"/>
      <c r="H483" s="228"/>
      <c r="I483" s="228"/>
      <c r="J483" s="228"/>
      <c r="K483" s="228"/>
      <c r="L483" s="228"/>
      <c r="M483" s="228"/>
      <c r="N483" s="228"/>
      <c r="O483" s="228"/>
      <c r="P483" s="228"/>
      <c r="Q483" s="228"/>
      <c r="R483" s="228"/>
      <c r="S483" s="228"/>
      <c r="T483" s="228"/>
      <c r="U483" s="228"/>
      <c r="V483" s="228"/>
      <c r="W483" s="228"/>
      <c r="X483" s="228"/>
      <c r="Y483" s="228"/>
    </row>
    <row r="484" spans="1:25" ht="12.75">
      <c r="A484" s="228"/>
      <c r="B484" s="228"/>
      <c r="C484" s="22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row>
    <row r="485" spans="1:25" ht="12.75">
      <c r="A485" s="228"/>
      <c r="B485" s="228"/>
      <c r="C485" s="22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row>
    <row r="486" spans="1:25" ht="12.75">
      <c r="A486" s="228"/>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row>
    <row r="487" spans="1:25" ht="12.75">
      <c r="A487" s="228"/>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row>
    <row r="488" spans="1:25" ht="12.75">
      <c r="A488" s="228"/>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row>
    <row r="489" spans="1:25" ht="12.75">
      <c r="A489" s="228"/>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row>
    <row r="490" spans="1:25" ht="12.75">
      <c r="A490" s="228"/>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row>
    <row r="491" spans="1:25" ht="12.75">
      <c r="A491" s="228"/>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row>
    <row r="492" spans="1:25" ht="12.75">
      <c r="A492" s="228"/>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row>
    <row r="493" spans="1:25" ht="12.75">
      <c r="A493" s="228"/>
      <c r="B493" s="228"/>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row>
    <row r="494" spans="1:25" ht="12.75">
      <c r="A494" s="228"/>
      <c r="B494" s="228"/>
      <c r="C494" s="22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row>
    <row r="495" spans="1:25" ht="12.75">
      <c r="A495" s="228"/>
      <c r="B495" s="228"/>
      <c r="C495" s="22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row>
    <row r="496" spans="1:25" ht="12.75">
      <c r="A496" s="228"/>
      <c r="B496" s="228"/>
      <c r="C496" s="22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row>
    <row r="497" spans="1:25" ht="12.75">
      <c r="A497" s="228"/>
      <c r="B497" s="228"/>
      <c r="C497" s="22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row>
    <row r="498" spans="1:25" ht="12.75">
      <c r="A498" s="228"/>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row>
    <row r="499" spans="1:25" ht="12.75">
      <c r="A499" s="228"/>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row>
    <row r="500" spans="1:25" ht="12.75">
      <c r="A500" s="228"/>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row>
    <row r="501" spans="1:25" ht="12.75">
      <c r="A501" s="228"/>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row>
    <row r="502" spans="1:25" ht="12.75">
      <c r="A502" s="228"/>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row>
    <row r="503" spans="1:25" ht="12.75">
      <c r="A503" s="228"/>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row>
    <row r="504" spans="1:25" ht="12.75">
      <c r="A504" s="228"/>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row>
    <row r="505" spans="1:25" ht="12.75">
      <c r="A505" s="228"/>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row>
    <row r="506" spans="1:25" ht="12.75">
      <c r="A506" s="228"/>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row>
    <row r="507" spans="1:25" ht="12.75">
      <c r="A507" s="228"/>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row>
    <row r="508" spans="1:25" ht="12.75">
      <c r="A508" s="228"/>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row>
    <row r="509" spans="1:25" ht="12.75">
      <c r="A509" s="228"/>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row>
    <row r="510" spans="1:25" ht="12.75">
      <c r="A510" s="228"/>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row>
    <row r="511" spans="1:25" ht="12.75">
      <c r="A511" s="228"/>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row>
    <row r="512" spans="1:25" ht="12.75">
      <c r="A512" s="228"/>
      <c r="B512" s="228"/>
      <c r="C512" s="22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row>
    <row r="513" spans="1:25" ht="12.75">
      <c r="A513" s="228"/>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row>
    <row r="514" spans="1:25" ht="12.75">
      <c r="A514" s="228"/>
      <c r="B514" s="228"/>
      <c r="C514" s="22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row>
    <row r="515" spans="1:25" ht="12.75">
      <c r="A515" s="228"/>
      <c r="B515" s="228"/>
      <c r="C515" s="22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row>
    <row r="516" spans="1:25" ht="12.75">
      <c r="A516" s="228"/>
      <c r="B516" s="228"/>
      <c r="C516" s="22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row>
    <row r="517" spans="1:25" ht="12.75">
      <c r="A517" s="228"/>
      <c r="B517" s="228"/>
      <c r="C517" s="22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row>
    <row r="518" spans="1:25" ht="12.75">
      <c r="A518" s="228"/>
      <c r="B518" s="228"/>
      <c r="C518" s="22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row>
    <row r="519" spans="1:25" ht="12.75">
      <c r="A519" s="228"/>
      <c r="B519" s="228"/>
      <c r="C519" s="22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row>
    <row r="520" spans="1:25" ht="12.75">
      <c r="A520" s="228"/>
      <c r="B520" s="228"/>
      <c r="C520" s="22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row>
    <row r="521" spans="1:25" ht="12.75">
      <c r="A521" s="228"/>
      <c r="B521" s="228"/>
      <c r="C521" s="22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row>
    <row r="522" spans="1:25" ht="12.75">
      <c r="A522" s="228"/>
      <c r="B522" s="228"/>
      <c r="C522" s="22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row>
    <row r="523" spans="1:25" ht="12.75">
      <c r="A523" s="228"/>
      <c r="B523" s="228"/>
      <c r="C523" s="22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row>
    <row r="524" spans="1:25" ht="12.75">
      <c r="A524" s="228"/>
      <c r="B524" s="228"/>
      <c r="C524" s="22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row>
    <row r="525" spans="1:25" ht="12.75">
      <c r="A525" s="228"/>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row>
    <row r="526" spans="1:25" ht="12.75">
      <c r="A526" s="228"/>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row>
    <row r="527" spans="1:25" ht="12.75">
      <c r="A527" s="228"/>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row>
    <row r="528" spans="1:25" ht="12.75">
      <c r="A528" s="228"/>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row>
    <row r="529" spans="1:25" ht="12.75">
      <c r="A529" s="228"/>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row>
    <row r="530" spans="1:25" ht="12.75">
      <c r="A530" s="228"/>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row>
    <row r="531" spans="1:25" ht="12.75">
      <c r="A531" s="228"/>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row>
    <row r="532" spans="1:25" ht="12.75">
      <c r="A532" s="228"/>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row>
    <row r="533" spans="1:25" ht="12.75">
      <c r="A533" s="228"/>
      <c r="B533" s="228"/>
      <c r="C533" s="22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row>
    <row r="534" spans="1:25" ht="12.75">
      <c r="A534" s="228"/>
      <c r="B534" s="228"/>
      <c r="C534" s="22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row>
    <row r="535" spans="1:25" ht="12.75">
      <c r="A535" s="228"/>
      <c r="B535" s="228"/>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row>
    <row r="536" spans="1:25" ht="12.75">
      <c r="A536" s="228"/>
      <c r="B536" s="228"/>
      <c r="C536" s="22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row>
    <row r="537" spans="1:25" ht="12.75">
      <c r="A537" s="228"/>
      <c r="B537" s="228"/>
      <c r="C537" s="22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row>
    <row r="538" spans="1:25" ht="12.75">
      <c r="A538" s="228"/>
      <c r="B538" s="228"/>
      <c r="C538" s="22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row>
    <row r="539" spans="1:25" ht="12.75">
      <c r="A539" s="228"/>
      <c r="B539" s="228"/>
      <c r="C539" s="22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row>
    <row r="540" spans="1:25" ht="12.75">
      <c r="A540" s="228"/>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row>
    <row r="541" spans="1:25" ht="12.75">
      <c r="A541" s="228"/>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row>
    <row r="542" spans="1:25" ht="12.75">
      <c r="A542" s="228"/>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row>
    <row r="543" spans="1:25" ht="12.75">
      <c r="A543" s="228"/>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row>
    <row r="544" spans="1:25" ht="12.75">
      <c r="A544" s="228"/>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row>
    <row r="545" spans="1:25" ht="12.75">
      <c r="A545" s="228"/>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row>
    <row r="546" spans="1:25" ht="12.75">
      <c r="A546" s="228"/>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row>
    <row r="547" spans="1:25" ht="12.75">
      <c r="A547" s="228"/>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row>
    <row r="548" spans="1:25" ht="12.75">
      <c r="A548" s="228"/>
      <c r="B548" s="228"/>
      <c r="C548" s="22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row>
    <row r="549" spans="1:25" ht="12.75">
      <c r="A549" s="228"/>
      <c r="B549" s="228"/>
      <c r="C549" s="22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row>
    <row r="550" spans="1:25" ht="12.75">
      <c r="A550" s="228"/>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row>
    <row r="551" spans="1:25" ht="12.75">
      <c r="A551" s="228"/>
      <c r="B551" s="228"/>
      <c r="C551" s="22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row>
    <row r="552" spans="1:25" ht="12.75">
      <c r="A552" s="228"/>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row>
    <row r="553" spans="1:25" ht="12.75">
      <c r="A553" s="228"/>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row>
    <row r="554" spans="1:25" ht="12.75">
      <c r="A554" s="228"/>
      <c r="B554" s="228"/>
      <c r="C554" s="22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row>
    <row r="555" spans="1:25" ht="12.75">
      <c r="A555" s="228"/>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row>
    <row r="556" spans="1:25" ht="12.75">
      <c r="A556" s="228"/>
      <c r="B556" s="228"/>
      <c r="C556" s="22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row>
    <row r="557" spans="1:25" ht="12.75">
      <c r="A557" s="228"/>
      <c r="B557" s="228"/>
      <c r="C557" s="22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row>
    <row r="558" spans="1:25" ht="12.75">
      <c r="A558" s="228"/>
      <c r="B558" s="228"/>
      <c r="C558" s="22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row>
    <row r="559" spans="1:25" ht="12.75">
      <c r="A559" s="228"/>
      <c r="B559" s="228"/>
      <c r="C559" s="22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row>
    <row r="560" spans="1:25" ht="12.75">
      <c r="A560" s="228"/>
      <c r="B560" s="228"/>
      <c r="C560" s="22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row>
    <row r="561" spans="1:25" ht="12.75">
      <c r="A561" s="228"/>
      <c r="B561" s="228"/>
      <c r="C561" s="22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row>
    <row r="562" spans="1:25" ht="12.75">
      <c r="A562" s="228"/>
      <c r="B562" s="228"/>
      <c r="C562" s="22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row>
    <row r="563" spans="1:25" ht="12.75">
      <c r="A563" s="228"/>
      <c r="B563" s="228"/>
      <c r="C563" s="22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row>
    <row r="564" spans="1:25" ht="12.75">
      <c r="A564" s="228"/>
      <c r="B564" s="228"/>
      <c r="C564" s="22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row>
    <row r="565" spans="1:25" ht="12.75">
      <c r="A565" s="228"/>
      <c r="B565" s="228"/>
      <c r="C565" s="22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row>
    <row r="566" spans="1:25" ht="12.75">
      <c r="A566" s="228"/>
      <c r="B566" s="228"/>
      <c r="C566" s="22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row>
    <row r="567" spans="1:25" ht="12.75">
      <c r="A567" s="228"/>
      <c r="B567" s="228"/>
      <c r="C567" s="22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row>
    <row r="568" spans="1:25" ht="12.75">
      <c r="A568" s="228"/>
      <c r="B568" s="228"/>
      <c r="C568" s="22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row>
    <row r="569" spans="1:25" ht="12.75">
      <c r="A569" s="228"/>
      <c r="B569" s="228"/>
      <c r="C569" s="22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row>
    <row r="570" spans="1:25" ht="12.75">
      <c r="A570" s="228"/>
      <c r="B570" s="228"/>
      <c r="C570" s="22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row>
    <row r="571" spans="1:25" ht="12.75">
      <c r="A571" s="228"/>
      <c r="B571" s="228"/>
      <c r="C571" s="22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row>
    <row r="572" spans="1:25" ht="12.75">
      <c r="A572" s="228"/>
      <c r="B572" s="228"/>
      <c r="C572" s="22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row>
    <row r="573" spans="1:25" ht="12.75">
      <c r="A573" s="228"/>
      <c r="B573" s="228"/>
      <c r="C573" s="22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row>
    <row r="574" spans="1:25" ht="12.75">
      <c r="A574" s="228"/>
      <c r="B574" s="228"/>
      <c r="C574" s="22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row>
    <row r="575" spans="1:25" ht="12.75">
      <c r="A575" s="228"/>
      <c r="B575" s="228"/>
      <c r="C575" s="22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row>
    <row r="576" spans="1:25" ht="12.75">
      <c r="A576" s="228"/>
      <c r="B576" s="228"/>
      <c r="C576" s="22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row>
    <row r="577" spans="1:25" ht="12.75">
      <c r="A577" s="228"/>
      <c r="B577" s="228"/>
      <c r="C577" s="22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row>
    <row r="578" spans="1:25" ht="12.75">
      <c r="A578" s="228"/>
      <c r="B578" s="228"/>
      <c r="C578" s="22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row>
    <row r="579" spans="1:25" ht="12.75">
      <c r="A579" s="228"/>
      <c r="B579" s="228"/>
      <c r="C579" s="22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row>
    <row r="580" spans="1:25" ht="12.75">
      <c r="A580" s="228"/>
      <c r="B580" s="228"/>
      <c r="C580" s="22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row>
    <row r="581" spans="1:25" ht="12.75">
      <c r="A581" s="228"/>
      <c r="B581" s="228"/>
      <c r="C581" s="22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row>
    <row r="582" spans="1:25" ht="12.75">
      <c r="A582" s="228"/>
      <c r="B582" s="228"/>
      <c r="C582" s="22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row>
    <row r="583" spans="1:25" ht="12.75">
      <c r="A583" s="228"/>
      <c r="B583" s="228"/>
      <c r="C583" s="22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row>
    <row r="584" spans="1:25" ht="12.75">
      <c r="A584" s="228"/>
      <c r="B584" s="228"/>
      <c r="C584" s="22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row>
    <row r="585" spans="1:25" ht="12.75">
      <c r="A585" s="228"/>
      <c r="B585" s="228"/>
      <c r="C585" s="22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row>
    <row r="586" spans="1:25" ht="12.75">
      <c r="A586" s="228"/>
      <c r="B586" s="228"/>
      <c r="C586" s="22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row>
    <row r="587" spans="1:25" ht="12.75">
      <c r="A587" s="228"/>
      <c r="B587" s="228"/>
      <c r="C587" s="22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row>
    <row r="588" spans="1:25" ht="12.75">
      <c r="A588" s="228"/>
      <c r="B588" s="228"/>
      <c r="C588" s="22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row>
    <row r="589" spans="1:25" ht="12.75">
      <c r="A589" s="228"/>
      <c r="B589" s="228"/>
      <c r="C589" s="22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row>
    <row r="590" spans="1:25" ht="12.75">
      <c r="A590" s="228"/>
      <c r="B590" s="228"/>
      <c r="C590" s="22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row>
    <row r="591" spans="1:25" ht="12.75">
      <c r="A591" s="228"/>
      <c r="B591" s="228"/>
      <c r="C591" s="22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row>
    <row r="592" spans="1:25" ht="12.75">
      <c r="A592" s="228"/>
      <c r="B592" s="228"/>
      <c r="C592" s="22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row>
    <row r="593" spans="1:25" ht="12.75">
      <c r="A593" s="228"/>
      <c r="B593" s="228"/>
      <c r="C593" s="22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row>
    <row r="594" spans="1:25" ht="12.75">
      <c r="A594" s="228"/>
      <c r="B594" s="228"/>
      <c r="C594" s="22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row>
    <row r="595" spans="1:25" ht="12.75">
      <c r="A595" s="228"/>
      <c r="B595" s="228"/>
      <c r="C595" s="22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row>
    <row r="596" spans="1:25" ht="12.75">
      <c r="A596" s="228"/>
      <c r="B596" s="228"/>
      <c r="C596" s="22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row>
    <row r="597" spans="1:25" ht="12.75">
      <c r="A597" s="228"/>
      <c r="B597" s="228"/>
      <c r="C597" s="22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row>
    <row r="598" spans="1:25" ht="12.75">
      <c r="A598" s="228"/>
      <c r="B598" s="228"/>
      <c r="C598" s="22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row>
    <row r="599" spans="1:25" ht="12.75">
      <c r="A599" s="228"/>
      <c r="B599" s="228"/>
      <c r="C599" s="22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row>
    <row r="600" spans="1:25" ht="12.75">
      <c r="A600" s="228"/>
      <c r="B600" s="228"/>
      <c r="C600" s="22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row>
    <row r="601" spans="1:25" ht="12.75">
      <c r="A601" s="228"/>
      <c r="B601" s="228"/>
      <c r="C601" s="22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row>
    <row r="602" spans="1:25" ht="12.75">
      <c r="A602" s="228"/>
      <c r="B602" s="228"/>
      <c r="C602" s="22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row>
    <row r="603" spans="1:25" ht="12.75">
      <c r="A603" s="228"/>
      <c r="B603" s="228"/>
      <c r="C603" s="22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row>
    <row r="604" spans="1:25" ht="12.75">
      <c r="A604" s="228"/>
      <c r="B604" s="228"/>
      <c r="C604" s="22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row>
    <row r="605" spans="1:25" ht="12.75">
      <c r="A605" s="228"/>
      <c r="B605" s="228"/>
      <c r="C605" s="22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row>
    <row r="606" spans="1:25" ht="12.75">
      <c r="A606" s="228"/>
      <c r="B606" s="228"/>
      <c r="C606" s="22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row>
    <row r="607" spans="1:25" ht="12.75">
      <c r="A607" s="228"/>
      <c r="B607" s="228"/>
      <c r="C607" s="22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row>
    <row r="608" spans="1:25" ht="12.75">
      <c r="A608" s="228"/>
      <c r="B608" s="228"/>
      <c r="C608" s="22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row>
    <row r="609" spans="1:25" ht="12.75">
      <c r="A609" s="228"/>
      <c r="B609" s="228"/>
      <c r="C609" s="22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row>
    <row r="610" spans="1:25" ht="12.75">
      <c r="A610" s="228"/>
      <c r="B610" s="228"/>
      <c r="C610" s="22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row>
    <row r="611" spans="1:25" ht="12.75">
      <c r="A611" s="228"/>
      <c r="B611" s="228"/>
      <c r="C611" s="22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row>
    <row r="612" spans="1:25" ht="12.75">
      <c r="A612" s="228"/>
      <c r="B612" s="228"/>
      <c r="C612" s="22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row>
    <row r="613" spans="1:25" ht="12.75">
      <c r="A613" s="228"/>
      <c r="B613" s="228"/>
      <c r="C613" s="22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row>
    <row r="614" spans="1:25" ht="12.75">
      <c r="A614" s="228"/>
      <c r="B614" s="228"/>
      <c r="C614" s="22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row>
    <row r="615" spans="1:25" ht="12.75">
      <c r="A615" s="228"/>
      <c r="B615" s="228"/>
      <c r="C615" s="22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row>
    <row r="616" spans="1:25" ht="12.75">
      <c r="A616" s="228"/>
      <c r="B616" s="228"/>
      <c r="C616" s="22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row>
    <row r="617" spans="1:25" ht="12.75">
      <c r="A617" s="228"/>
      <c r="B617" s="228"/>
      <c r="C617" s="22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row>
    <row r="618" spans="1:25" ht="12.75">
      <c r="A618" s="228"/>
      <c r="B618" s="228"/>
      <c r="C618" s="22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row>
    <row r="619" spans="1:25" ht="12.75">
      <c r="A619" s="228"/>
      <c r="B619" s="228"/>
      <c r="C619" s="22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row>
    <row r="620" spans="1:25" ht="12.75">
      <c r="A620" s="228"/>
      <c r="B620" s="228"/>
      <c r="C620" s="22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row>
    <row r="621" spans="1:25" ht="12.75">
      <c r="A621" s="228"/>
      <c r="B621" s="228"/>
      <c r="C621" s="22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row>
    <row r="622" spans="1:25" ht="12.75">
      <c r="A622" s="228"/>
      <c r="B622" s="228"/>
      <c r="C622" s="22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row>
    <row r="623" spans="1:25" ht="12.75">
      <c r="A623" s="228"/>
      <c r="B623" s="228"/>
      <c r="C623" s="22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row>
    <row r="624" spans="1:25" ht="12.75">
      <c r="A624" s="228"/>
      <c r="B624" s="228"/>
      <c r="C624" s="22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row>
    <row r="625" spans="1:25" ht="12.75">
      <c r="A625" s="228"/>
      <c r="B625" s="228"/>
      <c r="C625" s="22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row>
    <row r="626" spans="1:25" ht="12.75">
      <c r="A626" s="228"/>
      <c r="B626" s="228"/>
      <c r="C626" s="22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row>
    <row r="627" spans="1:25" ht="12.75">
      <c r="A627" s="228"/>
      <c r="B627" s="228"/>
      <c r="C627" s="22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row>
    <row r="628" spans="1:25" ht="12.75">
      <c r="A628" s="228"/>
      <c r="B628" s="228"/>
      <c r="C628" s="22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row>
    <row r="629" spans="1:25" ht="12.75">
      <c r="A629" s="228"/>
      <c r="B629" s="228"/>
      <c r="C629" s="22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row>
    <row r="630" spans="1:25" ht="12.75">
      <c r="A630" s="228"/>
      <c r="B630" s="228"/>
      <c r="C630" s="22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row>
    <row r="631" spans="1:25" ht="12.75">
      <c r="A631" s="228"/>
      <c r="B631" s="228"/>
      <c r="C631" s="22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row>
    <row r="632" spans="1:25" ht="12.75">
      <c r="A632" s="228"/>
      <c r="B632" s="228"/>
      <c r="C632" s="22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row>
    <row r="633" spans="1:25" ht="12.75">
      <c r="A633" s="228"/>
      <c r="B633" s="228"/>
      <c r="C633" s="22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row>
    <row r="634" spans="1:25" ht="12.75">
      <c r="A634" s="228"/>
      <c r="B634" s="228"/>
      <c r="C634" s="22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row>
    <row r="635" spans="1:25" ht="12.75">
      <c r="A635" s="228"/>
      <c r="B635" s="228"/>
      <c r="C635" s="22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row>
    <row r="636" spans="1:25" ht="12.75">
      <c r="A636" s="228"/>
      <c r="B636" s="228"/>
      <c r="C636" s="22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row>
    <row r="637" spans="1:25" ht="12.75">
      <c r="A637" s="228"/>
      <c r="B637" s="228"/>
      <c r="C637" s="22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row>
    <row r="638" spans="1:25" ht="12.75">
      <c r="A638" s="228"/>
      <c r="B638" s="228"/>
      <c r="C638" s="22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row>
    <row r="639" spans="1:25" ht="12.75">
      <c r="A639" s="228"/>
      <c r="B639" s="228"/>
      <c r="C639" s="22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row>
    <row r="640" spans="1:25" ht="12.75">
      <c r="A640" s="228"/>
      <c r="B640" s="228"/>
      <c r="C640" s="22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row>
    <row r="641" spans="1:25" ht="12.75">
      <c r="A641" s="228"/>
      <c r="B641" s="228"/>
      <c r="C641" s="22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row>
    <row r="642" spans="1:25" ht="12.75">
      <c r="A642" s="228"/>
      <c r="B642" s="228"/>
      <c r="C642" s="22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row>
    <row r="643" spans="1:25" ht="12.75">
      <c r="A643" s="228"/>
      <c r="B643" s="228"/>
      <c r="C643" s="22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row>
    <row r="644" spans="1:25" ht="12.75">
      <c r="A644" s="228"/>
      <c r="B644" s="228"/>
      <c r="C644" s="22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row>
    <row r="645" spans="1:25" ht="12.75">
      <c r="A645" s="228"/>
      <c r="B645" s="228"/>
      <c r="C645" s="22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row>
    <row r="646" spans="1:25" ht="12.75">
      <c r="A646" s="228"/>
      <c r="B646" s="228"/>
      <c r="C646" s="22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row>
    <row r="647" spans="1:25" ht="12.75">
      <c r="A647" s="228"/>
      <c r="B647" s="228"/>
      <c r="C647" s="22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row>
    <row r="648" spans="1:25" ht="12.75">
      <c r="A648" s="228"/>
      <c r="B648" s="228"/>
      <c r="C648" s="22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row>
    <row r="649" spans="1:25" ht="12.75">
      <c r="A649" s="228"/>
      <c r="B649" s="228"/>
      <c r="C649" s="22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row>
    <row r="650" spans="1:25" ht="12.75">
      <c r="A650" s="228"/>
      <c r="B650" s="228"/>
      <c r="C650" s="22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row>
    <row r="651" spans="1:25" ht="12.75">
      <c r="A651" s="228"/>
      <c r="B651" s="228"/>
      <c r="C651" s="22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row>
    <row r="652" spans="1:25" ht="12.75">
      <c r="A652" s="228"/>
      <c r="B652" s="228"/>
      <c r="C652" s="22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row>
    <row r="653" spans="1:25" ht="12.75">
      <c r="A653" s="228"/>
      <c r="B653" s="228"/>
      <c r="C653" s="22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row>
    <row r="654" spans="1:25" ht="12.75">
      <c r="A654" s="228"/>
      <c r="B654" s="228"/>
      <c r="C654" s="22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row>
    <row r="655" spans="1:25" ht="12.75">
      <c r="A655" s="228"/>
      <c r="B655" s="228"/>
      <c r="C655" s="22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row>
    <row r="656" spans="1:25" ht="12.75">
      <c r="A656" s="228"/>
      <c r="B656" s="228"/>
      <c r="C656" s="22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row>
    <row r="657" spans="1:25" ht="12.75">
      <c r="A657" s="228"/>
      <c r="B657" s="228"/>
      <c r="C657" s="22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row>
    <row r="658" spans="1:25" ht="12.75">
      <c r="A658" s="228"/>
      <c r="B658" s="228"/>
      <c r="C658" s="22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row>
    <row r="659" spans="1:25" ht="12.75">
      <c r="A659" s="228"/>
      <c r="B659" s="228"/>
      <c r="C659" s="22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row>
    <row r="660" spans="1:25" ht="12.75">
      <c r="A660" s="228"/>
      <c r="B660" s="228"/>
      <c r="C660" s="22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row>
    <row r="661" spans="1:25" ht="12.75">
      <c r="A661" s="228"/>
      <c r="B661" s="228"/>
      <c r="C661" s="22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row>
    <row r="662" spans="1:25" ht="12.75">
      <c r="A662" s="228"/>
      <c r="B662" s="228"/>
      <c r="C662" s="22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row>
    <row r="663" spans="1:25" ht="12.75">
      <c r="A663" s="228"/>
      <c r="B663" s="228"/>
      <c r="C663" s="22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row>
    <row r="664" spans="1:25" ht="12.75">
      <c r="A664" s="228"/>
      <c r="B664" s="228"/>
      <c r="C664" s="22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row>
    <row r="665" spans="1:25" ht="12.75">
      <c r="A665" s="228"/>
      <c r="B665" s="228"/>
      <c r="C665" s="22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row>
    <row r="666" spans="1:25" ht="12.75">
      <c r="A666" s="228"/>
      <c r="B666" s="228"/>
      <c r="C666" s="22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row>
    <row r="667" spans="1:25" ht="12.75">
      <c r="A667" s="228"/>
      <c r="B667" s="228"/>
      <c r="C667" s="22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row>
    <row r="668" spans="1:25" ht="12.75">
      <c r="A668" s="228"/>
      <c r="B668" s="228"/>
      <c r="C668" s="22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row>
    <row r="669" spans="1:25" ht="12.75">
      <c r="A669" s="228"/>
      <c r="B669" s="228"/>
      <c r="C669" s="22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row>
    <row r="670" spans="1:25" ht="12.75">
      <c r="A670" s="228"/>
      <c r="B670" s="228"/>
      <c r="C670" s="22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row>
    <row r="671" spans="1:25" ht="12.75">
      <c r="A671" s="228"/>
      <c r="B671" s="228"/>
      <c r="C671" s="22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row>
    <row r="672" spans="1:25" ht="12.75">
      <c r="A672" s="228"/>
      <c r="B672" s="228"/>
      <c r="C672" s="22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row>
    <row r="673" spans="1:25" ht="12.75">
      <c r="A673" s="228"/>
      <c r="B673" s="228"/>
      <c r="C673" s="22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row>
    <row r="674" spans="1:25" ht="12.75">
      <c r="A674" s="228"/>
      <c r="B674" s="228"/>
      <c r="C674" s="22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row>
    <row r="675" spans="1:25" ht="12.75">
      <c r="A675" s="228"/>
      <c r="B675" s="228"/>
      <c r="C675" s="22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row>
    <row r="676" spans="1:25" ht="12.75">
      <c r="A676" s="228"/>
      <c r="B676" s="228"/>
      <c r="C676" s="22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row>
    <row r="677" spans="1:25" ht="12.75">
      <c r="A677" s="228"/>
      <c r="B677" s="228"/>
      <c r="C677" s="22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row>
    <row r="678" spans="1:25" ht="12.75">
      <c r="A678" s="228"/>
      <c r="B678" s="228"/>
      <c r="C678" s="22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row>
    <row r="679" spans="1:25" ht="12.75">
      <c r="A679" s="228"/>
      <c r="B679" s="228"/>
      <c r="C679" s="22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row>
    <row r="680" spans="1:25" ht="12.75">
      <c r="A680" s="228"/>
      <c r="B680" s="228"/>
      <c r="C680" s="22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row>
    <row r="681" spans="1:25" ht="12.75">
      <c r="A681" s="228"/>
      <c r="B681" s="228"/>
      <c r="C681" s="22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row>
    <row r="682" spans="1:25" ht="12.75">
      <c r="A682" s="228"/>
      <c r="B682" s="228"/>
      <c r="C682" s="22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row>
    <row r="683" spans="1:25" ht="12.75">
      <c r="A683" s="228"/>
      <c r="B683" s="228"/>
      <c r="C683" s="22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row>
    <row r="684" spans="1:25" ht="12.75">
      <c r="A684" s="228"/>
      <c r="B684" s="228"/>
      <c r="C684" s="22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row>
    <row r="685" spans="1:25" ht="12.75">
      <c r="A685" s="228"/>
      <c r="B685" s="228"/>
      <c r="C685" s="22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row>
    <row r="686" spans="1:25" ht="12.75">
      <c r="A686" s="228"/>
      <c r="B686" s="228"/>
      <c r="C686" s="22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row>
    <row r="687" spans="1:25" ht="12.75">
      <c r="A687" s="228"/>
      <c r="B687" s="228"/>
      <c r="C687" s="22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row>
    <row r="688" spans="1:25" ht="12.75">
      <c r="A688" s="228"/>
      <c r="B688" s="228"/>
      <c r="C688" s="22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row>
    <row r="689" spans="1:25" ht="12.75">
      <c r="A689" s="228"/>
      <c r="B689" s="228"/>
      <c r="C689" s="22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row>
    <row r="690" spans="1:25" ht="12.75">
      <c r="A690" s="228"/>
      <c r="B690" s="228"/>
      <c r="C690" s="22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row>
    <row r="691" spans="1:25" ht="12.75">
      <c r="A691" s="228"/>
      <c r="B691" s="228"/>
      <c r="C691" s="22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row>
    <row r="692" spans="1:25" ht="12.75">
      <c r="A692" s="228"/>
      <c r="B692" s="228"/>
      <c r="C692" s="22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row>
    <row r="693" spans="1:25" ht="12.75">
      <c r="A693" s="228"/>
      <c r="B693" s="228"/>
      <c r="C693" s="22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row>
    <row r="694" spans="1:25" ht="12.75">
      <c r="A694" s="228"/>
      <c r="B694" s="228"/>
      <c r="C694" s="22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row>
    <row r="695" spans="1:25" ht="12.75">
      <c r="A695" s="228"/>
      <c r="B695" s="228"/>
      <c r="C695" s="22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row>
    <row r="696" spans="1:25" ht="12.75">
      <c r="A696" s="228"/>
      <c r="B696" s="228"/>
      <c r="C696" s="22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row>
    <row r="697" spans="1:25" ht="12.75">
      <c r="A697" s="228"/>
      <c r="B697" s="228"/>
      <c r="C697" s="22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row>
    <row r="698" spans="1:25" ht="12.75">
      <c r="A698" s="228"/>
      <c r="B698" s="228"/>
      <c r="C698" s="22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row>
    <row r="699" spans="1:25" ht="12.75">
      <c r="A699" s="228"/>
      <c r="B699" s="228"/>
      <c r="C699" s="22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row>
    <row r="700" spans="1:25" ht="12.75">
      <c r="A700" s="228"/>
      <c r="B700" s="228"/>
      <c r="C700" s="22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row>
    <row r="701" spans="1:25" ht="12.75">
      <c r="A701" s="228"/>
      <c r="B701" s="228"/>
      <c r="C701" s="22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row>
    <row r="702" spans="1:25" ht="12.75">
      <c r="A702" s="228"/>
      <c r="B702" s="228"/>
      <c r="C702" s="22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row>
    <row r="703" spans="1:25" ht="12.75">
      <c r="A703" s="228"/>
      <c r="B703" s="228"/>
      <c r="C703" s="22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row>
    <row r="704" spans="1:25" ht="12.75">
      <c r="A704" s="228"/>
      <c r="B704" s="228"/>
      <c r="C704" s="22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row>
    <row r="705" spans="1:25" ht="12.75">
      <c r="A705" s="228"/>
      <c r="B705" s="228"/>
      <c r="C705" s="22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row>
    <row r="706" spans="1:25" ht="12.75">
      <c r="A706" s="228"/>
      <c r="B706" s="228"/>
      <c r="C706" s="22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row>
    <row r="707" spans="1:25" ht="12.75">
      <c r="A707" s="228"/>
      <c r="B707" s="228"/>
      <c r="C707" s="22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row>
    <row r="708" spans="1:25" ht="12.75">
      <c r="A708" s="228"/>
      <c r="B708" s="228"/>
      <c r="C708" s="22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row>
    <row r="709" spans="1:25" ht="12.75">
      <c r="A709" s="228"/>
      <c r="B709" s="228"/>
      <c r="C709" s="22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row>
    <row r="710" spans="1:25" ht="12.75">
      <c r="A710" s="228"/>
      <c r="B710" s="228"/>
      <c r="C710" s="22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row>
    <row r="711" spans="1:25" ht="12.75">
      <c r="A711" s="228"/>
      <c r="B711" s="228"/>
      <c r="C711" s="22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row>
    <row r="712" spans="1:25" ht="12.75">
      <c r="A712" s="228"/>
      <c r="B712" s="228"/>
      <c r="C712" s="22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row>
    <row r="713" spans="1:25" ht="12.75">
      <c r="A713" s="228"/>
      <c r="B713" s="228"/>
      <c r="C713" s="22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row>
    <row r="714" spans="1:25" ht="12.75">
      <c r="A714" s="228"/>
      <c r="B714" s="228"/>
      <c r="C714" s="22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row>
    <row r="715" spans="1:25" ht="12.75">
      <c r="A715" s="228"/>
      <c r="B715" s="228"/>
      <c r="C715" s="22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row>
    <row r="716" spans="1:25" ht="12.75">
      <c r="A716" s="228"/>
      <c r="B716" s="228"/>
      <c r="C716" s="22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row>
    <row r="717" spans="1:25" ht="12.75">
      <c r="A717" s="228"/>
      <c r="B717" s="228"/>
      <c r="C717" s="22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row>
    <row r="718" spans="1:25" ht="12.75">
      <c r="A718" s="228"/>
      <c r="B718" s="228"/>
      <c r="C718" s="22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row>
    <row r="719" spans="1:25" ht="12.75">
      <c r="A719" s="228"/>
      <c r="B719" s="228"/>
      <c r="C719" s="22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row>
    <row r="720" spans="1:25" ht="12.75">
      <c r="A720" s="228"/>
      <c r="B720" s="228"/>
      <c r="C720" s="22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row>
    <row r="721" spans="1:25" ht="12.75">
      <c r="A721" s="228"/>
      <c r="B721" s="228"/>
      <c r="C721" s="22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row>
    <row r="722" spans="1:25" ht="12.75">
      <c r="A722" s="228"/>
      <c r="B722" s="228"/>
      <c r="C722" s="22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row>
    <row r="723" spans="1:25" ht="12.75">
      <c r="A723" s="228"/>
      <c r="B723" s="228"/>
      <c r="C723" s="22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row>
    <row r="724" spans="1:25" ht="12.75">
      <c r="A724" s="228"/>
      <c r="B724" s="228"/>
      <c r="C724" s="22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row>
    <row r="725" spans="1:25" ht="12.75">
      <c r="A725" s="228"/>
      <c r="B725" s="228"/>
      <c r="C725" s="22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row>
    <row r="726" spans="1:25" ht="12.75">
      <c r="A726" s="228"/>
      <c r="B726" s="228"/>
      <c r="C726" s="22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row>
    <row r="727" spans="1:25" ht="12.75">
      <c r="A727" s="228"/>
      <c r="B727" s="228"/>
      <c r="C727" s="22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row>
    <row r="728" spans="1:25" ht="12.75">
      <c r="A728" s="228"/>
      <c r="B728" s="228"/>
      <c r="C728" s="22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row>
    <row r="729" spans="1:25" ht="12.75">
      <c r="A729" s="228"/>
      <c r="B729" s="228"/>
      <c r="C729" s="22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row>
    <row r="730" spans="1:25" ht="12.75">
      <c r="A730" s="228"/>
      <c r="B730" s="228"/>
      <c r="C730" s="22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row>
    <row r="731" spans="1:25" ht="12.75">
      <c r="A731" s="228"/>
      <c r="B731" s="228"/>
      <c r="C731" s="22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row>
    <row r="732" spans="1:25" ht="12.75">
      <c r="A732" s="228"/>
      <c r="B732" s="228"/>
      <c r="C732" s="22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row>
    <row r="733" spans="1:25" ht="12.75">
      <c r="A733" s="228"/>
      <c r="B733" s="228"/>
      <c r="C733" s="22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row>
    <row r="734" spans="1:25" ht="12.75">
      <c r="A734" s="228"/>
      <c r="B734" s="228"/>
      <c r="C734" s="22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row>
    <row r="735" spans="1:25" ht="12.75">
      <c r="A735" s="228"/>
      <c r="B735" s="228"/>
      <c r="C735" s="22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row>
    <row r="736" spans="1:25" ht="12.75">
      <c r="A736" s="228"/>
      <c r="B736" s="228"/>
      <c r="C736" s="22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row>
    <row r="737" spans="1:25" ht="12.75">
      <c r="A737" s="228"/>
      <c r="B737" s="228"/>
      <c r="C737" s="22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row>
    <row r="738" spans="1:25" ht="12.75">
      <c r="A738" s="228"/>
      <c r="B738" s="228"/>
      <c r="C738" s="22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row>
    <row r="739" spans="1:25" ht="12.75">
      <c r="A739" s="228"/>
      <c r="B739" s="228"/>
      <c r="C739" s="22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row>
    <row r="740" spans="1:25" ht="12.75">
      <c r="A740" s="228"/>
      <c r="B740" s="228"/>
      <c r="C740" s="22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row>
    <row r="741" spans="1:25" ht="12.75">
      <c r="A741" s="228"/>
      <c r="B741" s="228"/>
      <c r="C741" s="22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row>
    <row r="742" spans="1:25" ht="12.75">
      <c r="A742" s="228"/>
      <c r="B742" s="228"/>
      <c r="C742" s="22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row>
    <row r="743" spans="1:25" ht="12.75">
      <c r="A743" s="228"/>
      <c r="B743" s="228"/>
      <c r="C743" s="22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row>
    <row r="744" spans="1:25" ht="12.75">
      <c r="A744" s="228"/>
      <c r="B744" s="228"/>
      <c r="C744" s="22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row>
    <row r="745" spans="1:25" ht="12.75">
      <c r="A745" s="228"/>
      <c r="B745" s="228"/>
      <c r="C745" s="22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row>
    <row r="746" spans="1:25" ht="12.75">
      <c r="A746" s="228"/>
      <c r="B746" s="228"/>
      <c r="C746" s="22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row>
    <row r="747" spans="1:25" ht="12.75">
      <c r="A747" s="228"/>
      <c r="B747" s="228"/>
      <c r="C747" s="22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row>
    <row r="748" spans="1:25" ht="12.75">
      <c r="A748" s="228"/>
      <c r="B748" s="228"/>
      <c r="C748" s="22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row>
    <row r="749" spans="1:25" ht="12.75">
      <c r="A749" s="228"/>
      <c r="B749" s="228"/>
      <c r="C749" s="22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row>
    <row r="750" spans="1:25" ht="12.75">
      <c r="A750" s="228"/>
      <c r="B750" s="228"/>
      <c r="C750" s="22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row>
    <row r="751" spans="1:25" ht="12.75">
      <c r="A751" s="228"/>
      <c r="B751" s="228"/>
      <c r="C751" s="22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row>
    <row r="752" spans="1:25" ht="12.75">
      <c r="A752" s="228"/>
      <c r="B752" s="228"/>
      <c r="C752" s="22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row>
    <row r="753" spans="1:25" ht="12.75">
      <c r="A753" s="228"/>
      <c r="B753" s="228"/>
      <c r="C753" s="22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row>
    <row r="754" spans="1:25" ht="12.75">
      <c r="A754" s="228"/>
      <c r="B754" s="228"/>
      <c r="C754" s="22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row>
    <row r="755" spans="1:25" ht="12.75">
      <c r="A755" s="228"/>
      <c r="B755" s="228"/>
      <c r="C755" s="22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row>
    <row r="756" spans="1:25" ht="12.75">
      <c r="A756" s="228"/>
      <c r="B756" s="228"/>
      <c r="C756" s="22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row>
    <row r="757" spans="1:25" ht="12.75">
      <c r="A757" s="228"/>
      <c r="B757" s="228"/>
      <c r="C757" s="22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row>
    <row r="758" spans="1:25" ht="12.75">
      <c r="A758" s="228"/>
      <c r="B758" s="228"/>
      <c r="C758" s="22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row>
    <row r="759" spans="1:25" ht="12.75">
      <c r="A759" s="228"/>
      <c r="B759" s="228"/>
      <c r="C759" s="22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row>
    <row r="760" spans="1:25" ht="12.75">
      <c r="A760" s="228"/>
      <c r="B760" s="228"/>
      <c r="C760" s="22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row>
    <row r="761" spans="1:25" ht="12.75">
      <c r="A761" s="228"/>
      <c r="B761" s="228"/>
      <c r="C761" s="22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row>
    <row r="762" spans="1:25" ht="12.75">
      <c r="A762" s="228"/>
      <c r="B762" s="228"/>
      <c r="C762" s="22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row>
    <row r="763" spans="1:25" ht="12.75">
      <c r="A763" s="228"/>
      <c r="B763" s="228"/>
      <c r="C763" s="22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row>
    <row r="764" spans="1:25" ht="12.75">
      <c r="A764" s="228"/>
      <c r="B764" s="228"/>
      <c r="C764" s="22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row>
    <row r="765" spans="1:25" ht="12.75">
      <c r="A765" s="228"/>
      <c r="B765" s="228"/>
      <c r="C765" s="22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row>
    <row r="766" spans="1:25" ht="12.75">
      <c r="A766" s="228"/>
      <c r="B766" s="228"/>
      <c r="C766" s="22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row>
    <row r="767" spans="1:25" ht="12.75">
      <c r="A767" s="228"/>
      <c r="B767" s="228"/>
      <c r="C767" s="22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row>
    <row r="768" spans="1:25" ht="12.75">
      <c r="A768" s="228"/>
      <c r="B768" s="228"/>
      <c r="C768" s="22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row>
    <row r="769" spans="1:25" ht="12.75">
      <c r="A769" s="228"/>
      <c r="B769" s="228"/>
      <c r="C769" s="22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row>
    <row r="770" spans="1:25" ht="12.75">
      <c r="A770" s="228"/>
      <c r="B770" s="228"/>
      <c r="C770" s="22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row>
    <row r="771" spans="1:25" ht="12.75">
      <c r="A771" s="228"/>
      <c r="B771" s="228"/>
      <c r="C771" s="22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row>
    <row r="772" spans="1:25" ht="12.75">
      <c r="A772" s="228"/>
      <c r="B772" s="228"/>
      <c r="C772" s="22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row>
    <row r="773" spans="1:25" ht="12.75">
      <c r="A773" s="228"/>
      <c r="B773" s="228"/>
      <c r="C773" s="22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row>
    <row r="774" spans="1:25" ht="12.75">
      <c r="A774" s="228"/>
      <c r="B774" s="228"/>
      <c r="C774" s="22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row>
    <row r="775" spans="1:25" ht="12.75">
      <c r="A775" s="228"/>
      <c r="B775" s="228"/>
      <c r="C775" s="22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row>
    <row r="776" spans="1:25" ht="12.75">
      <c r="A776" s="228"/>
      <c r="B776" s="228"/>
      <c r="C776" s="22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row>
    <row r="777" spans="1:25" ht="12.75">
      <c r="A777" s="228"/>
      <c r="B777" s="228"/>
      <c r="C777" s="22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row>
    <row r="778" spans="1:25" ht="12.75">
      <c r="A778" s="228"/>
      <c r="B778" s="228"/>
      <c r="C778" s="22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row>
    <row r="779" spans="1:25" ht="12.75">
      <c r="A779" s="228"/>
      <c r="B779" s="228"/>
      <c r="C779" s="22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row>
    <row r="780" spans="1:25" ht="12.75">
      <c r="A780" s="228"/>
      <c r="B780" s="228"/>
      <c r="C780" s="22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row>
    <row r="781" spans="1:25" ht="12.75">
      <c r="A781" s="228"/>
      <c r="B781" s="228"/>
      <c r="C781" s="22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row>
    <row r="782" spans="1:25" ht="12.75">
      <c r="A782" s="228"/>
      <c r="B782" s="228"/>
      <c r="C782" s="22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row>
    <row r="783" spans="1:25" ht="12.75">
      <c r="A783" s="228"/>
      <c r="B783" s="228"/>
      <c r="C783" s="22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row>
    <row r="784" spans="1:25" ht="12.75">
      <c r="A784" s="228"/>
      <c r="B784" s="228"/>
      <c r="C784" s="22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row>
    <row r="785" spans="1:25" ht="12.75">
      <c r="A785" s="228"/>
      <c r="B785" s="228"/>
      <c r="C785" s="22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row>
    <row r="786" spans="1:25" ht="12.75">
      <c r="A786" s="228"/>
      <c r="B786" s="228"/>
      <c r="C786" s="22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row>
    <row r="787" spans="1:25" ht="12.75">
      <c r="A787" s="228"/>
      <c r="B787" s="228"/>
      <c r="C787" s="22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row>
    <row r="788" spans="1:25" ht="12.75">
      <c r="A788" s="228"/>
      <c r="B788" s="228"/>
      <c r="C788" s="22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row>
    <row r="789" spans="1:25" ht="12.75">
      <c r="A789" s="228"/>
      <c r="B789" s="228"/>
      <c r="C789" s="22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row>
    <row r="790" spans="1:25" ht="12.75">
      <c r="A790" s="228"/>
      <c r="B790" s="228"/>
      <c r="C790" s="22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row>
    <row r="791" spans="1:25" ht="12.75">
      <c r="A791" s="228"/>
      <c r="B791" s="228"/>
      <c r="C791" s="22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row>
    <row r="792" spans="1:25" ht="12.75">
      <c r="A792" s="228"/>
      <c r="B792" s="228"/>
      <c r="C792" s="22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row>
    <row r="793" spans="1:25" ht="12.75">
      <c r="A793" s="228"/>
      <c r="B793" s="228"/>
      <c r="C793" s="22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row>
    <row r="794" spans="1:25" ht="12.75">
      <c r="A794" s="228"/>
      <c r="B794" s="228"/>
      <c r="C794" s="22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row>
    <row r="795" spans="1:25" ht="12.75">
      <c r="A795" s="228"/>
      <c r="B795" s="228"/>
      <c r="C795" s="22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row>
    <row r="796" spans="1:25" ht="12.75">
      <c r="A796" s="228"/>
      <c r="B796" s="228"/>
      <c r="C796" s="22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row>
    <row r="797" spans="1:25" ht="12.75">
      <c r="A797" s="228"/>
      <c r="B797" s="228"/>
      <c r="C797" s="22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row>
    <row r="798" spans="1:25" ht="12.75">
      <c r="A798" s="228"/>
      <c r="B798" s="228"/>
      <c r="C798" s="22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row>
    <row r="799" spans="1:25" ht="12.75">
      <c r="A799" s="228"/>
      <c r="B799" s="228"/>
      <c r="C799" s="22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row>
    <row r="800" spans="1:25" ht="12.75">
      <c r="A800" s="228"/>
      <c r="B800" s="228"/>
      <c r="C800" s="22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row>
    <row r="801" spans="1:25" ht="12.75">
      <c r="A801" s="228"/>
      <c r="B801" s="228"/>
      <c r="C801" s="22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row>
    <row r="802" spans="1:25" ht="12.75">
      <c r="A802" s="228"/>
      <c r="B802" s="228"/>
      <c r="C802" s="22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row>
    <row r="803" spans="1:25" ht="12.75">
      <c r="A803" s="228"/>
      <c r="B803" s="228"/>
      <c r="C803" s="22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row>
    <row r="804" spans="1:25" ht="12.75">
      <c r="A804" s="228"/>
      <c r="B804" s="228"/>
      <c r="C804" s="22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row>
    <row r="805" spans="1:25" ht="12.75">
      <c r="A805" s="228"/>
      <c r="B805" s="228"/>
      <c r="C805" s="22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row>
    <row r="806" spans="1:25" ht="12.75">
      <c r="A806" s="228"/>
      <c r="B806" s="228"/>
      <c r="C806" s="22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row>
    <row r="807" spans="1:25" ht="12.75">
      <c r="A807" s="228"/>
      <c r="B807" s="228"/>
      <c r="C807" s="22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row>
    <row r="808" spans="1:25" ht="12.75">
      <c r="A808" s="228"/>
      <c r="B808" s="228"/>
      <c r="C808" s="22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row>
    <row r="809" spans="1:25" ht="12.75">
      <c r="A809" s="228"/>
      <c r="B809" s="228"/>
      <c r="C809" s="22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row>
    <row r="810" spans="1:25" ht="12.75">
      <c r="A810" s="228"/>
      <c r="B810" s="228"/>
      <c r="C810" s="22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row>
    <row r="811" spans="1:25" ht="12.75">
      <c r="A811" s="228"/>
      <c r="B811" s="228"/>
      <c r="C811" s="22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row>
    <row r="812" spans="1:25" ht="12.75">
      <c r="A812" s="228"/>
      <c r="B812" s="228"/>
      <c r="C812" s="22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row>
    <row r="813" spans="1:25" ht="12.75">
      <c r="A813" s="228"/>
      <c r="B813" s="228"/>
      <c r="C813" s="22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row>
    <row r="814" spans="1:25" ht="12.75">
      <c r="A814" s="228"/>
      <c r="B814" s="228"/>
      <c r="C814" s="22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row>
    <row r="815" spans="1:25" ht="12.75">
      <c r="A815" s="228"/>
      <c r="B815" s="228"/>
      <c r="C815" s="22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row>
    <row r="816" spans="1:25" ht="12.75">
      <c r="A816" s="228"/>
      <c r="B816" s="228"/>
      <c r="C816" s="22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row>
    <row r="817" spans="1:25" ht="12.75">
      <c r="A817" s="228"/>
      <c r="B817" s="228"/>
      <c r="C817" s="22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row>
    <row r="818" spans="1:25" ht="12.75">
      <c r="A818" s="228"/>
      <c r="B818" s="228"/>
      <c r="C818" s="22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row>
    <row r="819" spans="1:25" ht="12.75">
      <c r="A819" s="228"/>
      <c r="B819" s="228"/>
      <c r="C819" s="22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row>
    <row r="820" spans="1:25" ht="12.75">
      <c r="A820" s="228"/>
      <c r="B820" s="228"/>
      <c r="C820" s="22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row>
    <row r="821" spans="1:25" ht="12.75">
      <c r="A821" s="228"/>
      <c r="B821" s="228"/>
      <c r="C821" s="22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row>
    <row r="822" spans="1:25" ht="12.75">
      <c r="A822" s="228"/>
      <c r="B822" s="228"/>
      <c r="C822" s="22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row>
    <row r="823" spans="1:25" ht="12.75">
      <c r="A823" s="228"/>
      <c r="B823" s="228"/>
      <c r="C823" s="22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row>
    <row r="824" spans="1:25" ht="12.75">
      <c r="A824" s="228"/>
      <c r="B824" s="228"/>
      <c r="C824" s="22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row>
    <row r="825" spans="1:25" ht="12.75">
      <c r="A825" s="228"/>
      <c r="B825" s="228"/>
      <c r="C825" s="22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row>
    <row r="826" spans="1:25" ht="12.75">
      <c r="A826" s="228"/>
      <c r="B826" s="228"/>
      <c r="C826" s="22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row>
    <row r="827" spans="1:25" ht="12.75">
      <c r="A827" s="228"/>
      <c r="B827" s="228"/>
      <c r="C827" s="22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row>
    <row r="828" spans="1:25" ht="12.75">
      <c r="A828" s="228"/>
      <c r="B828" s="228"/>
      <c r="C828" s="22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row>
    <row r="829" spans="1:25" ht="12.75">
      <c r="A829" s="228"/>
      <c r="B829" s="228"/>
      <c r="C829" s="22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row>
    <row r="830" spans="1:25" ht="12.75">
      <c r="A830" s="228"/>
      <c r="B830" s="228"/>
      <c r="C830" s="22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row>
    <row r="831" spans="1:25" ht="12.75">
      <c r="A831" s="228"/>
      <c r="B831" s="228"/>
      <c r="C831" s="22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row>
    <row r="832" spans="1:25" ht="12.75">
      <c r="A832" s="228"/>
      <c r="B832" s="228"/>
      <c r="C832" s="22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row>
    <row r="833" spans="1:25" ht="12.75">
      <c r="A833" s="228"/>
      <c r="B833" s="228"/>
      <c r="C833" s="22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row>
    <row r="834" spans="1:25" ht="12.75">
      <c r="A834" s="228"/>
      <c r="B834" s="228"/>
      <c r="C834" s="22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row>
    <row r="835" spans="1:25" ht="12.75">
      <c r="A835" s="228"/>
      <c r="B835" s="228"/>
      <c r="C835" s="22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row>
    <row r="836" spans="1:25" ht="12.75">
      <c r="A836" s="228"/>
      <c r="B836" s="228"/>
      <c r="C836" s="22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row>
    <row r="837" spans="1:25" ht="12.75">
      <c r="A837" s="228"/>
      <c r="B837" s="228"/>
      <c r="C837" s="22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row>
    <row r="838" spans="1:25" ht="12.75">
      <c r="A838" s="228"/>
      <c r="B838" s="228"/>
      <c r="C838" s="22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row>
    <row r="839" spans="1:25" ht="12.75">
      <c r="A839" s="228"/>
      <c r="B839" s="228"/>
      <c r="C839" s="22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row>
    <row r="840" spans="1:25" ht="12.75">
      <c r="A840" s="228"/>
      <c r="B840" s="228"/>
      <c r="C840" s="22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row>
    <row r="841" spans="1:25" ht="12.75">
      <c r="A841" s="228"/>
      <c r="B841" s="228"/>
      <c r="C841" s="22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row>
    <row r="842" spans="1:25" ht="12.75">
      <c r="A842" s="228"/>
      <c r="B842" s="228"/>
      <c r="C842" s="22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row>
    <row r="843" spans="1:25" ht="12.75">
      <c r="A843" s="228"/>
      <c r="B843" s="228"/>
      <c r="C843" s="22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row>
    <row r="844" spans="1:25" ht="12.75">
      <c r="A844" s="228"/>
      <c r="B844" s="228"/>
      <c r="C844" s="22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row>
    <row r="845" spans="1:25" ht="12.75">
      <c r="A845" s="228"/>
      <c r="B845" s="228"/>
      <c r="C845" s="22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row>
    <row r="846" spans="1:25" ht="12.75">
      <c r="A846" s="228"/>
      <c r="B846" s="228"/>
      <c r="C846" s="22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row>
    <row r="847" spans="1:25" ht="12.75">
      <c r="A847" s="228"/>
      <c r="B847" s="228"/>
      <c r="C847" s="22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row>
    <row r="848" spans="1:25" ht="12.75">
      <c r="A848" s="228"/>
      <c r="B848" s="228"/>
      <c r="C848" s="22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row>
    <row r="849" spans="1:25" ht="12.75">
      <c r="A849" s="228"/>
      <c r="B849" s="228"/>
      <c r="C849" s="22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row>
    <row r="850" spans="1:25" ht="12.75">
      <c r="A850" s="228"/>
      <c r="B850" s="228"/>
      <c r="C850" s="22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row>
    <row r="851" spans="1:25" ht="12.75">
      <c r="A851" s="228"/>
      <c r="B851" s="228"/>
      <c r="C851" s="22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row>
    <row r="852" spans="1:25" ht="12.75">
      <c r="A852" s="228"/>
      <c r="B852" s="228"/>
      <c r="C852" s="22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row>
    <row r="853" spans="1:25" ht="12.75">
      <c r="A853" s="228"/>
      <c r="B853" s="228"/>
      <c r="C853" s="22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row>
    <row r="854" spans="1:25" ht="12.75">
      <c r="A854" s="228"/>
      <c r="B854" s="228"/>
      <c r="C854" s="22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row>
    <row r="855" spans="1:25" ht="12.75">
      <c r="A855" s="228"/>
      <c r="B855" s="228"/>
      <c r="C855" s="22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row>
    <row r="856" spans="1:25" ht="12.75">
      <c r="A856" s="228"/>
      <c r="B856" s="228"/>
      <c r="C856" s="22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row>
    <row r="857" spans="1:25" ht="12.75">
      <c r="A857" s="228"/>
      <c r="B857" s="228"/>
      <c r="C857" s="22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row>
    <row r="858" spans="1:25" ht="12.75">
      <c r="A858" s="228"/>
      <c r="B858" s="228"/>
      <c r="C858" s="22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row>
    <row r="859" spans="1:25" ht="12.75">
      <c r="A859" s="228"/>
      <c r="B859" s="228"/>
      <c r="C859" s="22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row>
    <row r="860" spans="1:25" ht="12.75">
      <c r="A860" s="228"/>
      <c r="B860" s="228"/>
      <c r="C860" s="22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row>
    <row r="861" spans="1:25" ht="12.75">
      <c r="A861" s="228"/>
      <c r="B861" s="228"/>
      <c r="C861" s="22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row>
    <row r="862" spans="1:25" ht="12.75">
      <c r="A862" s="228"/>
      <c r="B862" s="228"/>
      <c r="C862" s="22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row>
    <row r="863" spans="1:25" ht="12.75">
      <c r="A863" s="228"/>
      <c r="B863" s="228"/>
      <c r="C863" s="22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row>
    <row r="864" spans="1:25" ht="12.75">
      <c r="A864" s="228"/>
      <c r="B864" s="228"/>
      <c r="C864" s="22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row>
    <row r="865" spans="1:25" ht="12.75">
      <c r="A865" s="228"/>
      <c r="B865" s="228"/>
      <c r="C865" s="22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row>
    <row r="866" spans="1:25" ht="12.75">
      <c r="A866" s="228"/>
      <c r="B866" s="228"/>
      <c r="C866" s="22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row>
    <row r="867" spans="1:25" ht="12.75">
      <c r="A867" s="228"/>
      <c r="B867" s="228"/>
      <c r="C867" s="22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row>
    <row r="868" spans="1:25" ht="12.75">
      <c r="A868" s="228"/>
      <c r="B868" s="228"/>
      <c r="C868" s="22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row>
    <row r="869" spans="1:25" ht="12.75">
      <c r="A869" s="228"/>
      <c r="B869" s="228"/>
      <c r="C869" s="22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row>
    <row r="870" spans="1:25" ht="12.75">
      <c r="A870" s="228"/>
      <c r="B870" s="228"/>
      <c r="C870" s="22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row>
    <row r="871" spans="1:25" ht="12.75">
      <c r="A871" s="228"/>
      <c r="B871" s="228"/>
      <c r="C871" s="22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row>
    <row r="872" spans="1:25" ht="12.75">
      <c r="A872" s="228"/>
      <c r="B872" s="228"/>
      <c r="C872" s="22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row>
    <row r="873" spans="1:25" ht="12.75">
      <c r="A873" s="228"/>
      <c r="B873" s="228"/>
      <c r="C873" s="22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row>
    <row r="874" spans="1:25" ht="12.75">
      <c r="A874" s="228"/>
      <c r="B874" s="228"/>
      <c r="C874" s="22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row>
    <row r="875" spans="1:25" ht="12.75">
      <c r="A875" s="228"/>
      <c r="B875" s="228"/>
      <c r="C875" s="22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row>
    <row r="876" spans="1:25" ht="12.75">
      <c r="A876" s="228"/>
      <c r="B876" s="228"/>
      <c r="C876" s="22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row>
    <row r="877" spans="1:25" ht="12.75">
      <c r="A877" s="228"/>
      <c r="B877" s="228"/>
      <c r="C877" s="22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row>
    <row r="878" spans="1:25" ht="12.75">
      <c r="A878" s="228"/>
      <c r="B878" s="228"/>
      <c r="C878" s="22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row>
    <row r="879" spans="1:25" ht="12.75">
      <c r="A879" s="228"/>
      <c r="B879" s="228"/>
      <c r="C879" s="22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row>
    <row r="880" spans="1:25" ht="12.75">
      <c r="A880" s="228"/>
      <c r="B880" s="228"/>
      <c r="C880" s="22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row>
    <row r="881" spans="1:25" ht="12.75">
      <c r="A881" s="228"/>
      <c r="B881" s="228"/>
      <c r="C881" s="22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row>
    <row r="882" spans="1:25" ht="12.75">
      <c r="A882" s="228"/>
      <c r="B882" s="228"/>
      <c r="C882" s="22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row>
    <row r="883" spans="1:25" ht="12.75">
      <c r="A883" s="228"/>
      <c r="B883" s="228"/>
      <c r="C883" s="22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row>
    <row r="884" spans="1:25" ht="12.75">
      <c r="A884" s="228"/>
      <c r="B884" s="228"/>
      <c r="C884" s="22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row>
    <row r="885" spans="1:25" ht="12.75">
      <c r="A885" s="228"/>
      <c r="B885" s="228"/>
      <c r="C885" s="22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row>
    <row r="886" spans="1:25" ht="12.75">
      <c r="A886" s="228"/>
      <c r="B886" s="228"/>
      <c r="C886" s="22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row>
    <row r="887" spans="1:25" ht="12.75">
      <c r="A887" s="228"/>
      <c r="B887" s="228"/>
      <c r="C887" s="22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row>
    <row r="888" spans="1:25" ht="12.75">
      <c r="A888" s="228"/>
      <c r="B888" s="228"/>
      <c r="C888" s="22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row>
    <row r="889" spans="1:25" ht="12.75">
      <c r="A889" s="228"/>
      <c r="B889" s="228"/>
      <c r="C889" s="22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row>
    <row r="890" spans="1:25" ht="12.75">
      <c r="A890" s="228"/>
      <c r="B890" s="228"/>
      <c r="C890" s="22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row>
    <row r="891" spans="1:25" ht="12.75">
      <c r="A891" s="228"/>
      <c r="B891" s="228"/>
      <c r="C891" s="22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row>
    <row r="892" spans="1:25" ht="12.75">
      <c r="A892" s="228"/>
      <c r="B892" s="228"/>
      <c r="C892" s="22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row>
    <row r="893" spans="1:25" ht="12.75">
      <c r="A893" s="228"/>
      <c r="B893" s="228"/>
      <c r="C893" s="22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row>
    <row r="894" spans="1:25" ht="12.75">
      <c r="A894" s="228"/>
      <c r="B894" s="228"/>
      <c r="C894" s="22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row>
    <row r="895" spans="1:25" ht="12.75">
      <c r="A895" s="228"/>
      <c r="B895" s="228"/>
      <c r="C895" s="22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row>
    <row r="896" spans="1:25" ht="12.75">
      <c r="A896" s="228"/>
      <c r="B896" s="228"/>
      <c r="C896" s="22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row>
    <row r="897" spans="1:25" ht="12.75">
      <c r="A897" s="228"/>
      <c r="B897" s="228"/>
      <c r="C897" s="22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row>
    <row r="898" spans="1:25" ht="12.75">
      <c r="A898" s="228"/>
      <c r="B898" s="228"/>
      <c r="C898" s="22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row>
    <row r="899" spans="1:25" ht="12.75">
      <c r="A899" s="228"/>
      <c r="B899" s="228"/>
      <c r="C899" s="22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row>
    <row r="900" spans="1:25" ht="12.75">
      <c r="A900" s="228"/>
      <c r="B900" s="228"/>
      <c r="C900" s="22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row>
    <row r="901" spans="1:25" ht="12.75">
      <c r="A901" s="228"/>
      <c r="B901" s="228"/>
      <c r="C901" s="22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row>
    <row r="902" spans="1:25" ht="12.75">
      <c r="A902" s="228"/>
      <c r="B902" s="228"/>
      <c r="C902" s="22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row>
    <row r="903" spans="1:25" ht="12.75">
      <c r="A903" s="228"/>
      <c r="B903" s="228"/>
      <c r="C903" s="22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row>
    <row r="904" spans="1:25" ht="12.75">
      <c r="A904" s="228"/>
      <c r="B904" s="228"/>
      <c r="C904" s="22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row>
    <row r="905" spans="1:25" ht="12.75">
      <c r="A905" s="228"/>
      <c r="B905" s="228"/>
      <c r="C905" s="22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row>
    <row r="906" spans="1:25" ht="12.75">
      <c r="A906" s="228"/>
      <c r="B906" s="228"/>
      <c r="C906" s="22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row>
    <row r="907" spans="1:25" ht="12.75">
      <c r="A907" s="228"/>
      <c r="B907" s="228"/>
      <c r="C907" s="22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row>
    <row r="908" spans="1:25" ht="12.75">
      <c r="A908" s="228"/>
      <c r="B908" s="228"/>
      <c r="C908" s="22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row>
    <row r="909" spans="1:25" ht="12.75">
      <c r="A909" s="228"/>
      <c r="B909" s="228"/>
      <c r="C909" s="22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row>
    <row r="910" spans="1:25" ht="12.75">
      <c r="A910" s="228"/>
      <c r="B910" s="228"/>
      <c r="C910" s="22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row>
    <row r="911" spans="1:25" ht="12.75">
      <c r="A911" s="228"/>
      <c r="B911" s="228"/>
      <c r="C911" s="22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row>
    <row r="912" spans="1:25" ht="12.75">
      <c r="A912" s="228"/>
      <c r="B912" s="228"/>
      <c r="C912" s="22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row>
    <row r="913" spans="1:25" ht="12.75">
      <c r="A913" s="228"/>
      <c r="B913" s="228"/>
      <c r="C913" s="22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row>
    <row r="914" spans="1:25" ht="12.75">
      <c r="A914" s="228"/>
      <c r="B914" s="228"/>
      <c r="C914" s="22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row>
    <row r="915" spans="1:25" ht="12.75">
      <c r="A915" s="228"/>
      <c r="B915" s="228"/>
      <c r="C915" s="22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row>
    <row r="916" spans="1:25" ht="12.75">
      <c r="A916" s="228"/>
      <c r="B916" s="228"/>
      <c r="C916" s="22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row>
    <row r="917" spans="1:25" ht="12.75">
      <c r="A917" s="228"/>
      <c r="B917" s="228"/>
      <c r="C917" s="22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row>
    <row r="918" spans="1:25" ht="12.75">
      <c r="A918" s="228"/>
      <c r="B918" s="228"/>
      <c r="C918" s="22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row>
    <row r="919" spans="1:25" ht="12.75">
      <c r="A919" s="228"/>
      <c r="B919" s="228"/>
      <c r="C919" s="22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row>
    <row r="920" spans="1:25" ht="12.75">
      <c r="A920" s="228"/>
      <c r="B920" s="228"/>
      <c r="C920" s="22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row>
    <row r="921" spans="1:25" ht="12.75">
      <c r="A921" s="228"/>
      <c r="B921" s="228"/>
      <c r="C921" s="22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row>
    <row r="922" spans="1:25" ht="12.75">
      <c r="A922" s="228"/>
      <c r="B922" s="228"/>
      <c r="C922" s="22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row>
    <row r="923" spans="1:25" ht="12.75">
      <c r="A923" s="228"/>
      <c r="B923" s="228"/>
      <c r="C923" s="22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row>
    <row r="924" spans="1:25" ht="12.75">
      <c r="A924" s="228"/>
      <c r="B924" s="228"/>
      <c r="C924" s="22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row>
    <row r="925" spans="1:25" ht="12.75">
      <c r="A925" s="228"/>
      <c r="B925" s="228"/>
      <c r="C925" s="22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row>
    <row r="926" spans="1:25" ht="12.75">
      <c r="A926" s="228"/>
      <c r="B926" s="228"/>
      <c r="C926" s="22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row>
    <row r="927" spans="1:25" ht="12.75">
      <c r="A927" s="228"/>
      <c r="B927" s="228"/>
      <c r="C927" s="22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row>
    <row r="928" spans="1:25" ht="12.75">
      <c r="A928" s="228"/>
      <c r="B928" s="228"/>
      <c r="C928" s="22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row>
    <row r="929" spans="1:25" ht="12.75">
      <c r="A929" s="228"/>
      <c r="B929" s="228"/>
      <c r="C929" s="22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row>
    <row r="930" spans="1:25" ht="12.75">
      <c r="A930" s="228"/>
      <c r="B930" s="228"/>
      <c r="C930" s="22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row>
    <row r="931" spans="1:25" ht="12.75">
      <c r="A931" s="228"/>
      <c r="B931" s="228"/>
      <c r="C931" s="22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row>
    <row r="932" spans="1:25" ht="12.75">
      <c r="A932" s="228"/>
      <c r="B932" s="228"/>
      <c r="C932" s="22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row>
    <row r="933" spans="1:25" ht="12.75">
      <c r="A933" s="228"/>
      <c r="B933" s="228"/>
      <c r="C933" s="22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row>
    <row r="934" spans="1:25" ht="12.75">
      <c r="A934" s="228"/>
      <c r="B934" s="228"/>
      <c r="C934" s="22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row>
    <row r="935" spans="1:25" ht="12.75">
      <c r="A935" s="228"/>
      <c r="B935" s="228"/>
      <c r="C935" s="22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row>
    <row r="936" spans="1:25" ht="12.75">
      <c r="A936" s="228"/>
      <c r="B936" s="228"/>
      <c r="C936" s="22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row>
    <row r="937" spans="1:25" ht="12.75">
      <c r="A937" s="228"/>
      <c r="B937" s="228"/>
      <c r="C937" s="22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row>
    <row r="938" spans="1:25" ht="12.75">
      <c r="A938" s="228"/>
      <c r="B938" s="228"/>
      <c r="C938" s="22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row>
    <row r="939" spans="1:25" ht="12.75">
      <c r="A939" s="228"/>
      <c r="B939" s="228"/>
      <c r="C939" s="22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row>
    <row r="940" spans="1:25" ht="12.75">
      <c r="A940" s="228"/>
      <c r="B940" s="228"/>
      <c r="C940" s="22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row>
    <row r="941" spans="1:25" ht="12.75">
      <c r="A941" s="228"/>
      <c r="B941" s="228"/>
      <c r="C941" s="22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row>
    <row r="942" spans="1:25" ht="12.75">
      <c r="A942" s="228"/>
      <c r="B942" s="228"/>
      <c r="C942" s="22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row>
    <row r="943" spans="1:25" ht="12.75">
      <c r="A943" s="228"/>
      <c r="B943" s="228"/>
      <c r="C943" s="22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row>
    <row r="944" spans="1:25" ht="12.75">
      <c r="A944" s="228"/>
      <c r="B944" s="228"/>
      <c r="C944" s="22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row>
    <row r="945" spans="1:25" ht="12.75">
      <c r="A945" s="228"/>
      <c r="B945" s="228"/>
      <c r="C945" s="22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row>
    <row r="946" spans="1:25" ht="12.75">
      <c r="A946" s="228"/>
      <c r="B946" s="228"/>
      <c r="C946" s="22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row>
    <row r="947" spans="1:25" ht="12.75">
      <c r="A947" s="228"/>
      <c r="B947" s="228"/>
      <c r="C947" s="22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row>
    <row r="948" spans="1:25" ht="12.75">
      <c r="A948" s="228"/>
      <c r="B948" s="228"/>
      <c r="C948" s="22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row>
    <row r="949" spans="1:25" ht="12.75">
      <c r="A949" s="228"/>
      <c r="B949" s="228"/>
      <c r="C949" s="22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row>
    <row r="950" spans="1:25" ht="12.75">
      <c r="A950" s="228"/>
      <c r="B950" s="228"/>
      <c r="C950" s="22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row>
    <row r="951" spans="1:25" ht="12.75">
      <c r="A951" s="228"/>
      <c r="B951" s="228"/>
      <c r="C951" s="22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row>
    <row r="952" spans="1:25" ht="12.75">
      <c r="A952" s="228"/>
      <c r="B952" s="228"/>
      <c r="C952" s="22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row>
    <row r="953" spans="1:25" ht="12.75">
      <c r="A953" s="228"/>
      <c r="B953" s="228"/>
      <c r="C953" s="22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row>
    <row r="954" spans="1:25" ht="12.75">
      <c r="A954" s="228"/>
      <c r="B954" s="228"/>
      <c r="C954" s="22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row>
    <row r="955" spans="1:25" ht="12.75">
      <c r="A955" s="228"/>
      <c r="B955" s="228"/>
      <c r="C955" s="22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row>
    <row r="956" spans="1:25" ht="12.75">
      <c r="A956" s="228"/>
      <c r="B956" s="228"/>
      <c r="C956" s="22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row>
    <row r="957" spans="1:25" ht="12.75">
      <c r="A957" s="228"/>
      <c r="B957" s="228"/>
      <c r="C957" s="22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row>
    <row r="958" spans="1:25" ht="12.75">
      <c r="A958" s="228"/>
      <c r="B958" s="228"/>
      <c r="C958" s="22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row>
    <row r="959" spans="1:25" ht="12.75">
      <c r="A959" s="228"/>
      <c r="B959" s="228"/>
      <c r="C959" s="22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row>
    <row r="960" spans="1:25" ht="12.75">
      <c r="A960" s="228"/>
      <c r="B960" s="228"/>
      <c r="C960" s="22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row>
    <row r="961" spans="1:25" ht="12.75">
      <c r="A961" s="228"/>
      <c r="B961" s="228"/>
      <c r="C961" s="22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row>
    <row r="962" spans="1:25" ht="12.75">
      <c r="A962" s="228"/>
      <c r="B962" s="228"/>
      <c r="C962" s="22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row>
    <row r="963" spans="1:25" ht="12.75">
      <c r="A963" s="228"/>
      <c r="B963" s="228"/>
      <c r="C963" s="22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row>
    <row r="964" spans="1:25" ht="12.75">
      <c r="A964" s="228"/>
      <c r="B964" s="228"/>
      <c r="C964" s="22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row>
    <row r="965" spans="1:25" ht="12.75">
      <c r="A965" s="228"/>
      <c r="B965" s="228"/>
      <c r="C965" s="22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row>
    <row r="966" spans="1:25" ht="12.75">
      <c r="A966" s="228"/>
      <c r="B966" s="228"/>
      <c r="C966" s="22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row>
    <row r="967" spans="1:25" ht="12.75">
      <c r="A967" s="228"/>
      <c r="B967" s="228"/>
      <c r="C967" s="22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row>
    <row r="968" spans="1:25" ht="12.75">
      <c r="A968" s="228"/>
      <c r="B968" s="228"/>
      <c r="C968" s="22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row>
    <row r="969" spans="1:25" ht="12.75">
      <c r="A969" s="228"/>
      <c r="B969" s="228"/>
      <c r="C969" s="22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row>
    <row r="970" spans="1:25" ht="12.75">
      <c r="A970" s="228"/>
      <c r="B970" s="228"/>
      <c r="C970" s="22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row>
    <row r="971" spans="1:25" ht="12.75">
      <c r="A971" s="228"/>
      <c r="B971" s="228"/>
      <c r="C971" s="22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row>
    <row r="972" spans="1:25" ht="12.75">
      <c r="A972" s="228"/>
      <c r="B972" s="228"/>
      <c r="C972" s="22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row>
    <row r="973" spans="1:25" ht="12.75">
      <c r="A973" s="228"/>
      <c r="B973" s="228"/>
      <c r="C973" s="22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row>
    <row r="974" spans="1:25" ht="12.75">
      <c r="A974" s="228"/>
      <c r="B974" s="228"/>
      <c r="C974" s="22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row>
    <row r="975" spans="1:25" ht="12.75">
      <c r="A975" s="228"/>
      <c r="B975" s="228"/>
      <c r="C975" s="22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row>
    <row r="976" spans="1:25" ht="12.75">
      <c r="A976" s="228"/>
      <c r="B976" s="228"/>
      <c r="C976" s="22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row>
    <row r="977" spans="1:25" ht="12.75">
      <c r="A977" s="228"/>
      <c r="B977" s="228"/>
      <c r="C977" s="22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row>
    <row r="978" spans="1:25" ht="12.75">
      <c r="A978" s="228"/>
      <c r="B978" s="228"/>
      <c r="C978" s="22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row>
    <row r="979" spans="1:25" ht="12.75">
      <c r="A979" s="228"/>
      <c r="B979" s="228"/>
      <c r="C979" s="22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row>
    <row r="980" spans="1:25" ht="12.75">
      <c r="A980" s="228"/>
      <c r="B980" s="228"/>
      <c r="C980" s="22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row>
    <row r="981" spans="1:25" ht="12.75">
      <c r="A981" s="228"/>
      <c r="B981" s="228"/>
      <c r="C981" s="22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row>
    <row r="982" spans="1:25" ht="12.75">
      <c r="A982" s="228"/>
      <c r="B982" s="228"/>
      <c r="C982" s="22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row>
    <row r="983" spans="1:25" ht="12.75">
      <c r="A983" s="228"/>
      <c r="B983" s="228"/>
      <c r="C983" s="22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row>
    <row r="984" spans="1:25" ht="12.75">
      <c r="A984" s="228"/>
      <c r="B984" s="228"/>
      <c r="C984" s="22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row>
    <row r="985" spans="1:25" ht="12.75">
      <c r="A985" s="228"/>
      <c r="B985" s="228"/>
      <c r="C985" s="22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row>
    <row r="986" spans="1:25" ht="12.75">
      <c r="A986" s="228"/>
      <c r="B986" s="228"/>
      <c r="C986" s="22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row>
  </sheetData>
  <mergeCells count="13">
    <mergeCell ref="A63:F63"/>
    <mergeCell ref="A4:F4"/>
    <mergeCell ref="A10:F10"/>
    <mergeCell ref="A16:F16"/>
    <mergeCell ref="A26:F26"/>
    <mergeCell ref="A29:F29"/>
    <mergeCell ref="A32:F32"/>
    <mergeCell ref="A38:F38"/>
    <mergeCell ref="A41:F41"/>
    <mergeCell ref="A44:F44"/>
    <mergeCell ref="A50:F50"/>
    <mergeCell ref="A54:F54"/>
    <mergeCell ref="A58:F58"/>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V1000"/>
  <sheetViews>
    <sheetView workbookViewId="0">
      <pane xSplit="2" topLeftCell="C1" activePane="topRight" state="frozen"/>
      <selection pane="topRight" activeCell="D2" sqref="D2"/>
    </sheetView>
  </sheetViews>
  <sheetFormatPr baseColWidth="10" defaultColWidth="12.5703125" defaultRowHeight="15" customHeight="1"/>
  <cols>
    <col min="1" max="1" width="8.5703125" customWidth="1"/>
    <col min="2" max="2" width="9.42578125" customWidth="1"/>
    <col min="5" max="5" width="20" customWidth="1"/>
    <col min="10" max="10" width="17.28515625" customWidth="1"/>
    <col min="11" max="11" width="15.7109375" customWidth="1"/>
    <col min="12" max="12" width="16.5703125" customWidth="1"/>
    <col min="13" max="13" width="17.42578125" customWidth="1"/>
    <col min="14" max="14" width="16.85546875" customWidth="1"/>
    <col min="15" max="15" width="15.5703125" customWidth="1"/>
    <col min="16" max="17" width="17.140625" customWidth="1"/>
    <col min="18" max="18" width="18.42578125" customWidth="1"/>
    <col min="19" max="19" width="16" customWidth="1"/>
  </cols>
  <sheetData>
    <row r="1" spans="1:22" ht="25.5" customHeight="1">
      <c r="A1" s="1" t="s">
        <v>442</v>
      </c>
      <c r="B1" s="2"/>
      <c r="C1" s="2"/>
      <c r="D1" s="2"/>
      <c r="E1" s="2"/>
      <c r="F1" s="2"/>
      <c r="G1" s="2"/>
      <c r="H1" s="2"/>
      <c r="I1" s="2"/>
      <c r="J1" s="2"/>
      <c r="K1" s="2"/>
      <c r="L1" s="2"/>
      <c r="M1" s="2"/>
      <c r="N1" s="2"/>
      <c r="O1" s="2"/>
      <c r="P1" s="2"/>
      <c r="Q1" s="2"/>
      <c r="R1" s="2"/>
      <c r="S1" s="2"/>
      <c r="T1" s="2"/>
      <c r="U1" s="2"/>
      <c r="V1" s="3"/>
    </row>
    <row r="2" spans="1:22" ht="28.5" customHeight="1">
      <c r="A2" s="5" t="s">
        <v>443</v>
      </c>
      <c r="B2" s="5" t="s">
        <v>444</v>
      </c>
      <c r="C2" s="5" t="s">
        <v>2</v>
      </c>
      <c r="D2" s="19" t="s">
        <v>445</v>
      </c>
      <c r="E2" s="5" t="s">
        <v>446</v>
      </c>
      <c r="F2" s="5" t="s">
        <v>3</v>
      </c>
      <c r="G2" s="5"/>
      <c r="H2" s="5" t="s">
        <v>4</v>
      </c>
      <c r="I2" s="5" t="s">
        <v>5</v>
      </c>
      <c r="J2" s="265"/>
      <c r="K2" s="19" t="s">
        <v>447</v>
      </c>
      <c r="L2" s="5" t="s">
        <v>6</v>
      </c>
      <c r="M2" s="5" t="s">
        <v>7</v>
      </c>
      <c r="N2" s="5" t="s">
        <v>448</v>
      </c>
      <c r="O2" s="6"/>
      <c r="P2" s="5" t="s">
        <v>8</v>
      </c>
      <c r="Q2" s="5" t="s">
        <v>9</v>
      </c>
      <c r="R2" s="5"/>
      <c r="S2" s="6"/>
      <c r="T2" s="5" t="s">
        <v>11</v>
      </c>
      <c r="U2" s="5" t="s">
        <v>12</v>
      </c>
      <c r="V2" s="6"/>
    </row>
    <row r="3" spans="1:22" ht="15.75" customHeight="1">
      <c r="A3" s="266">
        <v>22216120</v>
      </c>
      <c r="B3" s="267">
        <v>8231613070</v>
      </c>
      <c r="C3" s="8">
        <v>37.4</v>
      </c>
      <c r="D3" s="10"/>
      <c r="E3" s="10" t="s">
        <v>449</v>
      </c>
      <c r="F3" s="268">
        <f>15</f>
        <v>15</v>
      </c>
      <c r="G3" s="10"/>
      <c r="H3" s="11">
        <v>5.0000000000000001E-3</v>
      </c>
      <c r="I3" s="16">
        <v>0.1</v>
      </c>
      <c r="J3" s="10"/>
      <c r="K3" s="266">
        <v>0</v>
      </c>
      <c r="L3" s="14">
        <v>5.0000000000000001E-4</v>
      </c>
      <c r="M3" s="15">
        <v>6.3399999999999998E-2</v>
      </c>
      <c r="N3" s="16">
        <f>1-I3</f>
        <v>0.9</v>
      </c>
      <c r="O3" s="13"/>
      <c r="P3" s="17" t="s">
        <v>13</v>
      </c>
      <c r="Q3" s="11">
        <v>5.0000000000000001E-3</v>
      </c>
      <c r="R3" s="10"/>
      <c r="S3" s="13"/>
      <c r="T3" s="13"/>
      <c r="U3" s="16">
        <f>A5</f>
        <v>2.6988780705650929E-3</v>
      </c>
      <c r="V3" s="13"/>
    </row>
    <row r="4" spans="1:22" ht="39" customHeight="1">
      <c r="A4" s="5" t="s">
        <v>450</v>
      </c>
      <c r="B4" s="5" t="s">
        <v>451</v>
      </c>
      <c r="C4" s="5" t="s">
        <v>14</v>
      </c>
      <c r="D4" s="5" t="s">
        <v>452</v>
      </c>
      <c r="E4" s="5" t="s">
        <v>453</v>
      </c>
      <c r="F4" s="5" t="s">
        <v>15</v>
      </c>
      <c r="G4" s="18"/>
      <c r="H4" s="5"/>
      <c r="I4" s="19" t="s">
        <v>16</v>
      </c>
      <c r="J4" s="19" t="s">
        <v>17</v>
      </c>
      <c r="K4" s="19" t="s">
        <v>454</v>
      </c>
      <c r="L4" s="19" t="s">
        <v>455</v>
      </c>
      <c r="M4" s="5"/>
      <c r="N4" s="5" t="s">
        <v>456</v>
      </c>
      <c r="O4" s="5"/>
      <c r="P4" s="5" t="s">
        <v>19</v>
      </c>
      <c r="Q4" s="5"/>
      <c r="R4" s="19" t="s">
        <v>457</v>
      </c>
      <c r="S4" s="5"/>
      <c r="T4" s="5"/>
      <c r="U4" s="5" t="s">
        <v>21</v>
      </c>
      <c r="V4" s="6"/>
    </row>
    <row r="5" spans="1:22" ht="15.75" customHeight="1">
      <c r="A5" s="269">
        <f>A3/B3</f>
        <v>2.6988780705650929E-3</v>
      </c>
      <c r="B5" s="270">
        <f>C3*A5</f>
        <v>0.10093803983913446</v>
      </c>
      <c r="C5" s="14">
        <v>0.1</v>
      </c>
      <c r="D5" s="8">
        <v>2.9499999999999999E-3</v>
      </c>
      <c r="E5" s="10" t="s">
        <v>449</v>
      </c>
      <c r="F5" s="14">
        <f>C5*1.64</f>
        <v>0.16400000000000001</v>
      </c>
      <c r="G5" s="10"/>
      <c r="H5" s="13"/>
      <c r="I5" s="20">
        <v>0.01</v>
      </c>
      <c r="J5" s="20">
        <v>0.05</v>
      </c>
      <c r="K5" s="10">
        <f>K3*5</f>
        <v>0</v>
      </c>
      <c r="L5" s="9">
        <f>2500000000*0.05</f>
        <v>125000000</v>
      </c>
      <c r="M5" s="13"/>
      <c r="N5" s="11">
        <f>I5</f>
        <v>0.01</v>
      </c>
      <c r="O5" s="13"/>
      <c r="P5" s="16">
        <v>0.1</v>
      </c>
      <c r="Q5" s="13"/>
      <c r="R5" s="12">
        <v>0.5</v>
      </c>
      <c r="S5" s="13"/>
      <c r="T5" s="13"/>
      <c r="U5" s="22" t="s">
        <v>458</v>
      </c>
      <c r="V5" s="13"/>
    </row>
    <row r="6" spans="1:22" ht="3" customHeight="1">
      <c r="A6" s="23"/>
      <c r="B6" s="23"/>
      <c r="C6" s="23"/>
      <c r="D6" s="23"/>
      <c r="E6" s="23"/>
      <c r="F6" s="23"/>
      <c r="G6" s="23"/>
      <c r="H6" s="23"/>
      <c r="I6" s="23"/>
      <c r="J6" s="23"/>
      <c r="K6" s="23"/>
      <c r="L6" s="23"/>
      <c r="M6" s="23"/>
      <c r="N6" s="23"/>
      <c r="O6" s="23"/>
      <c r="P6" s="23"/>
      <c r="Q6" s="23"/>
      <c r="R6" s="23"/>
      <c r="S6" s="23"/>
      <c r="T6" s="23"/>
      <c r="U6" s="23"/>
      <c r="V6" s="23"/>
    </row>
    <row r="7" spans="1:22" ht="50.25" customHeight="1">
      <c r="A7" s="24" t="s">
        <v>23</v>
      </c>
      <c r="B7" s="25" t="s">
        <v>24</v>
      </c>
      <c r="C7" s="25" t="s">
        <v>459</v>
      </c>
      <c r="D7" s="25" t="s">
        <v>460</v>
      </c>
      <c r="E7" s="26" t="s">
        <v>461</v>
      </c>
      <c r="F7" s="25" t="s">
        <v>26</v>
      </c>
      <c r="G7" s="25" t="s">
        <v>27</v>
      </c>
      <c r="H7" s="25" t="s">
        <v>28</v>
      </c>
      <c r="I7" s="25" t="s">
        <v>29</v>
      </c>
      <c r="J7" s="25" t="s">
        <v>30</v>
      </c>
      <c r="K7" s="25" t="s">
        <v>31</v>
      </c>
      <c r="L7" s="25" t="s">
        <v>32</v>
      </c>
      <c r="M7" s="25" t="s">
        <v>33</v>
      </c>
      <c r="N7" s="25" t="s">
        <v>34</v>
      </c>
      <c r="O7" s="26" t="s">
        <v>462</v>
      </c>
      <c r="P7" s="25" t="s">
        <v>36</v>
      </c>
      <c r="Q7" s="26" t="s">
        <v>463</v>
      </c>
      <c r="R7" s="25" t="s">
        <v>464</v>
      </c>
      <c r="S7" s="25" t="s">
        <v>39</v>
      </c>
      <c r="T7" s="25" t="s">
        <v>40</v>
      </c>
      <c r="U7" s="25" t="s">
        <v>465</v>
      </c>
      <c r="V7" s="28" t="s">
        <v>41</v>
      </c>
    </row>
    <row r="8" spans="1:22" ht="15.75" customHeight="1">
      <c r="A8" s="29"/>
      <c r="B8" s="30"/>
      <c r="C8" s="30"/>
      <c r="D8" s="30"/>
      <c r="E8" s="30"/>
      <c r="F8" s="30"/>
      <c r="G8" s="30"/>
      <c r="H8" s="30"/>
      <c r="I8" s="30"/>
      <c r="J8" s="30"/>
      <c r="K8" s="30"/>
      <c r="L8" s="30"/>
      <c r="M8" s="30"/>
      <c r="N8" s="30"/>
      <c r="O8" s="30"/>
      <c r="P8" s="30"/>
      <c r="Q8" s="30"/>
      <c r="R8" s="30"/>
      <c r="S8" s="30"/>
      <c r="T8" s="30"/>
      <c r="U8" s="30"/>
      <c r="V8" s="30"/>
    </row>
    <row r="9" spans="1:22" ht="15.75" customHeight="1">
      <c r="A9" s="31" t="s">
        <v>42</v>
      </c>
      <c r="B9" s="32">
        <v>2025</v>
      </c>
      <c r="C9" s="271">
        <f>B5</f>
        <v>0.10093803983913446</v>
      </c>
      <c r="D9" s="271">
        <f>$D$5</f>
        <v>2.9499999999999999E-3</v>
      </c>
      <c r="E9" s="34"/>
      <c r="F9" s="34">
        <f>$F$3</f>
        <v>15</v>
      </c>
      <c r="G9" s="34">
        <f t="shared" ref="G9:G184" si="0">D9*F9*1000000000</f>
        <v>44250000</v>
      </c>
      <c r="H9" s="34">
        <f t="shared" ref="H9:H184" si="1">G9*(1-$H$3)</f>
        <v>44028750</v>
      </c>
      <c r="I9" s="35">
        <f>I3</f>
        <v>0.1</v>
      </c>
      <c r="J9" s="36">
        <f>(H9*I9)</f>
        <v>4402875</v>
      </c>
      <c r="K9" s="34">
        <f>$K$5+J9+P9</f>
        <v>4402875</v>
      </c>
      <c r="L9" s="37">
        <f>($K$5+J9+P9)*(1-$L$3)</f>
        <v>4400673.5625</v>
      </c>
      <c r="M9" s="34">
        <f t="shared" ref="M9:M184" si="2">L8*$M$3</f>
        <v>0</v>
      </c>
      <c r="N9" s="34">
        <f t="shared" ref="N9:N184" si="3">H9*(1-I9)</f>
        <v>39625875</v>
      </c>
      <c r="O9" s="34">
        <f t="shared" ref="O9:O184" si="4">M9+N9</f>
        <v>39625875</v>
      </c>
      <c r="P9" s="34"/>
      <c r="Q9" s="38">
        <f t="shared" ref="Q9:Q184" si="5">(O9-P9)*(1-$Q$3)</f>
        <v>39427745.625</v>
      </c>
      <c r="R9" s="39">
        <f t="shared" ref="R9:R184" si="6">Q9*$R$5</f>
        <v>19713872.8125</v>
      </c>
      <c r="S9" s="34">
        <f t="shared" ref="S9:S184" si="7">Q9-R9</f>
        <v>19713872.8125</v>
      </c>
      <c r="T9" s="40">
        <v>8231613070</v>
      </c>
      <c r="U9" s="272">
        <f t="shared" ref="U9:U184" si="8">$U$3</f>
        <v>2.6988780705650929E-3</v>
      </c>
      <c r="V9" s="41">
        <f t="shared" ref="V9:V184" si="9">(S9/(T9*U9))/12</f>
        <v>7.3947328983413843E-2</v>
      </c>
    </row>
    <row r="10" spans="1:22" ht="15.75" customHeight="1">
      <c r="A10" s="31" t="s">
        <v>43</v>
      </c>
      <c r="B10" s="32">
        <v>2026</v>
      </c>
      <c r="C10" s="271">
        <f t="shared" ref="C10:C184" si="10">C9*(1-$C$5)</f>
        <v>9.0844235855221014E-2</v>
      </c>
      <c r="D10" s="271">
        <f t="shared" ref="D10:D23" si="11">D9+0.0011233</f>
        <v>4.0733000000000002E-3</v>
      </c>
      <c r="E10" s="34"/>
      <c r="F10" s="34">
        <f t="shared" ref="F10:F32" si="12">F9*(1+$F$5)</f>
        <v>17.459999999999997</v>
      </c>
      <c r="G10" s="34">
        <f t="shared" si="0"/>
        <v>71119817.999999985</v>
      </c>
      <c r="H10" s="34">
        <f t="shared" si="1"/>
        <v>70764218.909999982</v>
      </c>
      <c r="I10" s="35">
        <f>$I$3+$I$5</f>
        <v>0.11</v>
      </c>
      <c r="J10" s="36">
        <f t="shared" ref="J10:J184" si="13">(H10*I10)+E10</f>
        <v>7784064.080099998</v>
      </c>
      <c r="K10" s="34">
        <f t="shared" ref="K10:K184" si="14">K9+J10+P9</f>
        <v>12186939.080099998</v>
      </c>
      <c r="L10" s="37">
        <f t="shared" ref="L10:L184" si="15">(L9+J10+P9)*(1-$L$3)</f>
        <v>12178645.273778699</v>
      </c>
      <c r="M10" s="34">
        <f t="shared" si="2"/>
        <v>279002.70386249997</v>
      </c>
      <c r="N10" s="34">
        <f t="shared" si="3"/>
        <v>62980154.829899982</v>
      </c>
      <c r="O10" s="34">
        <f t="shared" si="4"/>
        <v>63259157.533762485</v>
      </c>
      <c r="P10" s="34"/>
      <c r="Q10" s="38">
        <f t="shared" si="5"/>
        <v>62942861.746093675</v>
      </c>
      <c r="R10" s="39">
        <f t="shared" si="6"/>
        <v>31471430.873046838</v>
      </c>
      <c r="S10" s="34">
        <f t="shared" si="7"/>
        <v>31471430.873046838</v>
      </c>
      <c r="T10" s="40">
        <v>8300678395</v>
      </c>
      <c r="U10" s="272">
        <f t="shared" si="8"/>
        <v>2.6988780705650929E-3</v>
      </c>
      <c r="V10" s="41">
        <f t="shared" si="9"/>
        <v>0.11706805168524774</v>
      </c>
    </row>
    <row r="11" spans="1:22" ht="15.75" customHeight="1">
      <c r="A11" s="31" t="s">
        <v>44</v>
      </c>
      <c r="B11" s="32">
        <v>2027</v>
      </c>
      <c r="C11" s="271">
        <f t="shared" si="10"/>
        <v>8.1759812269698917E-2</v>
      </c>
      <c r="D11" s="271">
        <f t="shared" si="11"/>
        <v>5.1966E-3</v>
      </c>
      <c r="E11" s="34"/>
      <c r="F11" s="34">
        <f t="shared" si="12"/>
        <v>20.323439999999994</v>
      </c>
      <c r="G11" s="34">
        <f t="shared" si="0"/>
        <v>105612788.30399998</v>
      </c>
      <c r="H11" s="34">
        <f t="shared" si="1"/>
        <v>105084724.36247997</v>
      </c>
      <c r="I11" s="35">
        <f t="shared" ref="I11:I18" si="16">I10+$I$5</f>
        <v>0.12</v>
      </c>
      <c r="J11" s="36">
        <f t="shared" si="13"/>
        <v>12610166.923497597</v>
      </c>
      <c r="K11" s="34">
        <f t="shared" si="14"/>
        <v>24797106.003597595</v>
      </c>
      <c r="L11" s="37">
        <f t="shared" si="15"/>
        <v>24776417.791177657</v>
      </c>
      <c r="M11" s="34">
        <f t="shared" si="2"/>
        <v>772126.11035756953</v>
      </c>
      <c r="N11" s="34">
        <f t="shared" si="3"/>
        <v>92474557.438982368</v>
      </c>
      <c r="O11" s="34">
        <f t="shared" si="4"/>
        <v>93246683.549339935</v>
      </c>
      <c r="P11" s="34"/>
      <c r="Q11" s="38">
        <f t="shared" si="5"/>
        <v>92780450.131593242</v>
      </c>
      <c r="R11" s="39">
        <f t="shared" si="6"/>
        <v>46390225.065796621</v>
      </c>
      <c r="S11" s="34">
        <f t="shared" si="7"/>
        <v>46390225.065796621</v>
      </c>
      <c r="T11" s="40">
        <v>8369094344</v>
      </c>
      <c r="U11" s="272">
        <f t="shared" si="8"/>
        <v>2.6988780705650929E-3</v>
      </c>
      <c r="V11" s="41">
        <f t="shared" si="9"/>
        <v>0.17115260172553773</v>
      </c>
    </row>
    <row r="12" spans="1:22" ht="15.75" customHeight="1">
      <c r="A12" s="31" t="s">
        <v>45</v>
      </c>
      <c r="B12" s="32">
        <v>2028</v>
      </c>
      <c r="C12" s="271">
        <f t="shared" si="10"/>
        <v>7.3583831042729031E-2</v>
      </c>
      <c r="D12" s="271">
        <f t="shared" si="11"/>
        <v>6.3198999999999998E-3</v>
      </c>
      <c r="E12" s="34"/>
      <c r="F12" s="34">
        <f t="shared" si="12"/>
        <v>23.656484159999991</v>
      </c>
      <c r="G12" s="34">
        <f t="shared" si="0"/>
        <v>149506614.24278393</v>
      </c>
      <c r="H12" s="34">
        <f t="shared" si="1"/>
        <v>148759081.17157</v>
      </c>
      <c r="I12" s="35">
        <f t="shared" si="16"/>
        <v>0.13</v>
      </c>
      <c r="J12" s="36">
        <f t="shared" si="13"/>
        <v>19338680.5523041</v>
      </c>
      <c r="K12" s="34">
        <f t="shared" si="14"/>
        <v>44135786.555901691</v>
      </c>
      <c r="L12" s="37">
        <f t="shared" si="15"/>
        <v>44093040.794310018</v>
      </c>
      <c r="M12" s="34">
        <f t="shared" si="2"/>
        <v>1570824.8879606633</v>
      </c>
      <c r="N12" s="34">
        <f t="shared" si="3"/>
        <v>129420400.6192659</v>
      </c>
      <c r="O12" s="34">
        <f t="shared" si="4"/>
        <v>130991225.50722656</v>
      </c>
      <c r="P12" s="34"/>
      <c r="Q12" s="38">
        <f t="shared" si="5"/>
        <v>130336269.37969042</v>
      </c>
      <c r="R12" s="39">
        <f t="shared" si="6"/>
        <v>65168134.689845212</v>
      </c>
      <c r="S12" s="34">
        <f t="shared" si="7"/>
        <v>65168134.689845212</v>
      </c>
      <c r="T12" s="40">
        <v>8436618886</v>
      </c>
      <c r="U12" s="272">
        <f t="shared" si="8"/>
        <v>2.6988780705650929E-3</v>
      </c>
      <c r="V12" s="41">
        <f t="shared" si="9"/>
        <v>0.23850766955012656</v>
      </c>
    </row>
    <row r="13" spans="1:22" ht="15.75" customHeight="1">
      <c r="A13" s="31" t="s">
        <v>46</v>
      </c>
      <c r="B13" s="32">
        <v>2029</v>
      </c>
      <c r="C13" s="271">
        <f t="shared" si="10"/>
        <v>6.6225447938456125E-2</v>
      </c>
      <c r="D13" s="271">
        <f t="shared" si="11"/>
        <v>7.4431999999999996E-3</v>
      </c>
      <c r="E13" s="34"/>
      <c r="F13" s="34">
        <f t="shared" si="12"/>
        <v>27.536147562239986</v>
      </c>
      <c r="G13" s="34">
        <f t="shared" si="0"/>
        <v>204957053.53526467</v>
      </c>
      <c r="H13" s="34">
        <f t="shared" si="1"/>
        <v>203932268.26758835</v>
      </c>
      <c r="I13" s="35">
        <f t="shared" si="16"/>
        <v>0.14000000000000001</v>
      </c>
      <c r="J13" s="36">
        <f t="shared" si="13"/>
        <v>28550517.557462372</v>
      </c>
      <c r="K13" s="34">
        <f t="shared" si="14"/>
        <v>72686304.113364071</v>
      </c>
      <c r="L13" s="37">
        <f t="shared" si="15"/>
        <v>72607236.57259652</v>
      </c>
      <c r="M13" s="34">
        <f t="shared" si="2"/>
        <v>2795498.7863592552</v>
      </c>
      <c r="N13" s="34">
        <f t="shared" si="3"/>
        <v>175381750.71012598</v>
      </c>
      <c r="O13" s="34">
        <f t="shared" si="4"/>
        <v>178177249.49648523</v>
      </c>
      <c r="P13" s="34"/>
      <c r="Q13" s="38">
        <f t="shared" si="5"/>
        <v>177286363.24900281</v>
      </c>
      <c r="R13" s="39">
        <f t="shared" si="6"/>
        <v>88643181.624501407</v>
      </c>
      <c r="S13" s="34">
        <f t="shared" si="7"/>
        <v>88643181.624501407</v>
      </c>
      <c r="T13" s="40">
        <v>8503285323</v>
      </c>
      <c r="U13" s="272">
        <f t="shared" si="8"/>
        <v>2.6988780705650929E-3</v>
      </c>
      <c r="V13" s="41">
        <f t="shared" si="9"/>
        <v>0.3218800596785707</v>
      </c>
    </row>
    <row r="14" spans="1:22" ht="15.75" customHeight="1">
      <c r="A14" s="31" t="s">
        <v>47</v>
      </c>
      <c r="B14" s="32">
        <v>2030</v>
      </c>
      <c r="C14" s="271">
        <f t="shared" si="10"/>
        <v>5.9602903144610517E-2</v>
      </c>
      <c r="D14" s="271">
        <f t="shared" si="11"/>
        <v>8.5664999999999995E-3</v>
      </c>
      <c r="E14" s="34"/>
      <c r="F14" s="34">
        <f t="shared" si="12"/>
        <v>32.052075762447345</v>
      </c>
      <c r="G14" s="34">
        <f t="shared" si="0"/>
        <v>274574107.01900512</v>
      </c>
      <c r="H14" s="34">
        <f t="shared" si="1"/>
        <v>273201236.48391008</v>
      </c>
      <c r="I14" s="35">
        <f t="shared" si="16"/>
        <v>0.15000000000000002</v>
      </c>
      <c r="J14" s="36">
        <f t="shared" si="13"/>
        <v>40980185.47258652</v>
      </c>
      <c r="K14" s="34">
        <f t="shared" si="14"/>
        <v>113666489.58595058</v>
      </c>
      <c r="L14" s="37">
        <f t="shared" si="15"/>
        <v>113530628.33416045</v>
      </c>
      <c r="M14" s="34">
        <f t="shared" si="2"/>
        <v>4603298.798702619</v>
      </c>
      <c r="N14" s="34">
        <f t="shared" si="3"/>
        <v>232221051.01132357</v>
      </c>
      <c r="O14" s="34">
        <f t="shared" si="4"/>
        <v>236824349.8100262</v>
      </c>
      <c r="P14" s="34"/>
      <c r="Q14" s="38">
        <f t="shared" si="5"/>
        <v>235640228.06097606</v>
      </c>
      <c r="R14" s="39">
        <f t="shared" si="6"/>
        <v>117820114.03048803</v>
      </c>
      <c r="S14" s="34">
        <f t="shared" si="7"/>
        <v>117820114.03048803</v>
      </c>
      <c r="T14" s="40">
        <v>8569124911</v>
      </c>
      <c r="U14" s="272">
        <f t="shared" si="8"/>
        <v>2.6988780705650929E-3</v>
      </c>
      <c r="V14" s="41">
        <f t="shared" si="9"/>
        <v>0.42453984267092054</v>
      </c>
    </row>
    <row r="15" spans="1:22" ht="15.75" customHeight="1">
      <c r="A15" s="31" t="s">
        <v>48</v>
      </c>
      <c r="B15" s="32">
        <v>2031</v>
      </c>
      <c r="C15" s="271">
        <f t="shared" si="10"/>
        <v>5.3642612830149469E-2</v>
      </c>
      <c r="D15" s="271">
        <f t="shared" si="11"/>
        <v>9.6898000000000001E-3</v>
      </c>
      <c r="E15" s="34"/>
      <c r="F15" s="34">
        <f t="shared" si="12"/>
        <v>37.30861618748871</v>
      </c>
      <c r="G15" s="34">
        <f t="shared" si="0"/>
        <v>361513029.13352811</v>
      </c>
      <c r="H15" s="34">
        <f t="shared" si="1"/>
        <v>359705463.9878605</v>
      </c>
      <c r="I15" s="35">
        <f t="shared" si="16"/>
        <v>0.16000000000000003</v>
      </c>
      <c r="J15" s="36">
        <f t="shared" si="13"/>
        <v>57552874.238057688</v>
      </c>
      <c r="K15" s="34">
        <f t="shared" si="14"/>
        <v>171219363.82400829</v>
      </c>
      <c r="L15" s="37">
        <f t="shared" si="15"/>
        <v>170997960.82093203</v>
      </c>
      <c r="M15" s="34">
        <f t="shared" si="2"/>
        <v>7197841.8363857726</v>
      </c>
      <c r="N15" s="34">
        <f t="shared" si="3"/>
        <v>302152589.74980283</v>
      </c>
      <c r="O15" s="34">
        <f t="shared" si="4"/>
        <v>309350431.58618861</v>
      </c>
      <c r="P15" s="34"/>
      <c r="Q15" s="38">
        <f t="shared" si="5"/>
        <v>307803679.42825764</v>
      </c>
      <c r="R15" s="39">
        <f t="shared" si="6"/>
        <v>153901839.71412882</v>
      </c>
      <c r="S15" s="34">
        <f t="shared" si="7"/>
        <v>153901839.71412882</v>
      </c>
      <c r="T15" s="40">
        <v>8634119333</v>
      </c>
      <c r="U15" s="272">
        <f t="shared" si="8"/>
        <v>2.6988780705650929E-3</v>
      </c>
      <c r="V15" s="41">
        <f t="shared" si="9"/>
        <v>0.55037823857573487</v>
      </c>
    </row>
    <row r="16" spans="1:22" ht="15.75" customHeight="1">
      <c r="A16" s="31" t="s">
        <v>49</v>
      </c>
      <c r="B16" s="32">
        <v>2032</v>
      </c>
      <c r="C16" s="271">
        <f t="shared" si="10"/>
        <v>4.8278351547134522E-2</v>
      </c>
      <c r="D16" s="271">
        <f t="shared" si="11"/>
        <v>1.0813100000000001E-2</v>
      </c>
      <c r="E16" s="34"/>
      <c r="F16" s="34">
        <f t="shared" si="12"/>
        <v>43.427229242236855</v>
      </c>
      <c r="G16" s="34">
        <f t="shared" si="0"/>
        <v>469582972.51923138</v>
      </c>
      <c r="H16" s="34">
        <f t="shared" si="1"/>
        <v>467235057.65663522</v>
      </c>
      <c r="I16" s="35">
        <f t="shared" si="16"/>
        <v>0.17000000000000004</v>
      </c>
      <c r="J16" s="36">
        <f t="shared" si="13"/>
        <v>79429959.801628008</v>
      </c>
      <c r="K16" s="34">
        <f t="shared" si="14"/>
        <v>250649323.62563628</v>
      </c>
      <c r="L16" s="37">
        <f t="shared" si="15"/>
        <v>250302706.66224876</v>
      </c>
      <c r="M16" s="34">
        <f t="shared" si="2"/>
        <v>10841270.71604709</v>
      </c>
      <c r="N16" s="34">
        <f t="shared" si="3"/>
        <v>387805097.85500723</v>
      </c>
      <c r="O16" s="34">
        <f t="shared" si="4"/>
        <v>398646368.57105434</v>
      </c>
      <c r="P16" s="34"/>
      <c r="Q16" s="38">
        <f t="shared" si="5"/>
        <v>396653136.72819906</v>
      </c>
      <c r="R16" s="39">
        <f t="shared" si="6"/>
        <v>198326568.36409953</v>
      </c>
      <c r="S16" s="34">
        <f t="shared" si="7"/>
        <v>198326568.36409953</v>
      </c>
      <c r="T16" s="40">
        <v>8698229812</v>
      </c>
      <c r="U16" s="272">
        <f t="shared" si="8"/>
        <v>2.6988780705650929E-3</v>
      </c>
      <c r="V16" s="41">
        <f t="shared" si="9"/>
        <v>0.70402083021578177</v>
      </c>
    </row>
    <row r="17" spans="1:22" ht="15.75" customHeight="1">
      <c r="A17" s="31" t="s">
        <v>50</v>
      </c>
      <c r="B17" s="32">
        <v>2033</v>
      </c>
      <c r="C17" s="271">
        <f t="shared" si="10"/>
        <v>4.3450516392421069E-2</v>
      </c>
      <c r="D17" s="271">
        <f t="shared" si="11"/>
        <v>1.1936400000000002E-2</v>
      </c>
      <c r="E17" s="34"/>
      <c r="F17" s="34">
        <f t="shared" si="12"/>
        <v>50.549294837963693</v>
      </c>
      <c r="G17" s="34">
        <f t="shared" si="0"/>
        <v>603376602.90386987</v>
      </c>
      <c r="H17" s="34">
        <f t="shared" si="1"/>
        <v>600359719.88935053</v>
      </c>
      <c r="I17" s="35">
        <f t="shared" si="16"/>
        <v>0.18000000000000005</v>
      </c>
      <c r="J17" s="36">
        <f t="shared" si="13"/>
        <v>108064749.58008313</v>
      </c>
      <c r="K17" s="34">
        <f t="shared" si="14"/>
        <v>358714073.20571941</v>
      </c>
      <c r="L17" s="37">
        <f t="shared" si="15"/>
        <v>358188272.5142107</v>
      </c>
      <c r="M17" s="34">
        <f t="shared" si="2"/>
        <v>15869191.602386571</v>
      </c>
      <c r="N17" s="34">
        <f t="shared" si="3"/>
        <v>492294970.3092674</v>
      </c>
      <c r="O17" s="34">
        <f t="shared" si="4"/>
        <v>508164161.911654</v>
      </c>
      <c r="P17" s="34"/>
      <c r="Q17" s="38">
        <f t="shared" si="5"/>
        <v>505623341.10209572</v>
      </c>
      <c r="R17" s="39">
        <f t="shared" si="6"/>
        <v>252811670.55104786</v>
      </c>
      <c r="S17" s="34">
        <f t="shared" si="7"/>
        <v>252811670.55104786</v>
      </c>
      <c r="T17" s="40">
        <v>8761449081</v>
      </c>
      <c r="U17" s="272">
        <f t="shared" si="8"/>
        <v>2.6988780705650929E-3</v>
      </c>
      <c r="V17" s="41">
        <f t="shared" si="9"/>
        <v>0.89095684045103074</v>
      </c>
    </row>
    <row r="18" spans="1:22" ht="15.75" customHeight="1">
      <c r="A18" s="31" t="s">
        <v>51</v>
      </c>
      <c r="B18" s="32">
        <v>2034</v>
      </c>
      <c r="C18" s="271">
        <f t="shared" si="10"/>
        <v>3.9105464753178963E-2</v>
      </c>
      <c r="D18" s="271">
        <f t="shared" si="11"/>
        <v>1.3059700000000002E-2</v>
      </c>
      <c r="E18" s="34"/>
      <c r="F18" s="34">
        <f t="shared" si="12"/>
        <v>58.839379191389732</v>
      </c>
      <c r="G18" s="34">
        <f t="shared" si="0"/>
        <v>768424640.42579257</v>
      </c>
      <c r="H18" s="34">
        <f t="shared" si="1"/>
        <v>764582517.22366357</v>
      </c>
      <c r="I18" s="35">
        <f t="shared" si="16"/>
        <v>0.19000000000000006</v>
      </c>
      <c r="J18" s="36">
        <f t="shared" si="13"/>
        <v>145270678.27249613</v>
      </c>
      <c r="K18" s="34">
        <f t="shared" si="14"/>
        <v>503984751.47821558</v>
      </c>
      <c r="L18" s="37">
        <f t="shared" si="15"/>
        <v>503207221.31131345</v>
      </c>
      <c r="M18" s="34">
        <f t="shared" si="2"/>
        <v>22709136.477400959</v>
      </c>
      <c r="N18" s="34">
        <f t="shared" si="3"/>
        <v>619311838.95116746</v>
      </c>
      <c r="O18" s="34">
        <f t="shared" si="4"/>
        <v>642020975.42856836</v>
      </c>
      <c r="P18" s="34"/>
      <c r="Q18" s="38">
        <f t="shared" si="5"/>
        <v>638810870.55142558</v>
      </c>
      <c r="R18" s="39">
        <f t="shared" si="6"/>
        <v>319405435.27571279</v>
      </c>
      <c r="S18" s="34">
        <f t="shared" si="7"/>
        <v>319405435.27571279</v>
      </c>
      <c r="T18" s="40">
        <v>8823784909</v>
      </c>
      <c r="U18" s="272">
        <f t="shared" si="8"/>
        <v>2.6988780705650929E-3</v>
      </c>
      <c r="V18" s="41">
        <f t="shared" si="9"/>
        <v>1.1176938944402883</v>
      </c>
    </row>
    <row r="19" spans="1:22" ht="15.75" customHeight="1">
      <c r="A19" s="31" t="s">
        <v>52</v>
      </c>
      <c r="B19" s="32">
        <v>2035</v>
      </c>
      <c r="C19" s="271">
        <f t="shared" si="10"/>
        <v>3.5194918277861066E-2</v>
      </c>
      <c r="D19" s="271">
        <f t="shared" si="11"/>
        <v>1.4183000000000003E-2</v>
      </c>
      <c r="E19" s="34"/>
      <c r="F19" s="34">
        <f t="shared" si="12"/>
        <v>68.489037378777638</v>
      </c>
      <c r="G19" s="34">
        <f t="shared" si="0"/>
        <v>971380017.14320338</v>
      </c>
      <c r="H19" s="34">
        <f t="shared" si="1"/>
        <v>966523117.05748737</v>
      </c>
      <c r="I19" s="35">
        <f t="shared" ref="I19:I34" si="17">I18+$J$5</f>
        <v>0.24000000000000005</v>
      </c>
      <c r="J19" s="36">
        <f t="shared" si="13"/>
        <v>231965548.09379703</v>
      </c>
      <c r="K19" s="34">
        <f t="shared" si="14"/>
        <v>735950299.57201266</v>
      </c>
      <c r="L19" s="37">
        <f t="shared" si="15"/>
        <v>734805183.02040792</v>
      </c>
      <c r="M19" s="34">
        <f t="shared" si="2"/>
        <v>31903337.831137273</v>
      </c>
      <c r="N19" s="34">
        <f t="shared" si="3"/>
        <v>734557568.9636904</v>
      </c>
      <c r="O19" s="34">
        <f t="shared" si="4"/>
        <v>766460906.7948277</v>
      </c>
      <c r="P19" s="34"/>
      <c r="Q19" s="38">
        <f t="shared" si="5"/>
        <v>762628602.26085353</v>
      </c>
      <c r="R19" s="39">
        <f t="shared" si="6"/>
        <v>381314301.13042676</v>
      </c>
      <c r="S19" s="34">
        <f t="shared" si="7"/>
        <v>381314301.13042676</v>
      </c>
      <c r="T19" s="40">
        <v>8885210181</v>
      </c>
      <c r="U19" s="272">
        <f t="shared" si="8"/>
        <v>2.6988780705650929E-3</v>
      </c>
      <c r="V19" s="41">
        <f t="shared" si="9"/>
        <v>1.3251067846012885</v>
      </c>
    </row>
    <row r="20" spans="1:22" ht="15.75" customHeight="1">
      <c r="A20" s="31" t="s">
        <v>53</v>
      </c>
      <c r="B20" s="32">
        <v>2036</v>
      </c>
      <c r="C20" s="271">
        <f t="shared" si="10"/>
        <v>3.1675426450074963E-2</v>
      </c>
      <c r="D20" s="271">
        <f t="shared" si="11"/>
        <v>1.5306300000000004E-2</v>
      </c>
      <c r="E20" s="34"/>
      <c r="F20" s="34">
        <f t="shared" si="12"/>
        <v>79.72123950889717</v>
      </c>
      <c r="G20" s="34">
        <f t="shared" si="0"/>
        <v>1220237208.295033</v>
      </c>
      <c r="H20" s="34">
        <f t="shared" si="1"/>
        <v>1214136022.2535579</v>
      </c>
      <c r="I20" s="35">
        <f t="shared" si="17"/>
        <v>0.29000000000000004</v>
      </c>
      <c r="J20" s="36">
        <f t="shared" si="13"/>
        <v>352099446.45353186</v>
      </c>
      <c r="K20" s="34">
        <f t="shared" si="14"/>
        <v>1088049746.0255446</v>
      </c>
      <c r="L20" s="37">
        <f t="shared" si="15"/>
        <v>1086361177.1592031</v>
      </c>
      <c r="M20" s="34">
        <f t="shared" si="2"/>
        <v>46586648.603493862</v>
      </c>
      <c r="N20" s="34">
        <f t="shared" si="3"/>
        <v>862036575.80002606</v>
      </c>
      <c r="O20" s="34">
        <f t="shared" si="4"/>
        <v>908623224.40351987</v>
      </c>
      <c r="P20" s="34"/>
      <c r="Q20" s="38">
        <f t="shared" si="5"/>
        <v>904080108.28150225</v>
      </c>
      <c r="R20" s="39">
        <f t="shared" si="6"/>
        <v>452040054.14075112</v>
      </c>
      <c r="S20" s="34">
        <f t="shared" si="7"/>
        <v>452040054.14075112</v>
      </c>
      <c r="T20" s="40">
        <v>8945686614</v>
      </c>
      <c r="U20" s="272">
        <f t="shared" si="8"/>
        <v>2.6988780705650929E-3</v>
      </c>
      <c r="V20" s="41">
        <f t="shared" si="9"/>
        <v>1.5602662982425455</v>
      </c>
    </row>
    <row r="21" spans="1:22" ht="15.75" customHeight="1">
      <c r="A21" s="31" t="s">
        <v>54</v>
      </c>
      <c r="B21" s="32">
        <v>2037</v>
      </c>
      <c r="C21" s="271">
        <f t="shared" si="10"/>
        <v>2.8507883805067469E-2</v>
      </c>
      <c r="D21" s="271">
        <f t="shared" si="11"/>
        <v>1.6429600000000003E-2</v>
      </c>
      <c r="E21" s="34"/>
      <c r="F21" s="34">
        <f t="shared" si="12"/>
        <v>92.795522788356294</v>
      </c>
      <c r="G21" s="34">
        <f t="shared" si="0"/>
        <v>1524593321.2035787</v>
      </c>
      <c r="H21" s="34">
        <f t="shared" si="1"/>
        <v>1516970354.5975609</v>
      </c>
      <c r="I21" s="35">
        <f t="shared" si="17"/>
        <v>0.34</v>
      </c>
      <c r="J21" s="36">
        <f t="shared" si="13"/>
        <v>515769920.56317073</v>
      </c>
      <c r="K21" s="34">
        <f t="shared" si="14"/>
        <v>1603819666.5887153</v>
      </c>
      <c r="L21" s="37">
        <f t="shared" si="15"/>
        <v>1601330032.1735127</v>
      </c>
      <c r="M21" s="34">
        <f t="shared" si="2"/>
        <v>68875298.631893471</v>
      </c>
      <c r="N21" s="34">
        <f t="shared" si="3"/>
        <v>1001200434.0343901</v>
      </c>
      <c r="O21" s="34">
        <f t="shared" si="4"/>
        <v>1070075732.6662836</v>
      </c>
      <c r="P21" s="34"/>
      <c r="Q21" s="38">
        <f t="shared" si="5"/>
        <v>1064725354.0029522</v>
      </c>
      <c r="R21" s="39">
        <f t="shared" si="6"/>
        <v>532362677.00147611</v>
      </c>
      <c r="S21" s="34">
        <f t="shared" si="7"/>
        <v>532362677.00147611</v>
      </c>
      <c r="T21" s="40">
        <v>9005152624</v>
      </c>
      <c r="U21" s="272">
        <f t="shared" si="8"/>
        <v>2.6988780705650929E-3</v>
      </c>
      <c r="V21" s="41">
        <f t="shared" si="9"/>
        <v>1.8253746368780239</v>
      </c>
    </row>
    <row r="22" spans="1:22" ht="15.75" customHeight="1">
      <c r="A22" s="31" t="s">
        <v>55</v>
      </c>
      <c r="B22" s="32">
        <v>2038</v>
      </c>
      <c r="C22" s="271">
        <f t="shared" si="10"/>
        <v>2.5657095424560721E-2</v>
      </c>
      <c r="D22" s="271">
        <f t="shared" si="11"/>
        <v>1.7552900000000003E-2</v>
      </c>
      <c r="E22" s="34"/>
      <c r="F22" s="34">
        <f t="shared" si="12"/>
        <v>108.01398852564672</v>
      </c>
      <c r="G22" s="34">
        <f t="shared" si="0"/>
        <v>1895958739.1918247</v>
      </c>
      <c r="H22" s="34">
        <f t="shared" si="1"/>
        <v>1886478945.4958656</v>
      </c>
      <c r="I22" s="35">
        <f t="shared" si="17"/>
        <v>0.39</v>
      </c>
      <c r="J22" s="36">
        <f t="shared" si="13"/>
        <v>735726788.74338758</v>
      </c>
      <c r="K22" s="34">
        <f t="shared" si="14"/>
        <v>2339546455.3321028</v>
      </c>
      <c r="L22" s="37">
        <f t="shared" si="15"/>
        <v>2335888292.5064421</v>
      </c>
      <c r="M22" s="34">
        <f t="shared" si="2"/>
        <v>101524324.0398007</v>
      </c>
      <c r="N22" s="34">
        <f t="shared" si="3"/>
        <v>1150752156.7524779</v>
      </c>
      <c r="O22" s="34">
        <f t="shared" si="4"/>
        <v>1252276480.7922785</v>
      </c>
      <c r="P22" s="34"/>
      <c r="Q22" s="38">
        <f t="shared" si="5"/>
        <v>1246015098.3883171</v>
      </c>
      <c r="R22" s="39">
        <f t="shared" si="6"/>
        <v>623007549.19415855</v>
      </c>
      <c r="S22" s="34">
        <f t="shared" si="7"/>
        <v>623007549.19415855</v>
      </c>
      <c r="T22" s="40">
        <v>9063572926</v>
      </c>
      <c r="U22" s="272">
        <f t="shared" si="8"/>
        <v>2.6988780705650929E-3</v>
      </c>
      <c r="V22" s="41">
        <f t="shared" si="9"/>
        <v>2.1224104004860114</v>
      </c>
    </row>
    <row r="23" spans="1:22" ht="15.75" customHeight="1">
      <c r="A23" s="31" t="s">
        <v>56</v>
      </c>
      <c r="B23" s="32">
        <v>2039</v>
      </c>
      <c r="C23" s="271">
        <f t="shared" si="10"/>
        <v>2.3091385882104649E-2</v>
      </c>
      <c r="D23" s="271">
        <f t="shared" si="11"/>
        <v>1.8676200000000004E-2</v>
      </c>
      <c r="E23" s="34"/>
      <c r="F23" s="34">
        <f t="shared" si="12"/>
        <v>125.72828264385278</v>
      </c>
      <c r="G23" s="34">
        <f t="shared" si="0"/>
        <v>2348126552.3131237</v>
      </c>
      <c r="H23" s="34">
        <f t="shared" si="1"/>
        <v>2336385919.551558</v>
      </c>
      <c r="I23" s="35">
        <f t="shared" si="17"/>
        <v>0.44</v>
      </c>
      <c r="J23" s="36">
        <f t="shared" si="13"/>
        <v>1028009804.6026856</v>
      </c>
      <c r="K23" s="34">
        <f t="shared" si="14"/>
        <v>3367556259.9347882</v>
      </c>
      <c r="L23" s="37">
        <f t="shared" si="15"/>
        <v>3362216148.0605731</v>
      </c>
      <c r="M23" s="34">
        <f t="shared" si="2"/>
        <v>148095317.74490842</v>
      </c>
      <c r="N23" s="34">
        <f t="shared" si="3"/>
        <v>1308376114.9488726</v>
      </c>
      <c r="O23" s="34">
        <f t="shared" si="4"/>
        <v>1456471432.6937809</v>
      </c>
      <c r="P23" s="34"/>
      <c r="Q23" s="38">
        <f t="shared" si="5"/>
        <v>1449189075.5303121</v>
      </c>
      <c r="R23" s="39">
        <f t="shared" si="6"/>
        <v>724594537.76515603</v>
      </c>
      <c r="S23" s="34">
        <f t="shared" si="7"/>
        <v>724594537.76515603</v>
      </c>
      <c r="T23" s="40">
        <v>9120928380</v>
      </c>
      <c r="U23" s="272">
        <f t="shared" si="8"/>
        <v>2.6988780705650929E-3</v>
      </c>
      <c r="V23" s="41">
        <f t="shared" si="9"/>
        <v>2.4529658370627163</v>
      </c>
    </row>
    <row r="24" spans="1:22" ht="15.75" customHeight="1">
      <c r="A24" s="31" t="s">
        <v>57</v>
      </c>
      <c r="B24" s="32">
        <v>2040</v>
      </c>
      <c r="C24" s="271">
        <f t="shared" si="10"/>
        <v>2.0782247293894184E-2</v>
      </c>
      <c r="D24" s="273">
        <v>1.9800000000000002E-2</v>
      </c>
      <c r="E24" s="34"/>
      <c r="F24" s="34">
        <f t="shared" si="12"/>
        <v>146.34772099744464</v>
      </c>
      <c r="G24" s="34">
        <f t="shared" si="0"/>
        <v>2897684875.749404</v>
      </c>
      <c r="H24" s="34">
        <f t="shared" si="1"/>
        <v>2883196451.370657</v>
      </c>
      <c r="I24" s="35">
        <f t="shared" si="17"/>
        <v>0.49</v>
      </c>
      <c r="J24" s="36">
        <f t="shared" si="13"/>
        <v>1412766261.1716218</v>
      </c>
      <c r="K24" s="34">
        <f t="shared" si="14"/>
        <v>4780322521.10641</v>
      </c>
      <c r="L24" s="37">
        <f t="shared" si="15"/>
        <v>4772594918.0275793</v>
      </c>
      <c r="M24" s="34">
        <f t="shared" si="2"/>
        <v>213164503.78704032</v>
      </c>
      <c r="N24" s="34">
        <f t="shared" si="3"/>
        <v>1470430190.1990352</v>
      </c>
      <c r="O24" s="34">
        <f t="shared" si="4"/>
        <v>1683594693.9860754</v>
      </c>
      <c r="P24" s="34"/>
      <c r="Q24" s="38">
        <f t="shared" si="5"/>
        <v>1675176720.516145</v>
      </c>
      <c r="R24" s="39">
        <f t="shared" si="6"/>
        <v>837588360.2580725</v>
      </c>
      <c r="S24" s="34">
        <f t="shared" si="7"/>
        <v>837588360.2580725</v>
      </c>
      <c r="T24" s="40">
        <v>9177190203</v>
      </c>
      <c r="U24" s="272">
        <f t="shared" si="8"/>
        <v>2.6988780705650929E-3</v>
      </c>
      <c r="V24" s="41">
        <f t="shared" si="9"/>
        <v>2.8180999357880108</v>
      </c>
    </row>
    <row r="25" spans="1:22" ht="15.75" customHeight="1">
      <c r="A25" s="31" t="s">
        <v>58</v>
      </c>
      <c r="B25" s="32">
        <v>2041</v>
      </c>
      <c r="C25" s="271">
        <f t="shared" si="10"/>
        <v>1.8704022564504767E-2</v>
      </c>
      <c r="D25" s="271">
        <f t="shared" ref="D25:D184" si="18">C25</f>
        <v>1.8704022564504767E-2</v>
      </c>
      <c r="E25" s="34"/>
      <c r="F25" s="34">
        <f t="shared" si="12"/>
        <v>170.34874724102556</v>
      </c>
      <c r="G25" s="34">
        <f t="shared" si="0"/>
        <v>3186206812.2312613</v>
      </c>
      <c r="H25" s="34">
        <f t="shared" si="1"/>
        <v>3170275778.170105</v>
      </c>
      <c r="I25" s="35">
        <f t="shared" si="17"/>
        <v>0.54</v>
      </c>
      <c r="J25" s="36">
        <f t="shared" si="13"/>
        <v>1711948920.2118568</v>
      </c>
      <c r="K25" s="34">
        <f t="shared" si="14"/>
        <v>6492271441.3182669</v>
      </c>
      <c r="L25" s="37">
        <f t="shared" si="15"/>
        <v>6481301566.3203163</v>
      </c>
      <c r="M25" s="34">
        <f t="shared" si="2"/>
        <v>302582517.80294853</v>
      </c>
      <c r="N25" s="34">
        <f t="shared" si="3"/>
        <v>1458326857.9582481</v>
      </c>
      <c r="O25" s="34">
        <f t="shared" si="4"/>
        <v>1760909375.7611966</v>
      </c>
      <c r="P25" s="34"/>
      <c r="Q25" s="38">
        <f t="shared" si="5"/>
        <v>1752104828.8823907</v>
      </c>
      <c r="R25" s="39">
        <f t="shared" si="6"/>
        <v>876052414.44119537</v>
      </c>
      <c r="S25" s="34">
        <f t="shared" si="7"/>
        <v>876052414.44119537</v>
      </c>
      <c r="T25" s="40">
        <v>9232281575</v>
      </c>
      <c r="U25" s="272">
        <f t="shared" si="8"/>
        <v>2.6988780705650929E-3</v>
      </c>
      <c r="V25" s="41">
        <f t="shared" si="9"/>
        <v>2.9299252383133019</v>
      </c>
    </row>
    <row r="26" spans="1:22" ht="15.75" customHeight="1">
      <c r="A26" s="31" t="s">
        <v>59</v>
      </c>
      <c r="B26" s="32">
        <v>2042</v>
      </c>
      <c r="C26" s="271">
        <f t="shared" si="10"/>
        <v>1.6833620308054291E-2</v>
      </c>
      <c r="D26" s="271">
        <f t="shared" si="18"/>
        <v>1.6833620308054291E-2</v>
      </c>
      <c r="E26" s="34"/>
      <c r="F26" s="34">
        <f t="shared" si="12"/>
        <v>198.28594178855374</v>
      </c>
      <c r="G26" s="34">
        <f t="shared" si="0"/>
        <v>3337870256.4934692</v>
      </c>
      <c r="H26" s="34">
        <f t="shared" si="1"/>
        <v>3321180905.2110019</v>
      </c>
      <c r="I26" s="35">
        <f t="shared" si="17"/>
        <v>0.59000000000000008</v>
      </c>
      <c r="J26" s="36">
        <f t="shared" si="13"/>
        <v>1959496734.0744913</v>
      </c>
      <c r="K26" s="34">
        <f t="shared" si="14"/>
        <v>8451768175.3927584</v>
      </c>
      <c r="L26" s="37">
        <f t="shared" si="15"/>
        <v>8436577901.2446108</v>
      </c>
      <c r="M26" s="34">
        <f t="shared" si="2"/>
        <v>410914519.30470806</v>
      </c>
      <c r="N26" s="34">
        <f t="shared" si="3"/>
        <v>1361684171.1365106</v>
      </c>
      <c r="O26" s="34">
        <f t="shared" si="4"/>
        <v>1772598690.4412186</v>
      </c>
      <c r="P26" s="34"/>
      <c r="Q26" s="38">
        <f t="shared" si="5"/>
        <v>1763735696.9890125</v>
      </c>
      <c r="R26" s="39">
        <f t="shared" si="6"/>
        <v>881867848.49450624</v>
      </c>
      <c r="S26" s="34">
        <f t="shared" si="7"/>
        <v>881867848.49450624</v>
      </c>
      <c r="T26" s="40">
        <v>9286110371</v>
      </c>
      <c r="U26" s="272">
        <f t="shared" si="8"/>
        <v>2.6988780705650929E-3</v>
      </c>
      <c r="V26" s="41">
        <f t="shared" si="9"/>
        <v>2.9322781040848369</v>
      </c>
    </row>
    <row r="27" spans="1:22" ht="15.75" customHeight="1">
      <c r="A27" s="31" t="s">
        <v>60</v>
      </c>
      <c r="B27" s="32">
        <v>2043</v>
      </c>
      <c r="C27" s="271">
        <f t="shared" si="10"/>
        <v>1.5150258277248863E-2</v>
      </c>
      <c r="D27" s="271">
        <f t="shared" si="18"/>
        <v>1.5150258277248863E-2</v>
      </c>
      <c r="E27" s="34"/>
      <c r="F27" s="34">
        <f t="shared" si="12"/>
        <v>230.80483624187653</v>
      </c>
      <c r="G27" s="34">
        <f t="shared" si="0"/>
        <v>3496752880.7025585</v>
      </c>
      <c r="H27" s="34">
        <f t="shared" si="1"/>
        <v>3479269116.2990456</v>
      </c>
      <c r="I27" s="35">
        <f t="shared" si="17"/>
        <v>0.64000000000000012</v>
      </c>
      <c r="J27" s="36">
        <f t="shared" si="13"/>
        <v>2226732234.4313898</v>
      </c>
      <c r="K27" s="34">
        <f t="shared" si="14"/>
        <v>10678500409.824148</v>
      </c>
      <c r="L27" s="37">
        <f t="shared" si="15"/>
        <v>10657978480.608164</v>
      </c>
      <c r="M27" s="34">
        <f t="shared" si="2"/>
        <v>534879038.93890828</v>
      </c>
      <c r="N27" s="34">
        <f t="shared" si="3"/>
        <v>1252536881.867656</v>
      </c>
      <c r="O27" s="34">
        <f t="shared" si="4"/>
        <v>1787415920.8065643</v>
      </c>
      <c r="P27" s="34"/>
      <c r="Q27" s="38">
        <f t="shared" si="5"/>
        <v>1778478841.2025316</v>
      </c>
      <c r="R27" s="39">
        <f t="shared" si="6"/>
        <v>889239420.60126579</v>
      </c>
      <c r="S27" s="34">
        <f t="shared" si="7"/>
        <v>889239420.60126579</v>
      </c>
      <c r="T27" s="40">
        <v>9338661314</v>
      </c>
      <c r="U27" s="272">
        <f t="shared" si="8"/>
        <v>2.6988780705650929E-3</v>
      </c>
      <c r="V27" s="41">
        <f t="shared" si="9"/>
        <v>2.9401505662308716</v>
      </c>
    </row>
    <row r="28" spans="1:22" ht="15.75" customHeight="1">
      <c r="A28" s="31" t="s">
        <v>61</v>
      </c>
      <c r="B28" s="32">
        <v>2044</v>
      </c>
      <c r="C28" s="271">
        <f t="shared" si="10"/>
        <v>1.3635232449523976E-2</v>
      </c>
      <c r="D28" s="271">
        <f t="shared" si="18"/>
        <v>1.3635232449523976E-2</v>
      </c>
      <c r="E28" s="34"/>
      <c r="F28" s="34">
        <f t="shared" si="12"/>
        <v>268.65682938554426</v>
      </c>
      <c r="G28" s="34">
        <f t="shared" si="0"/>
        <v>3663198317.8239994</v>
      </c>
      <c r="H28" s="34">
        <f t="shared" si="1"/>
        <v>3644882326.2348795</v>
      </c>
      <c r="I28" s="35">
        <f t="shared" si="17"/>
        <v>0.69000000000000017</v>
      </c>
      <c r="J28" s="36">
        <f t="shared" si="13"/>
        <v>2514968805.1020675</v>
      </c>
      <c r="K28" s="34">
        <f t="shared" si="14"/>
        <v>13193469214.926216</v>
      </c>
      <c r="L28" s="37">
        <f t="shared" si="15"/>
        <v>13166360812.067377</v>
      </c>
      <c r="M28" s="34">
        <f t="shared" si="2"/>
        <v>675715835.67055762</v>
      </c>
      <c r="N28" s="34">
        <f t="shared" si="3"/>
        <v>1129913521.132812</v>
      </c>
      <c r="O28" s="34">
        <f t="shared" si="4"/>
        <v>1805629356.8033695</v>
      </c>
      <c r="P28" s="34"/>
      <c r="Q28" s="38">
        <f t="shared" si="5"/>
        <v>1796601210.0193527</v>
      </c>
      <c r="R28" s="39">
        <f t="shared" si="6"/>
        <v>898300605.00967634</v>
      </c>
      <c r="S28" s="34">
        <f t="shared" si="7"/>
        <v>898300605.00967634</v>
      </c>
      <c r="T28" s="40">
        <v>9389873693</v>
      </c>
      <c r="U28" s="272">
        <f t="shared" si="8"/>
        <v>2.6988780705650929E-3</v>
      </c>
      <c r="V28" s="41">
        <f t="shared" si="9"/>
        <v>2.9539111707278938</v>
      </c>
    </row>
    <row r="29" spans="1:22" ht="15.75" customHeight="1">
      <c r="A29" s="31" t="s">
        <v>62</v>
      </c>
      <c r="B29" s="32">
        <v>2045</v>
      </c>
      <c r="C29" s="271">
        <f t="shared" si="10"/>
        <v>1.2271709204571579E-2</v>
      </c>
      <c r="D29" s="271">
        <f t="shared" si="18"/>
        <v>1.2271709204571579E-2</v>
      </c>
      <c r="E29" s="34"/>
      <c r="F29" s="34">
        <f t="shared" si="12"/>
        <v>312.7165494047735</v>
      </c>
      <c r="G29" s="34">
        <f t="shared" si="0"/>
        <v>3837566557.7524219</v>
      </c>
      <c r="H29" s="34">
        <f t="shared" si="1"/>
        <v>3818378724.9636598</v>
      </c>
      <c r="I29" s="35">
        <f t="shared" si="17"/>
        <v>0.74000000000000021</v>
      </c>
      <c r="J29" s="36">
        <f t="shared" si="13"/>
        <v>2825600256.4731092</v>
      </c>
      <c r="K29" s="34">
        <f t="shared" si="14"/>
        <v>16019069471.399326</v>
      </c>
      <c r="L29" s="37">
        <f t="shared" si="15"/>
        <v>15983965088.006216</v>
      </c>
      <c r="M29" s="34">
        <f t="shared" si="2"/>
        <v>834747275.48507166</v>
      </c>
      <c r="N29" s="34">
        <f t="shared" si="3"/>
        <v>992778468.49055076</v>
      </c>
      <c r="O29" s="34">
        <f t="shared" si="4"/>
        <v>1827525743.9756224</v>
      </c>
      <c r="P29" s="34"/>
      <c r="Q29" s="38">
        <f t="shared" si="5"/>
        <v>1818388115.2557442</v>
      </c>
      <c r="R29" s="39">
        <f t="shared" si="6"/>
        <v>909194057.62787211</v>
      </c>
      <c r="S29" s="34">
        <f t="shared" si="7"/>
        <v>909194057.62787211</v>
      </c>
      <c r="T29" s="40">
        <v>9439639668</v>
      </c>
      <c r="U29" s="272">
        <f t="shared" si="8"/>
        <v>2.6988780705650929E-3</v>
      </c>
      <c r="V29" s="41">
        <f t="shared" si="9"/>
        <v>2.9739705349619263</v>
      </c>
    </row>
    <row r="30" spans="1:22" ht="15.75" customHeight="1">
      <c r="A30" s="31" t="s">
        <v>63</v>
      </c>
      <c r="B30" s="32">
        <v>2046</v>
      </c>
      <c r="C30" s="271">
        <f t="shared" si="10"/>
        <v>1.1044538284114421E-2</v>
      </c>
      <c r="D30" s="271">
        <f t="shared" si="18"/>
        <v>1.1044538284114421E-2</v>
      </c>
      <c r="E30" s="34"/>
      <c r="F30" s="34">
        <f t="shared" si="12"/>
        <v>364.00206350715632</v>
      </c>
      <c r="G30" s="34">
        <f t="shared" si="0"/>
        <v>4020234725.9014373</v>
      </c>
      <c r="H30" s="34">
        <f t="shared" si="1"/>
        <v>4000133552.2719302</v>
      </c>
      <c r="I30" s="35">
        <f t="shared" si="17"/>
        <v>0.79000000000000026</v>
      </c>
      <c r="J30" s="36">
        <f t="shared" si="13"/>
        <v>3160105506.294826</v>
      </c>
      <c r="K30" s="34">
        <f t="shared" si="14"/>
        <v>19179174977.694153</v>
      </c>
      <c r="L30" s="37">
        <f t="shared" si="15"/>
        <v>19134498559.003891</v>
      </c>
      <c r="M30" s="34">
        <f t="shared" si="2"/>
        <v>1013383386.579594</v>
      </c>
      <c r="N30" s="34">
        <f t="shared" si="3"/>
        <v>840028045.97710431</v>
      </c>
      <c r="O30" s="34">
        <f t="shared" si="4"/>
        <v>1853411432.5566983</v>
      </c>
      <c r="P30" s="34"/>
      <c r="Q30" s="38">
        <f t="shared" si="5"/>
        <v>1844144375.3939149</v>
      </c>
      <c r="R30" s="39">
        <f t="shared" si="6"/>
        <v>922072187.69695747</v>
      </c>
      <c r="S30" s="34">
        <f t="shared" si="7"/>
        <v>922072187.69695747</v>
      </c>
      <c r="T30" s="40">
        <v>9487889604</v>
      </c>
      <c r="U30" s="272">
        <f t="shared" si="8"/>
        <v>2.6988780705650929E-3</v>
      </c>
      <c r="V30" s="41">
        <f t="shared" si="9"/>
        <v>3.0007567333006295</v>
      </c>
    </row>
    <row r="31" spans="1:22" ht="15.75" customHeight="1">
      <c r="A31" s="31" t="s">
        <v>64</v>
      </c>
      <c r="B31" s="32">
        <v>2047</v>
      </c>
      <c r="C31" s="271">
        <f t="shared" si="10"/>
        <v>9.9400844557029789E-3</v>
      </c>
      <c r="D31" s="271">
        <f t="shared" si="18"/>
        <v>9.9400844557029789E-3</v>
      </c>
      <c r="E31" s="34"/>
      <c r="F31" s="34">
        <f t="shared" si="12"/>
        <v>423.69840192232994</v>
      </c>
      <c r="G31" s="34">
        <f t="shared" si="0"/>
        <v>4211597898.8543448</v>
      </c>
      <c r="H31" s="34">
        <f t="shared" si="1"/>
        <v>4190539909.3600731</v>
      </c>
      <c r="I31" s="35">
        <f t="shared" si="17"/>
        <v>0.8400000000000003</v>
      </c>
      <c r="J31" s="36">
        <f t="shared" si="13"/>
        <v>3520053523.8624625</v>
      </c>
      <c r="K31" s="34">
        <f t="shared" si="14"/>
        <v>22699228501.556614</v>
      </c>
      <c r="L31" s="37">
        <f t="shared" si="15"/>
        <v>22643224806.824921</v>
      </c>
      <c r="M31" s="34">
        <f t="shared" si="2"/>
        <v>1213127208.6408467</v>
      </c>
      <c r="N31" s="34">
        <f t="shared" si="3"/>
        <v>670486385.49761045</v>
      </c>
      <c r="O31" s="34">
        <f t="shared" si="4"/>
        <v>1883613594.1384573</v>
      </c>
      <c r="P31" s="34"/>
      <c r="Q31" s="38">
        <f t="shared" si="5"/>
        <v>1874195526.1677649</v>
      </c>
      <c r="R31" s="39">
        <f t="shared" si="6"/>
        <v>937097763.08388245</v>
      </c>
      <c r="S31" s="34">
        <f t="shared" si="7"/>
        <v>937097763.08388245</v>
      </c>
      <c r="T31" s="40">
        <v>9534545977</v>
      </c>
      <c r="U31" s="272">
        <f t="shared" si="8"/>
        <v>2.6988780705650929E-3</v>
      </c>
      <c r="V31" s="41">
        <f t="shared" si="9"/>
        <v>3.0347322036533551</v>
      </c>
    </row>
    <row r="32" spans="1:22" ht="15.75" customHeight="1">
      <c r="A32" s="31" t="s">
        <v>65</v>
      </c>
      <c r="B32" s="32">
        <v>2048</v>
      </c>
      <c r="C32" s="271">
        <f t="shared" si="10"/>
        <v>8.9460760101326819E-3</v>
      </c>
      <c r="D32" s="271">
        <f t="shared" si="18"/>
        <v>8.9460760101326819E-3</v>
      </c>
      <c r="E32" s="34"/>
      <c r="F32" s="34">
        <f t="shared" si="12"/>
        <v>493.18493983759203</v>
      </c>
      <c r="G32" s="34">
        <f t="shared" si="0"/>
        <v>4412069958.8398113</v>
      </c>
      <c r="H32" s="34">
        <f t="shared" si="1"/>
        <v>4390009609.0456123</v>
      </c>
      <c r="I32" s="35">
        <f t="shared" si="17"/>
        <v>0.89000000000000035</v>
      </c>
      <c r="J32" s="36">
        <f t="shared" si="13"/>
        <v>3907108552.0505967</v>
      </c>
      <c r="K32" s="34">
        <f t="shared" si="14"/>
        <v>26606337053.607212</v>
      </c>
      <c r="L32" s="37">
        <f t="shared" si="15"/>
        <v>26537058192.196083</v>
      </c>
      <c r="M32" s="34">
        <f t="shared" si="2"/>
        <v>1435580452.7526999</v>
      </c>
      <c r="N32" s="34">
        <f t="shared" si="3"/>
        <v>482901056.99501586</v>
      </c>
      <c r="O32" s="34">
        <f t="shared" si="4"/>
        <v>1918481509.7477157</v>
      </c>
      <c r="P32" s="34"/>
      <c r="Q32" s="38">
        <f t="shared" si="5"/>
        <v>1908889102.1989772</v>
      </c>
      <c r="R32" s="39">
        <f t="shared" si="6"/>
        <v>954444551.09948862</v>
      </c>
      <c r="S32" s="34">
        <f t="shared" si="7"/>
        <v>954444551.09948862</v>
      </c>
      <c r="T32" s="40">
        <v>9579536043</v>
      </c>
      <c r="U32" s="272">
        <f t="shared" si="8"/>
        <v>2.6988780705650929E-3</v>
      </c>
      <c r="V32" s="41">
        <f t="shared" si="9"/>
        <v>3.076392306255586</v>
      </c>
    </row>
    <row r="33" spans="1:22" ht="15.75" customHeight="1">
      <c r="A33" s="31" t="s">
        <v>66</v>
      </c>
      <c r="B33" s="32">
        <v>2049</v>
      </c>
      <c r="C33" s="271">
        <f t="shared" si="10"/>
        <v>8.0514684091194146E-3</v>
      </c>
      <c r="D33" s="271">
        <f t="shared" si="18"/>
        <v>8.0514684091194146E-3</v>
      </c>
      <c r="E33" s="34"/>
      <c r="F33" s="42">
        <v>500</v>
      </c>
      <c r="G33" s="34">
        <f t="shared" si="0"/>
        <v>4025734204.5597067</v>
      </c>
      <c r="H33" s="34">
        <f t="shared" si="1"/>
        <v>4005605533.5369081</v>
      </c>
      <c r="I33" s="35">
        <f t="shared" si="17"/>
        <v>0.94000000000000039</v>
      </c>
      <c r="J33" s="36">
        <f t="shared" si="13"/>
        <v>3765269201.5246954</v>
      </c>
      <c r="K33" s="34">
        <f t="shared" si="14"/>
        <v>30371606255.131908</v>
      </c>
      <c r="L33" s="37">
        <f t="shared" si="15"/>
        <v>30287176230.023922</v>
      </c>
      <c r="M33" s="34">
        <f t="shared" si="2"/>
        <v>1682449489.3852315</v>
      </c>
      <c r="N33" s="34">
        <f t="shared" si="3"/>
        <v>240336332.01221293</v>
      </c>
      <c r="O33" s="34">
        <f t="shared" si="4"/>
        <v>1922785821.3974445</v>
      </c>
      <c r="P33" s="34"/>
      <c r="Q33" s="38">
        <f t="shared" si="5"/>
        <v>1913171892.2904572</v>
      </c>
      <c r="R33" s="39">
        <f t="shared" si="6"/>
        <v>956585946.14522862</v>
      </c>
      <c r="S33" s="34">
        <f t="shared" si="7"/>
        <v>956585946.14522862</v>
      </c>
      <c r="T33" s="40">
        <v>9622824029</v>
      </c>
      <c r="U33" s="272">
        <f t="shared" si="8"/>
        <v>2.6988780705650929E-3</v>
      </c>
      <c r="V33" s="41">
        <f t="shared" si="9"/>
        <v>3.0694244024023543</v>
      </c>
    </row>
    <row r="34" spans="1:22" ht="15.75" customHeight="1">
      <c r="A34" s="31" t="s">
        <v>67</v>
      </c>
      <c r="B34" s="32">
        <v>2050</v>
      </c>
      <c r="C34" s="271">
        <f t="shared" si="10"/>
        <v>7.2463215682074733E-3</v>
      </c>
      <c r="D34" s="271">
        <f t="shared" si="18"/>
        <v>7.2463215682074733E-3</v>
      </c>
      <c r="E34" s="34"/>
      <c r="F34" s="42">
        <v>500</v>
      </c>
      <c r="G34" s="34">
        <f t="shared" si="0"/>
        <v>3623160784.1037364</v>
      </c>
      <c r="H34" s="34">
        <f t="shared" si="1"/>
        <v>3605044980.1832175</v>
      </c>
      <c r="I34" s="35">
        <f t="shared" si="17"/>
        <v>0.99000000000000044</v>
      </c>
      <c r="J34" s="36">
        <f t="shared" si="13"/>
        <v>3568994530.3813868</v>
      </c>
      <c r="K34" s="34">
        <f t="shared" si="14"/>
        <v>33940600785.513294</v>
      </c>
      <c r="L34" s="37">
        <f t="shared" si="15"/>
        <v>33839242675.025108</v>
      </c>
      <c r="M34" s="34">
        <f t="shared" si="2"/>
        <v>1920206972.9835167</v>
      </c>
      <c r="N34" s="34">
        <f t="shared" si="3"/>
        <v>36050449.801830605</v>
      </c>
      <c r="O34" s="34">
        <f t="shared" si="4"/>
        <v>1956257422.7853472</v>
      </c>
      <c r="P34" s="34"/>
      <c r="Q34" s="38">
        <f t="shared" si="5"/>
        <v>1946476135.6714206</v>
      </c>
      <c r="R34" s="39">
        <f t="shared" si="6"/>
        <v>973238067.83571029</v>
      </c>
      <c r="S34" s="34">
        <f t="shared" si="7"/>
        <v>973238067.83571029</v>
      </c>
      <c r="T34" s="40">
        <v>9664378587</v>
      </c>
      <c r="U34" s="272">
        <f t="shared" si="8"/>
        <v>2.6988780705650929E-3</v>
      </c>
      <c r="V34" s="41">
        <f t="shared" si="9"/>
        <v>3.1094289869980218</v>
      </c>
    </row>
    <row r="35" spans="1:22" ht="15.75" customHeight="1">
      <c r="A35" s="31" t="s">
        <v>68</v>
      </c>
      <c r="B35" s="32">
        <v>2051</v>
      </c>
      <c r="C35" s="271">
        <f t="shared" si="10"/>
        <v>6.5216894113867257E-3</v>
      </c>
      <c r="D35" s="271">
        <f t="shared" si="18"/>
        <v>6.5216894113867257E-3</v>
      </c>
      <c r="E35" s="34"/>
      <c r="F35" s="42">
        <v>500</v>
      </c>
      <c r="G35" s="34">
        <f t="shared" si="0"/>
        <v>3260844705.6933627</v>
      </c>
      <c r="H35" s="34">
        <f t="shared" si="1"/>
        <v>3244540482.164896</v>
      </c>
      <c r="I35" s="43">
        <v>1</v>
      </c>
      <c r="J35" s="36">
        <f t="shared" si="13"/>
        <v>3244540482.164896</v>
      </c>
      <c r="K35" s="34">
        <f t="shared" si="14"/>
        <v>37185141267.678192</v>
      </c>
      <c r="L35" s="37">
        <f t="shared" si="15"/>
        <v>37065241265.611412</v>
      </c>
      <c r="M35" s="34">
        <f t="shared" si="2"/>
        <v>2145407985.5965917</v>
      </c>
      <c r="N35" s="34">
        <f t="shared" si="3"/>
        <v>0</v>
      </c>
      <c r="O35" s="34">
        <f t="shared" si="4"/>
        <v>2145407985.5965917</v>
      </c>
      <c r="P35" s="34"/>
      <c r="Q35" s="38">
        <f t="shared" si="5"/>
        <v>2134680945.6686087</v>
      </c>
      <c r="R35" s="39">
        <f t="shared" si="6"/>
        <v>1067340472.8343043</v>
      </c>
      <c r="S35" s="34">
        <f t="shared" si="7"/>
        <v>1067340472.8343043</v>
      </c>
      <c r="T35" s="40">
        <v>9704192304</v>
      </c>
      <c r="U35" s="272">
        <f t="shared" si="8"/>
        <v>2.6988780705650929E-3</v>
      </c>
      <c r="V35" s="41">
        <f t="shared" si="9"/>
        <v>3.3960890784818787</v>
      </c>
    </row>
    <row r="36" spans="1:22" ht="15.75" customHeight="1">
      <c r="A36" s="31" t="s">
        <v>69</v>
      </c>
      <c r="B36" s="32">
        <v>2052</v>
      </c>
      <c r="C36" s="271">
        <f t="shared" si="10"/>
        <v>5.8695204702480536E-3</v>
      </c>
      <c r="D36" s="271">
        <f t="shared" si="18"/>
        <v>5.8695204702480536E-3</v>
      </c>
      <c r="E36" s="34"/>
      <c r="F36" s="42">
        <v>500</v>
      </c>
      <c r="G36" s="34">
        <f t="shared" si="0"/>
        <v>2934760235.1240268</v>
      </c>
      <c r="H36" s="34">
        <f t="shared" si="1"/>
        <v>2920086433.9484067</v>
      </c>
      <c r="I36" s="43">
        <v>1</v>
      </c>
      <c r="J36" s="36">
        <f t="shared" si="13"/>
        <v>2920086433.9484067</v>
      </c>
      <c r="K36" s="34">
        <f t="shared" si="14"/>
        <v>40105227701.626602</v>
      </c>
      <c r="L36" s="37">
        <f t="shared" si="15"/>
        <v>39965335035.710045</v>
      </c>
      <c r="M36" s="34">
        <f t="shared" si="2"/>
        <v>2349936296.2397633</v>
      </c>
      <c r="N36" s="34">
        <f t="shared" si="3"/>
        <v>0</v>
      </c>
      <c r="O36" s="34">
        <f t="shared" si="4"/>
        <v>2349936296.2397633</v>
      </c>
      <c r="P36" s="34"/>
      <c r="Q36" s="38">
        <f t="shared" si="5"/>
        <v>2338186614.7585645</v>
      </c>
      <c r="R36" s="39">
        <f t="shared" si="6"/>
        <v>1169093307.3792822</v>
      </c>
      <c r="S36" s="34">
        <f t="shared" si="7"/>
        <v>1169093307.3792822</v>
      </c>
      <c r="T36" s="40">
        <v>9742264515</v>
      </c>
      <c r="U36" s="272">
        <f t="shared" si="8"/>
        <v>2.6988780705650929E-3</v>
      </c>
      <c r="V36" s="41">
        <f t="shared" si="9"/>
        <v>3.7053116910353894</v>
      </c>
    </row>
    <row r="37" spans="1:22" ht="15.75" customHeight="1">
      <c r="A37" s="31" t="s">
        <v>70</v>
      </c>
      <c r="B37" s="32">
        <v>2053</v>
      </c>
      <c r="C37" s="271">
        <f t="shared" si="10"/>
        <v>5.2825684232232486E-3</v>
      </c>
      <c r="D37" s="271">
        <f t="shared" si="18"/>
        <v>5.2825684232232486E-3</v>
      </c>
      <c r="E37" s="34"/>
      <c r="F37" s="42">
        <v>500</v>
      </c>
      <c r="G37" s="34">
        <f t="shared" si="0"/>
        <v>2641284211.6116242</v>
      </c>
      <c r="H37" s="34">
        <f t="shared" si="1"/>
        <v>2628077790.553566</v>
      </c>
      <c r="I37" s="43">
        <v>1</v>
      </c>
      <c r="J37" s="36">
        <f t="shared" si="13"/>
        <v>2628077790.553566</v>
      </c>
      <c r="K37" s="34">
        <f t="shared" si="14"/>
        <v>42733305492.180168</v>
      </c>
      <c r="L37" s="37">
        <f t="shared" si="15"/>
        <v>42572116119.850479</v>
      </c>
      <c r="M37" s="34">
        <f t="shared" si="2"/>
        <v>2533802241.2640166</v>
      </c>
      <c r="N37" s="34">
        <f t="shared" si="3"/>
        <v>0</v>
      </c>
      <c r="O37" s="34">
        <f t="shared" si="4"/>
        <v>2533802241.2640166</v>
      </c>
      <c r="P37" s="34"/>
      <c r="Q37" s="38">
        <f t="shared" si="5"/>
        <v>2521133230.0576963</v>
      </c>
      <c r="R37" s="39">
        <f t="shared" si="6"/>
        <v>1260566615.0288482</v>
      </c>
      <c r="S37" s="34">
        <f t="shared" si="7"/>
        <v>1260566615.0288482</v>
      </c>
      <c r="T37" s="40">
        <v>9778614614</v>
      </c>
      <c r="U37" s="272">
        <f t="shared" si="8"/>
        <v>2.6988780705650929E-3</v>
      </c>
      <c r="V37" s="41">
        <f t="shared" si="9"/>
        <v>3.9803747267198317</v>
      </c>
    </row>
    <row r="38" spans="1:22" ht="15.75" customHeight="1">
      <c r="A38" s="31" t="s">
        <v>71</v>
      </c>
      <c r="B38" s="32">
        <v>2054</v>
      </c>
      <c r="C38" s="271">
        <f t="shared" si="10"/>
        <v>4.7543115809009235E-3</v>
      </c>
      <c r="D38" s="271">
        <f t="shared" si="18"/>
        <v>4.7543115809009235E-3</v>
      </c>
      <c r="E38" s="34"/>
      <c r="F38" s="42">
        <v>500</v>
      </c>
      <c r="G38" s="34">
        <f t="shared" si="0"/>
        <v>2377155790.4504619</v>
      </c>
      <c r="H38" s="34">
        <f t="shared" si="1"/>
        <v>2365270011.4982095</v>
      </c>
      <c r="I38" s="43">
        <v>1</v>
      </c>
      <c r="J38" s="36">
        <f t="shared" si="13"/>
        <v>2365270011.4982095</v>
      </c>
      <c r="K38" s="34">
        <f t="shared" si="14"/>
        <v>45098575503.678375</v>
      </c>
      <c r="L38" s="37">
        <f t="shared" si="15"/>
        <v>44914917438.283012</v>
      </c>
      <c r="M38" s="34">
        <f t="shared" si="2"/>
        <v>2699072161.9985204</v>
      </c>
      <c r="N38" s="34">
        <f t="shared" si="3"/>
        <v>0</v>
      </c>
      <c r="O38" s="34">
        <f t="shared" si="4"/>
        <v>2699072161.9985204</v>
      </c>
      <c r="P38" s="34"/>
      <c r="Q38" s="38">
        <f t="shared" si="5"/>
        <v>2685576801.1885276</v>
      </c>
      <c r="R38" s="39">
        <f t="shared" si="6"/>
        <v>1342788400.5942638</v>
      </c>
      <c r="S38" s="34">
        <f t="shared" si="7"/>
        <v>1342788400.5942638</v>
      </c>
      <c r="T38" s="40">
        <v>9813251659</v>
      </c>
      <c r="U38" s="272">
        <f t="shared" si="8"/>
        <v>2.6988780705650929E-3</v>
      </c>
      <c r="V38" s="41">
        <f t="shared" si="9"/>
        <v>4.2250332789732026</v>
      </c>
    </row>
    <row r="39" spans="1:22" ht="15.75" customHeight="1">
      <c r="A39" s="31" t="s">
        <v>72</v>
      </c>
      <c r="B39" s="32">
        <v>2055</v>
      </c>
      <c r="C39" s="271">
        <f t="shared" si="10"/>
        <v>4.2788804228108311E-3</v>
      </c>
      <c r="D39" s="271">
        <f t="shared" si="18"/>
        <v>4.2788804228108311E-3</v>
      </c>
      <c r="E39" s="34"/>
      <c r="F39" s="42">
        <v>500</v>
      </c>
      <c r="G39" s="34">
        <f t="shared" si="0"/>
        <v>2139440211.4054153</v>
      </c>
      <c r="H39" s="34">
        <f t="shared" si="1"/>
        <v>2128743010.3483882</v>
      </c>
      <c r="I39" s="43">
        <v>1</v>
      </c>
      <c r="J39" s="36">
        <f t="shared" si="13"/>
        <v>2128743010.3483882</v>
      </c>
      <c r="K39" s="34">
        <f t="shared" si="14"/>
        <v>47227318514.026764</v>
      </c>
      <c r="L39" s="37">
        <f t="shared" si="15"/>
        <v>47020138618.407089</v>
      </c>
      <c r="M39" s="34">
        <f t="shared" si="2"/>
        <v>2847605765.5871429</v>
      </c>
      <c r="N39" s="34">
        <f t="shared" si="3"/>
        <v>0</v>
      </c>
      <c r="O39" s="34">
        <f t="shared" si="4"/>
        <v>2847605765.5871429</v>
      </c>
      <c r="P39" s="34"/>
      <c r="Q39" s="38">
        <f t="shared" si="5"/>
        <v>2833367736.7592072</v>
      </c>
      <c r="R39" s="39">
        <f t="shared" si="6"/>
        <v>1416683868.3796036</v>
      </c>
      <c r="S39" s="34">
        <f t="shared" si="7"/>
        <v>1416683868.3796036</v>
      </c>
      <c r="T39" s="40">
        <v>9846237570</v>
      </c>
      <c r="U39" s="272">
        <f t="shared" si="8"/>
        <v>2.6988780705650929E-3</v>
      </c>
      <c r="V39" s="41">
        <f t="shared" si="9"/>
        <v>4.4426093662284956</v>
      </c>
    </row>
    <row r="40" spans="1:22" ht="15.75" customHeight="1">
      <c r="A40" s="31" t="s">
        <v>73</v>
      </c>
      <c r="B40" s="32">
        <v>2056</v>
      </c>
      <c r="C40" s="271">
        <f t="shared" si="10"/>
        <v>3.850992380529748E-3</v>
      </c>
      <c r="D40" s="271">
        <f t="shared" si="18"/>
        <v>3.850992380529748E-3</v>
      </c>
      <c r="E40" s="34"/>
      <c r="F40" s="42">
        <v>500</v>
      </c>
      <c r="G40" s="34">
        <f t="shared" si="0"/>
        <v>1925496190.264874</v>
      </c>
      <c r="H40" s="34">
        <f t="shared" si="1"/>
        <v>1915868709.3135495</v>
      </c>
      <c r="I40" s="43">
        <v>1</v>
      </c>
      <c r="J40" s="36">
        <f t="shared" si="13"/>
        <v>1915868709.3135495</v>
      </c>
      <c r="K40" s="34">
        <f t="shared" si="14"/>
        <v>49143187223.340317</v>
      </c>
      <c r="L40" s="37">
        <f t="shared" si="15"/>
        <v>48911539324.056786</v>
      </c>
      <c r="M40" s="34">
        <f t="shared" si="2"/>
        <v>2981076788.4070096</v>
      </c>
      <c r="N40" s="34">
        <f t="shared" si="3"/>
        <v>0</v>
      </c>
      <c r="O40" s="34">
        <f t="shared" si="4"/>
        <v>2981076788.4070096</v>
      </c>
      <c r="P40" s="34">
        <f>O40*0.2%</f>
        <v>5962153.5768140191</v>
      </c>
      <c r="Q40" s="38">
        <f t="shared" si="5"/>
        <v>2960239061.6560445</v>
      </c>
      <c r="R40" s="39">
        <f t="shared" si="6"/>
        <v>1480119530.8280222</v>
      </c>
      <c r="S40" s="34">
        <f t="shared" si="7"/>
        <v>1480119530.8280222</v>
      </c>
      <c r="T40" s="40">
        <v>9877680392</v>
      </c>
      <c r="U40" s="272">
        <f t="shared" si="8"/>
        <v>2.6988780705650929E-3</v>
      </c>
      <c r="V40" s="41">
        <f t="shared" si="9"/>
        <v>4.6267635874664839</v>
      </c>
    </row>
    <row r="41" spans="1:22" ht="15.75" customHeight="1">
      <c r="A41" s="31" t="s">
        <v>74</v>
      </c>
      <c r="B41" s="32">
        <v>2057</v>
      </c>
      <c r="C41" s="271">
        <f t="shared" si="10"/>
        <v>3.4658931424767733E-3</v>
      </c>
      <c r="D41" s="271">
        <f t="shared" si="18"/>
        <v>3.4658931424767733E-3</v>
      </c>
      <c r="E41" s="34"/>
      <c r="F41" s="42">
        <v>500</v>
      </c>
      <c r="G41" s="34">
        <f t="shared" si="0"/>
        <v>1732946571.2383866</v>
      </c>
      <c r="H41" s="34">
        <f t="shared" si="1"/>
        <v>1724281838.3821948</v>
      </c>
      <c r="I41" s="43">
        <v>1</v>
      </c>
      <c r="J41" s="36">
        <f t="shared" si="13"/>
        <v>1724281838.3821948</v>
      </c>
      <c r="K41" s="34">
        <f t="shared" si="14"/>
        <v>50873431215.299324</v>
      </c>
      <c r="L41" s="37">
        <f t="shared" si="15"/>
        <v>50616462424.357788</v>
      </c>
      <c r="M41" s="34">
        <f t="shared" si="2"/>
        <v>3100991593.1452003</v>
      </c>
      <c r="N41" s="34">
        <f t="shared" si="3"/>
        <v>0</v>
      </c>
      <c r="O41" s="34">
        <f t="shared" si="4"/>
        <v>3100991593.1452003</v>
      </c>
      <c r="P41" s="34">
        <f>O41*0.4%</f>
        <v>12403966.372580802</v>
      </c>
      <c r="Q41" s="38">
        <f t="shared" si="5"/>
        <v>3073144688.6387563</v>
      </c>
      <c r="R41" s="39">
        <f t="shared" si="6"/>
        <v>1536572344.3193781</v>
      </c>
      <c r="S41" s="34">
        <f t="shared" si="7"/>
        <v>1536572344.3193781</v>
      </c>
      <c r="T41" s="40">
        <v>9907637193</v>
      </c>
      <c r="U41" s="272">
        <f t="shared" si="8"/>
        <v>2.6988780705650929E-3</v>
      </c>
      <c r="V41" s="41">
        <f t="shared" si="9"/>
        <v>4.7887085625140262</v>
      </c>
    </row>
    <row r="42" spans="1:22" ht="15.75" customHeight="1">
      <c r="A42" s="31" t="s">
        <v>75</v>
      </c>
      <c r="B42" s="32">
        <v>2058</v>
      </c>
      <c r="C42" s="271">
        <f t="shared" si="10"/>
        <v>3.1193038282290959E-3</v>
      </c>
      <c r="D42" s="271">
        <f t="shared" si="18"/>
        <v>3.1193038282290959E-3</v>
      </c>
      <c r="E42" s="34"/>
      <c r="F42" s="42">
        <v>500</v>
      </c>
      <c r="G42" s="34">
        <f t="shared" si="0"/>
        <v>1559651914.114548</v>
      </c>
      <c r="H42" s="34">
        <f t="shared" si="1"/>
        <v>1551853654.5439751</v>
      </c>
      <c r="I42" s="43">
        <v>1</v>
      </c>
      <c r="J42" s="36">
        <f t="shared" si="13"/>
        <v>1551853654.5439751</v>
      </c>
      <c r="K42" s="34">
        <f t="shared" si="14"/>
        <v>52437688836.215881</v>
      </c>
      <c r="L42" s="37">
        <f t="shared" si="15"/>
        <v>52154629685.251709</v>
      </c>
      <c r="M42" s="34">
        <f t="shared" si="2"/>
        <v>3209083717.7042837</v>
      </c>
      <c r="N42" s="34">
        <f t="shared" si="3"/>
        <v>0</v>
      </c>
      <c r="O42" s="34">
        <f t="shared" si="4"/>
        <v>3209083717.7042837</v>
      </c>
      <c r="P42" s="34">
        <f>O42*0.6%</f>
        <v>19254502.306225702</v>
      </c>
      <c r="Q42" s="38">
        <f t="shared" si="5"/>
        <v>3173880069.3210678</v>
      </c>
      <c r="R42" s="39">
        <f t="shared" si="6"/>
        <v>1586940034.6605339</v>
      </c>
      <c r="S42" s="34">
        <f t="shared" si="7"/>
        <v>1586940034.6605339</v>
      </c>
      <c r="T42" s="40">
        <v>9936164379</v>
      </c>
      <c r="U42" s="272">
        <f t="shared" si="8"/>
        <v>2.6988780705650929E-3</v>
      </c>
      <c r="V42" s="41">
        <f t="shared" si="9"/>
        <v>4.9314795698309775</v>
      </c>
    </row>
    <row r="43" spans="1:22" ht="15.75" customHeight="1">
      <c r="A43" s="31" t="s">
        <v>76</v>
      </c>
      <c r="B43" s="32">
        <v>2059</v>
      </c>
      <c r="C43" s="271">
        <f t="shared" si="10"/>
        <v>2.8073734454061865E-3</v>
      </c>
      <c r="D43" s="271">
        <f t="shared" si="18"/>
        <v>2.8073734454061865E-3</v>
      </c>
      <c r="E43" s="34"/>
      <c r="F43" s="42">
        <v>500</v>
      </c>
      <c r="G43" s="34">
        <f t="shared" si="0"/>
        <v>1403686722.7030931</v>
      </c>
      <c r="H43" s="34">
        <f t="shared" si="1"/>
        <v>1396668289.0895777</v>
      </c>
      <c r="I43" s="43">
        <v>1</v>
      </c>
      <c r="J43" s="36">
        <f t="shared" si="13"/>
        <v>1396668289.0895777</v>
      </c>
      <c r="K43" s="34">
        <f t="shared" si="14"/>
        <v>53853611627.611687</v>
      </c>
      <c r="L43" s="37">
        <f t="shared" si="15"/>
        <v>53543767200.409195</v>
      </c>
      <c r="M43" s="34">
        <f t="shared" si="2"/>
        <v>3306603522.0449581</v>
      </c>
      <c r="N43" s="34">
        <f t="shared" si="3"/>
        <v>0</v>
      </c>
      <c r="O43" s="34">
        <f t="shared" si="4"/>
        <v>3306603522.0449581</v>
      </c>
      <c r="P43" s="34">
        <f>O43*0.8%</f>
        <v>26452828.176359665</v>
      </c>
      <c r="Q43" s="38">
        <f t="shared" si="5"/>
        <v>3263749940.3992553</v>
      </c>
      <c r="R43" s="39">
        <f t="shared" si="6"/>
        <v>1631874970.1996276</v>
      </c>
      <c r="S43" s="34">
        <f t="shared" si="7"/>
        <v>1631874970.1996276</v>
      </c>
      <c r="T43" s="40">
        <v>9963337082</v>
      </c>
      <c r="U43" s="272">
        <f t="shared" si="8"/>
        <v>2.6988780705650929E-3</v>
      </c>
      <c r="V43" s="41">
        <f t="shared" si="9"/>
        <v>5.0572863769084409</v>
      </c>
    </row>
    <row r="44" spans="1:22" ht="15.75" customHeight="1">
      <c r="A44" s="31" t="s">
        <v>77</v>
      </c>
      <c r="B44" s="32">
        <v>2060</v>
      </c>
      <c r="C44" s="271">
        <f t="shared" si="10"/>
        <v>2.5266361008655677E-3</v>
      </c>
      <c r="D44" s="271">
        <f t="shared" si="18"/>
        <v>2.5266361008655677E-3</v>
      </c>
      <c r="E44" s="34"/>
      <c r="F44" s="42">
        <v>500</v>
      </c>
      <c r="G44" s="34">
        <f t="shared" si="0"/>
        <v>1263318050.4327838</v>
      </c>
      <c r="H44" s="34">
        <f t="shared" si="1"/>
        <v>1257001460.18062</v>
      </c>
      <c r="I44" s="43">
        <v>1</v>
      </c>
      <c r="J44" s="36">
        <f t="shared" si="13"/>
        <v>1257001460.18062</v>
      </c>
      <c r="K44" s="34">
        <f t="shared" si="14"/>
        <v>55137065915.968666</v>
      </c>
      <c r="L44" s="37">
        <f t="shared" si="15"/>
        <v>54799807878.021797</v>
      </c>
      <c r="M44" s="34">
        <f t="shared" si="2"/>
        <v>3394674840.5059428</v>
      </c>
      <c r="N44" s="34">
        <f t="shared" si="3"/>
        <v>0</v>
      </c>
      <c r="O44" s="34">
        <f t="shared" si="4"/>
        <v>3394674840.5059428</v>
      </c>
      <c r="P44" s="34">
        <f>O44*1%</f>
        <v>33946748.405059427</v>
      </c>
      <c r="Q44" s="38">
        <f t="shared" si="5"/>
        <v>3343924451.640379</v>
      </c>
      <c r="R44" s="39">
        <f t="shared" si="6"/>
        <v>1671962225.8201895</v>
      </c>
      <c r="S44" s="34">
        <f t="shared" si="7"/>
        <v>1671962225.8201895</v>
      </c>
      <c r="T44" s="40">
        <v>9989232292</v>
      </c>
      <c r="U44" s="272">
        <f t="shared" si="8"/>
        <v>2.6988780705650929E-3</v>
      </c>
      <c r="V44" s="41">
        <f t="shared" si="9"/>
        <v>5.1680872655939236</v>
      </c>
    </row>
    <row r="45" spans="1:22" ht="15.75" customHeight="1">
      <c r="A45" s="31" t="s">
        <v>78</v>
      </c>
      <c r="B45" s="32">
        <v>2061</v>
      </c>
      <c r="C45" s="271">
        <f t="shared" si="10"/>
        <v>2.2739724907790112E-3</v>
      </c>
      <c r="D45" s="271">
        <f t="shared" si="18"/>
        <v>2.2739724907790112E-3</v>
      </c>
      <c r="E45" s="34"/>
      <c r="F45" s="42">
        <v>500</v>
      </c>
      <c r="G45" s="34">
        <f t="shared" si="0"/>
        <v>1136986245.3895056</v>
      </c>
      <c r="H45" s="34">
        <f t="shared" si="1"/>
        <v>1131301314.1625581</v>
      </c>
      <c r="I45" s="43">
        <v>1</v>
      </c>
      <c r="J45" s="36">
        <f t="shared" si="13"/>
        <v>1131301314.1625581</v>
      </c>
      <c r="K45" s="34">
        <f t="shared" si="14"/>
        <v>56302313978.536285</v>
      </c>
      <c r="L45" s="37">
        <f t="shared" si="15"/>
        <v>55937073412.619125</v>
      </c>
      <c r="M45" s="34">
        <f t="shared" si="2"/>
        <v>3474307819.4665818</v>
      </c>
      <c r="N45" s="34">
        <f t="shared" si="3"/>
        <v>0</v>
      </c>
      <c r="O45" s="34">
        <f t="shared" si="4"/>
        <v>3474307819.4665818</v>
      </c>
      <c r="P45" s="34">
        <f>O45*1.2%</f>
        <v>41691693.833598986</v>
      </c>
      <c r="Q45" s="38">
        <f t="shared" si="5"/>
        <v>3415453045.004818</v>
      </c>
      <c r="R45" s="39">
        <f t="shared" si="6"/>
        <v>1707726522.502409</v>
      </c>
      <c r="S45" s="34">
        <f t="shared" si="7"/>
        <v>1707726522.502409</v>
      </c>
      <c r="T45" s="40">
        <v>10013916213</v>
      </c>
      <c r="U45" s="272">
        <f t="shared" si="8"/>
        <v>2.6988780705650929E-3</v>
      </c>
      <c r="V45" s="41">
        <f t="shared" si="9"/>
        <v>5.2656241838115267</v>
      </c>
    </row>
    <row r="46" spans="1:22" ht="15.75" customHeight="1">
      <c r="A46" s="31" t="s">
        <v>79</v>
      </c>
      <c r="B46" s="32">
        <v>2062</v>
      </c>
      <c r="C46" s="271">
        <f t="shared" si="10"/>
        <v>2.0465752417011102E-3</v>
      </c>
      <c r="D46" s="271">
        <f t="shared" si="18"/>
        <v>2.0465752417011102E-3</v>
      </c>
      <c r="E46" s="34"/>
      <c r="F46" s="42">
        <v>500</v>
      </c>
      <c r="G46" s="34">
        <f t="shared" si="0"/>
        <v>1023287620.8505551</v>
      </c>
      <c r="H46" s="34">
        <f t="shared" si="1"/>
        <v>1018171182.7463022</v>
      </c>
      <c r="I46" s="43">
        <v>1</v>
      </c>
      <c r="J46" s="36">
        <f t="shared" si="13"/>
        <v>1018171182.7463022</v>
      </c>
      <c r="K46" s="34">
        <f t="shared" si="14"/>
        <v>57362176855.11618</v>
      </c>
      <c r="L46" s="37">
        <f t="shared" si="15"/>
        <v>56968437821.05442</v>
      </c>
      <c r="M46" s="34">
        <f t="shared" si="2"/>
        <v>3546410454.3600526</v>
      </c>
      <c r="N46" s="34">
        <f t="shared" si="3"/>
        <v>0</v>
      </c>
      <c r="O46" s="34">
        <f t="shared" si="4"/>
        <v>3546410454.3600526</v>
      </c>
      <c r="P46" s="34">
        <f>O46*1.4%</f>
        <v>49649746.361040734</v>
      </c>
      <c r="Q46" s="38">
        <f t="shared" si="5"/>
        <v>3479276904.4590168</v>
      </c>
      <c r="R46" s="39">
        <f t="shared" si="6"/>
        <v>1739638452.2295084</v>
      </c>
      <c r="S46" s="34">
        <f t="shared" si="7"/>
        <v>1739638452.2295084</v>
      </c>
      <c r="T46" s="40">
        <v>10037466600</v>
      </c>
      <c r="U46" s="272">
        <f t="shared" si="8"/>
        <v>2.6988780705650929E-3</v>
      </c>
      <c r="V46" s="41">
        <f t="shared" si="9"/>
        <v>5.3514364798569405</v>
      </c>
    </row>
    <row r="47" spans="1:22" ht="15.75" customHeight="1">
      <c r="A47" s="31" t="s">
        <v>80</v>
      </c>
      <c r="B47" s="32">
        <v>2063</v>
      </c>
      <c r="C47" s="271">
        <f t="shared" si="10"/>
        <v>1.8419177175309992E-3</v>
      </c>
      <c r="D47" s="271">
        <f t="shared" si="18"/>
        <v>1.8419177175309992E-3</v>
      </c>
      <c r="E47" s="34"/>
      <c r="F47" s="42">
        <v>500</v>
      </c>
      <c r="G47" s="34">
        <f t="shared" si="0"/>
        <v>920958858.76549971</v>
      </c>
      <c r="H47" s="34">
        <f t="shared" si="1"/>
        <v>916354064.47167218</v>
      </c>
      <c r="I47" s="43">
        <v>1</v>
      </c>
      <c r="J47" s="36">
        <f t="shared" si="13"/>
        <v>916354064.47167218</v>
      </c>
      <c r="K47" s="34">
        <f t="shared" si="14"/>
        <v>58328180665.948891</v>
      </c>
      <c r="L47" s="37">
        <f t="shared" si="15"/>
        <v>57905474411.07119</v>
      </c>
      <c r="M47" s="34">
        <f t="shared" si="2"/>
        <v>3611798957.8548503</v>
      </c>
      <c r="N47" s="34">
        <f t="shared" si="3"/>
        <v>0</v>
      </c>
      <c r="O47" s="34">
        <f t="shared" si="4"/>
        <v>3611798957.8548503</v>
      </c>
      <c r="P47" s="34">
        <f>O47*1.6%</f>
        <v>57788783.325677603</v>
      </c>
      <c r="Q47" s="38">
        <f t="shared" si="5"/>
        <v>3536240123.656527</v>
      </c>
      <c r="R47" s="39">
        <f t="shared" si="6"/>
        <v>1768120061.8282635</v>
      </c>
      <c r="S47" s="34">
        <f t="shared" si="7"/>
        <v>1768120061.8282635</v>
      </c>
      <c r="T47" s="40">
        <v>10059950035</v>
      </c>
      <c r="U47" s="272">
        <f t="shared" si="8"/>
        <v>2.6988780705650929E-3</v>
      </c>
      <c r="V47" s="41">
        <f t="shared" si="9"/>
        <v>5.4268949837004001</v>
      </c>
    </row>
    <row r="48" spans="1:22" ht="15.75" customHeight="1">
      <c r="A48" s="31" t="s">
        <v>81</v>
      </c>
      <c r="B48" s="32">
        <v>2064</v>
      </c>
      <c r="C48" s="271">
        <f t="shared" si="10"/>
        <v>1.6577259457778994E-3</v>
      </c>
      <c r="D48" s="271">
        <f t="shared" si="18"/>
        <v>1.6577259457778994E-3</v>
      </c>
      <c r="E48" s="34"/>
      <c r="F48" s="42">
        <v>500</v>
      </c>
      <c r="G48" s="34">
        <f t="shared" si="0"/>
        <v>828862972.88894975</v>
      </c>
      <c r="H48" s="34">
        <f t="shared" si="1"/>
        <v>824718658.02450502</v>
      </c>
      <c r="I48" s="43">
        <v>1</v>
      </c>
      <c r="J48" s="36">
        <f t="shared" si="13"/>
        <v>824718658.02450502</v>
      </c>
      <c r="K48" s="34">
        <f t="shared" si="14"/>
        <v>59210688107.299072</v>
      </c>
      <c r="L48" s="37">
        <f t="shared" si="15"/>
        <v>58758587861.495163</v>
      </c>
      <c r="M48" s="34">
        <f t="shared" si="2"/>
        <v>3671207077.6619134</v>
      </c>
      <c r="N48" s="34">
        <f t="shared" si="3"/>
        <v>0</v>
      </c>
      <c r="O48" s="34">
        <f t="shared" si="4"/>
        <v>3671207077.6619134</v>
      </c>
      <c r="P48" s="34">
        <f>O48*1.8%</f>
        <v>66081727.397914447</v>
      </c>
      <c r="Q48" s="38">
        <f t="shared" si="5"/>
        <v>3587099723.5126791</v>
      </c>
      <c r="R48" s="39">
        <f t="shared" si="6"/>
        <v>1793549861.7563396</v>
      </c>
      <c r="S48" s="34">
        <f t="shared" si="7"/>
        <v>1793549861.7563396</v>
      </c>
      <c r="T48" s="40">
        <v>10081402737</v>
      </c>
      <c r="U48" s="272">
        <f t="shared" si="8"/>
        <v>2.6988780705650929E-3</v>
      </c>
      <c r="V48" s="41">
        <f t="shared" si="9"/>
        <v>5.4932324862316939</v>
      </c>
    </row>
    <row r="49" spans="1:22" ht="15.75" customHeight="1">
      <c r="A49" s="31" t="s">
        <v>82</v>
      </c>
      <c r="B49" s="32">
        <v>2065</v>
      </c>
      <c r="C49" s="271">
        <f t="shared" si="10"/>
        <v>1.4919533512001094E-3</v>
      </c>
      <c r="D49" s="271">
        <f t="shared" si="18"/>
        <v>1.4919533512001094E-3</v>
      </c>
      <c r="E49" s="34"/>
      <c r="F49" s="42">
        <v>500</v>
      </c>
      <c r="G49" s="34">
        <f t="shared" si="0"/>
        <v>745976675.60005474</v>
      </c>
      <c r="H49" s="34">
        <f t="shared" si="1"/>
        <v>742246792.22205448</v>
      </c>
      <c r="I49" s="43">
        <v>1</v>
      </c>
      <c r="J49" s="36">
        <f t="shared" si="13"/>
        <v>742246792.22205448</v>
      </c>
      <c r="K49" s="34">
        <f t="shared" si="14"/>
        <v>60019016626.919037</v>
      </c>
      <c r="L49" s="37">
        <f t="shared" si="15"/>
        <v>59537132922.924576</v>
      </c>
      <c r="M49" s="34">
        <f t="shared" si="2"/>
        <v>3725294470.4187932</v>
      </c>
      <c r="N49" s="34">
        <f t="shared" si="3"/>
        <v>0</v>
      </c>
      <c r="O49" s="34">
        <f t="shared" si="4"/>
        <v>3725294470.4187932</v>
      </c>
      <c r="P49" s="34">
        <f>O49*2%</f>
        <v>74505889.408375859</v>
      </c>
      <c r="Q49" s="38">
        <f t="shared" si="5"/>
        <v>3632534638.1053653</v>
      </c>
      <c r="R49" s="39">
        <f t="shared" si="6"/>
        <v>1816267319.0526826</v>
      </c>
      <c r="S49" s="34">
        <f t="shared" si="7"/>
        <v>1816267319.0526826</v>
      </c>
      <c r="T49" s="40">
        <v>10101849561</v>
      </c>
      <c r="U49" s="272">
        <f t="shared" si="8"/>
        <v>2.6988780705650929E-3</v>
      </c>
      <c r="V49" s="41">
        <f t="shared" si="9"/>
        <v>5.5515513515144734</v>
      </c>
    </row>
    <row r="50" spans="1:22" ht="15.75" customHeight="1">
      <c r="A50" s="31" t="s">
        <v>83</v>
      </c>
      <c r="B50" s="32">
        <v>2066</v>
      </c>
      <c r="C50" s="271">
        <f t="shared" si="10"/>
        <v>1.3427580160800985E-3</v>
      </c>
      <c r="D50" s="271">
        <f t="shared" si="18"/>
        <v>1.3427580160800985E-3</v>
      </c>
      <c r="E50" s="34"/>
      <c r="F50" s="42">
        <v>500</v>
      </c>
      <c r="G50" s="34">
        <f t="shared" si="0"/>
        <v>671379008.0400492</v>
      </c>
      <c r="H50" s="34">
        <f t="shared" si="1"/>
        <v>668022112.99984896</v>
      </c>
      <c r="I50" s="43">
        <v>1</v>
      </c>
      <c r="J50" s="36">
        <f t="shared" si="13"/>
        <v>668022112.99984896</v>
      </c>
      <c r="K50" s="34">
        <f t="shared" si="14"/>
        <v>60761544629.327263</v>
      </c>
      <c r="L50" s="37">
        <f t="shared" si="15"/>
        <v>60249521094.87014</v>
      </c>
      <c r="M50" s="34">
        <f t="shared" si="2"/>
        <v>3774654227.3134179</v>
      </c>
      <c r="N50" s="34">
        <f t="shared" si="3"/>
        <v>0</v>
      </c>
      <c r="O50" s="34">
        <f t="shared" si="4"/>
        <v>3774654227.3134179</v>
      </c>
      <c r="P50" s="34">
        <f>O50*2.2%</f>
        <v>83042393.000895202</v>
      </c>
      <c r="Q50" s="38">
        <f t="shared" si="5"/>
        <v>3673153775.1409602</v>
      </c>
      <c r="R50" s="39">
        <f t="shared" si="6"/>
        <v>1836576887.5704801</v>
      </c>
      <c r="S50" s="34">
        <f t="shared" si="7"/>
        <v>1836576887.5704801</v>
      </c>
      <c r="T50" s="40">
        <v>10121317107</v>
      </c>
      <c r="U50" s="272">
        <f t="shared" si="8"/>
        <v>2.6988780705650929E-3</v>
      </c>
      <c r="V50" s="41">
        <f t="shared" si="9"/>
        <v>5.602831637058018</v>
      </c>
    </row>
    <row r="51" spans="1:22" ht="15.75" customHeight="1">
      <c r="A51" s="31" t="s">
        <v>84</v>
      </c>
      <c r="B51" s="32">
        <v>2067</v>
      </c>
      <c r="C51" s="271">
        <f t="shared" si="10"/>
        <v>1.2084822144720886E-3</v>
      </c>
      <c r="D51" s="271">
        <f t="shared" si="18"/>
        <v>1.2084822144720886E-3</v>
      </c>
      <c r="E51" s="34"/>
      <c r="F51" s="42">
        <v>500</v>
      </c>
      <c r="G51" s="34">
        <f t="shared" si="0"/>
        <v>604241107.23604429</v>
      </c>
      <c r="H51" s="34">
        <f t="shared" si="1"/>
        <v>601219901.69986403</v>
      </c>
      <c r="I51" s="43">
        <v>1</v>
      </c>
      <c r="J51" s="36">
        <f t="shared" si="13"/>
        <v>601219901.69986403</v>
      </c>
      <c r="K51" s="34">
        <f t="shared" si="14"/>
        <v>61445806924.028023</v>
      </c>
      <c r="L51" s="37">
        <f t="shared" si="15"/>
        <v>60903316497.876122</v>
      </c>
      <c r="M51" s="34">
        <f t="shared" si="2"/>
        <v>3819819637.4147668</v>
      </c>
      <c r="N51" s="34">
        <f t="shared" si="3"/>
        <v>0</v>
      </c>
      <c r="O51" s="34">
        <f t="shared" si="4"/>
        <v>3819819637.4147668</v>
      </c>
      <c r="P51" s="34">
        <f>O51*2.4%</f>
        <v>91675671.29795441</v>
      </c>
      <c r="Q51" s="38">
        <f t="shared" si="5"/>
        <v>3709503246.2862282</v>
      </c>
      <c r="R51" s="39">
        <f t="shared" si="6"/>
        <v>1854751623.1431141</v>
      </c>
      <c r="S51" s="34">
        <f t="shared" si="7"/>
        <v>1854751623.1431141</v>
      </c>
      <c r="T51" s="40">
        <v>10139808361</v>
      </c>
      <c r="U51" s="272">
        <f t="shared" si="8"/>
        <v>2.6988780705650929E-3</v>
      </c>
      <c r="V51" s="41">
        <f t="shared" si="9"/>
        <v>5.6479585681723892</v>
      </c>
    </row>
    <row r="52" spans="1:22" ht="15.75" customHeight="1">
      <c r="A52" s="31" t="s">
        <v>85</v>
      </c>
      <c r="B52" s="32">
        <v>2068</v>
      </c>
      <c r="C52" s="271">
        <f t="shared" si="10"/>
        <v>1.0876339930248797E-3</v>
      </c>
      <c r="D52" s="271">
        <f t="shared" si="18"/>
        <v>1.0876339930248797E-3</v>
      </c>
      <c r="E52" s="34"/>
      <c r="F52" s="42">
        <v>500</v>
      </c>
      <c r="G52" s="34">
        <f t="shared" si="0"/>
        <v>543816996.51243985</v>
      </c>
      <c r="H52" s="34">
        <f t="shared" si="1"/>
        <v>541097911.52987766</v>
      </c>
      <c r="I52" s="43">
        <v>1</v>
      </c>
      <c r="J52" s="36">
        <f t="shared" si="13"/>
        <v>541097911.52987766</v>
      </c>
      <c r="K52" s="34">
        <f t="shared" si="14"/>
        <v>62078580506.85585</v>
      </c>
      <c r="L52" s="37">
        <f t="shared" si="15"/>
        <v>61505322035.663597</v>
      </c>
      <c r="M52" s="34">
        <f t="shared" si="2"/>
        <v>3861270265.9653459</v>
      </c>
      <c r="N52" s="34">
        <f t="shared" si="3"/>
        <v>0</v>
      </c>
      <c r="O52" s="34">
        <f t="shared" si="4"/>
        <v>3861270265.9653459</v>
      </c>
      <c r="P52" s="34">
        <f>O52*2.6%</f>
        <v>100393026.91509899</v>
      </c>
      <c r="Q52" s="38">
        <f t="shared" si="5"/>
        <v>3742072852.8549953</v>
      </c>
      <c r="R52" s="39">
        <f t="shared" si="6"/>
        <v>1871036426.4274976</v>
      </c>
      <c r="S52" s="34">
        <f t="shared" si="7"/>
        <v>1871036426.4274976</v>
      </c>
      <c r="T52" s="40">
        <v>10157301941</v>
      </c>
      <c r="U52" s="272">
        <f t="shared" si="8"/>
        <v>2.6988780705650929E-3</v>
      </c>
      <c r="V52" s="41">
        <f t="shared" si="9"/>
        <v>5.6877352048963354</v>
      </c>
    </row>
    <row r="53" spans="1:22" ht="15.75" customHeight="1">
      <c r="A53" s="31" t="s">
        <v>86</v>
      </c>
      <c r="B53" s="32">
        <v>2069</v>
      </c>
      <c r="C53" s="271">
        <f t="shared" si="10"/>
        <v>9.7887059372239174E-4</v>
      </c>
      <c r="D53" s="271">
        <f t="shared" si="18"/>
        <v>9.7887059372239174E-4</v>
      </c>
      <c r="E53" s="34"/>
      <c r="F53" s="42">
        <v>500</v>
      </c>
      <c r="G53" s="34">
        <f t="shared" si="0"/>
        <v>489435296.86119586</v>
      </c>
      <c r="H53" s="34">
        <f t="shared" si="1"/>
        <v>486988120.37688988</v>
      </c>
      <c r="I53" s="43">
        <v>1</v>
      </c>
      <c r="J53" s="36">
        <f t="shared" si="13"/>
        <v>486988120.37688988</v>
      </c>
      <c r="K53" s="34">
        <f t="shared" si="14"/>
        <v>62665961654.147842</v>
      </c>
      <c r="L53" s="37">
        <f t="shared" si="15"/>
        <v>62061656831.364113</v>
      </c>
      <c r="M53" s="34">
        <f t="shared" si="2"/>
        <v>3899437417.0610719</v>
      </c>
      <c r="N53" s="34">
        <f t="shared" si="3"/>
        <v>0</v>
      </c>
      <c r="O53" s="34">
        <f t="shared" si="4"/>
        <v>3899437417.0610719</v>
      </c>
      <c r="P53" s="34">
        <f>O53*2.8%</f>
        <v>109184247.67771</v>
      </c>
      <c r="Q53" s="38">
        <f t="shared" si="5"/>
        <v>3771301903.5364451</v>
      </c>
      <c r="R53" s="39">
        <f t="shared" si="6"/>
        <v>1885650951.7682226</v>
      </c>
      <c r="S53" s="34">
        <f t="shared" si="7"/>
        <v>1885650951.7682226</v>
      </c>
      <c r="T53" s="40">
        <v>10173782135</v>
      </c>
      <c r="U53" s="272">
        <f t="shared" si="8"/>
        <v>2.6988780705650929E-3</v>
      </c>
      <c r="V53" s="41">
        <f t="shared" si="9"/>
        <v>5.722876327591524</v>
      </c>
    </row>
    <row r="54" spans="1:22" ht="15.75" customHeight="1">
      <c r="A54" s="31" t="s">
        <v>87</v>
      </c>
      <c r="B54" s="32">
        <v>2070</v>
      </c>
      <c r="C54" s="271">
        <f t="shared" si="10"/>
        <v>8.8098353435015256E-4</v>
      </c>
      <c r="D54" s="271">
        <f t="shared" si="18"/>
        <v>8.8098353435015256E-4</v>
      </c>
      <c r="E54" s="34"/>
      <c r="F54" s="42">
        <v>500</v>
      </c>
      <c r="G54" s="34">
        <f t="shared" si="0"/>
        <v>440491767.17507625</v>
      </c>
      <c r="H54" s="34">
        <f t="shared" si="1"/>
        <v>438289308.33920085</v>
      </c>
      <c r="I54" s="43">
        <v>1</v>
      </c>
      <c r="J54" s="36">
        <f t="shared" si="13"/>
        <v>438289308.33920085</v>
      </c>
      <c r="K54" s="34">
        <f t="shared" si="14"/>
        <v>63213435210.164757</v>
      </c>
      <c r="L54" s="37">
        <f t="shared" si="15"/>
        <v>62577825822.18734</v>
      </c>
      <c r="M54" s="34">
        <f t="shared" si="2"/>
        <v>3934709043.1084847</v>
      </c>
      <c r="N54" s="34">
        <f t="shared" si="3"/>
        <v>0</v>
      </c>
      <c r="O54" s="34">
        <f t="shared" si="4"/>
        <v>3934709043.1084847</v>
      </c>
      <c r="P54" s="34">
        <f>O54*3%</f>
        <v>118041271.29325454</v>
      </c>
      <c r="Q54" s="38">
        <f t="shared" si="5"/>
        <v>3797584432.9561543</v>
      </c>
      <c r="R54" s="39">
        <f t="shared" si="6"/>
        <v>1898792216.4780772</v>
      </c>
      <c r="S54" s="34">
        <f t="shared" si="7"/>
        <v>1898792216.4780772</v>
      </c>
      <c r="T54" s="40">
        <v>10189241959</v>
      </c>
      <c r="U54" s="272">
        <f t="shared" si="8"/>
        <v>2.6988780705650929E-3</v>
      </c>
      <c r="V54" s="41">
        <f t="shared" si="9"/>
        <v>5.7540158899686356</v>
      </c>
    </row>
    <row r="55" spans="1:22" ht="15.75" customHeight="1">
      <c r="A55" s="31" t="s">
        <v>88</v>
      </c>
      <c r="B55" s="32">
        <v>2071</v>
      </c>
      <c r="C55" s="271">
        <f t="shared" si="10"/>
        <v>7.9288518091513737E-4</v>
      </c>
      <c r="D55" s="271">
        <f t="shared" si="18"/>
        <v>7.9288518091513737E-4</v>
      </c>
      <c r="E55" s="34"/>
      <c r="F55" s="42">
        <v>500</v>
      </c>
      <c r="G55" s="34">
        <f t="shared" si="0"/>
        <v>396442590.45756871</v>
      </c>
      <c r="H55" s="34">
        <f t="shared" si="1"/>
        <v>394460377.50528085</v>
      </c>
      <c r="I55" s="43">
        <v>1</v>
      </c>
      <c r="J55" s="36">
        <f t="shared" si="13"/>
        <v>394460377.50528085</v>
      </c>
      <c r="K55" s="34">
        <f t="shared" si="14"/>
        <v>63725936858.963287</v>
      </c>
      <c r="L55" s="37">
        <f t="shared" si="15"/>
        <v>63058782307.250381</v>
      </c>
      <c r="M55" s="34">
        <f t="shared" si="2"/>
        <v>3967434157.126677</v>
      </c>
      <c r="N55" s="34">
        <f t="shared" si="3"/>
        <v>0</v>
      </c>
      <c r="O55" s="34">
        <f t="shared" si="4"/>
        <v>3967434157.126677</v>
      </c>
      <c r="P55" s="34">
        <f>O55*3.2%</f>
        <v>126957893.02805367</v>
      </c>
      <c r="Q55" s="38">
        <f t="shared" si="5"/>
        <v>3821273882.7781301</v>
      </c>
      <c r="R55" s="39">
        <f t="shared" si="6"/>
        <v>1910636941.389065</v>
      </c>
      <c r="S55" s="34">
        <f t="shared" si="7"/>
        <v>1910636941.389065</v>
      </c>
      <c r="T55" s="40">
        <v>10203681568</v>
      </c>
      <c r="U55" s="272">
        <f t="shared" si="8"/>
        <v>2.6988780705650929E-3</v>
      </c>
      <c r="V55" s="41">
        <f t="shared" si="9"/>
        <v>5.7817161037954437</v>
      </c>
    </row>
    <row r="56" spans="1:22" ht="15.75" customHeight="1">
      <c r="A56" s="31" t="s">
        <v>89</v>
      </c>
      <c r="B56" s="32">
        <v>2072</v>
      </c>
      <c r="C56" s="271">
        <f t="shared" si="10"/>
        <v>7.1359666282362361E-4</v>
      </c>
      <c r="D56" s="271">
        <f t="shared" si="18"/>
        <v>7.1359666282362361E-4</v>
      </c>
      <c r="E56" s="34"/>
      <c r="F56" s="42">
        <v>500</v>
      </c>
      <c r="G56" s="34">
        <f t="shared" si="0"/>
        <v>356798331.41181183</v>
      </c>
      <c r="H56" s="34">
        <f t="shared" si="1"/>
        <v>355014339.75475276</v>
      </c>
      <c r="I56" s="43">
        <v>1</v>
      </c>
      <c r="J56" s="36">
        <f t="shared" si="13"/>
        <v>355014339.75475276</v>
      </c>
      <c r="K56" s="34">
        <f t="shared" si="14"/>
        <v>64207909091.746094</v>
      </c>
      <c r="L56" s="37">
        <f t="shared" si="15"/>
        <v>63508984162.763176</v>
      </c>
      <c r="M56" s="34">
        <f t="shared" si="2"/>
        <v>3997926798.2796741</v>
      </c>
      <c r="N56" s="34">
        <f t="shared" si="3"/>
        <v>0</v>
      </c>
      <c r="O56" s="34">
        <f t="shared" si="4"/>
        <v>3997926798.2796741</v>
      </c>
      <c r="P56" s="34">
        <f>O56*3.4%</f>
        <v>135929511.14150894</v>
      </c>
      <c r="Q56" s="38">
        <f t="shared" si="5"/>
        <v>3842687300.7024741</v>
      </c>
      <c r="R56" s="39">
        <f t="shared" si="6"/>
        <v>1921343650.3512371</v>
      </c>
      <c r="S56" s="34">
        <f t="shared" si="7"/>
        <v>1921343650.3512371</v>
      </c>
      <c r="T56" s="40">
        <v>10217055169</v>
      </c>
      <c r="U56" s="272">
        <f t="shared" si="8"/>
        <v>2.6988780705650929E-3</v>
      </c>
      <c r="V56" s="41">
        <f t="shared" si="9"/>
        <v>5.8065049477714759</v>
      </c>
    </row>
    <row r="57" spans="1:22" ht="15.75" customHeight="1">
      <c r="A57" s="31" t="s">
        <v>90</v>
      </c>
      <c r="B57" s="32">
        <v>2073</v>
      </c>
      <c r="C57" s="271">
        <f t="shared" si="10"/>
        <v>6.4223699654126132E-4</v>
      </c>
      <c r="D57" s="271">
        <f t="shared" si="18"/>
        <v>6.4223699654126132E-4</v>
      </c>
      <c r="E57" s="34"/>
      <c r="F57" s="42">
        <v>500</v>
      </c>
      <c r="G57" s="34">
        <f t="shared" si="0"/>
        <v>321118498.27063066</v>
      </c>
      <c r="H57" s="34">
        <f t="shared" si="1"/>
        <v>319512905.7792775</v>
      </c>
      <c r="I57" s="35">
        <f t="shared" ref="I57:I184" si="19">100%</f>
        <v>1</v>
      </c>
      <c r="J57" s="36">
        <f t="shared" si="13"/>
        <v>319512905.7792775</v>
      </c>
      <c r="K57" s="34">
        <f t="shared" si="14"/>
        <v>64663351508.666878</v>
      </c>
      <c r="L57" s="37">
        <f t="shared" si="15"/>
        <v>63932444366.394119</v>
      </c>
      <c r="M57" s="34">
        <f t="shared" si="2"/>
        <v>4026469595.9191852</v>
      </c>
      <c r="N57" s="34">
        <f t="shared" si="3"/>
        <v>0</v>
      </c>
      <c r="O57" s="34">
        <f t="shared" si="4"/>
        <v>4026469595.9191852</v>
      </c>
      <c r="P57" s="34">
        <f>O57*3.6%</f>
        <v>144952905.4530907</v>
      </c>
      <c r="Q57" s="38">
        <f t="shared" si="5"/>
        <v>3862109107.0137639</v>
      </c>
      <c r="R57" s="39">
        <f t="shared" si="6"/>
        <v>1931054553.506882</v>
      </c>
      <c r="S57" s="34">
        <f t="shared" si="7"/>
        <v>1931054553.506882</v>
      </c>
      <c r="T57" s="40">
        <v>10229327824</v>
      </c>
      <c r="U57" s="272">
        <f t="shared" si="8"/>
        <v>2.6988780705650929E-3</v>
      </c>
      <c r="V57" s="41">
        <f t="shared" si="9"/>
        <v>5.8288507557349769</v>
      </c>
    </row>
    <row r="58" spans="1:22" ht="15.75" customHeight="1">
      <c r="A58" s="31" t="s">
        <v>91</v>
      </c>
      <c r="B58" s="32">
        <v>2074</v>
      </c>
      <c r="C58" s="271">
        <f t="shared" si="10"/>
        <v>5.7801329688713515E-4</v>
      </c>
      <c r="D58" s="271">
        <f t="shared" si="18"/>
        <v>5.7801329688713515E-4</v>
      </c>
      <c r="E58" s="34"/>
      <c r="F58" s="42">
        <v>500</v>
      </c>
      <c r="G58" s="34">
        <f t="shared" si="0"/>
        <v>289006648.44356763</v>
      </c>
      <c r="H58" s="34">
        <f t="shared" si="1"/>
        <v>287561615.20134979</v>
      </c>
      <c r="I58" s="35">
        <f t="shared" si="19"/>
        <v>1</v>
      </c>
      <c r="J58" s="36">
        <f t="shared" si="13"/>
        <v>287561615.20134979</v>
      </c>
      <c r="K58" s="34">
        <f t="shared" si="14"/>
        <v>65095866029.32132</v>
      </c>
      <c r="L58" s="37">
        <f t="shared" si="15"/>
        <v>64332776407.605042</v>
      </c>
      <c r="M58" s="34">
        <f t="shared" si="2"/>
        <v>4053316972.8293872</v>
      </c>
      <c r="N58" s="34">
        <f t="shared" si="3"/>
        <v>0</v>
      </c>
      <c r="O58" s="34">
        <f t="shared" si="4"/>
        <v>4053316972.8293872</v>
      </c>
      <c r="P58" s="34">
        <f>O58*3.8%</f>
        <v>154026044.96751672</v>
      </c>
      <c r="Q58" s="38">
        <f t="shared" si="5"/>
        <v>3879794473.2225609</v>
      </c>
      <c r="R58" s="39">
        <f t="shared" si="6"/>
        <v>1939897236.6112804</v>
      </c>
      <c r="S58" s="34">
        <f t="shared" si="7"/>
        <v>1939897236.6112804</v>
      </c>
      <c r="T58" s="40">
        <v>10240485056</v>
      </c>
      <c r="U58" s="272">
        <f t="shared" si="8"/>
        <v>2.6988780705650929E-3</v>
      </c>
      <c r="V58" s="41">
        <f t="shared" si="9"/>
        <v>5.8491624822909634</v>
      </c>
    </row>
    <row r="59" spans="1:22" ht="15.75" customHeight="1">
      <c r="A59" s="31" t="s">
        <v>92</v>
      </c>
      <c r="B59" s="32">
        <v>2075</v>
      </c>
      <c r="C59" s="271">
        <f t="shared" si="10"/>
        <v>5.2021196719842164E-4</v>
      </c>
      <c r="D59" s="271">
        <f t="shared" si="18"/>
        <v>5.2021196719842164E-4</v>
      </c>
      <c r="E59" s="34"/>
      <c r="F59" s="42">
        <v>500</v>
      </c>
      <c r="G59" s="34">
        <f t="shared" si="0"/>
        <v>260105983.59921083</v>
      </c>
      <c r="H59" s="34">
        <f t="shared" si="1"/>
        <v>258805453.68121478</v>
      </c>
      <c r="I59" s="35">
        <f t="shared" si="19"/>
        <v>1</v>
      </c>
      <c r="J59" s="36">
        <f t="shared" si="13"/>
        <v>258805453.68121478</v>
      </c>
      <c r="K59" s="34">
        <f t="shared" si="14"/>
        <v>65508697527.970047</v>
      </c>
      <c r="L59" s="37">
        <f t="shared" si="15"/>
        <v>64713235102.300644</v>
      </c>
      <c r="M59" s="34">
        <f t="shared" si="2"/>
        <v>4078698024.2421594</v>
      </c>
      <c r="N59" s="34">
        <f t="shared" si="3"/>
        <v>0</v>
      </c>
      <c r="O59" s="34">
        <f t="shared" si="4"/>
        <v>4078698024.2421594</v>
      </c>
      <c r="P59" s="34">
        <f>O59*4%</f>
        <v>163147920.96968639</v>
      </c>
      <c r="Q59" s="38">
        <f t="shared" si="5"/>
        <v>3895972352.7561107</v>
      </c>
      <c r="R59" s="39">
        <f t="shared" si="6"/>
        <v>1947986176.3780553</v>
      </c>
      <c r="S59" s="34">
        <f t="shared" si="7"/>
        <v>1947986176.3780553</v>
      </c>
      <c r="T59" s="40">
        <v>10250496432</v>
      </c>
      <c r="U59" s="272">
        <f t="shared" si="8"/>
        <v>2.6988780705650929E-3</v>
      </c>
      <c r="V59" s="41">
        <f t="shared" si="9"/>
        <v>5.8678156523869731</v>
      </c>
    </row>
    <row r="60" spans="1:22" ht="15.75" customHeight="1">
      <c r="A60" s="31" t="s">
        <v>93</v>
      </c>
      <c r="B60" s="32">
        <v>2076</v>
      </c>
      <c r="C60" s="271">
        <f t="shared" si="10"/>
        <v>4.6819077047857948E-4</v>
      </c>
      <c r="D60" s="271">
        <f t="shared" si="18"/>
        <v>4.6819077047857948E-4</v>
      </c>
      <c r="E60" s="34"/>
      <c r="F60" s="42">
        <v>500</v>
      </c>
      <c r="G60" s="34">
        <f t="shared" si="0"/>
        <v>234095385.23928973</v>
      </c>
      <c r="H60" s="34">
        <f t="shared" si="1"/>
        <v>232924908.31309327</v>
      </c>
      <c r="I60" s="35">
        <f t="shared" si="19"/>
        <v>1</v>
      </c>
      <c r="J60" s="36">
        <f t="shared" si="13"/>
        <v>232924908.31309327</v>
      </c>
      <c r="K60" s="34">
        <f t="shared" si="14"/>
        <v>65904770357.252831</v>
      </c>
      <c r="L60" s="37">
        <f t="shared" si="15"/>
        <v>65076753277.617638</v>
      </c>
      <c r="M60" s="34">
        <f t="shared" si="2"/>
        <v>4102819105.4858608</v>
      </c>
      <c r="N60" s="34">
        <f t="shared" si="3"/>
        <v>0</v>
      </c>
      <c r="O60" s="34">
        <f t="shared" si="4"/>
        <v>4102819105.4858608</v>
      </c>
      <c r="P60" s="34">
        <f>O60*4.5%</f>
        <v>184626859.74686372</v>
      </c>
      <c r="Q60" s="38">
        <f t="shared" si="5"/>
        <v>3898601284.5103021</v>
      </c>
      <c r="R60" s="39">
        <f t="shared" si="6"/>
        <v>1949300642.255151</v>
      </c>
      <c r="S60" s="34">
        <f t="shared" si="7"/>
        <v>1949300642.255151</v>
      </c>
      <c r="T60" s="40">
        <v>10259351432</v>
      </c>
      <c r="U60" s="272">
        <f t="shared" si="8"/>
        <v>2.6988780705650929E-3</v>
      </c>
      <c r="V60" s="41">
        <f t="shared" si="9"/>
        <v>5.8667071312304708</v>
      </c>
    </row>
    <row r="61" spans="1:22" ht="15.75" customHeight="1">
      <c r="A61" s="31" t="s">
        <v>94</v>
      </c>
      <c r="B61" s="32">
        <v>2077</v>
      </c>
      <c r="C61" s="271">
        <f t="shared" si="10"/>
        <v>4.2137169343072156E-4</v>
      </c>
      <c r="D61" s="271">
        <f t="shared" si="18"/>
        <v>4.2137169343072156E-4</v>
      </c>
      <c r="E61" s="34"/>
      <c r="F61" s="42">
        <v>500</v>
      </c>
      <c r="G61" s="34">
        <f t="shared" si="0"/>
        <v>210685846.71536079</v>
      </c>
      <c r="H61" s="34">
        <f t="shared" si="1"/>
        <v>209632417.48178399</v>
      </c>
      <c r="I61" s="35">
        <f t="shared" si="19"/>
        <v>1</v>
      </c>
      <c r="J61" s="36">
        <f t="shared" si="13"/>
        <v>209632417.48178399</v>
      </c>
      <c r="K61" s="34">
        <f t="shared" si="14"/>
        <v>66299029634.481476</v>
      </c>
      <c r="L61" s="37">
        <f t="shared" si="15"/>
        <v>65438277048.568863</v>
      </c>
      <c r="M61" s="34">
        <f t="shared" si="2"/>
        <v>4125866157.8009582</v>
      </c>
      <c r="N61" s="34">
        <f t="shared" si="3"/>
        <v>0</v>
      </c>
      <c r="O61" s="34">
        <f t="shared" si="4"/>
        <v>4125866157.8009582</v>
      </c>
      <c r="P61" s="34">
        <f>O61*5%</f>
        <v>206293307.89004791</v>
      </c>
      <c r="Q61" s="38">
        <f t="shared" si="5"/>
        <v>3899974985.6613555</v>
      </c>
      <c r="R61" s="39">
        <f t="shared" si="6"/>
        <v>1949987492.8306777</v>
      </c>
      <c r="S61" s="34">
        <f t="shared" si="7"/>
        <v>1949987492.8306777</v>
      </c>
      <c r="T61" s="40">
        <v>10267045023</v>
      </c>
      <c r="U61" s="272">
        <f t="shared" si="8"/>
        <v>2.6988780705650929E-3</v>
      </c>
      <c r="V61" s="41">
        <f t="shared" si="9"/>
        <v>5.8643765540502386</v>
      </c>
    </row>
    <row r="62" spans="1:22" ht="15.75" customHeight="1">
      <c r="A62" s="31" t="s">
        <v>95</v>
      </c>
      <c r="B62" s="32">
        <v>2078</v>
      </c>
      <c r="C62" s="271">
        <f t="shared" si="10"/>
        <v>3.7923452408764941E-4</v>
      </c>
      <c r="D62" s="271">
        <f t="shared" si="18"/>
        <v>3.7923452408764941E-4</v>
      </c>
      <c r="E62" s="34"/>
      <c r="F62" s="42">
        <v>500</v>
      </c>
      <c r="G62" s="34">
        <f t="shared" si="0"/>
        <v>189617262.0438247</v>
      </c>
      <c r="H62" s="34">
        <f t="shared" si="1"/>
        <v>188669175.73360556</v>
      </c>
      <c r="I62" s="35">
        <f t="shared" si="19"/>
        <v>1</v>
      </c>
      <c r="J62" s="36">
        <f t="shared" si="13"/>
        <v>188669175.73360556</v>
      </c>
      <c r="K62" s="34">
        <f t="shared" si="14"/>
        <v>66693992118.105125</v>
      </c>
      <c r="L62" s="37">
        <f t="shared" si="15"/>
        <v>65800322912.426422</v>
      </c>
      <c r="M62" s="34">
        <f t="shared" si="2"/>
        <v>4148786764.8792658</v>
      </c>
      <c r="N62" s="34">
        <f t="shared" si="3"/>
        <v>0</v>
      </c>
      <c r="O62" s="34">
        <f t="shared" si="4"/>
        <v>4148786764.8792658</v>
      </c>
      <c r="P62" s="34">
        <f>O62*5.5%</f>
        <v>228183272.06835961</v>
      </c>
      <c r="Q62" s="38">
        <f t="shared" si="5"/>
        <v>3901000475.3468518</v>
      </c>
      <c r="R62" s="39">
        <f t="shared" si="6"/>
        <v>1950500237.6734259</v>
      </c>
      <c r="S62" s="34">
        <f t="shared" si="7"/>
        <v>1950500237.6734259</v>
      </c>
      <c r="T62" s="40">
        <v>10273556322</v>
      </c>
      <c r="U62" s="272">
        <f t="shared" si="8"/>
        <v>2.6988780705650929E-3</v>
      </c>
      <c r="V62" s="41">
        <f t="shared" si="9"/>
        <v>5.8622008057791595</v>
      </c>
    </row>
    <row r="63" spans="1:22" ht="15.75" customHeight="1">
      <c r="A63" s="31" t="s">
        <v>96</v>
      </c>
      <c r="B63" s="32">
        <v>2079</v>
      </c>
      <c r="C63" s="271">
        <f t="shared" si="10"/>
        <v>3.4131107167888447E-4</v>
      </c>
      <c r="D63" s="271">
        <f t="shared" si="18"/>
        <v>3.4131107167888447E-4</v>
      </c>
      <c r="E63" s="34"/>
      <c r="F63" s="42">
        <v>500</v>
      </c>
      <c r="G63" s="34">
        <f t="shared" si="0"/>
        <v>170655535.83944222</v>
      </c>
      <c r="H63" s="34">
        <f t="shared" si="1"/>
        <v>169802258.160245</v>
      </c>
      <c r="I63" s="35">
        <f t="shared" si="19"/>
        <v>1</v>
      </c>
      <c r="J63" s="36">
        <f t="shared" si="13"/>
        <v>169802258.160245</v>
      </c>
      <c r="K63" s="34">
        <f t="shared" si="14"/>
        <v>67091977648.333733</v>
      </c>
      <c r="L63" s="37">
        <f t="shared" si="15"/>
        <v>66165209288.433708</v>
      </c>
      <c r="M63" s="34">
        <f t="shared" si="2"/>
        <v>4171740472.6478353</v>
      </c>
      <c r="N63" s="34">
        <f t="shared" si="3"/>
        <v>0</v>
      </c>
      <c r="O63" s="34">
        <f t="shared" si="4"/>
        <v>4171740472.6478353</v>
      </c>
      <c r="P63" s="34">
        <f>O63*6%</f>
        <v>250304428.35887012</v>
      </c>
      <c r="Q63" s="38">
        <f t="shared" si="5"/>
        <v>3901828864.0675206</v>
      </c>
      <c r="R63" s="39">
        <f t="shared" si="6"/>
        <v>1950914432.0337603</v>
      </c>
      <c r="S63" s="34">
        <f t="shared" si="7"/>
        <v>1950914432.0337603</v>
      </c>
      <c r="T63" s="40">
        <v>10278887473</v>
      </c>
      <c r="U63" s="272">
        <f t="shared" si="8"/>
        <v>2.6988780705650929E-3</v>
      </c>
      <c r="V63" s="41">
        <f t="shared" si="9"/>
        <v>5.860404581534131</v>
      </c>
    </row>
    <row r="64" spans="1:22" ht="15.75" customHeight="1">
      <c r="A64" s="31" t="s">
        <v>97</v>
      </c>
      <c r="B64" s="32">
        <v>2080</v>
      </c>
      <c r="C64" s="271">
        <f t="shared" si="10"/>
        <v>3.0717996451099601E-4</v>
      </c>
      <c r="D64" s="271">
        <f t="shared" si="18"/>
        <v>3.0717996451099601E-4</v>
      </c>
      <c r="E64" s="34"/>
      <c r="F64" s="42">
        <v>500</v>
      </c>
      <c r="G64" s="34">
        <f t="shared" si="0"/>
        <v>153589982.25549799</v>
      </c>
      <c r="H64" s="34">
        <f t="shared" si="1"/>
        <v>152822032.34422049</v>
      </c>
      <c r="I64" s="35">
        <f t="shared" si="19"/>
        <v>1</v>
      </c>
      <c r="J64" s="36">
        <f t="shared" si="13"/>
        <v>152822032.34422049</v>
      </c>
      <c r="K64" s="34">
        <f t="shared" si="14"/>
        <v>67495104109.036827</v>
      </c>
      <c r="L64" s="37">
        <f t="shared" si="15"/>
        <v>66535051581.262238</v>
      </c>
      <c r="M64" s="34">
        <f t="shared" si="2"/>
        <v>4194874268.8866968</v>
      </c>
      <c r="N64" s="34">
        <f t="shared" si="3"/>
        <v>0</v>
      </c>
      <c r="O64" s="34">
        <f t="shared" si="4"/>
        <v>4194874268.8866968</v>
      </c>
      <c r="P64" s="34">
        <f>O64*6.5%</f>
        <v>272666827.47763532</v>
      </c>
      <c r="Q64" s="38">
        <f t="shared" si="5"/>
        <v>3902596404.2020159</v>
      </c>
      <c r="R64" s="39">
        <f t="shared" si="6"/>
        <v>1951298202.1010079</v>
      </c>
      <c r="S64" s="34">
        <f t="shared" si="7"/>
        <v>1951298202.1010079</v>
      </c>
      <c r="T64" s="40">
        <v>10283078029</v>
      </c>
      <c r="U64" s="272">
        <f t="shared" si="8"/>
        <v>2.6988780705650929E-3</v>
      </c>
      <c r="V64" s="41">
        <f t="shared" si="9"/>
        <v>5.8591686991948642</v>
      </c>
    </row>
    <row r="65" spans="1:22" ht="15.75" customHeight="1">
      <c r="A65" s="31" t="s">
        <v>98</v>
      </c>
      <c r="B65" s="32">
        <v>2081</v>
      </c>
      <c r="C65" s="271">
        <f t="shared" si="10"/>
        <v>2.7646196805989644E-4</v>
      </c>
      <c r="D65" s="271">
        <f t="shared" si="18"/>
        <v>2.7646196805989644E-4</v>
      </c>
      <c r="E65" s="34"/>
      <c r="F65" s="42">
        <v>500</v>
      </c>
      <c r="G65" s="34">
        <f t="shared" si="0"/>
        <v>138230984.0299482</v>
      </c>
      <c r="H65" s="34">
        <f t="shared" si="1"/>
        <v>137539829.10979846</v>
      </c>
      <c r="I65" s="35">
        <f t="shared" si="19"/>
        <v>1</v>
      </c>
      <c r="J65" s="36">
        <f t="shared" si="13"/>
        <v>137539829.10979846</v>
      </c>
      <c r="K65" s="34">
        <f t="shared" si="14"/>
        <v>67905310765.624268</v>
      </c>
      <c r="L65" s="37">
        <f t="shared" si="15"/>
        <v>66911785608.730759</v>
      </c>
      <c r="M65" s="34">
        <f t="shared" si="2"/>
        <v>4218322270.2520256</v>
      </c>
      <c r="N65" s="34">
        <f t="shared" si="3"/>
        <v>0</v>
      </c>
      <c r="O65" s="34">
        <f t="shared" si="4"/>
        <v>4218322270.2520256</v>
      </c>
      <c r="P65" s="34">
        <f>O65*7%</f>
        <v>295282558.91764182</v>
      </c>
      <c r="Q65" s="38">
        <f t="shared" si="5"/>
        <v>3903424512.7777119</v>
      </c>
      <c r="R65" s="39">
        <f t="shared" si="6"/>
        <v>1951712256.3888559</v>
      </c>
      <c r="S65" s="34">
        <f t="shared" si="7"/>
        <v>1951712256.3888559</v>
      </c>
      <c r="T65" s="40">
        <v>10286161735</v>
      </c>
      <c r="U65" s="272">
        <f t="shared" si="8"/>
        <v>2.6988780705650929E-3</v>
      </c>
      <c r="V65" s="41">
        <f t="shared" si="9"/>
        <v>5.8586550782705702</v>
      </c>
    </row>
    <row r="66" spans="1:22" ht="15.75" customHeight="1">
      <c r="A66" s="31" t="s">
        <v>99</v>
      </c>
      <c r="B66" s="32">
        <v>2082</v>
      </c>
      <c r="C66" s="271">
        <f t="shared" si="10"/>
        <v>2.4881577125390682E-4</v>
      </c>
      <c r="D66" s="271">
        <f t="shared" si="18"/>
        <v>2.4881577125390682E-4</v>
      </c>
      <c r="E66" s="34"/>
      <c r="F66" s="42">
        <v>500</v>
      </c>
      <c r="G66" s="34">
        <f t="shared" si="0"/>
        <v>124407885.62695342</v>
      </c>
      <c r="H66" s="34">
        <f t="shared" si="1"/>
        <v>123785846.19881865</v>
      </c>
      <c r="I66" s="35">
        <f t="shared" si="19"/>
        <v>1</v>
      </c>
      <c r="J66" s="36">
        <f t="shared" si="13"/>
        <v>123785846.19881865</v>
      </c>
      <c r="K66" s="34">
        <f t="shared" si="14"/>
        <v>68324379170.74073</v>
      </c>
      <c r="L66" s="37">
        <f t="shared" si="15"/>
        <v>67297188586.840302</v>
      </c>
      <c r="M66" s="34">
        <f t="shared" si="2"/>
        <v>4242207207.5935302</v>
      </c>
      <c r="N66" s="34">
        <f t="shared" si="3"/>
        <v>0</v>
      </c>
      <c r="O66" s="34">
        <f t="shared" si="4"/>
        <v>4242207207.5935302</v>
      </c>
      <c r="P66" s="34">
        <f>O66*7.5%</f>
        <v>318165540.56951475</v>
      </c>
      <c r="Q66" s="38">
        <f t="shared" si="5"/>
        <v>3904421458.6888952</v>
      </c>
      <c r="R66" s="39">
        <f t="shared" si="6"/>
        <v>1952210729.3444476</v>
      </c>
      <c r="S66" s="34">
        <f t="shared" si="7"/>
        <v>1952210729.3444476</v>
      </c>
      <c r="T66" s="40">
        <v>10288205050</v>
      </c>
      <c r="U66" s="272">
        <f t="shared" si="8"/>
        <v>2.6988780705650929E-3</v>
      </c>
      <c r="V66" s="41">
        <f t="shared" si="9"/>
        <v>5.8589875255256141</v>
      </c>
    </row>
    <row r="67" spans="1:22" ht="15.75" customHeight="1">
      <c r="A67" s="31" t="s">
        <v>100</v>
      </c>
      <c r="B67" s="32">
        <v>2083</v>
      </c>
      <c r="C67" s="271">
        <f t="shared" si="10"/>
        <v>2.2393419412851615E-4</v>
      </c>
      <c r="D67" s="271">
        <f t="shared" si="18"/>
        <v>2.2393419412851615E-4</v>
      </c>
      <c r="E67" s="34"/>
      <c r="F67" s="42">
        <v>500</v>
      </c>
      <c r="G67" s="34">
        <f t="shared" si="0"/>
        <v>111967097.06425807</v>
      </c>
      <c r="H67" s="34">
        <f t="shared" si="1"/>
        <v>111407261.57893677</v>
      </c>
      <c r="I67" s="35">
        <f t="shared" si="19"/>
        <v>1</v>
      </c>
      <c r="J67" s="36">
        <f t="shared" si="13"/>
        <v>111407261.57893677</v>
      </c>
      <c r="K67" s="34">
        <f t="shared" si="14"/>
        <v>68753951972.889175</v>
      </c>
      <c r="L67" s="37">
        <f t="shared" si="15"/>
        <v>67692898008.294258</v>
      </c>
      <c r="M67" s="34">
        <f t="shared" si="2"/>
        <v>4266641756.4056749</v>
      </c>
      <c r="N67" s="34">
        <f t="shared" si="3"/>
        <v>0</v>
      </c>
      <c r="O67" s="34">
        <f t="shared" si="4"/>
        <v>4266641756.4056749</v>
      </c>
      <c r="P67" s="34">
        <f>O67*8%</f>
        <v>341331340.51245397</v>
      </c>
      <c r="Q67" s="38">
        <f t="shared" si="5"/>
        <v>3905683863.8137546</v>
      </c>
      <c r="R67" s="39">
        <f t="shared" si="6"/>
        <v>1952841931.9068773</v>
      </c>
      <c r="S67" s="34">
        <f t="shared" si="7"/>
        <v>1952841931.9068773</v>
      </c>
      <c r="T67" s="40">
        <v>10289247323</v>
      </c>
      <c r="U67" s="272">
        <f t="shared" si="8"/>
        <v>2.6988780705650929E-3</v>
      </c>
      <c r="V67" s="41">
        <f t="shared" si="9"/>
        <v>5.8602882032302368</v>
      </c>
    </row>
    <row r="68" spans="1:22" ht="15.75" customHeight="1">
      <c r="A68" s="31" t="s">
        <v>101</v>
      </c>
      <c r="B68" s="32">
        <v>2084</v>
      </c>
      <c r="C68" s="271">
        <f t="shared" si="10"/>
        <v>2.0154077471566453E-4</v>
      </c>
      <c r="D68" s="271">
        <f t="shared" si="18"/>
        <v>2.0154077471566453E-4</v>
      </c>
      <c r="E68" s="34"/>
      <c r="F68" s="42">
        <v>500</v>
      </c>
      <c r="G68" s="34">
        <f t="shared" si="0"/>
        <v>100770387.35783227</v>
      </c>
      <c r="H68" s="34">
        <f t="shared" si="1"/>
        <v>100266535.42104311</v>
      </c>
      <c r="I68" s="35">
        <f t="shared" si="19"/>
        <v>1</v>
      </c>
      <c r="J68" s="36">
        <f t="shared" si="13"/>
        <v>100266535.42104311</v>
      </c>
      <c r="K68" s="34">
        <f t="shared" si="14"/>
        <v>69195549848.822662</v>
      </c>
      <c r="L68" s="37">
        <f t="shared" si="15"/>
        <v>68100428636.285645</v>
      </c>
      <c r="M68" s="34">
        <f t="shared" si="2"/>
        <v>4291729733.7258558</v>
      </c>
      <c r="N68" s="34">
        <f t="shared" si="3"/>
        <v>0</v>
      </c>
      <c r="O68" s="34">
        <f t="shared" si="4"/>
        <v>4291729733.7258558</v>
      </c>
      <c r="P68" s="34">
        <f>O68*8.5%</f>
        <v>364797027.36669779</v>
      </c>
      <c r="Q68" s="38">
        <f t="shared" si="5"/>
        <v>3907298042.8273621</v>
      </c>
      <c r="R68" s="39">
        <f t="shared" si="6"/>
        <v>1953649021.413681</v>
      </c>
      <c r="S68" s="34">
        <f t="shared" si="7"/>
        <v>1953649021.413681</v>
      </c>
      <c r="T68" s="40">
        <v>10289315244</v>
      </c>
      <c r="U68" s="272">
        <f t="shared" si="8"/>
        <v>2.6988780705650929E-3</v>
      </c>
      <c r="V68" s="41">
        <f t="shared" si="9"/>
        <v>5.8626714996846543</v>
      </c>
    </row>
    <row r="69" spans="1:22" ht="15.75" customHeight="1">
      <c r="A69" s="31" t="s">
        <v>102</v>
      </c>
      <c r="B69" s="32">
        <v>2085</v>
      </c>
      <c r="C69" s="271">
        <f t="shared" si="10"/>
        <v>1.8138669724409808E-4</v>
      </c>
      <c r="D69" s="271">
        <f t="shared" si="18"/>
        <v>1.8138669724409808E-4</v>
      </c>
      <c r="E69" s="34"/>
      <c r="F69" s="42">
        <v>500</v>
      </c>
      <c r="G69" s="34">
        <f t="shared" si="0"/>
        <v>90693348.622049049</v>
      </c>
      <c r="H69" s="34">
        <f t="shared" si="1"/>
        <v>90239881.878938809</v>
      </c>
      <c r="I69" s="35">
        <f t="shared" si="19"/>
        <v>1</v>
      </c>
      <c r="J69" s="36">
        <f t="shared" si="13"/>
        <v>90239881.878938809</v>
      </c>
      <c r="K69" s="34">
        <f t="shared" si="14"/>
        <v>69650586758.068298</v>
      </c>
      <c r="L69" s="37">
        <f t="shared" si="15"/>
        <v>68521187812.758522</v>
      </c>
      <c r="M69" s="34">
        <f t="shared" si="2"/>
        <v>4317567175.5405102</v>
      </c>
      <c r="N69" s="34">
        <f t="shared" si="3"/>
        <v>0</v>
      </c>
      <c r="O69" s="34">
        <f t="shared" si="4"/>
        <v>4317567175.5405102</v>
      </c>
      <c r="P69" s="34">
        <f>O69*9%</f>
        <v>388581045.79864591</v>
      </c>
      <c r="Q69" s="38">
        <f t="shared" si="5"/>
        <v>3909341199.0931549</v>
      </c>
      <c r="R69" s="39">
        <f t="shared" si="6"/>
        <v>1954670599.5465775</v>
      </c>
      <c r="S69" s="34">
        <f t="shared" si="7"/>
        <v>1954670599.5465775</v>
      </c>
      <c r="T69" s="40">
        <v>10288456599</v>
      </c>
      <c r="U69" s="272">
        <f t="shared" si="8"/>
        <v>2.6988780705650929E-3</v>
      </c>
      <c r="V69" s="41">
        <f t="shared" si="9"/>
        <v>5.8662266733564783</v>
      </c>
    </row>
    <row r="70" spans="1:22" ht="15.75" customHeight="1">
      <c r="A70" s="31" t="s">
        <v>103</v>
      </c>
      <c r="B70" s="32">
        <v>2086</v>
      </c>
      <c r="C70" s="271">
        <f t="shared" si="10"/>
        <v>1.6324802751968828E-4</v>
      </c>
      <c r="D70" s="271">
        <f t="shared" si="18"/>
        <v>1.6324802751968828E-4</v>
      </c>
      <c r="E70" s="34"/>
      <c r="F70" s="42">
        <v>500</v>
      </c>
      <c r="G70" s="34">
        <f t="shared" si="0"/>
        <v>81624013.759844139</v>
      </c>
      <c r="H70" s="34">
        <f t="shared" si="1"/>
        <v>81215893.691044912</v>
      </c>
      <c r="I70" s="35">
        <f t="shared" si="19"/>
        <v>1</v>
      </c>
      <c r="J70" s="36">
        <f t="shared" si="13"/>
        <v>81215893.691044912</v>
      </c>
      <c r="K70" s="34">
        <f t="shared" si="14"/>
        <v>70120383697.557983</v>
      </c>
      <c r="L70" s="37">
        <f t="shared" si="15"/>
        <v>68956489259.872101</v>
      </c>
      <c r="M70" s="34">
        <f t="shared" si="2"/>
        <v>4344243307.3288898</v>
      </c>
      <c r="N70" s="34">
        <f t="shared" si="3"/>
        <v>0</v>
      </c>
      <c r="O70" s="34">
        <f t="shared" si="4"/>
        <v>4344243307.3288898</v>
      </c>
      <c r="P70" s="34">
        <f>O70*9.5%</f>
        <v>412703114.19624454</v>
      </c>
      <c r="Q70" s="38">
        <f t="shared" si="5"/>
        <v>3911882492.1669817</v>
      </c>
      <c r="R70" s="39">
        <f t="shared" si="6"/>
        <v>1955941246.0834908</v>
      </c>
      <c r="S70" s="34">
        <f t="shared" si="7"/>
        <v>1955941246.0834908</v>
      </c>
      <c r="T70" s="40">
        <v>10286708360</v>
      </c>
      <c r="U70" s="272">
        <f t="shared" si="8"/>
        <v>2.6988780705650929E-3</v>
      </c>
      <c r="V70" s="41">
        <f t="shared" si="9"/>
        <v>5.871037673437538</v>
      </c>
    </row>
    <row r="71" spans="1:22" ht="15.75" customHeight="1">
      <c r="A71" s="31" t="s">
        <v>104</v>
      </c>
      <c r="B71" s="32">
        <v>2087</v>
      </c>
      <c r="C71" s="271">
        <f t="shared" si="10"/>
        <v>1.4692322476771944E-4</v>
      </c>
      <c r="D71" s="271">
        <f t="shared" si="18"/>
        <v>1.4692322476771944E-4</v>
      </c>
      <c r="E71" s="34"/>
      <c r="F71" s="42">
        <v>500</v>
      </c>
      <c r="G71" s="34">
        <f t="shared" si="0"/>
        <v>73461612.383859724</v>
      </c>
      <c r="H71" s="34">
        <f t="shared" si="1"/>
        <v>73094304.321940422</v>
      </c>
      <c r="I71" s="35">
        <f t="shared" si="19"/>
        <v>1</v>
      </c>
      <c r="J71" s="36">
        <f t="shared" si="13"/>
        <v>73094304.321940422</v>
      </c>
      <c r="K71" s="34">
        <f t="shared" si="14"/>
        <v>70606181116.076172</v>
      </c>
      <c r="L71" s="37">
        <f t="shared" si="15"/>
        <v>69407565535.051102</v>
      </c>
      <c r="M71" s="34">
        <f t="shared" si="2"/>
        <v>4371841419.0758915</v>
      </c>
      <c r="N71" s="34">
        <f t="shared" si="3"/>
        <v>0</v>
      </c>
      <c r="O71" s="34">
        <f t="shared" si="4"/>
        <v>4371841419.0758915</v>
      </c>
      <c r="P71" s="34">
        <f t="shared" ref="P71:P184" si="20">O71*$P$5</f>
        <v>437184141.9075892</v>
      </c>
      <c r="Q71" s="38">
        <f t="shared" si="5"/>
        <v>3914983990.7824612</v>
      </c>
      <c r="R71" s="39">
        <f t="shared" si="6"/>
        <v>1957491995.3912306</v>
      </c>
      <c r="S71" s="34">
        <f t="shared" si="7"/>
        <v>1957491995.3912306</v>
      </c>
      <c r="T71" s="40">
        <v>10284111374</v>
      </c>
      <c r="U71" s="272">
        <f t="shared" si="8"/>
        <v>2.6988780705650929E-3</v>
      </c>
      <c r="V71" s="41">
        <f t="shared" si="9"/>
        <v>5.8771762234689646</v>
      </c>
    </row>
    <row r="72" spans="1:22" ht="15.75" customHeight="1">
      <c r="A72" s="31" t="s">
        <v>105</v>
      </c>
      <c r="B72" s="32">
        <v>2088</v>
      </c>
      <c r="C72" s="271">
        <f t="shared" si="10"/>
        <v>1.322309022909475E-4</v>
      </c>
      <c r="D72" s="271">
        <f t="shared" si="18"/>
        <v>1.322309022909475E-4</v>
      </c>
      <c r="E72" s="34"/>
      <c r="F72" s="42">
        <v>500</v>
      </c>
      <c r="G72" s="34">
        <f t="shared" si="0"/>
        <v>66115451.145473748</v>
      </c>
      <c r="H72" s="34">
        <f t="shared" si="1"/>
        <v>65784873.889746383</v>
      </c>
      <c r="I72" s="35">
        <f t="shared" si="19"/>
        <v>1</v>
      </c>
      <c r="J72" s="36">
        <f t="shared" si="13"/>
        <v>65784873.889746383</v>
      </c>
      <c r="K72" s="34">
        <f t="shared" si="14"/>
        <v>71109150131.873505</v>
      </c>
      <c r="L72" s="37">
        <f t="shared" si="15"/>
        <v>69875579283.573013</v>
      </c>
      <c r="M72" s="34">
        <f t="shared" si="2"/>
        <v>4400439654.9222393</v>
      </c>
      <c r="N72" s="34">
        <f t="shared" si="3"/>
        <v>0</v>
      </c>
      <c r="O72" s="34">
        <f t="shared" si="4"/>
        <v>4400439654.9222393</v>
      </c>
      <c r="P72" s="34">
        <f t="shared" si="20"/>
        <v>440043965.49222398</v>
      </c>
      <c r="Q72" s="38">
        <f t="shared" si="5"/>
        <v>3940593710.9828653</v>
      </c>
      <c r="R72" s="39">
        <f t="shared" si="6"/>
        <v>1970296855.4914327</v>
      </c>
      <c r="S72" s="34">
        <f t="shared" si="7"/>
        <v>1970296855.4914327</v>
      </c>
      <c r="T72" s="40">
        <v>10280704572</v>
      </c>
      <c r="U72" s="272">
        <f t="shared" si="8"/>
        <v>2.6988780705650929E-3</v>
      </c>
      <c r="V72" s="41">
        <f t="shared" si="9"/>
        <v>5.9175818585750184</v>
      </c>
    </row>
    <row r="73" spans="1:22" ht="15.75" customHeight="1">
      <c r="A73" s="31" t="s">
        <v>106</v>
      </c>
      <c r="B73" s="32">
        <v>2089</v>
      </c>
      <c r="C73" s="271">
        <f t="shared" si="10"/>
        <v>1.1900781206185275E-4</v>
      </c>
      <c r="D73" s="271">
        <f t="shared" si="18"/>
        <v>1.1900781206185275E-4</v>
      </c>
      <c r="E73" s="34"/>
      <c r="F73" s="42">
        <v>500</v>
      </c>
      <c r="G73" s="34">
        <f t="shared" si="0"/>
        <v>59503906.030926377</v>
      </c>
      <c r="H73" s="34">
        <f t="shared" si="1"/>
        <v>59206386.500771746</v>
      </c>
      <c r="I73" s="35">
        <f t="shared" si="19"/>
        <v>1</v>
      </c>
      <c r="J73" s="36">
        <f t="shared" si="13"/>
        <v>59206386.500771746</v>
      </c>
      <c r="K73" s="34">
        <f t="shared" si="14"/>
        <v>71608400483.866501</v>
      </c>
      <c r="L73" s="37">
        <f t="shared" si="15"/>
        <v>70339642220.74823</v>
      </c>
      <c r="M73" s="34">
        <f t="shared" si="2"/>
        <v>4430111726.5785294</v>
      </c>
      <c r="N73" s="34">
        <f t="shared" si="3"/>
        <v>0</v>
      </c>
      <c r="O73" s="34">
        <f t="shared" si="4"/>
        <v>4430111726.5785294</v>
      </c>
      <c r="P73" s="34">
        <f t="shared" si="20"/>
        <v>443011172.65785295</v>
      </c>
      <c r="Q73" s="38">
        <f t="shared" si="5"/>
        <v>3967165051.151073</v>
      </c>
      <c r="R73" s="39">
        <f t="shared" si="6"/>
        <v>1983582525.5755365</v>
      </c>
      <c r="S73" s="34">
        <f t="shared" si="7"/>
        <v>1983582525.5755365</v>
      </c>
      <c r="T73" s="40">
        <v>10276518280</v>
      </c>
      <c r="U73" s="272">
        <f t="shared" si="8"/>
        <v>2.6988780705650929E-3</v>
      </c>
      <c r="V73" s="41">
        <f t="shared" si="9"/>
        <v>5.9599108574498745</v>
      </c>
    </row>
    <row r="74" spans="1:22" ht="15.75" customHeight="1">
      <c r="A74" s="31" t="s">
        <v>107</v>
      </c>
      <c r="B74" s="32">
        <v>2090</v>
      </c>
      <c r="C74" s="271">
        <f t="shared" si="10"/>
        <v>1.0710703085566747E-4</v>
      </c>
      <c r="D74" s="271">
        <f t="shared" si="18"/>
        <v>1.0710703085566747E-4</v>
      </c>
      <c r="E74" s="34"/>
      <c r="F74" s="42">
        <v>500</v>
      </c>
      <c r="G74" s="34">
        <f t="shared" si="0"/>
        <v>53553515.427833736</v>
      </c>
      <c r="H74" s="34">
        <f t="shared" si="1"/>
        <v>53285747.850694567</v>
      </c>
      <c r="I74" s="35">
        <f t="shared" si="19"/>
        <v>1</v>
      </c>
      <c r="J74" s="36">
        <f t="shared" si="13"/>
        <v>53285747.850694567</v>
      </c>
      <c r="K74" s="34">
        <f t="shared" si="14"/>
        <v>72104697404.375046</v>
      </c>
      <c r="L74" s="37">
        <f t="shared" si="15"/>
        <v>70800521171.686157</v>
      </c>
      <c r="M74" s="34">
        <f t="shared" si="2"/>
        <v>4459533316.7954378</v>
      </c>
      <c r="N74" s="34">
        <f t="shared" si="3"/>
        <v>0</v>
      </c>
      <c r="O74" s="34">
        <f t="shared" si="4"/>
        <v>4459533316.7954378</v>
      </c>
      <c r="P74" s="34">
        <f t="shared" si="20"/>
        <v>445953331.67954379</v>
      </c>
      <c r="Q74" s="38">
        <f t="shared" si="5"/>
        <v>3993512085.1903143</v>
      </c>
      <c r="R74" s="39">
        <f t="shared" si="6"/>
        <v>1996756042.5951571</v>
      </c>
      <c r="S74" s="34">
        <f t="shared" si="7"/>
        <v>1996756042.5951571</v>
      </c>
      <c r="T74" s="40">
        <v>10271565070</v>
      </c>
      <c r="U74" s="272">
        <f t="shared" si="8"/>
        <v>2.6988780705650929E-3</v>
      </c>
      <c r="V74" s="41">
        <f t="shared" si="9"/>
        <v>6.00238537218135</v>
      </c>
    </row>
    <row r="75" spans="1:22" ht="15.75" customHeight="1">
      <c r="A75" s="31" t="s">
        <v>108</v>
      </c>
      <c r="B75" s="32">
        <v>2091</v>
      </c>
      <c r="C75" s="271">
        <f t="shared" si="10"/>
        <v>9.6396327770100724E-5</v>
      </c>
      <c r="D75" s="271">
        <f t="shared" si="18"/>
        <v>9.6396327770100724E-5</v>
      </c>
      <c r="E75" s="34"/>
      <c r="F75" s="42">
        <v>500</v>
      </c>
      <c r="G75" s="34">
        <f t="shared" si="0"/>
        <v>48198163.885050364</v>
      </c>
      <c r="H75" s="34">
        <f t="shared" si="1"/>
        <v>47957173.065625109</v>
      </c>
      <c r="I75" s="35">
        <f t="shared" si="19"/>
        <v>1</v>
      </c>
      <c r="J75" s="36">
        <f t="shared" si="13"/>
        <v>47957173.065625109</v>
      </c>
      <c r="K75" s="34">
        <f t="shared" si="14"/>
        <v>72598607909.120224</v>
      </c>
      <c r="L75" s="37">
        <f t="shared" si="15"/>
        <v>71258784460.593124</v>
      </c>
      <c r="M75" s="34">
        <f t="shared" si="2"/>
        <v>4488753042.2849026</v>
      </c>
      <c r="N75" s="34">
        <f t="shared" si="3"/>
        <v>0</v>
      </c>
      <c r="O75" s="34">
        <f t="shared" si="4"/>
        <v>4488753042.2849026</v>
      </c>
      <c r="P75" s="34">
        <f t="shared" si="20"/>
        <v>448875304.22849029</v>
      </c>
      <c r="Q75" s="38">
        <f t="shared" si="5"/>
        <v>4019678349.3661304</v>
      </c>
      <c r="R75" s="39">
        <f t="shared" si="6"/>
        <v>2009839174.6830652</v>
      </c>
      <c r="S75" s="34">
        <f t="shared" si="7"/>
        <v>2009839174.6830652</v>
      </c>
      <c r="T75" s="40">
        <v>10265861714</v>
      </c>
      <c r="U75" s="272">
        <f t="shared" si="8"/>
        <v>2.6988780705650929E-3</v>
      </c>
      <c r="V75" s="41">
        <f t="shared" si="9"/>
        <v>6.0450707293977581</v>
      </c>
    </row>
    <row r="76" spans="1:22" ht="15.75" customHeight="1">
      <c r="A76" s="31" t="s">
        <v>109</v>
      </c>
      <c r="B76" s="32">
        <v>2092</v>
      </c>
      <c r="C76" s="271">
        <f t="shared" si="10"/>
        <v>8.6756694993090659E-5</v>
      </c>
      <c r="D76" s="271">
        <f t="shared" si="18"/>
        <v>8.6756694993090659E-5</v>
      </c>
      <c r="E76" s="34"/>
      <c r="F76" s="42">
        <v>500</v>
      </c>
      <c r="G76" s="34">
        <f t="shared" si="0"/>
        <v>43378347.49654533</v>
      </c>
      <c r="H76" s="34">
        <f t="shared" si="1"/>
        <v>43161455.759062603</v>
      </c>
      <c r="I76" s="35">
        <f t="shared" si="19"/>
        <v>1</v>
      </c>
      <c r="J76" s="36">
        <f t="shared" si="13"/>
        <v>43161455.759062603</v>
      </c>
      <c r="K76" s="34">
        <f t="shared" si="14"/>
        <v>73090644669.107773</v>
      </c>
      <c r="L76" s="37">
        <f t="shared" si="15"/>
        <v>71714945809.970383</v>
      </c>
      <c r="M76" s="34">
        <f t="shared" si="2"/>
        <v>4517806934.8016043</v>
      </c>
      <c r="N76" s="34">
        <f t="shared" si="3"/>
        <v>0</v>
      </c>
      <c r="O76" s="34">
        <f t="shared" si="4"/>
        <v>4517806934.8016043</v>
      </c>
      <c r="P76" s="34">
        <f t="shared" si="20"/>
        <v>451780693.48016047</v>
      </c>
      <c r="Q76" s="38">
        <f t="shared" si="5"/>
        <v>4045696110.1148362</v>
      </c>
      <c r="R76" s="39">
        <f t="shared" si="6"/>
        <v>2022848055.0574181</v>
      </c>
      <c r="S76" s="34">
        <f t="shared" si="7"/>
        <v>2022848055.0574181</v>
      </c>
      <c r="T76" s="40">
        <v>10259408375</v>
      </c>
      <c r="U76" s="272">
        <f t="shared" si="8"/>
        <v>2.6988780705650929E-3</v>
      </c>
      <c r="V76" s="41">
        <f t="shared" si="9"/>
        <v>6.0880251022163998</v>
      </c>
    </row>
    <row r="77" spans="1:22" ht="15.75" customHeight="1">
      <c r="A77" s="31" t="s">
        <v>110</v>
      </c>
      <c r="B77" s="32">
        <v>2093</v>
      </c>
      <c r="C77" s="271">
        <f t="shared" si="10"/>
        <v>7.8081025493781592E-5</v>
      </c>
      <c r="D77" s="271">
        <f t="shared" si="18"/>
        <v>7.8081025493781592E-5</v>
      </c>
      <c r="E77" s="34"/>
      <c r="F77" s="42">
        <v>500</v>
      </c>
      <c r="G77" s="34">
        <f t="shared" si="0"/>
        <v>39040512.746890798</v>
      </c>
      <c r="H77" s="34">
        <f t="shared" si="1"/>
        <v>38845310.183156341</v>
      </c>
      <c r="I77" s="35">
        <f t="shared" si="19"/>
        <v>1</v>
      </c>
      <c r="J77" s="36">
        <f t="shared" si="13"/>
        <v>38845310.183156341</v>
      </c>
      <c r="K77" s="34">
        <f t="shared" si="14"/>
        <v>73581270672.771088</v>
      </c>
      <c r="L77" s="37">
        <f t="shared" si="15"/>
        <v>72169469027.726883</v>
      </c>
      <c r="M77" s="34">
        <f t="shared" si="2"/>
        <v>4546727564.3521223</v>
      </c>
      <c r="N77" s="34">
        <f t="shared" si="3"/>
        <v>0</v>
      </c>
      <c r="O77" s="34">
        <f t="shared" si="4"/>
        <v>4546727564.3521223</v>
      </c>
      <c r="P77" s="34">
        <f t="shared" si="20"/>
        <v>454672756.43521225</v>
      </c>
      <c r="Q77" s="38">
        <f t="shared" si="5"/>
        <v>4071594533.8773255</v>
      </c>
      <c r="R77" s="39">
        <f t="shared" si="6"/>
        <v>2035797266.9386628</v>
      </c>
      <c r="S77" s="34">
        <f t="shared" si="7"/>
        <v>2035797266.9386628</v>
      </c>
      <c r="T77" s="40">
        <v>10252184759</v>
      </c>
      <c r="U77" s="272">
        <f t="shared" si="8"/>
        <v>2.6988780705650929E-3</v>
      </c>
      <c r="V77" s="41">
        <f t="shared" si="9"/>
        <v>6.1313144831424209</v>
      </c>
    </row>
    <row r="78" spans="1:22" ht="15.75" customHeight="1">
      <c r="A78" s="31" t="s">
        <v>111</v>
      </c>
      <c r="B78" s="32">
        <v>2094</v>
      </c>
      <c r="C78" s="271">
        <f t="shared" si="10"/>
        <v>7.0272922944403433E-5</v>
      </c>
      <c r="D78" s="271">
        <f t="shared" si="18"/>
        <v>7.0272922944403433E-5</v>
      </c>
      <c r="E78" s="34"/>
      <c r="F78" s="42">
        <v>500</v>
      </c>
      <c r="G78" s="34">
        <f t="shared" si="0"/>
        <v>35136461.472201712</v>
      </c>
      <c r="H78" s="34">
        <f t="shared" si="1"/>
        <v>34960779.164840706</v>
      </c>
      <c r="I78" s="35">
        <f t="shared" si="19"/>
        <v>1</v>
      </c>
      <c r="J78" s="36">
        <f t="shared" si="13"/>
        <v>34960779.164840706</v>
      </c>
      <c r="K78" s="34">
        <f t="shared" si="14"/>
        <v>74070904208.37114</v>
      </c>
      <c r="L78" s="37">
        <f t="shared" si="15"/>
        <v>72622773012.045273</v>
      </c>
      <c r="M78" s="34">
        <f t="shared" si="2"/>
        <v>4575544336.3578844</v>
      </c>
      <c r="N78" s="34">
        <f t="shared" si="3"/>
        <v>0</v>
      </c>
      <c r="O78" s="34">
        <f t="shared" si="4"/>
        <v>4575544336.3578844</v>
      </c>
      <c r="P78" s="34">
        <f t="shared" si="20"/>
        <v>457554433.63578844</v>
      </c>
      <c r="Q78" s="38">
        <f t="shared" si="5"/>
        <v>4097399953.2084856</v>
      </c>
      <c r="R78" s="39">
        <f t="shared" si="6"/>
        <v>2048699976.6042428</v>
      </c>
      <c r="S78" s="34">
        <f t="shared" si="7"/>
        <v>2048699976.6042428</v>
      </c>
      <c r="T78" s="40">
        <v>10244185837</v>
      </c>
      <c r="U78" s="272">
        <f t="shared" si="8"/>
        <v>2.6988780705650929E-3</v>
      </c>
      <c r="V78" s="41">
        <f t="shared" si="9"/>
        <v>6.1749920617259413</v>
      </c>
    </row>
    <row r="79" spans="1:22" ht="15.75" customHeight="1">
      <c r="A79" s="31" t="s">
        <v>112</v>
      </c>
      <c r="B79" s="32">
        <v>2095</v>
      </c>
      <c r="C79" s="274">
        <f t="shared" si="10"/>
        <v>6.3245630649963087E-5</v>
      </c>
      <c r="D79" s="271">
        <f t="shared" si="18"/>
        <v>6.3245630649963087E-5</v>
      </c>
      <c r="E79" s="34"/>
      <c r="F79" s="42">
        <v>500</v>
      </c>
      <c r="G79" s="34">
        <f t="shared" si="0"/>
        <v>31622815.32498154</v>
      </c>
      <c r="H79" s="34">
        <f t="shared" si="1"/>
        <v>31464701.248356633</v>
      </c>
      <c r="I79" s="35">
        <f t="shared" si="19"/>
        <v>1</v>
      </c>
      <c r="J79" s="36">
        <f t="shared" si="13"/>
        <v>31464701.248356633</v>
      </c>
      <c r="K79" s="34">
        <f t="shared" si="14"/>
        <v>74559923343.25528</v>
      </c>
      <c r="L79" s="37">
        <f t="shared" si="15"/>
        <v>73075236250.855957</v>
      </c>
      <c r="M79" s="34">
        <f t="shared" si="2"/>
        <v>4604283808.9636698</v>
      </c>
      <c r="N79" s="34">
        <f t="shared" si="3"/>
        <v>0</v>
      </c>
      <c r="O79" s="34">
        <f t="shared" si="4"/>
        <v>4604283808.9636698</v>
      </c>
      <c r="P79" s="34">
        <f t="shared" si="20"/>
        <v>460428380.89636701</v>
      </c>
      <c r="Q79" s="38">
        <f t="shared" si="5"/>
        <v>4123136150.9269662</v>
      </c>
      <c r="R79" s="39">
        <f t="shared" si="6"/>
        <v>2061568075.4634831</v>
      </c>
      <c r="S79" s="34">
        <f t="shared" si="7"/>
        <v>2061568075.4634831</v>
      </c>
      <c r="T79" s="40">
        <v>10235403601</v>
      </c>
      <c r="U79" s="272">
        <f t="shared" si="8"/>
        <v>2.6988780705650929E-3</v>
      </c>
      <c r="V79" s="41">
        <f t="shared" si="9"/>
        <v>6.2191094118537507</v>
      </c>
    </row>
    <row r="80" spans="1:22" ht="15.75" customHeight="1">
      <c r="A80" s="31" t="s">
        <v>113</v>
      </c>
      <c r="B80" s="32">
        <v>2096</v>
      </c>
      <c r="C80" s="274">
        <f t="shared" si="10"/>
        <v>5.6921067584966777E-5</v>
      </c>
      <c r="D80" s="271">
        <f t="shared" si="18"/>
        <v>5.6921067584966777E-5</v>
      </c>
      <c r="E80" s="34"/>
      <c r="F80" s="42">
        <v>500</v>
      </c>
      <c r="G80" s="34">
        <f t="shared" si="0"/>
        <v>28460533.792483389</v>
      </c>
      <c r="H80" s="34">
        <f t="shared" si="1"/>
        <v>28318231.123520974</v>
      </c>
      <c r="I80" s="35">
        <f t="shared" si="19"/>
        <v>1</v>
      </c>
      <c r="J80" s="36">
        <f t="shared" si="13"/>
        <v>28318231.123520974</v>
      </c>
      <c r="K80" s="34">
        <f t="shared" si="14"/>
        <v>75048669955.275162</v>
      </c>
      <c r="L80" s="37">
        <f t="shared" si="15"/>
        <v>73527200871.444412</v>
      </c>
      <c r="M80" s="34">
        <f t="shared" si="2"/>
        <v>4632969978.3042679</v>
      </c>
      <c r="N80" s="34">
        <f t="shared" si="3"/>
        <v>0</v>
      </c>
      <c r="O80" s="34">
        <f t="shared" si="4"/>
        <v>4632969978.3042679</v>
      </c>
      <c r="P80" s="34">
        <f t="shared" si="20"/>
        <v>463296997.83042681</v>
      </c>
      <c r="Q80" s="38">
        <f t="shared" si="5"/>
        <v>4148824615.5714722</v>
      </c>
      <c r="R80" s="39">
        <f t="shared" si="6"/>
        <v>2074412307.7857361</v>
      </c>
      <c r="S80" s="34">
        <f t="shared" si="7"/>
        <v>2074412307.7857361</v>
      </c>
      <c r="T80" s="40">
        <v>10225850874</v>
      </c>
      <c r="U80" s="272">
        <f t="shared" si="8"/>
        <v>2.6988780705650929E-3</v>
      </c>
      <c r="V80" s="41">
        <f t="shared" si="9"/>
        <v>6.2637023928258726</v>
      </c>
    </row>
    <row r="81" spans="1:22" ht="15.75" customHeight="1">
      <c r="A81" s="31" t="s">
        <v>114</v>
      </c>
      <c r="B81" s="32">
        <v>2097</v>
      </c>
      <c r="C81" s="274">
        <f t="shared" si="10"/>
        <v>5.1228960826470102E-5</v>
      </c>
      <c r="D81" s="271">
        <f t="shared" si="18"/>
        <v>5.1228960826470102E-5</v>
      </c>
      <c r="E81" s="34"/>
      <c r="F81" s="42">
        <v>500</v>
      </c>
      <c r="G81" s="34">
        <f t="shared" si="0"/>
        <v>25614480.413235053</v>
      </c>
      <c r="H81" s="34">
        <f t="shared" si="1"/>
        <v>25486408.011168879</v>
      </c>
      <c r="I81" s="35">
        <f t="shared" si="19"/>
        <v>1</v>
      </c>
      <c r="J81" s="36">
        <f t="shared" si="13"/>
        <v>25486408.011168879</v>
      </c>
      <c r="K81" s="34">
        <f t="shared" si="14"/>
        <v>75537453361.11676</v>
      </c>
      <c r="L81" s="37">
        <f t="shared" si="15"/>
        <v>73978976285.147369</v>
      </c>
      <c r="M81" s="34">
        <f t="shared" si="2"/>
        <v>4661624535.2495756</v>
      </c>
      <c r="N81" s="34">
        <f t="shared" si="3"/>
        <v>0</v>
      </c>
      <c r="O81" s="34">
        <f t="shared" si="4"/>
        <v>4661624535.2495756</v>
      </c>
      <c r="P81" s="34">
        <f t="shared" si="20"/>
        <v>466162453.5249576</v>
      </c>
      <c r="Q81" s="38">
        <f t="shared" si="5"/>
        <v>4174484771.3159947</v>
      </c>
      <c r="R81" s="39">
        <f t="shared" si="6"/>
        <v>2087242385.6579974</v>
      </c>
      <c r="S81" s="34">
        <f t="shared" si="7"/>
        <v>2087242385.6579974</v>
      </c>
      <c r="T81" s="40">
        <v>10215549310</v>
      </c>
      <c r="U81" s="272">
        <f t="shared" si="8"/>
        <v>2.6988780705650929E-3</v>
      </c>
      <c r="V81" s="41">
        <f t="shared" si="9"/>
        <v>6.3087984115326323</v>
      </c>
    </row>
    <row r="82" spans="1:22" ht="15.75" customHeight="1">
      <c r="A82" s="31" t="s">
        <v>115</v>
      </c>
      <c r="B82" s="32">
        <v>2098</v>
      </c>
      <c r="C82" s="274">
        <f t="shared" si="10"/>
        <v>4.6106064743823091E-5</v>
      </c>
      <c r="D82" s="271">
        <f t="shared" si="18"/>
        <v>4.6106064743823091E-5</v>
      </c>
      <c r="E82" s="34"/>
      <c r="F82" s="42">
        <v>500</v>
      </c>
      <c r="G82" s="34">
        <f t="shared" si="0"/>
        <v>23053032.371911544</v>
      </c>
      <c r="H82" s="34">
        <f t="shared" si="1"/>
        <v>22937767.210051987</v>
      </c>
      <c r="I82" s="35">
        <f t="shared" si="19"/>
        <v>1</v>
      </c>
      <c r="J82" s="36">
        <f t="shared" si="13"/>
        <v>22937767.210051987</v>
      </c>
      <c r="K82" s="34">
        <f t="shared" si="14"/>
        <v>76026553581.851776</v>
      </c>
      <c r="L82" s="37">
        <f t="shared" si="15"/>
        <v>74430842467.629456</v>
      </c>
      <c r="M82" s="34">
        <f t="shared" si="2"/>
        <v>4690267096.478343</v>
      </c>
      <c r="N82" s="34">
        <f t="shared" si="3"/>
        <v>0</v>
      </c>
      <c r="O82" s="34">
        <f t="shared" si="4"/>
        <v>4690267096.478343</v>
      </c>
      <c r="P82" s="34">
        <f t="shared" si="20"/>
        <v>469026709.6478343</v>
      </c>
      <c r="Q82" s="38">
        <f t="shared" si="5"/>
        <v>4200134184.8963561</v>
      </c>
      <c r="R82" s="39">
        <f t="shared" si="6"/>
        <v>2100067092.4481781</v>
      </c>
      <c r="S82" s="34">
        <f t="shared" si="7"/>
        <v>2100067092.4481781</v>
      </c>
      <c r="T82" s="40">
        <v>10204489862</v>
      </c>
      <c r="U82" s="272">
        <f t="shared" si="8"/>
        <v>2.6988780705650929E-3</v>
      </c>
      <c r="V82" s="41">
        <f t="shared" si="9"/>
        <v>6.3544411298781354</v>
      </c>
    </row>
    <row r="83" spans="1:22" ht="15.75" customHeight="1">
      <c r="A83" s="31" t="s">
        <v>116</v>
      </c>
      <c r="B83" s="32">
        <v>2099</v>
      </c>
      <c r="C83" s="274">
        <f t="shared" si="10"/>
        <v>4.1495458269440782E-5</v>
      </c>
      <c r="D83" s="271">
        <f t="shared" si="18"/>
        <v>4.1495458269440782E-5</v>
      </c>
      <c r="E83" s="34"/>
      <c r="F83" s="42">
        <v>500</v>
      </c>
      <c r="G83" s="34">
        <f t="shared" si="0"/>
        <v>20747729.134720389</v>
      </c>
      <c r="H83" s="34">
        <f t="shared" si="1"/>
        <v>20643990.489046786</v>
      </c>
      <c r="I83" s="35">
        <f t="shared" si="19"/>
        <v>1</v>
      </c>
      <c r="J83" s="36">
        <f t="shared" si="13"/>
        <v>20643990.489046786</v>
      </c>
      <c r="K83" s="34">
        <f t="shared" si="14"/>
        <v>76516224281.988647</v>
      </c>
      <c r="L83" s="37">
        <f t="shared" si="15"/>
        <v>74883052911.182449</v>
      </c>
      <c r="M83" s="34">
        <f t="shared" si="2"/>
        <v>4718915412.4477072</v>
      </c>
      <c r="N83" s="34">
        <f t="shared" si="3"/>
        <v>0</v>
      </c>
      <c r="O83" s="34">
        <f t="shared" si="4"/>
        <v>4718915412.4477072</v>
      </c>
      <c r="P83" s="34">
        <f t="shared" si="20"/>
        <v>471891541.24477077</v>
      </c>
      <c r="Q83" s="38">
        <f t="shared" si="5"/>
        <v>4225788751.8469214</v>
      </c>
      <c r="R83" s="39">
        <f t="shared" si="6"/>
        <v>2112894375.9234607</v>
      </c>
      <c r="S83" s="34">
        <f t="shared" si="7"/>
        <v>2112894375.9234607</v>
      </c>
      <c r="T83" s="40">
        <v>10192689066</v>
      </c>
      <c r="U83" s="272">
        <f t="shared" si="8"/>
        <v>2.6988780705650929E-3</v>
      </c>
      <c r="V83" s="41">
        <f t="shared" si="9"/>
        <v>6.400656201234785</v>
      </c>
    </row>
    <row r="84" spans="1:22" ht="15.75" customHeight="1">
      <c r="A84" s="31" t="s">
        <v>117</v>
      </c>
      <c r="B84" s="32">
        <v>2100</v>
      </c>
      <c r="C84" s="274">
        <f t="shared" si="10"/>
        <v>3.7345912442496704E-5</v>
      </c>
      <c r="D84" s="271">
        <f t="shared" si="18"/>
        <v>3.7345912442496704E-5</v>
      </c>
      <c r="E84" s="34"/>
      <c r="F84" s="42">
        <v>500</v>
      </c>
      <c r="G84" s="34">
        <f t="shared" si="0"/>
        <v>18672956.221248351</v>
      </c>
      <c r="H84" s="34">
        <f t="shared" si="1"/>
        <v>18579591.44014211</v>
      </c>
      <c r="I84" s="35">
        <f t="shared" si="19"/>
        <v>1</v>
      </c>
      <c r="J84" s="36">
        <f t="shared" si="13"/>
        <v>18579591.44014211</v>
      </c>
      <c r="K84" s="34">
        <f t="shared" si="14"/>
        <v>77006695414.673553</v>
      </c>
      <c r="L84" s="37">
        <f t="shared" si="15"/>
        <v>75335837281.845428</v>
      </c>
      <c r="M84" s="34">
        <f t="shared" si="2"/>
        <v>4747585554.5689669</v>
      </c>
      <c r="N84" s="34">
        <f t="shared" si="3"/>
        <v>0</v>
      </c>
      <c r="O84" s="34">
        <f t="shared" si="4"/>
        <v>4747585554.5689669</v>
      </c>
      <c r="P84" s="34">
        <f t="shared" si="20"/>
        <v>474758555.45689672</v>
      </c>
      <c r="Q84" s="38">
        <f t="shared" si="5"/>
        <v>4251462864.1165099</v>
      </c>
      <c r="R84" s="39">
        <f t="shared" si="6"/>
        <v>2125731432.058255</v>
      </c>
      <c r="S84" s="34">
        <f t="shared" si="7"/>
        <v>2125731432.058255</v>
      </c>
      <c r="T84" s="40">
        <v>10180160751</v>
      </c>
      <c r="U84" s="272">
        <f t="shared" si="8"/>
        <v>2.6988780705650929E-3</v>
      </c>
      <c r="V84" s="41">
        <f t="shared" si="9"/>
        <v>6.447468779981385</v>
      </c>
    </row>
    <row r="85" spans="1:22" ht="15.75" customHeight="1">
      <c r="A85" s="31" t="s">
        <v>118</v>
      </c>
      <c r="B85" s="32">
        <v>2101</v>
      </c>
      <c r="C85" s="274">
        <f t="shared" si="10"/>
        <v>3.3611321198247037E-5</v>
      </c>
      <c r="D85" s="271">
        <f t="shared" si="18"/>
        <v>3.3611321198247037E-5</v>
      </c>
      <c r="E85" s="34"/>
      <c r="F85" s="42">
        <v>500</v>
      </c>
      <c r="G85" s="34">
        <f t="shared" si="0"/>
        <v>16805660.599123519</v>
      </c>
      <c r="H85" s="34">
        <f t="shared" si="1"/>
        <v>16721632.2961279</v>
      </c>
      <c r="I85" s="35">
        <f t="shared" si="19"/>
        <v>1</v>
      </c>
      <c r="J85" s="36">
        <f t="shared" si="13"/>
        <v>16721632.2961279</v>
      </c>
      <c r="K85" s="34">
        <f t="shared" si="14"/>
        <v>77498175602.426575</v>
      </c>
      <c r="L85" s="37">
        <f t="shared" si="15"/>
        <v>75789403810.863647</v>
      </c>
      <c r="M85" s="34">
        <f t="shared" si="2"/>
        <v>4776292083.6689997</v>
      </c>
      <c r="N85" s="34">
        <f t="shared" si="3"/>
        <v>0</v>
      </c>
      <c r="O85" s="34">
        <f t="shared" si="4"/>
        <v>4776292083.6689997</v>
      </c>
      <c r="P85" s="34">
        <f t="shared" si="20"/>
        <v>477629208.36689997</v>
      </c>
      <c r="Q85" s="38">
        <f t="shared" si="5"/>
        <v>4277169560.9255886</v>
      </c>
      <c r="R85" s="39">
        <f t="shared" si="6"/>
        <v>2138584780.4627943</v>
      </c>
      <c r="S85" s="34">
        <f t="shared" si="7"/>
        <v>2138584780.4627943</v>
      </c>
      <c r="T85" s="40">
        <f t="shared" ref="T85:T184" si="21">T84*99.9%</f>
        <v>10169980590.249001</v>
      </c>
      <c r="U85" s="272">
        <f t="shared" si="8"/>
        <v>2.6988780705650929E-3</v>
      </c>
      <c r="V85" s="41">
        <f t="shared" si="9"/>
        <v>6.4929466902972379</v>
      </c>
    </row>
    <row r="86" spans="1:22" ht="15.75" customHeight="1">
      <c r="A86" s="31" t="s">
        <v>119</v>
      </c>
      <c r="B86" s="32">
        <v>2102</v>
      </c>
      <c r="C86" s="274">
        <f t="shared" si="10"/>
        <v>3.0250189078422332E-5</v>
      </c>
      <c r="D86" s="271">
        <f t="shared" si="18"/>
        <v>3.0250189078422332E-5</v>
      </c>
      <c r="E86" s="34"/>
      <c r="F86" s="42">
        <v>500</v>
      </c>
      <c r="G86" s="34">
        <f t="shared" si="0"/>
        <v>15125094.539211165</v>
      </c>
      <c r="H86" s="34">
        <f t="shared" si="1"/>
        <v>15049469.066515109</v>
      </c>
      <c r="I86" s="35">
        <f t="shared" si="19"/>
        <v>1</v>
      </c>
      <c r="J86" s="36">
        <f t="shared" si="13"/>
        <v>15049469.066515109</v>
      </c>
      <c r="K86" s="34">
        <f t="shared" si="14"/>
        <v>77990854279.859985</v>
      </c>
      <c r="L86" s="37">
        <f t="shared" si="15"/>
        <v>76243941447.052917</v>
      </c>
      <c r="M86" s="34">
        <f t="shared" si="2"/>
        <v>4805048201.6087551</v>
      </c>
      <c r="N86" s="34">
        <f t="shared" si="3"/>
        <v>0</v>
      </c>
      <c r="O86" s="34">
        <f t="shared" si="4"/>
        <v>4805048201.6087551</v>
      </c>
      <c r="P86" s="34">
        <f t="shared" si="20"/>
        <v>480504820.16087556</v>
      </c>
      <c r="Q86" s="38">
        <f t="shared" si="5"/>
        <v>4302920664.5406408</v>
      </c>
      <c r="R86" s="39">
        <f t="shared" si="6"/>
        <v>2151460332.2703204</v>
      </c>
      <c r="S86" s="34">
        <f t="shared" si="7"/>
        <v>2151460332.2703204</v>
      </c>
      <c r="T86" s="40">
        <f t="shared" si="21"/>
        <v>10159810609.658752</v>
      </c>
      <c r="U86" s="272">
        <f t="shared" si="8"/>
        <v>2.6988780705650929E-3</v>
      </c>
      <c r="V86" s="41">
        <f t="shared" si="9"/>
        <v>6.5385766662187779</v>
      </c>
    </row>
    <row r="87" spans="1:22" ht="15.75" customHeight="1">
      <c r="A87" s="31" t="s">
        <v>120</v>
      </c>
      <c r="B87" s="32">
        <v>2103</v>
      </c>
      <c r="C87" s="274">
        <f t="shared" si="10"/>
        <v>2.7225170170580099E-5</v>
      </c>
      <c r="D87" s="271">
        <f t="shared" si="18"/>
        <v>2.7225170170580099E-5</v>
      </c>
      <c r="E87" s="34"/>
      <c r="F87" s="42">
        <v>500</v>
      </c>
      <c r="G87" s="34">
        <f t="shared" si="0"/>
        <v>13612585.08529005</v>
      </c>
      <c r="H87" s="34">
        <f t="shared" si="1"/>
        <v>13544522.159863601</v>
      </c>
      <c r="I87" s="35">
        <f t="shared" si="19"/>
        <v>1</v>
      </c>
      <c r="J87" s="36">
        <f t="shared" si="13"/>
        <v>13544522.159863601</v>
      </c>
      <c r="K87" s="34">
        <f t="shared" si="14"/>
        <v>78484903622.180725</v>
      </c>
      <c r="L87" s="37">
        <f t="shared" si="15"/>
        <v>76699621793.978973</v>
      </c>
      <c r="M87" s="34">
        <f t="shared" si="2"/>
        <v>4833865887.7431545</v>
      </c>
      <c r="N87" s="34">
        <f t="shared" si="3"/>
        <v>0</v>
      </c>
      <c r="O87" s="34">
        <f t="shared" si="4"/>
        <v>4833865887.7431545</v>
      </c>
      <c r="P87" s="34">
        <f t="shared" si="20"/>
        <v>483386588.77431548</v>
      </c>
      <c r="Q87" s="38">
        <f t="shared" si="5"/>
        <v>4328726902.4739943</v>
      </c>
      <c r="R87" s="39">
        <f t="shared" si="6"/>
        <v>2164363451.2369971</v>
      </c>
      <c r="S87" s="34">
        <f t="shared" si="7"/>
        <v>2164363451.2369971</v>
      </c>
      <c r="T87" s="40">
        <f t="shared" si="21"/>
        <v>10149650799.049095</v>
      </c>
      <c r="U87" s="272">
        <f t="shared" si="8"/>
        <v>2.6988780705650929E-3</v>
      </c>
      <c r="V87" s="41">
        <f t="shared" si="9"/>
        <v>6.5843753516515866</v>
      </c>
    </row>
    <row r="88" spans="1:22" ht="15.75" customHeight="1">
      <c r="A88" s="31" t="s">
        <v>121</v>
      </c>
      <c r="B88" s="32">
        <v>2104</v>
      </c>
      <c r="C88" s="274">
        <f t="shared" si="10"/>
        <v>2.4502653153522089E-5</v>
      </c>
      <c r="D88" s="271">
        <f t="shared" si="18"/>
        <v>2.4502653153522089E-5</v>
      </c>
      <c r="E88" s="34"/>
      <c r="F88" s="42">
        <v>500</v>
      </c>
      <c r="G88" s="34">
        <f t="shared" si="0"/>
        <v>12251326.576761045</v>
      </c>
      <c r="H88" s="34">
        <f t="shared" si="1"/>
        <v>12190069.943877239</v>
      </c>
      <c r="I88" s="35">
        <f t="shared" si="19"/>
        <v>1</v>
      </c>
      <c r="J88" s="36">
        <f t="shared" si="13"/>
        <v>12190069.943877239</v>
      </c>
      <c r="K88" s="34">
        <f t="shared" si="14"/>
        <v>78980480280.898926</v>
      </c>
      <c r="L88" s="37">
        <f t="shared" si="15"/>
        <v>77156600853.470825</v>
      </c>
      <c r="M88" s="34">
        <f t="shared" si="2"/>
        <v>4862756021.7382669</v>
      </c>
      <c r="N88" s="34">
        <f t="shared" si="3"/>
        <v>0</v>
      </c>
      <c r="O88" s="34">
        <f t="shared" si="4"/>
        <v>4862756021.7382669</v>
      </c>
      <c r="P88" s="34">
        <f t="shared" si="20"/>
        <v>486275602.17382669</v>
      </c>
      <c r="Q88" s="38">
        <f t="shared" si="5"/>
        <v>4354598017.4666176</v>
      </c>
      <c r="R88" s="39">
        <f t="shared" si="6"/>
        <v>2177299008.7333088</v>
      </c>
      <c r="S88" s="34">
        <f t="shared" si="7"/>
        <v>2177299008.7333088</v>
      </c>
      <c r="T88" s="40">
        <f t="shared" si="21"/>
        <v>10139501148.250048</v>
      </c>
      <c r="U88" s="272">
        <f t="shared" si="8"/>
        <v>2.6988780705650929E-3</v>
      </c>
      <c r="V88" s="41">
        <f t="shared" si="9"/>
        <v>6.6303579569817641</v>
      </c>
    </row>
    <row r="89" spans="1:22" ht="15.75" customHeight="1">
      <c r="A89" s="31" t="s">
        <v>122</v>
      </c>
      <c r="B89" s="32">
        <v>2105</v>
      </c>
      <c r="C89" s="274">
        <f t="shared" si="10"/>
        <v>2.2052387838169879E-5</v>
      </c>
      <c r="D89" s="271">
        <f t="shared" si="18"/>
        <v>2.2052387838169879E-5</v>
      </c>
      <c r="E89" s="34"/>
      <c r="F89" s="42">
        <v>500</v>
      </c>
      <c r="G89" s="34">
        <f t="shared" si="0"/>
        <v>11026193.91908494</v>
      </c>
      <c r="H89" s="34">
        <f t="shared" si="1"/>
        <v>10971062.949489515</v>
      </c>
      <c r="I89" s="35">
        <f t="shared" si="19"/>
        <v>1</v>
      </c>
      <c r="J89" s="36">
        <f t="shared" si="13"/>
        <v>10971062.949489515</v>
      </c>
      <c r="K89" s="34">
        <f t="shared" si="14"/>
        <v>79477726946.022247</v>
      </c>
      <c r="L89" s="37">
        <f t="shared" si="15"/>
        <v>77615020594.834854</v>
      </c>
      <c r="M89" s="34">
        <f t="shared" si="2"/>
        <v>4891728494.1100502</v>
      </c>
      <c r="N89" s="34">
        <f t="shared" si="3"/>
        <v>0</v>
      </c>
      <c r="O89" s="34">
        <f t="shared" si="4"/>
        <v>4891728494.1100502</v>
      </c>
      <c r="P89" s="34">
        <f t="shared" si="20"/>
        <v>489172849.41100502</v>
      </c>
      <c r="Q89" s="38">
        <f t="shared" si="5"/>
        <v>4380542866.4755497</v>
      </c>
      <c r="R89" s="39">
        <f t="shared" si="6"/>
        <v>2190271433.2377748</v>
      </c>
      <c r="S89" s="34">
        <f t="shared" si="7"/>
        <v>2190271433.2377748</v>
      </c>
      <c r="T89" s="40">
        <f t="shared" si="21"/>
        <v>10129361647.101799</v>
      </c>
      <c r="U89" s="272">
        <f t="shared" si="8"/>
        <v>2.6988780705650929E-3</v>
      </c>
      <c r="V89" s="41">
        <f t="shared" si="9"/>
        <v>6.6765384026059005</v>
      </c>
    </row>
    <row r="90" spans="1:22" ht="15.75" customHeight="1">
      <c r="A90" s="31" t="s">
        <v>123</v>
      </c>
      <c r="B90" s="32">
        <v>2106</v>
      </c>
      <c r="C90" s="274">
        <f t="shared" si="10"/>
        <v>1.984714905435289E-5</v>
      </c>
      <c r="D90" s="271">
        <f t="shared" si="18"/>
        <v>1.984714905435289E-5</v>
      </c>
      <c r="E90" s="34"/>
      <c r="F90" s="42">
        <v>500</v>
      </c>
      <c r="G90" s="34">
        <f t="shared" si="0"/>
        <v>9923574.5271764454</v>
      </c>
      <c r="H90" s="34">
        <f t="shared" si="1"/>
        <v>9873956.654540563</v>
      </c>
      <c r="I90" s="35">
        <f t="shared" si="19"/>
        <v>1</v>
      </c>
      <c r="J90" s="36">
        <f t="shared" si="13"/>
        <v>9873956.654540563</v>
      </c>
      <c r="K90" s="34">
        <f t="shared" si="14"/>
        <v>79976773752.087799</v>
      </c>
      <c r="L90" s="37">
        <f t="shared" si="15"/>
        <v>78075010367.199966</v>
      </c>
      <c r="M90" s="34">
        <f t="shared" si="2"/>
        <v>4920792305.7125292</v>
      </c>
      <c r="N90" s="34">
        <f t="shared" si="3"/>
        <v>0</v>
      </c>
      <c r="O90" s="34">
        <f t="shared" si="4"/>
        <v>4920792305.7125292</v>
      </c>
      <c r="P90" s="34">
        <f t="shared" si="20"/>
        <v>492079230.57125294</v>
      </c>
      <c r="Q90" s="38">
        <f t="shared" si="5"/>
        <v>4406569509.7655697</v>
      </c>
      <c r="R90" s="39">
        <f t="shared" si="6"/>
        <v>2203284754.8827848</v>
      </c>
      <c r="S90" s="34">
        <f t="shared" si="7"/>
        <v>2203284754.8827848</v>
      </c>
      <c r="T90" s="40">
        <f t="shared" si="21"/>
        <v>10119232285.454699</v>
      </c>
      <c r="U90" s="272">
        <f t="shared" si="8"/>
        <v>2.6988780705650929E-3</v>
      </c>
      <c r="V90" s="41">
        <f t="shared" si="9"/>
        <v>6.7229294482473696</v>
      </c>
    </row>
    <row r="91" spans="1:22" ht="15.75" customHeight="1">
      <c r="A91" s="31" t="s">
        <v>124</v>
      </c>
      <c r="B91" s="32">
        <v>2107</v>
      </c>
      <c r="C91" s="274">
        <f t="shared" si="10"/>
        <v>1.7862434148917601E-5</v>
      </c>
      <c r="D91" s="271">
        <f t="shared" si="18"/>
        <v>1.7862434148917601E-5</v>
      </c>
      <c r="E91" s="34"/>
      <c r="F91" s="42">
        <v>500</v>
      </c>
      <c r="G91" s="34">
        <f t="shared" si="0"/>
        <v>8931217.0744588003</v>
      </c>
      <c r="H91" s="34">
        <f t="shared" si="1"/>
        <v>8886560.9890865069</v>
      </c>
      <c r="I91" s="35">
        <f t="shared" si="19"/>
        <v>1</v>
      </c>
      <c r="J91" s="36">
        <f t="shared" si="13"/>
        <v>8886560.9890865069</v>
      </c>
      <c r="K91" s="34">
        <f t="shared" si="14"/>
        <v>80477739543.648148</v>
      </c>
      <c r="L91" s="37">
        <f t="shared" si="15"/>
        <v>78536688170.680939</v>
      </c>
      <c r="M91" s="34">
        <f t="shared" si="2"/>
        <v>4949955657.2804775</v>
      </c>
      <c r="N91" s="34">
        <f t="shared" si="3"/>
        <v>0</v>
      </c>
      <c r="O91" s="34">
        <f t="shared" si="4"/>
        <v>4949955657.2804775</v>
      </c>
      <c r="P91" s="34">
        <f t="shared" si="20"/>
        <v>494995565.72804779</v>
      </c>
      <c r="Q91" s="38">
        <f t="shared" si="5"/>
        <v>4432685291.0946684</v>
      </c>
      <c r="R91" s="39">
        <f t="shared" si="6"/>
        <v>2216342645.5473342</v>
      </c>
      <c r="S91" s="34">
        <f t="shared" si="7"/>
        <v>2216342645.5473342</v>
      </c>
      <c r="T91" s="40">
        <f t="shared" si="21"/>
        <v>10109113053.169245</v>
      </c>
      <c r="U91" s="272">
        <f t="shared" si="8"/>
        <v>2.6988780705650929E-3</v>
      </c>
      <c r="V91" s="41">
        <f t="shared" si="9"/>
        <v>6.7695428094675725</v>
      </c>
    </row>
    <row r="92" spans="1:22" ht="15.75" customHeight="1">
      <c r="A92" s="31" t="s">
        <v>125</v>
      </c>
      <c r="B92" s="32">
        <v>2108</v>
      </c>
      <c r="C92" s="274">
        <f t="shared" si="10"/>
        <v>1.6076190734025843E-5</v>
      </c>
      <c r="D92" s="271">
        <f t="shared" si="18"/>
        <v>1.6076190734025843E-5</v>
      </c>
      <c r="E92" s="34"/>
      <c r="F92" s="42">
        <v>500</v>
      </c>
      <c r="G92" s="34">
        <f t="shared" si="0"/>
        <v>8038095.3670129217</v>
      </c>
      <c r="H92" s="34">
        <f t="shared" si="1"/>
        <v>7997904.8901778571</v>
      </c>
      <c r="I92" s="35">
        <f t="shared" si="19"/>
        <v>1</v>
      </c>
      <c r="J92" s="36">
        <f t="shared" si="13"/>
        <v>7997904.8901778571</v>
      </c>
      <c r="K92" s="34">
        <f t="shared" si="14"/>
        <v>80980733014.266373</v>
      </c>
      <c r="L92" s="37">
        <f t="shared" si="15"/>
        <v>79000161800.478516</v>
      </c>
      <c r="M92" s="34">
        <f t="shared" si="2"/>
        <v>4979226030.0211716</v>
      </c>
      <c r="N92" s="34">
        <f t="shared" si="3"/>
        <v>0</v>
      </c>
      <c r="O92" s="34">
        <f t="shared" si="4"/>
        <v>4979226030.0211716</v>
      </c>
      <c r="P92" s="34">
        <f t="shared" si="20"/>
        <v>497922603.00211716</v>
      </c>
      <c r="Q92" s="38">
        <f t="shared" si="5"/>
        <v>4458896909.8839588</v>
      </c>
      <c r="R92" s="39">
        <f t="shared" si="6"/>
        <v>2229448454.9419794</v>
      </c>
      <c r="S92" s="34">
        <f t="shared" si="7"/>
        <v>2229448454.9419794</v>
      </c>
      <c r="T92" s="40">
        <f t="shared" si="21"/>
        <v>10099003940.116077</v>
      </c>
      <c r="U92" s="272">
        <f t="shared" si="8"/>
        <v>2.6988780705650929E-3</v>
      </c>
      <c r="V92" s="41">
        <f t="shared" si="9"/>
        <v>6.8163892626411391</v>
      </c>
    </row>
    <row r="93" spans="1:22" ht="15.75" customHeight="1">
      <c r="A93" s="31" t="s">
        <v>126</v>
      </c>
      <c r="B93" s="32">
        <v>2109</v>
      </c>
      <c r="C93" s="274">
        <f t="shared" si="10"/>
        <v>1.4468571660623259E-5</v>
      </c>
      <c r="D93" s="271">
        <f t="shared" si="18"/>
        <v>1.4468571660623259E-5</v>
      </c>
      <c r="E93" s="34"/>
      <c r="F93" s="42">
        <v>500</v>
      </c>
      <c r="G93" s="34">
        <f t="shared" si="0"/>
        <v>7234285.830311629</v>
      </c>
      <c r="H93" s="34">
        <f t="shared" si="1"/>
        <v>7198114.4011600707</v>
      </c>
      <c r="I93" s="35">
        <f t="shared" si="19"/>
        <v>1</v>
      </c>
      <c r="J93" s="36">
        <f t="shared" si="13"/>
        <v>7198114.4011600707</v>
      </c>
      <c r="K93" s="34">
        <f t="shared" si="14"/>
        <v>81485853731.669647</v>
      </c>
      <c r="L93" s="37">
        <f t="shared" si="15"/>
        <v>79465529876.622849</v>
      </c>
      <c r="M93" s="34">
        <f t="shared" si="2"/>
        <v>5008610258.1503382</v>
      </c>
      <c r="N93" s="34">
        <f t="shared" si="3"/>
        <v>0</v>
      </c>
      <c r="O93" s="34">
        <f t="shared" si="4"/>
        <v>5008610258.1503382</v>
      </c>
      <c r="P93" s="34">
        <f t="shared" si="20"/>
        <v>500861025.81503385</v>
      </c>
      <c r="Q93" s="38">
        <f t="shared" si="5"/>
        <v>4485210486.1736279</v>
      </c>
      <c r="R93" s="39">
        <f t="shared" si="6"/>
        <v>2242605243.0868139</v>
      </c>
      <c r="S93" s="34">
        <f t="shared" si="7"/>
        <v>2242605243.0868139</v>
      </c>
      <c r="T93" s="40">
        <f t="shared" si="21"/>
        <v>10088904936.175962</v>
      </c>
      <c r="U93" s="272">
        <f t="shared" si="8"/>
        <v>2.6988780705650929E-3</v>
      </c>
      <c r="V93" s="41">
        <f t="shared" si="9"/>
        <v>6.8634787395384267</v>
      </c>
    </row>
    <row r="94" spans="1:22" ht="15.75" customHeight="1">
      <c r="A94" s="31" t="s">
        <v>127</v>
      </c>
      <c r="B94" s="32">
        <v>2110</v>
      </c>
      <c r="C94" s="274">
        <f t="shared" si="10"/>
        <v>1.3021714494560933E-5</v>
      </c>
      <c r="D94" s="271">
        <f t="shared" si="18"/>
        <v>1.3021714494560933E-5</v>
      </c>
      <c r="E94" s="34"/>
      <c r="F94" s="42">
        <v>500</v>
      </c>
      <c r="G94" s="34">
        <f t="shared" si="0"/>
        <v>6510857.2472804664</v>
      </c>
      <c r="H94" s="34">
        <f t="shared" si="1"/>
        <v>6478302.9610440638</v>
      </c>
      <c r="I94" s="35">
        <f t="shared" si="19"/>
        <v>1</v>
      </c>
      <c r="J94" s="36">
        <f t="shared" si="13"/>
        <v>6478302.9610440638</v>
      </c>
      <c r="K94" s="34">
        <f t="shared" si="14"/>
        <v>81993193060.445724</v>
      </c>
      <c r="L94" s="37">
        <f t="shared" si="15"/>
        <v>79932882770.796234</v>
      </c>
      <c r="M94" s="34">
        <f t="shared" si="2"/>
        <v>5038114594.1778889</v>
      </c>
      <c r="N94" s="34">
        <f t="shared" si="3"/>
        <v>0</v>
      </c>
      <c r="O94" s="34">
        <f t="shared" si="4"/>
        <v>5038114594.1778889</v>
      </c>
      <c r="P94" s="34">
        <f t="shared" si="20"/>
        <v>503811459.41778892</v>
      </c>
      <c r="Q94" s="38">
        <f t="shared" si="5"/>
        <v>4511631619.0862999</v>
      </c>
      <c r="R94" s="39">
        <f t="shared" si="6"/>
        <v>2255815809.5431499</v>
      </c>
      <c r="S94" s="34">
        <f t="shared" si="7"/>
        <v>2255815809.5431499</v>
      </c>
      <c r="T94" s="40">
        <f t="shared" si="21"/>
        <v>10078816031.239788</v>
      </c>
      <c r="U94" s="272">
        <f t="shared" si="8"/>
        <v>2.6988780705650929E-3</v>
      </c>
      <c r="V94" s="41">
        <f t="shared" si="9"/>
        <v>6.910820412545216</v>
      </c>
    </row>
    <row r="95" spans="1:22" ht="15.75" customHeight="1">
      <c r="A95" s="31" t="s">
        <v>128</v>
      </c>
      <c r="B95" s="32">
        <v>2111</v>
      </c>
      <c r="C95" s="274">
        <f t="shared" si="10"/>
        <v>1.1719543045104839E-5</v>
      </c>
      <c r="D95" s="271">
        <f t="shared" si="18"/>
        <v>1.1719543045104839E-5</v>
      </c>
      <c r="E95" s="34"/>
      <c r="F95" s="42">
        <v>500</v>
      </c>
      <c r="G95" s="34">
        <f t="shared" si="0"/>
        <v>5859771.5225524195</v>
      </c>
      <c r="H95" s="34">
        <f t="shared" si="1"/>
        <v>5830472.6649396578</v>
      </c>
      <c r="I95" s="35">
        <f t="shared" si="19"/>
        <v>1</v>
      </c>
      <c r="J95" s="36">
        <f t="shared" si="13"/>
        <v>5830472.6649396578</v>
      </c>
      <c r="K95" s="34">
        <f t="shared" si="14"/>
        <v>82502834992.528442</v>
      </c>
      <c r="L95" s="37">
        <f t="shared" si="15"/>
        <v>80402303440.527512</v>
      </c>
      <c r="M95" s="34">
        <f t="shared" si="2"/>
        <v>5067744767.6684809</v>
      </c>
      <c r="N95" s="34">
        <f t="shared" si="3"/>
        <v>0</v>
      </c>
      <c r="O95" s="34">
        <f t="shared" si="4"/>
        <v>5067744767.6684809</v>
      </c>
      <c r="P95" s="34">
        <f t="shared" si="20"/>
        <v>506774476.76684809</v>
      </c>
      <c r="Q95" s="38">
        <f t="shared" si="5"/>
        <v>4538165439.4471245</v>
      </c>
      <c r="R95" s="39">
        <f t="shared" si="6"/>
        <v>2269082719.7235622</v>
      </c>
      <c r="S95" s="34">
        <f t="shared" si="7"/>
        <v>2269082719.7235622</v>
      </c>
      <c r="T95" s="40">
        <f t="shared" si="21"/>
        <v>10068737215.208549</v>
      </c>
      <c r="U95" s="272">
        <f t="shared" si="8"/>
        <v>2.6988780705650929E-3</v>
      </c>
      <c r="V95" s="41">
        <f t="shared" si="9"/>
        <v>6.9584227714475846</v>
      </c>
    </row>
    <row r="96" spans="1:22" ht="15.75" customHeight="1">
      <c r="A96" s="31" t="s">
        <v>129</v>
      </c>
      <c r="B96" s="32">
        <v>2112</v>
      </c>
      <c r="C96" s="274">
        <f t="shared" si="10"/>
        <v>1.0547588740594356E-5</v>
      </c>
      <c r="D96" s="271">
        <f t="shared" si="18"/>
        <v>1.0547588740594356E-5</v>
      </c>
      <c r="E96" s="34"/>
      <c r="F96" s="42">
        <v>500</v>
      </c>
      <c r="G96" s="34">
        <f t="shared" si="0"/>
        <v>5273794.3702971786</v>
      </c>
      <c r="H96" s="34">
        <f t="shared" si="1"/>
        <v>5247425.3984456928</v>
      </c>
      <c r="I96" s="35">
        <f t="shared" si="19"/>
        <v>1</v>
      </c>
      <c r="J96" s="36">
        <f t="shared" si="13"/>
        <v>5247425.3984456928</v>
      </c>
      <c r="K96" s="34">
        <f t="shared" si="14"/>
        <v>83014856894.693741</v>
      </c>
      <c r="L96" s="37">
        <f t="shared" si="15"/>
        <v>80873868180.021469</v>
      </c>
      <c r="M96" s="34">
        <f t="shared" si="2"/>
        <v>5097506038.1294441</v>
      </c>
      <c r="N96" s="34">
        <f t="shared" si="3"/>
        <v>0</v>
      </c>
      <c r="O96" s="34">
        <f t="shared" si="4"/>
        <v>5097506038.1294441</v>
      </c>
      <c r="P96" s="34">
        <f t="shared" si="20"/>
        <v>509750603.81294441</v>
      </c>
      <c r="Q96" s="38">
        <f t="shared" si="5"/>
        <v>4564816657.1449175</v>
      </c>
      <c r="R96" s="39">
        <f t="shared" si="6"/>
        <v>2282408328.5724587</v>
      </c>
      <c r="S96" s="34">
        <f t="shared" si="7"/>
        <v>2282408328.5724587</v>
      </c>
      <c r="T96" s="40">
        <f t="shared" si="21"/>
        <v>10058668477.993341</v>
      </c>
      <c r="U96" s="272">
        <f t="shared" si="8"/>
        <v>2.6988780705650929E-3</v>
      </c>
      <c r="V96" s="41">
        <f t="shared" si="9"/>
        <v>7.0062936926178914</v>
      </c>
    </row>
    <row r="97" spans="1:22" ht="15.75" customHeight="1">
      <c r="A97" s="31" t="s">
        <v>130</v>
      </c>
      <c r="B97" s="32">
        <v>2113</v>
      </c>
      <c r="C97" s="274">
        <f t="shared" si="10"/>
        <v>9.4928298665349213E-6</v>
      </c>
      <c r="D97" s="271">
        <f t="shared" si="18"/>
        <v>9.4928298665349213E-6</v>
      </c>
      <c r="E97" s="34"/>
      <c r="F97" s="42">
        <v>500</v>
      </c>
      <c r="G97" s="34">
        <f t="shared" si="0"/>
        <v>4746414.9332674611</v>
      </c>
      <c r="H97" s="34">
        <f t="shared" si="1"/>
        <v>4722682.858601124</v>
      </c>
      <c r="I97" s="35">
        <f t="shared" si="19"/>
        <v>1</v>
      </c>
      <c r="J97" s="36">
        <f t="shared" si="13"/>
        <v>4722682.858601124</v>
      </c>
      <c r="K97" s="34">
        <f t="shared" si="14"/>
        <v>83529330181.36528</v>
      </c>
      <c r="L97" s="37">
        <f t="shared" si="15"/>
        <v>81347647295.959671</v>
      </c>
      <c r="M97" s="34">
        <f t="shared" si="2"/>
        <v>5127403242.6133614</v>
      </c>
      <c r="N97" s="34">
        <f t="shared" si="3"/>
        <v>0</v>
      </c>
      <c r="O97" s="34">
        <f t="shared" si="4"/>
        <v>5127403242.6133614</v>
      </c>
      <c r="P97" s="34">
        <f t="shared" si="20"/>
        <v>512740324.26133615</v>
      </c>
      <c r="Q97" s="38">
        <f t="shared" si="5"/>
        <v>4591589603.7602654</v>
      </c>
      <c r="R97" s="39">
        <f t="shared" si="6"/>
        <v>2295794801.8801327</v>
      </c>
      <c r="S97" s="34">
        <f t="shared" si="7"/>
        <v>2295794801.8801327</v>
      </c>
      <c r="T97" s="40">
        <f t="shared" si="21"/>
        <v>10048609809.515348</v>
      </c>
      <c r="U97" s="272">
        <f t="shared" si="8"/>
        <v>2.6988780705650929E-3</v>
      </c>
      <c r="V97" s="41">
        <f t="shared" si="9"/>
        <v>7.0544405013549571</v>
      </c>
    </row>
    <row r="98" spans="1:22" ht="15.75" customHeight="1">
      <c r="A98" s="31" t="s">
        <v>131</v>
      </c>
      <c r="B98" s="32">
        <v>2114</v>
      </c>
      <c r="C98" s="274">
        <f t="shared" si="10"/>
        <v>8.54354687988143E-6</v>
      </c>
      <c r="D98" s="271">
        <f t="shared" si="18"/>
        <v>8.54354687988143E-6</v>
      </c>
      <c r="E98" s="34"/>
      <c r="F98" s="42">
        <v>500</v>
      </c>
      <c r="G98" s="34">
        <f t="shared" si="0"/>
        <v>4271773.4399407152</v>
      </c>
      <c r="H98" s="34">
        <f t="shared" si="1"/>
        <v>4250414.5727410112</v>
      </c>
      <c r="I98" s="35">
        <f t="shared" si="19"/>
        <v>1</v>
      </c>
      <c r="J98" s="36">
        <f t="shared" si="13"/>
        <v>4250414.5727410112</v>
      </c>
      <c r="K98" s="34">
        <f t="shared" si="14"/>
        <v>84046320920.199356</v>
      </c>
      <c r="L98" s="37">
        <f t="shared" si="15"/>
        <v>81823705715.776352</v>
      </c>
      <c r="M98" s="34">
        <f t="shared" si="2"/>
        <v>5157440838.5638428</v>
      </c>
      <c r="N98" s="34">
        <f t="shared" si="3"/>
        <v>0</v>
      </c>
      <c r="O98" s="34">
        <f t="shared" si="4"/>
        <v>5157440838.5638428</v>
      </c>
      <c r="P98" s="34">
        <f t="shared" si="20"/>
        <v>515744083.85638428</v>
      </c>
      <c r="Q98" s="38">
        <f t="shared" si="5"/>
        <v>4618488270.9339209</v>
      </c>
      <c r="R98" s="39">
        <f t="shared" si="6"/>
        <v>2309244135.4669604</v>
      </c>
      <c r="S98" s="34">
        <f t="shared" si="7"/>
        <v>2309244135.4669604</v>
      </c>
      <c r="T98" s="40">
        <f t="shared" si="21"/>
        <v>10038561199.705833</v>
      </c>
      <c r="U98" s="272">
        <f t="shared" si="8"/>
        <v>2.6988780705650929E-3</v>
      </c>
      <c r="V98" s="41">
        <f t="shared" si="9"/>
        <v>7.1028700280569685</v>
      </c>
    </row>
    <row r="99" spans="1:22" ht="15.75" customHeight="1">
      <c r="A99" s="31" t="s">
        <v>132</v>
      </c>
      <c r="B99" s="32">
        <v>2115</v>
      </c>
      <c r="C99" s="274">
        <f t="shared" si="10"/>
        <v>7.689192191893287E-6</v>
      </c>
      <c r="D99" s="271">
        <f t="shared" si="18"/>
        <v>7.689192191893287E-6</v>
      </c>
      <c r="E99" s="34"/>
      <c r="F99" s="42">
        <v>500</v>
      </c>
      <c r="G99" s="34">
        <f t="shared" si="0"/>
        <v>3844596.0959466435</v>
      </c>
      <c r="H99" s="34">
        <f t="shared" si="1"/>
        <v>3825373.1154669104</v>
      </c>
      <c r="I99" s="35">
        <f t="shared" si="19"/>
        <v>1</v>
      </c>
      <c r="J99" s="36">
        <f t="shared" si="13"/>
        <v>3825373.1154669104</v>
      </c>
      <c r="K99" s="34">
        <f t="shared" si="14"/>
        <v>84565890377.171204</v>
      </c>
      <c r="L99" s="37">
        <f t="shared" si="15"/>
        <v>82302103535.161835</v>
      </c>
      <c r="M99" s="34">
        <f t="shared" si="2"/>
        <v>5187622942.3802204</v>
      </c>
      <c r="N99" s="34">
        <f t="shared" si="3"/>
        <v>0</v>
      </c>
      <c r="O99" s="34">
        <f t="shared" si="4"/>
        <v>5187622942.3802204</v>
      </c>
      <c r="P99" s="34">
        <f t="shared" si="20"/>
        <v>518762294.23802209</v>
      </c>
      <c r="Q99" s="38">
        <f t="shared" si="5"/>
        <v>4645516344.9014874</v>
      </c>
      <c r="R99" s="39">
        <f t="shared" si="6"/>
        <v>2322758172.4507437</v>
      </c>
      <c r="S99" s="34">
        <f t="shared" si="7"/>
        <v>2322758172.4507437</v>
      </c>
      <c r="T99" s="40">
        <f t="shared" si="21"/>
        <v>10028522638.506128</v>
      </c>
      <c r="U99" s="272">
        <f t="shared" si="8"/>
        <v>2.6988780705650929E-3</v>
      </c>
      <c r="V99" s="41">
        <f t="shared" si="9"/>
        <v>7.1515886588383397</v>
      </c>
    </row>
    <row r="100" spans="1:22" ht="15.75" customHeight="1">
      <c r="A100" s="31" t="s">
        <v>133</v>
      </c>
      <c r="B100" s="32">
        <v>2116</v>
      </c>
      <c r="C100" s="274">
        <f t="shared" si="10"/>
        <v>6.9202729727039583E-6</v>
      </c>
      <c r="D100" s="271">
        <f t="shared" si="18"/>
        <v>6.9202729727039583E-6</v>
      </c>
      <c r="E100" s="34"/>
      <c r="F100" s="42">
        <v>500</v>
      </c>
      <c r="G100" s="34">
        <f t="shared" si="0"/>
        <v>3460136.486351979</v>
      </c>
      <c r="H100" s="34">
        <f t="shared" si="1"/>
        <v>3442835.8039202192</v>
      </c>
      <c r="I100" s="35">
        <f t="shared" si="19"/>
        <v>1</v>
      </c>
      <c r="J100" s="36">
        <f t="shared" si="13"/>
        <v>3442835.8039202192</v>
      </c>
      <c r="K100" s="34">
        <f t="shared" si="14"/>
        <v>85088095507.21315</v>
      </c>
      <c r="L100" s="37">
        <f t="shared" si="15"/>
        <v>82782896510.871185</v>
      </c>
      <c r="M100" s="34">
        <f t="shared" si="2"/>
        <v>5217953364.1292601</v>
      </c>
      <c r="N100" s="34">
        <f t="shared" si="3"/>
        <v>0</v>
      </c>
      <c r="O100" s="34">
        <f t="shared" si="4"/>
        <v>5217953364.1292601</v>
      </c>
      <c r="P100" s="34">
        <f t="shared" si="20"/>
        <v>521795336.41292602</v>
      </c>
      <c r="Q100" s="38">
        <f t="shared" si="5"/>
        <v>4672677237.5777531</v>
      </c>
      <c r="R100" s="39">
        <f t="shared" si="6"/>
        <v>2336338618.7888765</v>
      </c>
      <c r="S100" s="34">
        <f t="shared" si="7"/>
        <v>2336338618.7888765</v>
      </c>
      <c r="T100" s="40">
        <f t="shared" si="21"/>
        <v>10018494115.867622</v>
      </c>
      <c r="U100" s="272">
        <f t="shared" si="8"/>
        <v>2.6988780705650929E-3</v>
      </c>
      <c r="V100" s="41">
        <f t="shared" si="9"/>
        <v>7.2006023811411639</v>
      </c>
    </row>
    <row r="101" spans="1:22" ht="15.75" customHeight="1">
      <c r="A101" s="31" t="s">
        <v>134</v>
      </c>
      <c r="B101" s="32">
        <v>2117</v>
      </c>
      <c r="C101" s="274">
        <f t="shared" si="10"/>
        <v>6.2282456754335628E-6</v>
      </c>
      <c r="D101" s="271">
        <f t="shared" si="18"/>
        <v>6.2282456754335628E-6</v>
      </c>
      <c r="E101" s="34"/>
      <c r="F101" s="42">
        <v>500</v>
      </c>
      <c r="G101" s="34">
        <f t="shared" si="0"/>
        <v>3114122.8377167815</v>
      </c>
      <c r="H101" s="34">
        <f t="shared" si="1"/>
        <v>3098552.2235281975</v>
      </c>
      <c r="I101" s="35">
        <f t="shared" si="19"/>
        <v>1</v>
      </c>
      <c r="J101" s="36">
        <f t="shared" si="13"/>
        <v>3098552.2235281975</v>
      </c>
      <c r="K101" s="34">
        <f t="shared" si="14"/>
        <v>85612989395.849609</v>
      </c>
      <c r="L101" s="37">
        <f t="shared" si="15"/>
        <v>83266136504.307892</v>
      </c>
      <c r="M101" s="34">
        <f t="shared" si="2"/>
        <v>5248435638.7892332</v>
      </c>
      <c r="N101" s="34">
        <f t="shared" si="3"/>
        <v>0</v>
      </c>
      <c r="O101" s="34">
        <f t="shared" si="4"/>
        <v>5248435638.7892332</v>
      </c>
      <c r="P101" s="34">
        <f t="shared" si="20"/>
        <v>524843563.87892336</v>
      </c>
      <c r="Q101" s="38">
        <f t="shared" si="5"/>
        <v>4699974114.535758</v>
      </c>
      <c r="R101" s="39">
        <f t="shared" si="6"/>
        <v>2349987057.267879</v>
      </c>
      <c r="S101" s="34">
        <f t="shared" si="7"/>
        <v>2349987057.267879</v>
      </c>
      <c r="T101" s="40">
        <f t="shared" si="21"/>
        <v>10008475621.751757</v>
      </c>
      <c r="U101" s="272">
        <f t="shared" si="8"/>
        <v>2.6988780705650929E-3</v>
      </c>
      <c r="V101" s="41">
        <f t="shared" si="9"/>
        <v>7.2499168248374133</v>
      </c>
    </row>
    <row r="102" spans="1:22" ht="15.75" customHeight="1">
      <c r="A102" s="31" t="s">
        <v>135</v>
      </c>
      <c r="B102" s="32">
        <v>2118</v>
      </c>
      <c r="C102" s="274">
        <f t="shared" si="10"/>
        <v>5.6054211078902064E-6</v>
      </c>
      <c r="D102" s="271">
        <f t="shared" si="18"/>
        <v>5.6054211078902064E-6</v>
      </c>
      <c r="E102" s="34"/>
      <c r="F102" s="42">
        <v>500</v>
      </c>
      <c r="G102" s="34">
        <f t="shared" si="0"/>
        <v>2802710.5539451032</v>
      </c>
      <c r="H102" s="34">
        <f t="shared" si="1"/>
        <v>2788697.0011753775</v>
      </c>
      <c r="I102" s="35">
        <f t="shared" si="19"/>
        <v>1</v>
      </c>
      <c r="J102" s="36">
        <f t="shared" si="13"/>
        <v>2788697.0011753775</v>
      </c>
      <c r="K102" s="34">
        <f t="shared" si="14"/>
        <v>86140621656.729706</v>
      </c>
      <c r="L102" s="37">
        <f t="shared" si="15"/>
        <v>83751871880.805405</v>
      </c>
      <c r="M102" s="34">
        <f t="shared" si="2"/>
        <v>5279073054.3731203</v>
      </c>
      <c r="N102" s="34">
        <f t="shared" si="3"/>
        <v>0</v>
      </c>
      <c r="O102" s="34">
        <f t="shared" si="4"/>
        <v>5279073054.3731203</v>
      </c>
      <c r="P102" s="34">
        <f t="shared" si="20"/>
        <v>527907305.43731207</v>
      </c>
      <c r="Q102" s="38">
        <f t="shared" si="5"/>
        <v>4727409920.1911287</v>
      </c>
      <c r="R102" s="39">
        <f t="shared" si="6"/>
        <v>2363704960.0955644</v>
      </c>
      <c r="S102" s="34">
        <f t="shared" si="7"/>
        <v>2363704960.0955644</v>
      </c>
      <c r="T102" s="40">
        <f t="shared" si="21"/>
        <v>9998467146.1300068</v>
      </c>
      <c r="U102" s="272">
        <f t="shared" si="8"/>
        <v>2.6988780705650929E-3</v>
      </c>
      <c r="V102" s="41">
        <f t="shared" si="9"/>
        <v>7.2995372992687964</v>
      </c>
    </row>
    <row r="103" spans="1:22" ht="15.75" customHeight="1">
      <c r="A103" s="31" t="s">
        <v>136</v>
      </c>
      <c r="B103" s="32">
        <v>2119</v>
      </c>
      <c r="C103" s="274">
        <f t="shared" si="10"/>
        <v>5.0448789971011863E-6</v>
      </c>
      <c r="D103" s="271">
        <f t="shared" si="18"/>
        <v>5.0448789971011863E-6</v>
      </c>
      <c r="E103" s="34"/>
      <c r="F103" s="42">
        <v>500</v>
      </c>
      <c r="G103" s="34">
        <f t="shared" si="0"/>
        <v>2522439.4985505934</v>
      </c>
      <c r="H103" s="34">
        <f t="shared" si="1"/>
        <v>2509827.3010578402</v>
      </c>
      <c r="I103" s="35">
        <f t="shared" si="19"/>
        <v>1</v>
      </c>
      <c r="J103" s="36">
        <f t="shared" si="13"/>
        <v>2509827.3010578402</v>
      </c>
      <c r="K103" s="34">
        <f t="shared" si="14"/>
        <v>86671038789.468079</v>
      </c>
      <c r="L103" s="37">
        <f t="shared" si="15"/>
        <v>84240147869.037018</v>
      </c>
      <c r="M103" s="34">
        <f t="shared" si="2"/>
        <v>5309868677.243062</v>
      </c>
      <c r="N103" s="34">
        <f t="shared" si="3"/>
        <v>0</v>
      </c>
      <c r="O103" s="34">
        <f t="shared" si="4"/>
        <v>5309868677.243062</v>
      </c>
      <c r="P103" s="34">
        <f t="shared" si="20"/>
        <v>530986867.72430623</v>
      </c>
      <c r="Q103" s="38">
        <f t="shared" si="5"/>
        <v>4754987400.4711618</v>
      </c>
      <c r="R103" s="39">
        <f t="shared" si="6"/>
        <v>2377493700.2355809</v>
      </c>
      <c r="S103" s="34">
        <f t="shared" si="7"/>
        <v>2377493700.2355809</v>
      </c>
      <c r="T103" s="40">
        <f t="shared" si="21"/>
        <v>9988468678.9838772</v>
      </c>
      <c r="U103" s="272">
        <f t="shared" si="8"/>
        <v>2.6988780705650929E-3</v>
      </c>
      <c r="V103" s="41">
        <f t="shared" si="9"/>
        <v>7.3494688266269188</v>
      </c>
    </row>
    <row r="104" spans="1:22" ht="15.75" customHeight="1">
      <c r="A104" s="31" t="s">
        <v>137</v>
      </c>
      <c r="B104" s="32">
        <v>2120</v>
      </c>
      <c r="C104" s="274">
        <f t="shared" si="10"/>
        <v>4.5403910973910675E-6</v>
      </c>
      <c r="D104" s="271">
        <f t="shared" si="18"/>
        <v>4.5403910973910675E-6</v>
      </c>
      <c r="E104" s="34"/>
      <c r="F104" s="42">
        <v>500</v>
      </c>
      <c r="G104" s="34">
        <f t="shared" si="0"/>
        <v>2270195.548695534</v>
      </c>
      <c r="H104" s="34">
        <f t="shared" si="1"/>
        <v>2258844.5709520564</v>
      </c>
      <c r="I104" s="35">
        <f t="shared" si="19"/>
        <v>1</v>
      </c>
      <c r="J104" s="36">
        <f t="shared" si="13"/>
        <v>2258844.5709520564</v>
      </c>
      <c r="K104" s="34">
        <f t="shared" si="14"/>
        <v>87204284501.763336</v>
      </c>
      <c r="L104" s="37">
        <f t="shared" si="15"/>
        <v>84731006884.541611</v>
      </c>
      <c r="M104" s="34">
        <f t="shared" si="2"/>
        <v>5340825374.8969469</v>
      </c>
      <c r="N104" s="34">
        <f t="shared" si="3"/>
        <v>0</v>
      </c>
      <c r="O104" s="34">
        <f t="shared" si="4"/>
        <v>5340825374.8969469</v>
      </c>
      <c r="P104" s="34">
        <f t="shared" si="20"/>
        <v>534082537.48969471</v>
      </c>
      <c r="Q104" s="38">
        <f t="shared" si="5"/>
        <v>4782709123.2202158</v>
      </c>
      <c r="R104" s="39">
        <f t="shared" si="6"/>
        <v>2391354561.6101079</v>
      </c>
      <c r="S104" s="34">
        <f t="shared" si="7"/>
        <v>2391354561.6101079</v>
      </c>
      <c r="T104" s="40">
        <f t="shared" si="21"/>
        <v>9978480210.3048935</v>
      </c>
      <c r="U104" s="272">
        <f t="shared" si="8"/>
        <v>2.6988780705650929E-3</v>
      </c>
      <c r="V104" s="41">
        <f t="shared" si="9"/>
        <v>7.3997161720364959</v>
      </c>
    </row>
    <row r="105" spans="1:22" ht="15.75" customHeight="1">
      <c r="A105" s="31" t="s">
        <v>138</v>
      </c>
      <c r="B105" s="32">
        <v>2121</v>
      </c>
      <c r="C105" s="274">
        <f t="shared" si="10"/>
        <v>4.0863519876519612E-6</v>
      </c>
      <c r="D105" s="271">
        <f t="shared" si="18"/>
        <v>4.0863519876519612E-6</v>
      </c>
      <c r="E105" s="34"/>
      <c r="F105" s="42">
        <v>500</v>
      </c>
      <c r="G105" s="34">
        <f t="shared" si="0"/>
        <v>2043175.9938259807</v>
      </c>
      <c r="H105" s="34">
        <f t="shared" si="1"/>
        <v>2032960.1138568509</v>
      </c>
      <c r="I105" s="35">
        <f t="shared" si="19"/>
        <v>1</v>
      </c>
      <c r="J105" s="36">
        <f t="shared" si="13"/>
        <v>2032960.1138568509</v>
      </c>
      <c r="K105" s="34">
        <f t="shared" si="14"/>
        <v>87740399999.366898</v>
      </c>
      <c r="L105" s="37">
        <f t="shared" si="15"/>
        <v>85224488820.954102</v>
      </c>
      <c r="M105" s="34">
        <f t="shared" si="2"/>
        <v>5371945836.4799376</v>
      </c>
      <c r="N105" s="34">
        <f t="shared" si="3"/>
        <v>0</v>
      </c>
      <c r="O105" s="34">
        <f t="shared" si="4"/>
        <v>5371945836.4799376</v>
      </c>
      <c r="P105" s="34">
        <f t="shared" si="20"/>
        <v>537194583.6479938</v>
      </c>
      <c r="Q105" s="38">
        <f t="shared" si="5"/>
        <v>4810577496.5677834</v>
      </c>
      <c r="R105" s="39">
        <f t="shared" si="6"/>
        <v>2405288748.2838917</v>
      </c>
      <c r="S105" s="34">
        <f t="shared" si="7"/>
        <v>2405288748.2838917</v>
      </c>
      <c r="T105" s="40">
        <f t="shared" si="21"/>
        <v>9968501730.0945892</v>
      </c>
      <c r="U105" s="272">
        <f t="shared" si="8"/>
        <v>2.6988780705650929E-3</v>
      </c>
      <c r="V105" s="41">
        <f t="shared" si="9"/>
        <v>7.4502838706684242</v>
      </c>
    </row>
    <row r="106" spans="1:22" ht="15.75" customHeight="1">
      <c r="A106" s="31" t="s">
        <v>139</v>
      </c>
      <c r="B106" s="32">
        <v>2122</v>
      </c>
      <c r="C106" s="274">
        <f t="shared" si="10"/>
        <v>3.677716788886765E-6</v>
      </c>
      <c r="D106" s="271">
        <f t="shared" si="18"/>
        <v>3.677716788886765E-6</v>
      </c>
      <c r="E106" s="34"/>
      <c r="F106" s="42">
        <v>500</v>
      </c>
      <c r="G106" s="34">
        <f t="shared" si="0"/>
        <v>1838858.3944433825</v>
      </c>
      <c r="H106" s="34">
        <f t="shared" si="1"/>
        <v>1829664.1024711656</v>
      </c>
      <c r="I106" s="35">
        <f t="shared" si="19"/>
        <v>1</v>
      </c>
      <c r="J106" s="36">
        <f t="shared" si="13"/>
        <v>1829664.1024711656</v>
      </c>
      <c r="K106" s="34">
        <f t="shared" si="14"/>
        <v>88279424247.117371</v>
      </c>
      <c r="L106" s="37">
        <f t="shared" si="15"/>
        <v>85720631312.170227</v>
      </c>
      <c r="M106" s="34">
        <f t="shared" si="2"/>
        <v>5403232591.2484903</v>
      </c>
      <c r="N106" s="34">
        <f t="shared" si="3"/>
        <v>0</v>
      </c>
      <c r="O106" s="34">
        <f t="shared" si="4"/>
        <v>5403232591.2484903</v>
      </c>
      <c r="P106" s="34">
        <f t="shared" si="20"/>
        <v>540323259.12484908</v>
      </c>
      <c r="Q106" s="38">
        <f t="shared" si="5"/>
        <v>4838594785.4630232</v>
      </c>
      <c r="R106" s="39">
        <f t="shared" si="6"/>
        <v>2419297392.7315116</v>
      </c>
      <c r="S106" s="34">
        <f t="shared" si="7"/>
        <v>2419297392.7315116</v>
      </c>
      <c r="T106" s="40">
        <f t="shared" si="21"/>
        <v>9958533228.3644962</v>
      </c>
      <c r="U106" s="272">
        <f t="shared" si="8"/>
        <v>2.6988780705650929E-3</v>
      </c>
      <c r="V106" s="41">
        <f t="shared" si="9"/>
        <v>7.5011762521771397</v>
      </c>
    </row>
    <row r="107" spans="1:22" ht="15.75" customHeight="1">
      <c r="A107" s="31" t="s">
        <v>140</v>
      </c>
      <c r="B107" s="32">
        <v>2123</v>
      </c>
      <c r="C107" s="274">
        <f t="shared" si="10"/>
        <v>3.3099451099980885E-6</v>
      </c>
      <c r="D107" s="271">
        <f t="shared" si="18"/>
        <v>3.3099451099980885E-6</v>
      </c>
      <c r="E107" s="34"/>
      <c r="F107" s="42">
        <v>500</v>
      </c>
      <c r="G107" s="34">
        <f t="shared" si="0"/>
        <v>1654972.5549990444</v>
      </c>
      <c r="H107" s="34">
        <f t="shared" si="1"/>
        <v>1646697.6922240492</v>
      </c>
      <c r="I107" s="35">
        <f t="shared" si="19"/>
        <v>1</v>
      </c>
      <c r="J107" s="36">
        <f t="shared" si="13"/>
        <v>1646697.6922240492</v>
      </c>
      <c r="K107" s="34">
        <f t="shared" si="14"/>
        <v>88821394203.934448</v>
      </c>
      <c r="L107" s="37">
        <f t="shared" si="15"/>
        <v>86219469968.352814</v>
      </c>
      <c r="M107" s="34">
        <f t="shared" si="2"/>
        <v>5434688025.1915922</v>
      </c>
      <c r="N107" s="34">
        <f t="shared" si="3"/>
        <v>0</v>
      </c>
      <c r="O107" s="34">
        <f t="shared" si="4"/>
        <v>5434688025.1915922</v>
      </c>
      <c r="P107" s="34">
        <f t="shared" si="20"/>
        <v>543468802.5191592</v>
      </c>
      <c r="Q107" s="38">
        <f t="shared" si="5"/>
        <v>4866763126.5590706</v>
      </c>
      <c r="R107" s="39">
        <f t="shared" si="6"/>
        <v>2433381563.2795353</v>
      </c>
      <c r="S107" s="34">
        <f t="shared" si="7"/>
        <v>2433381563.2795353</v>
      </c>
      <c r="T107" s="40">
        <f t="shared" si="21"/>
        <v>9948574695.1361332</v>
      </c>
      <c r="U107" s="272">
        <f t="shared" si="8"/>
        <v>2.6988780705650929E-3</v>
      </c>
      <c r="V107" s="41">
        <f t="shared" si="9"/>
        <v>7.5523974627274386</v>
      </c>
    </row>
    <row r="108" spans="1:22" ht="15.75" customHeight="1">
      <c r="A108" s="31" t="s">
        <v>141</v>
      </c>
      <c r="B108" s="32">
        <v>2124</v>
      </c>
      <c r="C108" s="274">
        <f t="shared" si="10"/>
        <v>2.9789505989982795E-6</v>
      </c>
      <c r="D108" s="271">
        <f t="shared" si="18"/>
        <v>2.9789505989982795E-6</v>
      </c>
      <c r="E108" s="34"/>
      <c r="F108" s="42">
        <v>500</v>
      </c>
      <c r="G108" s="34">
        <f t="shared" si="0"/>
        <v>1489475.2994991397</v>
      </c>
      <c r="H108" s="34">
        <f t="shared" si="1"/>
        <v>1482027.923001644</v>
      </c>
      <c r="I108" s="35">
        <f t="shared" si="19"/>
        <v>1</v>
      </c>
      <c r="J108" s="36">
        <f t="shared" si="13"/>
        <v>1482027.923001644</v>
      </c>
      <c r="K108" s="34">
        <f t="shared" si="14"/>
        <v>89366345034.376617</v>
      </c>
      <c r="L108" s="37">
        <f t="shared" si="15"/>
        <v>86721038588.395584</v>
      </c>
      <c r="M108" s="34">
        <f t="shared" si="2"/>
        <v>5466314395.9935684</v>
      </c>
      <c r="N108" s="34">
        <f t="shared" si="3"/>
        <v>0</v>
      </c>
      <c r="O108" s="34">
        <f t="shared" si="4"/>
        <v>5466314395.9935684</v>
      </c>
      <c r="P108" s="34">
        <f t="shared" si="20"/>
        <v>546631439.59935689</v>
      </c>
      <c r="Q108" s="38">
        <f t="shared" si="5"/>
        <v>4895084541.6122408</v>
      </c>
      <c r="R108" s="39">
        <f t="shared" si="6"/>
        <v>2447542270.8061204</v>
      </c>
      <c r="S108" s="34">
        <f t="shared" si="7"/>
        <v>2447542270.8061204</v>
      </c>
      <c r="T108" s="40">
        <f t="shared" si="21"/>
        <v>9938626120.4409981</v>
      </c>
      <c r="U108" s="272">
        <f t="shared" si="8"/>
        <v>2.6988780705650929E-3</v>
      </c>
      <c r="V108" s="41">
        <f t="shared" si="9"/>
        <v>7.603951484849822</v>
      </c>
    </row>
    <row r="109" spans="1:22" ht="15.75" customHeight="1">
      <c r="A109" s="31" t="s">
        <v>142</v>
      </c>
      <c r="B109" s="32">
        <v>2125</v>
      </c>
      <c r="C109" s="274">
        <f t="shared" si="10"/>
        <v>2.6810555390984517E-6</v>
      </c>
      <c r="D109" s="271">
        <f t="shared" si="18"/>
        <v>2.6810555390984517E-6</v>
      </c>
      <c r="E109" s="34"/>
      <c r="F109" s="42">
        <v>500</v>
      </c>
      <c r="G109" s="34">
        <f t="shared" si="0"/>
        <v>1340527.7695492257</v>
      </c>
      <c r="H109" s="34">
        <f t="shared" si="1"/>
        <v>1333825.1307014795</v>
      </c>
      <c r="I109" s="35">
        <f t="shared" si="19"/>
        <v>1</v>
      </c>
      <c r="J109" s="36">
        <f t="shared" si="13"/>
        <v>1333825.1307014795</v>
      </c>
      <c r="K109" s="34">
        <f t="shared" si="14"/>
        <v>89914310299.106674</v>
      </c>
      <c r="L109" s="37">
        <f t="shared" si="15"/>
        <v>87225369351.199081</v>
      </c>
      <c r="M109" s="34">
        <f t="shared" si="2"/>
        <v>5498113846.5042801</v>
      </c>
      <c r="N109" s="34">
        <f t="shared" si="3"/>
        <v>0</v>
      </c>
      <c r="O109" s="34">
        <f t="shared" si="4"/>
        <v>5498113846.5042801</v>
      </c>
      <c r="P109" s="34">
        <f t="shared" si="20"/>
        <v>549811384.65042806</v>
      </c>
      <c r="Q109" s="38">
        <f t="shared" si="5"/>
        <v>4923560949.5445833</v>
      </c>
      <c r="R109" s="39">
        <f t="shared" si="6"/>
        <v>2461780474.7722917</v>
      </c>
      <c r="S109" s="34">
        <f t="shared" si="7"/>
        <v>2461780474.7722917</v>
      </c>
      <c r="T109" s="40">
        <f t="shared" si="21"/>
        <v>9928687494.3205585</v>
      </c>
      <c r="U109" s="272">
        <f t="shared" si="8"/>
        <v>2.6988780705650929E-3</v>
      </c>
      <c r="V109" s="41">
        <f t="shared" si="9"/>
        <v>7.6558421553395064</v>
      </c>
    </row>
    <row r="110" spans="1:22" ht="15.75" customHeight="1">
      <c r="A110" s="31" t="s">
        <v>143</v>
      </c>
      <c r="B110" s="32">
        <v>2126</v>
      </c>
      <c r="C110" s="274">
        <f t="shared" si="10"/>
        <v>2.4129499851886065E-6</v>
      </c>
      <c r="D110" s="271">
        <f t="shared" si="18"/>
        <v>2.4129499851886065E-6</v>
      </c>
      <c r="E110" s="34"/>
      <c r="F110" s="42">
        <v>500</v>
      </c>
      <c r="G110" s="34">
        <f t="shared" si="0"/>
        <v>1206474.9925943033</v>
      </c>
      <c r="H110" s="34">
        <f t="shared" si="1"/>
        <v>1200442.6176313318</v>
      </c>
      <c r="I110" s="35">
        <f t="shared" si="19"/>
        <v>1</v>
      </c>
      <c r="J110" s="36">
        <f t="shared" si="13"/>
        <v>1200442.6176313318</v>
      </c>
      <c r="K110" s="34">
        <f t="shared" si="14"/>
        <v>90465322126.374725</v>
      </c>
      <c r="L110" s="37">
        <f t="shared" si="15"/>
        <v>87732492987.877899</v>
      </c>
      <c r="M110" s="34">
        <f t="shared" si="2"/>
        <v>5530088416.8660212</v>
      </c>
      <c r="N110" s="34">
        <f t="shared" si="3"/>
        <v>0</v>
      </c>
      <c r="O110" s="34">
        <f t="shared" si="4"/>
        <v>5530088416.8660212</v>
      </c>
      <c r="P110" s="34">
        <f t="shared" si="20"/>
        <v>553008841.68660212</v>
      </c>
      <c r="Q110" s="38">
        <f t="shared" si="5"/>
        <v>4952194177.3035212</v>
      </c>
      <c r="R110" s="39">
        <f t="shared" si="6"/>
        <v>2476097088.6517606</v>
      </c>
      <c r="S110" s="34">
        <f t="shared" si="7"/>
        <v>2476097088.6517606</v>
      </c>
      <c r="T110" s="40">
        <f t="shared" si="21"/>
        <v>9918758806.8262386</v>
      </c>
      <c r="U110" s="272">
        <f t="shared" si="8"/>
        <v>2.6988780705650929E-3</v>
      </c>
      <c r="V110" s="41">
        <f t="shared" si="9"/>
        <v>7.7080731813931669</v>
      </c>
    </row>
    <row r="111" spans="1:22" ht="15.75" customHeight="1">
      <c r="A111" s="31" t="s">
        <v>144</v>
      </c>
      <c r="B111" s="32">
        <v>2127</v>
      </c>
      <c r="C111" s="274">
        <f t="shared" si="10"/>
        <v>2.1716549866697459E-6</v>
      </c>
      <c r="D111" s="271">
        <f t="shared" si="18"/>
        <v>2.1716549866697459E-6</v>
      </c>
      <c r="E111" s="34"/>
      <c r="F111" s="42">
        <v>500</v>
      </c>
      <c r="G111" s="34">
        <f t="shared" si="0"/>
        <v>1085827.4933348729</v>
      </c>
      <c r="H111" s="34">
        <f t="shared" si="1"/>
        <v>1080398.3558681984</v>
      </c>
      <c r="I111" s="35">
        <f t="shared" si="19"/>
        <v>1</v>
      </c>
      <c r="J111" s="36">
        <f t="shared" si="13"/>
        <v>1080398.3558681984</v>
      </c>
      <c r="K111" s="34">
        <f t="shared" si="14"/>
        <v>91019411366.417191</v>
      </c>
      <c r="L111" s="37">
        <f t="shared" si="15"/>
        <v>88242438936.806412</v>
      </c>
      <c r="M111" s="34">
        <f t="shared" si="2"/>
        <v>5562240055.4314585</v>
      </c>
      <c r="N111" s="34">
        <f t="shared" si="3"/>
        <v>0</v>
      </c>
      <c r="O111" s="34">
        <f t="shared" si="4"/>
        <v>5562240055.4314585</v>
      </c>
      <c r="P111" s="34">
        <f t="shared" si="20"/>
        <v>556224005.5431459</v>
      </c>
      <c r="Q111" s="38">
        <f t="shared" si="5"/>
        <v>4980985969.6388712</v>
      </c>
      <c r="R111" s="39">
        <f t="shared" si="6"/>
        <v>2490492984.8194356</v>
      </c>
      <c r="S111" s="34">
        <f t="shared" si="7"/>
        <v>2490492984.8194356</v>
      </c>
      <c r="T111" s="40">
        <f t="shared" si="21"/>
        <v>9908840048.019413</v>
      </c>
      <c r="U111" s="272">
        <f t="shared" si="8"/>
        <v>2.6988780705650929E-3</v>
      </c>
      <c r="V111" s="41">
        <f t="shared" si="9"/>
        <v>7.7606481551580684</v>
      </c>
    </row>
    <row r="112" spans="1:22" ht="15.75" customHeight="1">
      <c r="A112" s="31" t="s">
        <v>145</v>
      </c>
      <c r="B112" s="32">
        <v>2128</v>
      </c>
      <c r="C112" s="274">
        <f t="shared" si="10"/>
        <v>1.9544894880027711E-6</v>
      </c>
      <c r="D112" s="271">
        <f t="shared" si="18"/>
        <v>1.9544894880027711E-6</v>
      </c>
      <c r="E112" s="34"/>
      <c r="F112" s="42">
        <v>500</v>
      </c>
      <c r="G112" s="34">
        <f t="shared" si="0"/>
        <v>977244.74400138564</v>
      </c>
      <c r="H112" s="34">
        <f t="shared" si="1"/>
        <v>972358.52028137876</v>
      </c>
      <c r="I112" s="35">
        <f t="shared" si="19"/>
        <v>1</v>
      </c>
      <c r="J112" s="36">
        <f t="shared" si="13"/>
        <v>972358.52028137876</v>
      </c>
      <c r="K112" s="34">
        <f t="shared" si="14"/>
        <v>91576607730.480621</v>
      </c>
      <c r="L112" s="37">
        <f t="shared" si="15"/>
        <v>88755235483.219406</v>
      </c>
      <c r="M112" s="34">
        <f t="shared" si="2"/>
        <v>5594570628.5935259</v>
      </c>
      <c r="N112" s="34">
        <f t="shared" si="3"/>
        <v>0</v>
      </c>
      <c r="O112" s="34">
        <f t="shared" si="4"/>
        <v>5594570628.5935259</v>
      </c>
      <c r="P112" s="34">
        <f t="shared" si="20"/>
        <v>559457062.85935259</v>
      </c>
      <c r="Q112" s="38">
        <f t="shared" si="5"/>
        <v>5009937997.9055023</v>
      </c>
      <c r="R112" s="39">
        <f t="shared" si="6"/>
        <v>2504968998.9527512</v>
      </c>
      <c r="S112" s="34">
        <f t="shared" si="7"/>
        <v>2504968998.9527512</v>
      </c>
      <c r="T112" s="40">
        <f t="shared" si="21"/>
        <v>9898931207.9713955</v>
      </c>
      <c r="U112" s="272">
        <f t="shared" si="8"/>
        <v>2.6988780705650929E-3</v>
      </c>
      <c r="V112" s="41">
        <f t="shared" si="9"/>
        <v>7.8135705668509656</v>
      </c>
    </row>
    <row r="113" spans="1:22" ht="15.75" customHeight="1">
      <c r="A113" s="31" t="s">
        <v>146</v>
      </c>
      <c r="B113" s="32">
        <v>2129</v>
      </c>
      <c r="C113" s="274">
        <f t="shared" si="10"/>
        <v>1.759040539202494E-6</v>
      </c>
      <c r="D113" s="271">
        <f t="shared" si="18"/>
        <v>1.759040539202494E-6</v>
      </c>
      <c r="E113" s="34"/>
      <c r="F113" s="42">
        <v>500</v>
      </c>
      <c r="G113" s="34">
        <f t="shared" si="0"/>
        <v>879520.26960124704</v>
      </c>
      <c r="H113" s="34">
        <f t="shared" si="1"/>
        <v>875122.66825324076</v>
      </c>
      <c r="I113" s="35">
        <f t="shared" si="19"/>
        <v>1</v>
      </c>
      <c r="J113" s="36">
        <f t="shared" si="13"/>
        <v>875122.66825324076</v>
      </c>
      <c r="K113" s="34">
        <f t="shared" si="14"/>
        <v>92136939916.00824</v>
      </c>
      <c r="L113" s="37">
        <f t="shared" si="15"/>
        <v>89270909884.912659</v>
      </c>
      <c r="M113" s="34">
        <f t="shared" si="2"/>
        <v>5627081929.6361103</v>
      </c>
      <c r="N113" s="34">
        <f t="shared" si="3"/>
        <v>0</v>
      </c>
      <c r="O113" s="34">
        <f t="shared" si="4"/>
        <v>5627081929.6361103</v>
      </c>
      <c r="P113" s="34">
        <f t="shared" si="20"/>
        <v>562708192.96361101</v>
      </c>
      <c r="Q113" s="38">
        <f t="shared" si="5"/>
        <v>5039051867.9891367</v>
      </c>
      <c r="R113" s="39">
        <f t="shared" si="6"/>
        <v>2519525933.9945683</v>
      </c>
      <c r="S113" s="34">
        <f t="shared" si="7"/>
        <v>2519525933.9945683</v>
      </c>
      <c r="T113" s="40">
        <f t="shared" si="21"/>
        <v>9889032276.7634258</v>
      </c>
      <c r="U113" s="272">
        <f t="shared" si="8"/>
        <v>2.6988780705650929E-3</v>
      </c>
      <c r="V113" s="41">
        <f t="shared" si="9"/>
        <v>7.8668438165886867</v>
      </c>
    </row>
    <row r="114" spans="1:22" ht="15.75" customHeight="1">
      <c r="A114" s="31" t="s">
        <v>147</v>
      </c>
      <c r="B114" s="32">
        <v>2130</v>
      </c>
      <c r="C114" s="274">
        <f t="shared" si="10"/>
        <v>1.5831364852822448E-6</v>
      </c>
      <c r="D114" s="271">
        <f t="shared" si="18"/>
        <v>1.5831364852822448E-6</v>
      </c>
      <c r="E114" s="34"/>
      <c r="F114" s="42">
        <v>500</v>
      </c>
      <c r="G114" s="34">
        <f t="shared" si="0"/>
        <v>791568.24264112231</v>
      </c>
      <c r="H114" s="34">
        <f t="shared" si="1"/>
        <v>787610.40142791672</v>
      </c>
      <c r="I114" s="35">
        <f t="shared" si="19"/>
        <v>1</v>
      </c>
      <c r="J114" s="36">
        <f t="shared" si="13"/>
        <v>787610.40142791672</v>
      </c>
      <c r="K114" s="34">
        <f t="shared" si="14"/>
        <v>92700435719.373276</v>
      </c>
      <c r="L114" s="37">
        <f t="shared" si="15"/>
        <v>89789488485.433563</v>
      </c>
      <c r="M114" s="34">
        <f t="shared" si="2"/>
        <v>5659775686.7034626</v>
      </c>
      <c r="N114" s="34">
        <f t="shared" si="3"/>
        <v>0</v>
      </c>
      <c r="O114" s="34">
        <f t="shared" si="4"/>
        <v>5659775686.7034626</v>
      </c>
      <c r="P114" s="34">
        <f t="shared" si="20"/>
        <v>565977568.67034626</v>
      </c>
      <c r="Q114" s="38">
        <f t="shared" si="5"/>
        <v>5068329127.4429512</v>
      </c>
      <c r="R114" s="39">
        <f t="shared" si="6"/>
        <v>2534164563.7214756</v>
      </c>
      <c r="S114" s="34">
        <f t="shared" si="7"/>
        <v>2534164563.7214756</v>
      </c>
      <c r="T114" s="40">
        <f t="shared" si="21"/>
        <v>9879143244.4866638</v>
      </c>
      <c r="U114" s="272">
        <f t="shared" si="8"/>
        <v>2.6988780705650929E-3</v>
      </c>
      <c r="V114" s="41">
        <f t="shared" si="9"/>
        <v>7.9204712250580336</v>
      </c>
    </row>
    <row r="115" spans="1:22" ht="15.75" customHeight="1">
      <c r="A115" s="31" t="s">
        <v>148</v>
      </c>
      <c r="B115" s="32">
        <v>2131</v>
      </c>
      <c r="C115" s="274">
        <f t="shared" si="10"/>
        <v>1.4248228367540204E-6</v>
      </c>
      <c r="D115" s="271">
        <f t="shared" si="18"/>
        <v>1.4248228367540204E-6</v>
      </c>
      <c r="E115" s="34"/>
      <c r="F115" s="42">
        <v>500</v>
      </c>
      <c r="G115" s="34">
        <f t="shared" si="0"/>
        <v>712411.41837701015</v>
      </c>
      <c r="H115" s="34">
        <f t="shared" si="1"/>
        <v>708849.36128512514</v>
      </c>
      <c r="I115" s="35">
        <f t="shared" si="19"/>
        <v>1</v>
      </c>
      <c r="J115" s="36">
        <f t="shared" si="13"/>
        <v>708849.36128512514</v>
      </c>
      <c r="K115" s="34">
        <f t="shared" si="14"/>
        <v>93267122137.404907</v>
      </c>
      <c r="L115" s="37">
        <f t="shared" si="15"/>
        <v>90310996816.013474</v>
      </c>
      <c r="M115" s="34">
        <f t="shared" si="2"/>
        <v>5692653569.9764881</v>
      </c>
      <c r="N115" s="34">
        <f t="shared" si="3"/>
        <v>0</v>
      </c>
      <c r="O115" s="34">
        <f t="shared" si="4"/>
        <v>5692653569.9764881</v>
      </c>
      <c r="P115" s="34">
        <f t="shared" si="20"/>
        <v>569265356.99764884</v>
      </c>
      <c r="Q115" s="38">
        <f t="shared" si="5"/>
        <v>5097771271.9139442</v>
      </c>
      <c r="R115" s="39">
        <f t="shared" si="6"/>
        <v>2548885635.9569721</v>
      </c>
      <c r="S115" s="34">
        <f t="shared" si="7"/>
        <v>2548885635.9569721</v>
      </c>
      <c r="T115" s="40">
        <f t="shared" si="21"/>
        <v>9869264101.242178</v>
      </c>
      <c r="U115" s="272">
        <f t="shared" si="8"/>
        <v>2.6988780705650929E-3</v>
      </c>
      <c r="V115" s="41">
        <f t="shared" si="9"/>
        <v>7.9744560431401803</v>
      </c>
    </row>
    <row r="116" spans="1:22" ht="15.75" customHeight="1">
      <c r="A116" s="31" t="s">
        <v>149</v>
      </c>
      <c r="B116" s="32">
        <v>2132</v>
      </c>
      <c r="C116" s="274">
        <f t="shared" si="10"/>
        <v>1.2823405530786184E-6</v>
      </c>
      <c r="D116" s="271">
        <f t="shared" si="18"/>
        <v>1.2823405530786184E-6</v>
      </c>
      <c r="E116" s="34"/>
      <c r="F116" s="42">
        <v>500</v>
      </c>
      <c r="G116" s="34">
        <f t="shared" si="0"/>
        <v>641170.27653930918</v>
      </c>
      <c r="H116" s="34">
        <f t="shared" si="1"/>
        <v>637964.42515661265</v>
      </c>
      <c r="I116" s="35">
        <f t="shared" si="19"/>
        <v>1</v>
      </c>
      <c r="J116" s="36">
        <f t="shared" si="13"/>
        <v>637964.42515661265</v>
      </c>
      <c r="K116" s="34">
        <f t="shared" si="14"/>
        <v>93837025458.827713</v>
      </c>
      <c r="L116" s="37">
        <f t="shared" si="15"/>
        <v>90835459687.367569</v>
      </c>
      <c r="M116" s="34">
        <f t="shared" si="2"/>
        <v>5725717198.1352539</v>
      </c>
      <c r="N116" s="34">
        <f t="shared" si="3"/>
        <v>0</v>
      </c>
      <c r="O116" s="34">
        <f t="shared" si="4"/>
        <v>5725717198.1352539</v>
      </c>
      <c r="P116" s="34">
        <f t="shared" si="20"/>
        <v>572571719.81352544</v>
      </c>
      <c r="Q116" s="38">
        <f t="shared" si="5"/>
        <v>5127379750.9301205</v>
      </c>
      <c r="R116" s="39">
        <f t="shared" si="6"/>
        <v>2563689875.4650602</v>
      </c>
      <c r="S116" s="34">
        <f t="shared" si="7"/>
        <v>2563689875.4650602</v>
      </c>
      <c r="T116" s="40">
        <f t="shared" si="21"/>
        <v>9859394837.1409378</v>
      </c>
      <c r="U116" s="272">
        <f t="shared" si="8"/>
        <v>2.6988780705650929E-3</v>
      </c>
      <c r="V116" s="41">
        <f t="shared" si="9"/>
        <v>8.0288014605932521</v>
      </c>
    </row>
    <row r="117" spans="1:22" ht="15.75" customHeight="1">
      <c r="A117" s="31" t="s">
        <v>150</v>
      </c>
      <c r="B117" s="32">
        <v>2133</v>
      </c>
      <c r="C117" s="274">
        <f t="shared" si="10"/>
        <v>1.1541064977707566E-6</v>
      </c>
      <c r="D117" s="271">
        <f t="shared" si="18"/>
        <v>1.1541064977707566E-6</v>
      </c>
      <c r="E117" s="34"/>
      <c r="F117" s="42">
        <v>500</v>
      </c>
      <c r="G117" s="34">
        <f t="shared" si="0"/>
        <v>577053.24888537836</v>
      </c>
      <c r="H117" s="34">
        <f t="shared" si="1"/>
        <v>574167.98264095141</v>
      </c>
      <c r="I117" s="35">
        <f t="shared" si="19"/>
        <v>1</v>
      </c>
      <c r="J117" s="36">
        <f t="shared" si="13"/>
        <v>574167.98264095141</v>
      </c>
      <c r="K117" s="34">
        <f t="shared" si="14"/>
        <v>94410171346.623871</v>
      </c>
      <c r="L117" s="37">
        <f t="shared" si="15"/>
        <v>91362901272.376144</v>
      </c>
      <c r="M117" s="34">
        <f t="shared" si="2"/>
        <v>5758968144.1791039</v>
      </c>
      <c r="N117" s="34">
        <f t="shared" si="3"/>
        <v>0</v>
      </c>
      <c r="O117" s="34">
        <f t="shared" si="4"/>
        <v>5758968144.1791039</v>
      </c>
      <c r="P117" s="34">
        <f t="shared" si="20"/>
        <v>575896814.41791046</v>
      </c>
      <c r="Q117" s="38">
        <f t="shared" si="5"/>
        <v>5157155973.1123877</v>
      </c>
      <c r="R117" s="39">
        <f t="shared" si="6"/>
        <v>2578577986.5561938</v>
      </c>
      <c r="S117" s="34">
        <f t="shared" si="7"/>
        <v>2578577986.5561938</v>
      </c>
      <c r="T117" s="40">
        <f t="shared" si="21"/>
        <v>9849535442.3037987</v>
      </c>
      <c r="U117" s="272">
        <f t="shared" si="8"/>
        <v>2.6988780705650929E-3</v>
      </c>
      <c r="V117" s="41">
        <f t="shared" si="9"/>
        <v>8.0835106138864372</v>
      </c>
    </row>
    <row r="118" spans="1:22" ht="15.75" customHeight="1">
      <c r="A118" s="31" t="s">
        <v>151</v>
      </c>
      <c r="B118" s="32">
        <v>2134</v>
      </c>
      <c r="C118" s="274">
        <f t="shared" si="10"/>
        <v>1.038695847993681E-6</v>
      </c>
      <c r="D118" s="271">
        <f t="shared" si="18"/>
        <v>1.038695847993681E-6</v>
      </c>
      <c r="E118" s="34"/>
      <c r="F118" s="42">
        <v>500</v>
      </c>
      <c r="G118" s="34">
        <f t="shared" si="0"/>
        <v>519347.92399684049</v>
      </c>
      <c r="H118" s="34">
        <f t="shared" si="1"/>
        <v>516751.18437685625</v>
      </c>
      <c r="I118" s="35">
        <f t="shared" si="19"/>
        <v>1</v>
      </c>
      <c r="J118" s="36">
        <f t="shared" si="13"/>
        <v>516751.18437685625</v>
      </c>
      <c r="K118" s="34">
        <f t="shared" si="14"/>
        <v>94986584912.226151</v>
      </c>
      <c r="L118" s="37">
        <f t="shared" si="15"/>
        <v>91893345180.559433</v>
      </c>
      <c r="M118" s="34">
        <f t="shared" si="2"/>
        <v>5792407940.6686478</v>
      </c>
      <c r="N118" s="34">
        <f t="shared" si="3"/>
        <v>0</v>
      </c>
      <c r="O118" s="34">
        <f t="shared" si="4"/>
        <v>5792407940.6686478</v>
      </c>
      <c r="P118" s="34">
        <f t="shared" si="20"/>
        <v>579240794.06686485</v>
      </c>
      <c r="Q118" s="38">
        <f t="shared" si="5"/>
        <v>5187101310.8687735</v>
      </c>
      <c r="R118" s="39">
        <f t="shared" si="6"/>
        <v>2593550655.4343867</v>
      </c>
      <c r="S118" s="34">
        <f t="shared" si="7"/>
        <v>2593550655.4343867</v>
      </c>
      <c r="T118" s="40">
        <f t="shared" si="21"/>
        <v>9839685906.861496</v>
      </c>
      <c r="U118" s="272">
        <f t="shared" si="8"/>
        <v>2.6988780705650929E-3</v>
      </c>
      <c r="V118" s="41">
        <f t="shared" si="9"/>
        <v>8.138586593269876</v>
      </c>
    </row>
    <row r="119" spans="1:22" ht="15.75" customHeight="1">
      <c r="A119" s="31" t="s">
        <v>152</v>
      </c>
      <c r="B119" s="32">
        <v>2135</v>
      </c>
      <c r="C119" s="274">
        <f t="shared" si="10"/>
        <v>9.3482626319431297E-7</v>
      </c>
      <c r="D119" s="271">
        <f t="shared" si="18"/>
        <v>9.3482626319431297E-7</v>
      </c>
      <c r="E119" s="34"/>
      <c r="F119" s="42">
        <v>500</v>
      </c>
      <c r="G119" s="34">
        <f t="shared" si="0"/>
        <v>467413.13159715646</v>
      </c>
      <c r="H119" s="34">
        <f t="shared" si="1"/>
        <v>465076.06593917066</v>
      </c>
      <c r="I119" s="35">
        <f t="shared" si="19"/>
        <v>1</v>
      </c>
      <c r="J119" s="36">
        <f t="shared" si="13"/>
        <v>465076.06593917066</v>
      </c>
      <c r="K119" s="34">
        <f t="shared" si="14"/>
        <v>95566290782.358948</v>
      </c>
      <c r="L119" s="37">
        <f t="shared" si="15"/>
        <v>92426814525.166885</v>
      </c>
      <c r="M119" s="34">
        <f t="shared" si="2"/>
        <v>5826038084.4474678</v>
      </c>
      <c r="N119" s="34">
        <f t="shared" si="3"/>
        <v>0</v>
      </c>
      <c r="O119" s="34">
        <f t="shared" si="4"/>
        <v>5826038084.4474678</v>
      </c>
      <c r="P119" s="34">
        <f t="shared" si="20"/>
        <v>582603808.44474685</v>
      </c>
      <c r="Q119" s="38">
        <f t="shared" si="5"/>
        <v>5217217104.6227074</v>
      </c>
      <c r="R119" s="39">
        <f t="shared" si="6"/>
        <v>2608608552.3113537</v>
      </c>
      <c r="S119" s="34">
        <f t="shared" si="7"/>
        <v>2608608552.3113537</v>
      </c>
      <c r="T119" s="40">
        <f t="shared" si="21"/>
        <v>9829846220.9546356</v>
      </c>
      <c r="U119" s="272">
        <f t="shared" si="8"/>
        <v>2.6988780705650929E-3</v>
      </c>
      <c r="V119" s="41">
        <f t="shared" si="9"/>
        <v>8.1940324491561185</v>
      </c>
    </row>
    <row r="120" spans="1:22" ht="15.75" customHeight="1">
      <c r="A120" s="31" t="s">
        <v>153</v>
      </c>
      <c r="B120" s="32">
        <v>2136</v>
      </c>
      <c r="C120" s="274">
        <f t="shared" si="10"/>
        <v>8.4134363687488169E-7</v>
      </c>
      <c r="D120" s="271">
        <f t="shared" si="18"/>
        <v>8.4134363687488169E-7</v>
      </c>
      <c r="E120" s="34"/>
      <c r="F120" s="42">
        <v>500</v>
      </c>
      <c r="G120" s="34">
        <f t="shared" si="0"/>
        <v>420671.81843744084</v>
      </c>
      <c r="H120" s="34">
        <f t="shared" si="1"/>
        <v>418568.45934525365</v>
      </c>
      <c r="I120" s="35">
        <f t="shared" si="19"/>
        <v>1</v>
      </c>
      <c r="J120" s="36">
        <f t="shared" si="13"/>
        <v>418568.45934525365</v>
      </c>
      <c r="K120" s="34">
        <f t="shared" si="14"/>
        <v>96149313159.263046</v>
      </c>
      <c r="L120" s="37">
        <f t="shared" si="15"/>
        <v>92963331983.619949</v>
      </c>
      <c r="M120" s="34">
        <f t="shared" si="2"/>
        <v>5859860040.8955803</v>
      </c>
      <c r="N120" s="34">
        <f t="shared" si="3"/>
        <v>0</v>
      </c>
      <c r="O120" s="34">
        <f t="shared" si="4"/>
        <v>5859860040.8955803</v>
      </c>
      <c r="P120" s="34">
        <f t="shared" si="20"/>
        <v>585986004.08955801</v>
      </c>
      <c r="Q120" s="38">
        <f t="shared" si="5"/>
        <v>5247504666.6219921</v>
      </c>
      <c r="R120" s="39">
        <f t="shared" si="6"/>
        <v>2623752333.3109961</v>
      </c>
      <c r="S120" s="34">
        <f t="shared" si="7"/>
        <v>2623752333.3109961</v>
      </c>
      <c r="T120" s="40">
        <f t="shared" si="21"/>
        <v>9820016374.7336826</v>
      </c>
      <c r="U120" s="272">
        <f t="shared" si="8"/>
        <v>2.6988780705650929E-3</v>
      </c>
      <c r="V120" s="41">
        <f t="shared" si="9"/>
        <v>8.2498511978813927</v>
      </c>
    </row>
    <row r="121" spans="1:22" ht="15.75" customHeight="1">
      <c r="A121" s="31" t="s">
        <v>154</v>
      </c>
      <c r="B121" s="32">
        <v>2137</v>
      </c>
      <c r="C121" s="274">
        <f t="shared" si="10"/>
        <v>7.5720927318739354E-7</v>
      </c>
      <c r="D121" s="271">
        <f t="shared" si="18"/>
        <v>7.5720927318739354E-7</v>
      </c>
      <c r="E121" s="34"/>
      <c r="F121" s="42">
        <v>500</v>
      </c>
      <c r="G121" s="34">
        <f t="shared" si="0"/>
        <v>378604.63659369678</v>
      </c>
      <c r="H121" s="34">
        <f t="shared" si="1"/>
        <v>376711.61341072829</v>
      </c>
      <c r="I121" s="35">
        <f t="shared" si="19"/>
        <v>1</v>
      </c>
      <c r="J121" s="36">
        <f t="shared" si="13"/>
        <v>376711.61341072829</v>
      </c>
      <c r="K121" s="34">
        <f t="shared" si="14"/>
        <v>96735675874.966003</v>
      </c>
      <c r="L121" s="37">
        <f t="shared" si="15"/>
        <v>93502919851.973251</v>
      </c>
      <c r="M121" s="34">
        <f t="shared" si="2"/>
        <v>5893875247.7615042</v>
      </c>
      <c r="N121" s="34">
        <f t="shared" si="3"/>
        <v>0</v>
      </c>
      <c r="O121" s="34">
        <f t="shared" si="4"/>
        <v>5893875247.7615042</v>
      </c>
      <c r="P121" s="34">
        <f t="shared" si="20"/>
        <v>589387524.77615047</v>
      </c>
      <c r="Q121" s="38">
        <f t="shared" si="5"/>
        <v>5277965284.3704271</v>
      </c>
      <c r="R121" s="39">
        <f t="shared" si="6"/>
        <v>2638982642.1852136</v>
      </c>
      <c r="S121" s="34">
        <f t="shared" si="7"/>
        <v>2638982642.1852136</v>
      </c>
      <c r="T121" s="40">
        <f t="shared" si="21"/>
        <v>9810196358.3589497</v>
      </c>
      <c r="U121" s="272">
        <f t="shared" si="8"/>
        <v>2.6988780705650929E-3</v>
      </c>
      <c r="V121" s="41">
        <f t="shared" si="9"/>
        <v>8.3060458269083419</v>
      </c>
    </row>
    <row r="122" spans="1:22" ht="15.75" customHeight="1">
      <c r="A122" s="31" t="s">
        <v>155</v>
      </c>
      <c r="B122" s="32">
        <v>2138</v>
      </c>
      <c r="C122" s="274">
        <f t="shared" si="10"/>
        <v>6.8148834586865423E-7</v>
      </c>
      <c r="D122" s="271">
        <f t="shared" si="18"/>
        <v>6.8148834586865423E-7</v>
      </c>
      <c r="E122" s="34"/>
      <c r="F122" s="42">
        <v>500</v>
      </c>
      <c r="G122" s="34">
        <f t="shared" si="0"/>
        <v>340744.1729343271</v>
      </c>
      <c r="H122" s="34">
        <f t="shared" si="1"/>
        <v>339040.45206965547</v>
      </c>
      <c r="I122" s="35">
        <f t="shared" si="19"/>
        <v>1</v>
      </c>
      <c r="J122" s="36">
        <f t="shared" si="13"/>
        <v>339040.45206965547</v>
      </c>
      <c r="K122" s="34">
        <f t="shared" si="14"/>
        <v>97325402440.194229</v>
      </c>
      <c r="L122" s="37">
        <f t="shared" si="15"/>
        <v>94045600093.992874</v>
      </c>
      <c r="M122" s="34">
        <f t="shared" si="2"/>
        <v>5928085118.6151037</v>
      </c>
      <c r="N122" s="34">
        <f t="shared" si="3"/>
        <v>0</v>
      </c>
      <c r="O122" s="34">
        <f t="shared" si="4"/>
        <v>5928085118.6151037</v>
      </c>
      <c r="P122" s="34">
        <f t="shared" si="20"/>
        <v>592808511.8615104</v>
      </c>
      <c r="Q122" s="38">
        <f t="shared" si="5"/>
        <v>5308600223.7198257</v>
      </c>
      <c r="R122" s="39">
        <f t="shared" si="6"/>
        <v>2654300111.8599129</v>
      </c>
      <c r="S122" s="34">
        <f t="shared" si="7"/>
        <v>2654300111.8599129</v>
      </c>
      <c r="T122" s="40">
        <f t="shared" si="21"/>
        <v>9800386162.0005913</v>
      </c>
      <c r="U122" s="272">
        <f t="shared" si="8"/>
        <v>2.6988780705650929E-3</v>
      </c>
      <c r="V122" s="41">
        <f t="shared" si="9"/>
        <v>8.3626192995255604</v>
      </c>
    </row>
    <row r="123" spans="1:22" ht="15.75" customHeight="1">
      <c r="A123" s="31" t="s">
        <v>156</v>
      </c>
      <c r="B123" s="32">
        <v>2139</v>
      </c>
      <c r="C123" s="274">
        <f t="shared" si="10"/>
        <v>6.1333951128178879E-7</v>
      </c>
      <c r="D123" s="271">
        <f t="shared" si="18"/>
        <v>6.1333951128178879E-7</v>
      </c>
      <c r="E123" s="34"/>
      <c r="F123" s="42">
        <v>500</v>
      </c>
      <c r="G123" s="34">
        <f t="shared" si="0"/>
        <v>306669.75564089441</v>
      </c>
      <c r="H123" s="34">
        <f t="shared" si="1"/>
        <v>305136.40686268994</v>
      </c>
      <c r="I123" s="35">
        <f t="shared" si="19"/>
        <v>1</v>
      </c>
      <c r="J123" s="36">
        <f t="shared" si="13"/>
        <v>305136.40686268994</v>
      </c>
      <c r="K123" s="34">
        <f t="shared" si="14"/>
        <v>97918516088.462601</v>
      </c>
      <c r="L123" s="37">
        <f t="shared" si="15"/>
        <v>94591394385.390121</v>
      </c>
      <c r="M123" s="34">
        <f t="shared" si="2"/>
        <v>5962491045.9591484</v>
      </c>
      <c r="N123" s="34">
        <f t="shared" si="3"/>
        <v>0</v>
      </c>
      <c r="O123" s="34">
        <f t="shared" si="4"/>
        <v>5962491045.9591484</v>
      </c>
      <c r="P123" s="34">
        <f t="shared" si="20"/>
        <v>596249104.59591484</v>
      </c>
      <c r="Q123" s="38">
        <f t="shared" si="5"/>
        <v>5339410731.6564178</v>
      </c>
      <c r="R123" s="39">
        <f t="shared" si="6"/>
        <v>2669705365.8282089</v>
      </c>
      <c r="S123" s="34">
        <f t="shared" si="7"/>
        <v>2669705365.8282089</v>
      </c>
      <c r="T123" s="40">
        <f t="shared" si="21"/>
        <v>9790585775.8385925</v>
      </c>
      <c r="U123" s="272">
        <f t="shared" si="8"/>
        <v>2.6988780705650929E-3</v>
      </c>
      <c r="V123" s="41">
        <f t="shared" si="9"/>
        <v>8.419574559093947</v>
      </c>
    </row>
    <row r="124" spans="1:22" ht="15.75" customHeight="1">
      <c r="A124" s="31" t="s">
        <v>157</v>
      </c>
      <c r="B124" s="32">
        <v>2140</v>
      </c>
      <c r="C124" s="274">
        <f t="shared" si="10"/>
        <v>5.5200556015360997E-7</v>
      </c>
      <c r="D124" s="271">
        <f t="shared" si="18"/>
        <v>5.5200556015360997E-7</v>
      </c>
      <c r="E124" s="34"/>
      <c r="F124" s="42">
        <v>500</v>
      </c>
      <c r="G124" s="34">
        <f t="shared" si="0"/>
        <v>276002.78007680498</v>
      </c>
      <c r="H124" s="34">
        <f t="shared" si="1"/>
        <v>274622.76617642096</v>
      </c>
      <c r="I124" s="35">
        <f t="shared" si="19"/>
        <v>1</v>
      </c>
      <c r="J124" s="36">
        <f t="shared" si="13"/>
        <v>274622.76617642096</v>
      </c>
      <c r="K124" s="34">
        <f t="shared" si="14"/>
        <v>98515039815.824692</v>
      </c>
      <c r="L124" s="37">
        <f t="shared" si="15"/>
        <v>95140324153.695847</v>
      </c>
      <c r="M124" s="34">
        <f t="shared" si="2"/>
        <v>5997094404.0337334</v>
      </c>
      <c r="N124" s="34">
        <f t="shared" si="3"/>
        <v>0</v>
      </c>
      <c r="O124" s="34">
        <f t="shared" si="4"/>
        <v>5997094404.0337334</v>
      </c>
      <c r="P124" s="34">
        <f t="shared" si="20"/>
        <v>599709440.40337336</v>
      </c>
      <c r="Q124" s="38">
        <f t="shared" si="5"/>
        <v>5370398038.8122082</v>
      </c>
      <c r="R124" s="39">
        <f t="shared" si="6"/>
        <v>2685199019.4061041</v>
      </c>
      <c r="S124" s="34">
        <f t="shared" si="7"/>
        <v>2685199019.4061041</v>
      </c>
      <c r="T124" s="40">
        <f t="shared" si="21"/>
        <v>9780795190.0627556</v>
      </c>
      <c r="U124" s="272">
        <f t="shared" si="8"/>
        <v>2.6988780705650929E-3</v>
      </c>
      <c r="V124" s="41">
        <f t="shared" si="9"/>
        <v>8.4769145328848285</v>
      </c>
    </row>
    <row r="125" spans="1:22" ht="15.75" customHeight="1">
      <c r="A125" s="31" t="s">
        <v>158</v>
      </c>
      <c r="B125" s="32">
        <v>2141</v>
      </c>
      <c r="C125" s="274">
        <f t="shared" si="10"/>
        <v>4.9680500413824901E-7</v>
      </c>
      <c r="D125" s="271">
        <f t="shared" si="18"/>
        <v>4.9680500413824901E-7</v>
      </c>
      <c r="E125" s="34"/>
      <c r="F125" s="42">
        <v>500</v>
      </c>
      <c r="G125" s="34">
        <f t="shared" si="0"/>
        <v>248402.50206912449</v>
      </c>
      <c r="H125" s="34">
        <f t="shared" si="1"/>
        <v>247160.48955877885</v>
      </c>
      <c r="I125" s="35">
        <f t="shared" si="19"/>
        <v>1</v>
      </c>
      <c r="J125" s="36">
        <f t="shared" si="13"/>
        <v>247160.48955877885</v>
      </c>
      <c r="K125" s="34">
        <f t="shared" si="14"/>
        <v>99114996416.717621</v>
      </c>
      <c r="L125" s="37">
        <f t="shared" si="15"/>
        <v>95692410614.211487</v>
      </c>
      <c r="M125" s="34">
        <f t="shared" si="2"/>
        <v>6031896551.3443165</v>
      </c>
      <c r="N125" s="34">
        <f t="shared" si="3"/>
        <v>0</v>
      </c>
      <c r="O125" s="34">
        <f t="shared" si="4"/>
        <v>6031896551.3443165</v>
      </c>
      <c r="P125" s="34">
        <f t="shared" si="20"/>
        <v>603189655.13443172</v>
      </c>
      <c r="Q125" s="38">
        <f t="shared" si="5"/>
        <v>5401563361.7288351</v>
      </c>
      <c r="R125" s="39">
        <f t="shared" si="6"/>
        <v>2700781680.8644176</v>
      </c>
      <c r="S125" s="34">
        <f t="shared" si="7"/>
        <v>2700781680.8644176</v>
      </c>
      <c r="T125" s="40">
        <f t="shared" si="21"/>
        <v>9771014394.872694</v>
      </c>
      <c r="U125" s="272">
        <f t="shared" si="8"/>
        <v>2.6988780705650929E-3</v>
      </c>
      <c r="V125" s="41">
        <f t="shared" si="9"/>
        <v>8.53464213555044</v>
      </c>
    </row>
    <row r="126" spans="1:22" ht="15.75" customHeight="1">
      <c r="A126" s="31" t="s">
        <v>159</v>
      </c>
      <c r="B126" s="32">
        <v>2142</v>
      </c>
      <c r="C126" s="274">
        <f t="shared" si="10"/>
        <v>4.4712450372442411E-7</v>
      </c>
      <c r="D126" s="271">
        <f t="shared" si="18"/>
        <v>4.4712450372442411E-7</v>
      </c>
      <c r="E126" s="34"/>
      <c r="F126" s="42">
        <v>500</v>
      </c>
      <c r="G126" s="34">
        <f t="shared" si="0"/>
        <v>223562.25186221206</v>
      </c>
      <c r="H126" s="34">
        <f t="shared" si="1"/>
        <v>222444.44060290098</v>
      </c>
      <c r="I126" s="35">
        <f t="shared" si="19"/>
        <v>1</v>
      </c>
      <c r="J126" s="36">
        <f t="shared" si="13"/>
        <v>222444.44060290098</v>
      </c>
      <c r="K126" s="34">
        <f t="shared" si="14"/>
        <v>99718408516.292648</v>
      </c>
      <c r="L126" s="37">
        <f t="shared" si="15"/>
        <v>96247674802.429626</v>
      </c>
      <c r="M126" s="34">
        <f t="shared" si="2"/>
        <v>6066898832.9410076</v>
      </c>
      <c r="N126" s="34">
        <f t="shared" si="3"/>
        <v>0</v>
      </c>
      <c r="O126" s="34">
        <f t="shared" si="4"/>
        <v>6066898832.9410076</v>
      </c>
      <c r="P126" s="34">
        <f t="shared" si="20"/>
        <v>606689883.29410076</v>
      </c>
      <c r="Q126" s="38">
        <f t="shared" si="5"/>
        <v>5432907904.8986721</v>
      </c>
      <c r="R126" s="39">
        <f t="shared" si="6"/>
        <v>2716453952.4493361</v>
      </c>
      <c r="S126" s="34">
        <f t="shared" si="7"/>
        <v>2716453952.4493361</v>
      </c>
      <c r="T126" s="40">
        <f t="shared" si="21"/>
        <v>9761243380.4778233</v>
      </c>
      <c r="U126" s="272">
        <f t="shared" si="8"/>
        <v>2.6988780705650929E-3</v>
      </c>
      <c r="V126" s="41">
        <f t="shared" si="9"/>
        <v>8.5927602722632077</v>
      </c>
    </row>
    <row r="127" spans="1:22" ht="15.75" customHeight="1">
      <c r="A127" s="31" t="s">
        <v>160</v>
      </c>
      <c r="B127" s="32">
        <v>2143</v>
      </c>
      <c r="C127" s="274">
        <f t="shared" si="10"/>
        <v>4.0241205335198168E-7</v>
      </c>
      <c r="D127" s="271">
        <f t="shared" si="18"/>
        <v>4.0241205335198168E-7</v>
      </c>
      <c r="E127" s="34"/>
      <c r="F127" s="42">
        <v>500</v>
      </c>
      <c r="G127" s="34">
        <f t="shared" si="0"/>
        <v>201206.02667599084</v>
      </c>
      <c r="H127" s="34">
        <f t="shared" si="1"/>
        <v>200199.9965426109</v>
      </c>
      <c r="I127" s="35">
        <f t="shared" si="19"/>
        <v>1</v>
      </c>
      <c r="J127" s="36">
        <f t="shared" si="13"/>
        <v>200199.9965426109</v>
      </c>
      <c r="K127" s="34">
        <f t="shared" si="14"/>
        <v>100325298599.58328</v>
      </c>
      <c r="L127" s="37">
        <f t="shared" si="15"/>
        <v>96806137603.277405</v>
      </c>
      <c r="M127" s="34">
        <f t="shared" si="2"/>
        <v>6102102582.4740381</v>
      </c>
      <c r="N127" s="34">
        <f t="shared" si="3"/>
        <v>0</v>
      </c>
      <c r="O127" s="34">
        <f t="shared" si="4"/>
        <v>6102102582.4740381</v>
      </c>
      <c r="P127" s="34">
        <f t="shared" si="20"/>
        <v>610210258.24740386</v>
      </c>
      <c r="Q127" s="38">
        <f t="shared" si="5"/>
        <v>5464432862.6055012</v>
      </c>
      <c r="R127" s="39">
        <f t="shared" si="6"/>
        <v>2732216431.3027506</v>
      </c>
      <c r="S127" s="34">
        <f t="shared" si="7"/>
        <v>2732216431.3027506</v>
      </c>
      <c r="T127" s="40">
        <f t="shared" si="21"/>
        <v>9751482137.0973473</v>
      </c>
      <c r="U127" s="272">
        <f t="shared" si="8"/>
        <v>2.6988780705650929E-3</v>
      </c>
      <c r="V127" s="41">
        <f t="shared" si="9"/>
        <v>8.651271841556845</v>
      </c>
    </row>
    <row r="128" spans="1:22" ht="15.75" customHeight="1">
      <c r="A128" s="31" t="s">
        <v>161</v>
      </c>
      <c r="B128" s="32">
        <v>2144</v>
      </c>
      <c r="C128" s="274">
        <f t="shared" si="10"/>
        <v>3.6217084801678351E-7</v>
      </c>
      <c r="D128" s="271">
        <f t="shared" si="18"/>
        <v>3.6217084801678351E-7</v>
      </c>
      <c r="E128" s="34"/>
      <c r="F128" s="42">
        <v>500</v>
      </c>
      <c r="G128" s="34">
        <f t="shared" si="0"/>
        <v>181085.42400839177</v>
      </c>
      <c r="H128" s="34">
        <f t="shared" si="1"/>
        <v>180179.99688834982</v>
      </c>
      <c r="I128" s="35">
        <f t="shared" si="19"/>
        <v>1</v>
      </c>
      <c r="J128" s="36">
        <f t="shared" si="13"/>
        <v>180179.99688834982</v>
      </c>
      <c r="K128" s="34">
        <f t="shared" si="14"/>
        <v>100935689037.82758</v>
      </c>
      <c r="L128" s="37">
        <f t="shared" si="15"/>
        <v>97367819777.500946</v>
      </c>
      <c r="M128" s="34">
        <f t="shared" si="2"/>
        <v>6137509124.0477877</v>
      </c>
      <c r="N128" s="34">
        <f t="shared" si="3"/>
        <v>0</v>
      </c>
      <c r="O128" s="34">
        <f t="shared" si="4"/>
        <v>6137509124.0477877</v>
      </c>
      <c r="P128" s="34">
        <f t="shared" si="20"/>
        <v>613750912.40477884</v>
      </c>
      <c r="Q128" s="38">
        <f t="shared" si="5"/>
        <v>5496139420.584794</v>
      </c>
      <c r="R128" s="39">
        <f t="shared" si="6"/>
        <v>2748069710.292397</v>
      </c>
      <c r="S128" s="34">
        <f t="shared" si="7"/>
        <v>2748069710.292397</v>
      </c>
      <c r="T128" s="40">
        <f t="shared" si="21"/>
        <v>9741730654.9602509</v>
      </c>
      <c r="U128" s="272">
        <f t="shared" si="8"/>
        <v>2.6988780705650929E-3</v>
      </c>
      <c r="V128" s="41">
        <f t="shared" si="9"/>
        <v>8.7101797378987964</v>
      </c>
    </row>
    <row r="129" spans="1:22" ht="15.75" customHeight="1">
      <c r="A129" s="31" t="s">
        <v>162</v>
      </c>
      <c r="B129" s="32">
        <v>2145</v>
      </c>
      <c r="C129" s="274">
        <f t="shared" si="10"/>
        <v>3.2595376321510515E-7</v>
      </c>
      <c r="D129" s="271">
        <f t="shared" si="18"/>
        <v>3.2595376321510515E-7</v>
      </c>
      <c r="E129" s="34"/>
      <c r="F129" s="42">
        <v>500</v>
      </c>
      <c r="G129" s="34">
        <f t="shared" si="0"/>
        <v>162976.88160755255</v>
      </c>
      <c r="H129" s="34">
        <f t="shared" si="1"/>
        <v>162161.99719951479</v>
      </c>
      <c r="I129" s="35">
        <f t="shared" si="19"/>
        <v>1</v>
      </c>
      <c r="J129" s="36">
        <f t="shared" si="13"/>
        <v>162161.99719951479</v>
      </c>
      <c r="K129" s="34">
        <f t="shared" si="14"/>
        <v>101549602112.22955</v>
      </c>
      <c r="L129" s="37">
        <f t="shared" si="15"/>
        <v>97932741985.476974</v>
      </c>
      <c r="M129" s="34">
        <f t="shared" si="2"/>
        <v>6173119773.8935595</v>
      </c>
      <c r="N129" s="34">
        <f t="shared" si="3"/>
        <v>0</v>
      </c>
      <c r="O129" s="34">
        <f t="shared" si="4"/>
        <v>6173119773.8935595</v>
      </c>
      <c r="P129" s="34">
        <f t="shared" si="20"/>
        <v>617311977.38935602</v>
      </c>
      <c r="Q129" s="38">
        <f t="shared" si="5"/>
        <v>5528028757.5216827</v>
      </c>
      <c r="R129" s="39">
        <f t="shared" si="6"/>
        <v>2764014378.7608414</v>
      </c>
      <c r="S129" s="34">
        <f t="shared" si="7"/>
        <v>2764014378.7608414</v>
      </c>
      <c r="T129" s="40">
        <f t="shared" si="21"/>
        <v>9731988924.3052921</v>
      </c>
      <c r="U129" s="272">
        <f t="shared" si="8"/>
        <v>2.6988780705650929E-3</v>
      </c>
      <c r="V129" s="41">
        <f t="shared" si="9"/>
        <v>8.7694868540208084</v>
      </c>
    </row>
    <row r="130" spans="1:22" ht="15.75" customHeight="1">
      <c r="A130" s="31" t="s">
        <v>163</v>
      </c>
      <c r="B130" s="32">
        <v>2146</v>
      </c>
      <c r="C130" s="274">
        <f t="shared" si="10"/>
        <v>2.9335838689359466E-7</v>
      </c>
      <c r="D130" s="271">
        <f t="shared" si="18"/>
        <v>2.9335838689359466E-7</v>
      </c>
      <c r="E130" s="34"/>
      <c r="F130" s="42">
        <v>500</v>
      </c>
      <c r="G130" s="34">
        <f t="shared" si="0"/>
        <v>146679.19344679732</v>
      </c>
      <c r="H130" s="34">
        <f t="shared" si="1"/>
        <v>145945.79747956333</v>
      </c>
      <c r="I130" s="35">
        <f t="shared" si="19"/>
        <v>1</v>
      </c>
      <c r="J130" s="36">
        <f t="shared" si="13"/>
        <v>145945.79747956333</v>
      </c>
      <c r="K130" s="34">
        <f t="shared" si="14"/>
        <v>102167060035.4164</v>
      </c>
      <c r="L130" s="37">
        <f t="shared" si="15"/>
        <v>98500924808.709488</v>
      </c>
      <c r="M130" s="34">
        <f t="shared" si="2"/>
        <v>6208935841.87924</v>
      </c>
      <c r="N130" s="34">
        <f t="shared" si="3"/>
        <v>0</v>
      </c>
      <c r="O130" s="34">
        <f t="shared" si="4"/>
        <v>6208935841.87924</v>
      </c>
      <c r="P130" s="34">
        <f t="shared" si="20"/>
        <v>620893584.18792403</v>
      </c>
      <c r="Q130" s="38">
        <f t="shared" si="5"/>
        <v>5560102046.4028587</v>
      </c>
      <c r="R130" s="39">
        <f t="shared" si="6"/>
        <v>2780051023.2014294</v>
      </c>
      <c r="S130" s="34">
        <f t="shared" si="7"/>
        <v>2780051023.2014294</v>
      </c>
      <c r="T130" s="40">
        <f t="shared" si="21"/>
        <v>9722256935.3809872</v>
      </c>
      <c r="U130" s="272">
        <f t="shared" si="8"/>
        <v>2.6988780705650929E-3</v>
      </c>
      <c r="V130" s="41">
        <f t="shared" si="9"/>
        <v>8.8291960830316683</v>
      </c>
    </row>
    <row r="131" spans="1:22" ht="15.75" customHeight="1">
      <c r="A131" s="31" t="s">
        <v>164</v>
      </c>
      <c r="B131" s="32">
        <v>2147</v>
      </c>
      <c r="C131" s="274">
        <f t="shared" si="10"/>
        <v>2.6402254820423519E-7</v>
      </c>
      <c r="D131" s="271">
        <f t="shared" si="18"/>
        <v>2.6402254820423519E-7</v>
      </c>
      <c r="E131" s="34"/>
      <c r="F131" s="42">
        <v>500</v>
      </c>
      <c r="G131" s="34">
        <f t="shared" si="0"/>
        <v>132011.2741021176</v>
      </c>
      <c r="H131" s="34">
        <f t="shared" si="1"/>
        <v>131351.21773160703</v>
      </c>
      <c r="I131" s="35">
        <f t="shared" si="19"/>
        <v>1</v>
      </c>
      <c r="J131" s="36">
        <f t="shared" si="13"/>
        <v>131351.21773160703</v>
      </c>
      <c r="K131" s="34">
        <f t="shared" si="14"/>
        <v>102788084970.82205</v>
      </c>
      <c r="L131" s="37">
        <f t="shared" si="15"/>
        <v>99072388769.243088</v>
      </c>
      <c r="M131" s="34">
        <f t="shared" si="2"/>
        <v>6244958632.8721809</v>
      </c>
      <c r="N131" s="34">
        <f t="shared" si="3"/>
        <v>0</v>
      </c>
      <c r="O131" s="34">
        <f t="shared" si="4"/>
        <v>6244958632.8721809</v>
      </c>
      <c r="P131" s="34">
        <f t="shared" si="20"/>
        <v>624495863.28721809</v>
      </c>
      <c r="Q131" s="38">
        <f t="shared" si="5"/>
        <v>5592360455.7370377</v>
      </c>
      <c r="R131" s="39">
        <f t="shared" si="6"/>
        <v>2796180227.8685188</v>
      </c>
      <c r="S131" s="34">
        <f t="shared" si="7"/>
        <v>2796180227.8685188</v>
      </c>
      <c r="T131" s="40">
        <f t="shared" si="21"/>
        <v>9712534678.4456081</v>
      </c>
      <c r="U131" s="272">
        <f t="shared" si="8"/>
        <v>2.6988780705650929E-3</v>
      </c>
      <c r="V131" s="41">
        <f t="shared" si="9"/>
        <v>8.8893103203337667</v>
      </c>
    </row>
    <row r="132" spans="1:22" ht="15.75" customHeight="1">
      <c r="A132" s="31" t="s">
        <v>165</v>
      </c>
      <c r="B132" s="32">
        <v>2148</v>
      </c>
      <c r="C132" s="274">
        <f t="shared" si="10"/>
        <v>2.3762029338381168E-7</v>
      </c>
      <c r="D132" s="271">
        <f t="shared" si="18"/>
        <v>2.3762029338381168E-7</v>
      </c>
      <c r="E132" s="34"/>
      <c r="F132" s="42">
        <v>500</v>
      </c>
      <c r="G132" s="34">
        <f t="shared" si="0"/>
        <v>118810.14669190584</v>
      </c>
      <c r="H132" s="34">
        <f t="shared" si="1"/>
        <v>118216.09595844631</v>
      </c>
      <c r="I132" s="35">
        <f t="shared" si="19"/>
        <v>1</v>
      </c>
      <c r="J132" s="36">
        <f t="shared" si="13"/>
        <v>118216.09595844631</v>
      </c>
      <c r="K132" s="34">
        <f t="shared" si="14"/>
        <v>103412699050.20523</v>
      </c>
      <c r="L132" s="37">
        <f t="shared" si="15"/>
        <v>99647154347.201965</v>
      </c>
      <c r="M132" s="34">
        <f t="shared" si="2"/>
        <v>6281189447.9700117</v>
      </c>
      <c r="N132" s="34">
        <f t="shared" si="3"/>
        <v>0</v>
      </c>
      <c r="O132" s="34">
        <f t="shared" si="4"/>
        <v>6281189447.9700117</v>
      </c>
      <c r="P132" s="34">
        <f t="shared" si="20"/>
        <v>628118944.79700124</v>
      </c>
      <c r="Q132" s="38">
        <f t="shared" si="5"/>
        <v>5624805150.6571455</v>
      </c>
      <c r="R132" s="39">
        <f t="shared" si="6"/>
        <v>2812402575.3285728</v>
      </c>
      <c r="S132" s="34">
        <f t="shared" si="7"/>
        <v>2812402575.3285728</v>
      </c>
      <c r="T132" s="40">
        <f t="shared" si="21"/>
        <v>9702822143.7671642</v>
      </c>
      <c r="U132" s="272">
        <f t="shared" si="8"/>
        <v>2.6988780705650929E-3</v>
      </c>
      <c r="V132" s="41">
        <f t="shared" si="9"/>
        <v>8.9498324653630537</v>
      </c>
    </row>
    <row r="133" spans="1:22" ht="15.75" customHeight="1">
      <c r="A133" s="31" t="s">
        <v>166</v>
      </c>
      <c r="B133" s="32">
        <v>2149</v>
      </c>
      <c r="C133" s="274">
        <f t="shared" si="10"/>
        <v>2.1385826404543052E-7</v>
      </c>
      <c r="D133" s="271">
        <f t="shared" si="18"/>
        <v>2.1385826404543052E-7</v>
      </c>
      <c r="E133" s="34"/>
      <c r="F133" s="42">
        <v>500</v>
      </c>
      <c r="G133" s="34">
        <f t="shared" si="0"/>
        <v>106929.13202271526</v>
      </c>
      <c r="H133" s="34">
        <f t="shared" si="1"/>
        <v>106394.48636260169</v>
      </c>
      <c r="I133" s="35">
        <f t="shared" si="19"/>
        <v>1</v>
      </c>
      <c r="J133" s="36">
        <f t="shared" si="13"/>
        <v>106394.48636260169</v>
      </c>
      <c r="K133" s="34">
        <f t="shared" si="14"/>
        <v>104040924389.48859</v>
      </c>
      <c r="L133" s="37">
        <f t="shared" si="15"/>
        <v>100225241996.64209</v>
      </c>
      <c r="M133" s="34">
        <f t="shared" si="2"/>
        <v>6317629585.6126041</v>
      </c>
      <c r="N133" s="34">
        <f t="shared" si="3"/>
        <v>0</v>
      </c>
      <c r="O133" s="34">
        <f t="shared" si="4"/>
        <v>6317629585.6126041</v>
      </c>
      <c r="P133" s="34">
        <f t="shared" si="20"/>
        <v>631762958.56126046</v>
      </c>
      <c r="Q133" s="38">
        <f t="shared" si="5"/>
        <v>5657437293.9160872</v>
      </c>
      <c r="R133" s="39">
        <f t="shared" si="6"/>
        <v>2828718646.9580436</v>
      </c>
      <c r="S133" s="34">
        <f t="shared" si="7"/>
        <v>2828718646.9580436</v>
      </c>
      <c r="T133" s="40">
        <f t="shared" si="21"/>
        <v>9693119321.6233978</v>
      </c>
      <c r="U133" s="272">
        <f t="shared" si="8"/>
        <v>2.6988780705650929E-3</v>
      </c>
      <c r="V133" s="41">
        <f t="shared" si="9"/>
        <v>9.0107654231699232</v>
      </c>
    </row>
    <row r="134" spans="1:22" ht="15.75" customHeight="1">
      <c r="A134" s="31" t="s">
        <v>167</v>
      </c>
      <c r="B134" s="32">
        <v>2150</v>
      </c>
      <c r="C134" s="274">
        <f t="shared" si="10"/>
        <v>1.9247243764088747E-7</v>
      </c>
      <c r="D134" s="271">
        <f t="shared" si="18"/>
        <v>1.9247243764088747E-7</v>
      </c>
      <c r="E134" s="34"/>
      <c r="F134" s="42">
        <v>500</v>
      </c>
      <c r="G134" s="34">
        <f t="shared" si="0"/>
        <v>96236.218820443726</v>
      </c>
      <c r="H134" s="34">
        <f t="shared" si="1"/>
        <v>95755.037726341514</v>
      </c>
      <c r="I134" s="35">
        <f t="shared" si="19"/>
        <v>1</v>
      </c>
      <c r="J134" s="36">
        <f t="shared" si="13"/>
        <v>95755.037726341514</v>
      </c>
      <c r="K134" s="34">
        <f t="shared" si="14"/>
        <v>104672783103.08757</v>
      </c>
      <c r="L134" s="37">
        <f t="shared" si="15"/>
        <v>100806672159.88596</v>
      </c>
      <c r="M134" s="34">
        <f t="shared" si="2"/>
        <v>6354280342.5871086</v>
      </c>
      <c r="N134" s="34">
        <f t="shared" si="3"/>
        <v>0</v>
      </c>
      <c r="O134" s="34">
        <f t="shared" si="4"/>
        <v>6354280342.5871086</v>
      </c>
      <c r="P134" s="34">
        <f t="shared" si="20"/>
        <v>635428034.25871086</v>
      </c>
      <c r="Q134" s="38">
        <f t="shared" si="5"/>
        <v>5690258046.7867556</v>
      </c>
      <c r="R134" s="39">
        <f t="shared" si="6"/>
        <v>2845129023.3933778</v>
      </c>
      <c r="S134" s="34">
        <f t="shared" si="7"/>
        <v>2845129023.3933778</v>
      </c>
      <c r="T134" s="40">
        <f t="shared" si="21"/>
        <v>9683426202.301775</v>
      </c>
      <c r="U134" s="272">
        <f t="shared" si="8"/>
        <v>2.6988780705650929E-3</v>
      </c>
      <c r="V134" s="41">
        <f t="shared" si="9"/>
        <v>9.0721121058569612</v>
      </c>
    </row>
    <row r="135" spans="1:22" ht="15.75" customHeight="1">
      <c r="A135" s="31" t="s">
        <v>168</v>
      </c>
      <c r="B135" s="32">
        <v>2151</v>
      </c>
      <c r="C135" s="274">
        <f t="shared" si="10"/>
        <v>1.7322519387679872E-7</v>
      </c>
      <c r="D135" s="271">
        <f t="shared" si="18"/>
        <v>1.7322519387679872E-7</v>
      </c>
      <c r="E135" s="34"/>
      <c r="F135" s="42">
        <v>500</v>
      </c>
      <c r="G135" s="34">
        <f t="shared" si="0"/>
        <v>86612.596938399365</v>
      </c>
      <c r="H135" s="34">
        <f t="shared" si="1"/>
        <v>86179.533953707374</v>
      </c>
      <c r="I135" s="35">
        <f t="shared" si="19"/>
        <v>1</v>
      </c>
      <c r="J135" s="36">
        <f t="shared" si="13"/>
        <v>86179.533953707374</v>
      </c>
      <c r="K135" s="34">
        <f t="shared" si="14"/>
        <v>105308297316.88023</v>
      </c>
      <c r="L135" s="37">
        <f t="shared" si="15"/>
        <v>101391465280.49179</v>
      </c>
      <c r="M135" s="34">
        <f t="shared" si="2"/>
        <v>6391143014.9367695</v>
      </c>
      <c r="N135" s="34">
        <f t="shared" si="3"/>
        <v>0</v>
      </c>
      <c r="O135" s="34">
        <f t="shared" si="4"/>
        <v>6391143014.9367695</v>
      </c>
      <c r="P135" s="34">
        <f t="shared" si="20"/>
        <v>639114301.49367702</v>
      </c>
      <c r="Q135" s="38">
        <f t="shared" si="5"/>
        <v>5723268569.8758764</v>
      </c>
      <c r="R135" s="39">
        <f t="shared" si="6"/>
        <v>2861634284.9379382</v>
      </c>
      <c r="S135" s="34">
        <f t="shared" si="7"/>
        <v>2861634284.9379382</v>
      </c>
      <c r="T135" s="40">
        <f t="shared" si="21"/>
        <v>9673742776.099474</v>
      </c>
      <c r="U135" s="272">
        <f t="shared" si="8"/>
        <v>2.6988780705650929E-3</v>
      </c>
      <c r="V135" s="41">
        <f t="shared" si="9"/>
        <v>9.1338754338877468</v>
      </c>
    </row>
    <row r="136" spans="1:22" ht="15.75" customHeight="1">
      <c r="A136" s="31" t="s">
        <v>169</v>
      </c>
      <c r="B136" s="32">
        <v>2152</v>
      </c>
      <c r="C136" s="274">
        <f t="shared" si="10"/>
        <v>1.5590267448911886E-7</v>
      </c>
      <c r="D136" s="271">
        <f t="shared" si="18"/>
        <v>1.5590267448911886E-7</v>
      </c>
      <c r="E136" s="34"/>
      <c r="F136" s="42">
        <v>500</v>
      </c>
      <c r="G136" s="34">
        <f t="shared" si="0"/>
        <v>77951.337244559429</v>
      </c>
      <c r="H136" s="34">
        <f t="shared" si="1"/>
        <v>77561.580558336631</v>
      </c>
      <c r="I136" s="35">
        <f t="shared" si="19"/>
        <v>1</v>
      </c>
      <c r="J136" s="36">
        <f t="shared" si="13"/>
        <v>77561.580558336631</v>
      </c>
      <c r="K136" s="34">
        <f t="shared" si="14"/>
        <v>105947489179.95447</v>
      </c>
      <c r="L136" s="37">
        <f t="shared" si="15"/>
        <v>101979641814.99425</v>
      </c>
      <c r="M136" s="34">
        <f t="shared" si="2"/>
        <v>6428218898.7831793</v>
      </c>
      <c r="N136" s="34">
        <f t="shared" si="3"/>
        <v>0</v>
      </c>
      <c r="O136" s="34">
        <f t="shared" si="4"/>
        <v>6428218898.7831793</v>
      </c>
      <c r="P136" s="34">
        <f t="shared" si="20"/>
        <v>642821889.87831795</v>
      </c>
      <c r="Q136" s="38">
        <f t="shared" si="5"/>
        <v>5756470023.8603373</v>
      </c>
      <c r="R136" s="39">
        <f t="shared" si="6"/>
        <v>2878235011.9301686</v>
      </c>
      <c r="S136" s="34">
        <f t="shared" si="7"/>
        <v>2878235011.9301686</v>
      </c>
      <c r="T136" s="40">
        <f t="shared" si="21"/>
        <v>9664069033.3233757</v>
      </c>
      <c r="U136" s="272">
        <f t="shared" si="8"/>
        <v>2.6988780705650929E-3</v>
      </c>
      <c r="V136" s="41">
        <f t="shared" si="9"/>
        <v>9.1960583372796503</v>
      </c>
    </row>
    <row r="137" spans="1:22" ht="15.75" customHeight="1">
      <c r="A137" s="31" t="s">
        <v>170</v>
      </c>
      <c r="B137" s="32">
        <v>2153</v>
      </c>
      <c r="C137" s="274">
        <f t="shared" si="10"/>
        <v>1.4031240704020697E-7</v>
      </c>
      <c r="D137" s="271">
        <f t="shared" si="18"/>
        <v>1.4031240704020697E-7</v>
      </c>
      <c r="E137" s="34"/>
      <c r="F137" s="42">
        <v>500</v>
      </c>
      <c r="G137" s="34">
        <f t="shared" si="0"/>
        <v>70156.203520103489</v>
      </c>
      <c r="H137" s="34">
        <f t="shared" si="1"/>
        <v>69805.422502502974</v>
      </c>
      <c r="I137" s="35">
        <f t="shared" si="19"/>
        <v>1</v>
      </c>
      <c r="J137" s="36">
        <f t="shared" si="13"/>
        <v>69805.422502502974</v>
      </c>
      <c r="K137" s="34">
        <f t="shared" si="14"/>
        <v>106590380875.25528</v>
      </c>
      <c r="L137" s="37">
        <f t="shared" si="15"/>
        <v>102571222243.53992</v>
      </c>
      <c r="M137" s="34">
        <f t="shared" si="2"/>
        <v>6465509291.0706348</v>
      </c>
      <c r="N137" s="34">
        <f t="shared" si="3"/>
        <v>0</v>
      </c>
      <c r="O137" s="34">
        <f t="shared" si="4"/>
        <v>6465509291.0706348</v>
      </c>
      <c r="P137" s="34">
        <f t="shared" si="20"/>
        <v>646550929.10706353</v>
      </c>
      <c r="Q137" s="38">
        <f t="shared" si="5"/>
        <v>5789863570.1537533</v>
      </c>
      <c r="R137" s="39">
        <f t="shared" si="6"/>
        <v>2894931785.0768766</v>
      </c>
      <c r="S137" s="34">
        <f t="shared" si="7"/>
        <v>2894931785.0768766</v>
      </c>
      <c r="T137" s="40">
        <f t="shared" si="21"/>
        <v>9654404964.2900543</v>
      </c>
      <c r="U137" s="272">
        <f t="shared" si="8"/>
        <v>2.6988780705650929E-3</v>
      </c>
      <c r="V137" s="41">
        <f t="shared" si="9"/>
        <v>9.2586637566921564</v>
      </c>
    </row>
    <row r="138" spans="1:22" ht="15.75" customHeight="1">
      <c r="A138" s="31" t="s">
        <v>171</v>
      </c>
      <c r="B138" s="32">
        <v>2154</v>
      </c>
      <c r="C138" s="274">
        <f t="shared" si="10"/>
        <v>1.2628116633618628E-7</v>
      </c>
      <c r="D138" s="271">
        <f t="shared" si="18"/>
        <v>1.2628116633618628E-7</v>
      </c>
      <c r="E138" s="34"/>
      <c r="F138" s="42">
        <v>500</v>
      </c>
      <c r="G138" s="34">
        <f t="shared" si="0"/>
        <v>63140.583168093144</v>
      </c>
      <c r="H138" s="34">
        <f t="shared" si="1"/>
        <v>62824.880252252675</v>
      </c>
      <c r="I138" s="35">
        <f t="shared" si="19"/>
        <v>1</v>
      </c>
      <c r="J138" s="36">
        <f t="shared" si="13"/>
        <v>62824.880252252675</v>
      </c>
      <c r="K138" s="34">
        <f t="shared" si="14"/>
        <v>107236994629.2426</v>
      </c>
      <c r="L138" s="37">
        <f t="shared" si="15"/>
        <v>103166227079.52847</v>
      </c>
      <c r="M138" s="34">
        <f t="shared" si="2"/>
        <v>6503015490.2404308</v>
      </c>
      <c r="N138" s="34">
        <f t="shared" si="3"/>
        <v>0</v>
      </c>
      <c r="O138" s="34">
        <f t="shared" si="4"/>
        <v>6503015490.2404308</v>
      </c>
      <c r="P138" s="34">
        <f t="shared" si="20"/>
        <v>650301549.02404308</v>
      </c>
      <c r="Q138" s="38">
        <f t="shared" si="5"/>
        <v>5823450371.5103054</v>
      </c>
      <c r="R138" s="39">
        <f t="shared" si="6"/>
        <v>2911725185.7551527</v>
      </c>
      <c r="S138" s="34">
        <f t="shared" si="7"/>
        <v>2911725185.7551527</v>
      </c>
      <c r="T138" s="40">
        <f t="shared" si="21"/>
        <v>9644750559.3257656</v>
      </c>
      <c r="U138" s="272">
        <f t="shared" si="8"/>
        <v>2.6988780705650929E-3</v>
      </c>
      <c r="V138" s="41">
        <f t="shared" si="9"/>
        <v>9.3216946444212194</v>
      </c>
    </row>
    <row r="139" spans="1:22" ht="15.75" customHeight="1">
      <c r="A139" s="31" t="s">
        <v>172</v>
      </c>
      <c r="B139" s="32">
        <v>2155</v>
      </c>
      <c r="C139" s="274">
        <f t="shared" si="10"/>
        <v>1.1365304970256765E-7</v>
      </c>
      <c r="D139" s="271">
        <f t="shared" si="18"/>
        <v>1.1365304970256765E-7</v>
      </c>
      <c r="E139" s="34"/>
      <c r="F139" s="42">
        <v>500</v>
      </c>
      <c r="G139" s="34">
        <f t="shared" si="0"/>
        <v>56826.52485128383</v>
      </c>
      <c r="H139" s="34">
        <f t="shared" si="1"/>
        <v>56542.392227027412</v>
      </c>
      <c r="I139" s="35">
        <f t="shared" si="19"/>
        <v>1</v>
      </c>
      <c r="J139" s="36">
        <f t="shared" si="13"/>
        <v>56542.392227027412</v>
      </c>
      <c r="K139" s="34">
        <f t="shared" si="14"/>
        <v>107887352720.65887</v>
      </c>
      <c r="L139" s="37">
        <f t="shared" si="15"/>
        <v>103764676878.35928</v>
      </c>
      <c r="M139" s="34">
        <f t="shared" si="2"/>
        <v>6540738796.8421049</v>
      </c>
      <c r="N139" s="34">
        <f t="shared" si="3"/>
        <v>0</v>
      </c>
      <c r="O139" s="34">
        <f t="shared" si="4"/>
        <v>6540738796.8421049</v>
      </c>
      <c r="P139" s="34">
        <f t="shared" si="20"/>
        <v>654073879.68421054</v>
      </c>
      <c r="Q139" s="38">
        <f t="shared" si="5"/>
        <v>5857231592.5721045</v>
      </c>
      <c r="R139" s="39">
        <f t="shared" si="6"/>
        <v>2928615796.2860522</v>
      </c>
      <c r="S139" s="34">
        <f t="shared" si="7"/>
        <v>2928615796.2860522</v>
      </c>
      <c r="T139" s="40">
        <f t="shared" si="21"/>
        <v>9635105808.7664413</v>
      </c>
      <c r="U139" s="272">
        <f t="shared" si="8"/>
        <v>2.6988780705650929E-3</v>
      </c>
      <c r="V139" s="41">
        <f t="shared" si="9"/>
        <v>9.3851539653089997</v>
      </c>
    </row>
    <row r="140" spans="1:22" ht="15.75" customHeight="1">
      <c r="A140" s="31" t="s">
        <v>173</v>
      </c>
      <c r="B140" s="32">
        <v>2156</v>
      </c>
      <c r="C140" s="274">
        <f t="shared" si="10"/>
        <v>1.0228774473231089E-7</v>
      </c>
      <c r="D140" s="271">
        <f t="shared" si="18"/>
        <v>1.0228774473231089E-7</v>
      </c>
      <c r="E140" s="34"/>
      <c r="F140" s="42">
        <v>500</v>
      </c>
      <c r="G140" s="34">
        <f t="shared" si="0"/>
        <v>51143.872366155447</v>
      </c>
      <c r="H140" s="34">
        <f t="shared" si="1"/>
        <v>50888.153004324668</v>
      </c>
      <c r="I140" s="35">
        <f t="shared" si="19"/>
        <v>1</v>
      </c>
      <c r="J140" s="36">
        <f t="shared" si="13"/>
        <v>50888.153004324668</v>
      </c>
      <c r="K140" s="34">
        <f t="shared" si="14"/>
        <v>108541477488.49608</v>
      </c>
      <c r="L140" s="37">
        <f t="shared" si="15"/>
        <v>104366592245.3734</v>
      </c>
      <c r="M140" s="34">
        <f t="shared" si="2"/>
        <v>6578680514.0879784</v>
      </c>
      <c r="N140" s="34">
        <f t="shared" si="3"/>
        <v>0</v>
      </c>
      <c r="O140" s="34">
        <f t="shared" si="4"/>
        <v>6578680514.0879784</v>
      </c>
      <c r="P140" s="34">
        <f t="shared" si="20"/>
        <v>657868051.40879786</v>
      </c>
      <c r="Q140" s="38">
        <f t="shared" si="5"/>
        <v>5891208400.3657846</v>
      </c>
      <c r="R140" s="39">
        <f t="shared" si="6"/>
        <v>2945604200.1828923</v>
      </c>
      <c r="S140" s="34">
        <f t="shared" si="7"/>
        <v>2945604200.1828923</v>
      </c>
      <c r="T140" s="40">
        <f t="shared" si="21"/>
        <v>9625470702.9576759</v>
      </c>
      <c r="U140" s="272">
        <f t="shared" si="8"/>
        <v>2.6988780705650929E-3</v>
      </c>
      <c r="V140" s="41">
        <f t="shared" si="9"/>
        <v>9.4490446975775075</v>
      </c>
    </row>
    <row r="141" spans="1:22" ht="15.75" customHeight="1">
      <c r="A141" s="31" t="s">
        <v>174</v>
      </c>
      <c r="B141" s="32">
        <v>2157</v>
      </c>
      <c r="C141" s="274">
        <f t="shared" si="10"/>
        <v>9.2058970259079798E-8</v>
      </c>
      <c r="D141" s="271">
        <f t="shared" si="18"/>
        <v>9.2058970259079798E-8</v>
      </c>
      <c r="E141" s="34"/>
      <c r="F141" s="42">
        <v>500</v>
      </c>
      <c r="G141" s="34">
        <f t="shared" si="0"/>
        <v>46029.485129539906</v>
      </c>
      <c r="H141" s="34">
        <f t="shared" si="1"/>
        <v>45799.337703892204</v>
      </c>
      <c r="I141" s="35">
        <f t="shared" si="19"/>
        <v>1</v>
      </c>
      <c r="J141" s="36">
        <f t="shared" si="13"/>
        <v>45799.337703892204</v>
      </c>
      <c r="K141" s="34">
        <f t="shared" si="14"/>
        <v>109199391339.24258</v>
      </c>
      <c r="L141" s="37">
        <f t="shared" si="15"/>
        <v>104971993843.07185</v>
      </c>
      <c r="M141" s="34">
        <f t="shared" si="2"/>
        <v>6616841948.3566732</v>
      </c>
      <c r="N141" s="34">
        <f t="shared" si="3"/>
        <v>0</v>
      </c>
      <c r="O141" s="34">
        <f t="shared" si="4"/>
        <v>6616841948.3566732</v>
      </c>
      <c r="P141" s="34">
        <f t="shared" si="20"/>
        <v>661684194.83566737</v>
      </c>
      <c r="Q141" s="38">
        <f t="shared" si="5"/>
        <v>5925381964.7534008</v>
      </c>
      <c r="R141" s="39">
        <f t="shared" si="6"/>
        <v>2962690982.3767004</v>
      </c>
      <c r="S141" s="34">
        <f t="shared" si="7"/>
        <v>2962690982.3767004</v>
      </c>
      <c r="T141" s="40">
        <f t="shared" si="21"/>
        <v>9615845232.2547188</v>
      </c>
      <c r="U141" s="272">
        <f t="shared" si="8"/>
        <v>2.6988780705650929E-3</v>
      </c>
      <c r="V141" s="41">
        <f t="shared" si="9"/>
        <v>9.5133698335937513</v>
      </c>
    </row>
    <row r="142" spans="1:22" ht="15.75" customHeight="1">
      <c r="A142" s="31" t="s">
        <v>175</v>
      </c>
      <c r="B142" s="32">
        <v>2158</v>
      </c>
      <c r="C142" s="274">
        <f t="shared" si="10"/>
        <v>8.285307323317182E-8</v>
      </c>
      <c r="D142" s="271">
        <f t="shared" si="18"/>
        <v>8.285307323317182E-8</v>
      </c>
      <c r="E142" s="34"/>
      <c r="F142" s="42">
        <v>500</v>
      </c>
      <c r="G142" s="34">
        <f t="shared" si="0"/>
        <v>41426.536616585909</v>
      </c>
      <c r="H142" s="34">
        <f t="shared" si="1"/>
        <v>41219.403933502981</v>
      </c>
      <c r="I142" s="35">
        <f t="shared" si="19"/>
        <v>1</v>
      </c>
      <c r="J142" s="36">
        <f t="shared" si="13"/>
        <v>41219.403933502981</v>
      </c>
      <c r="K142" s="34">
        <f t="shared" si="14"/>
        <v>109861116753.48218</v>
      </c>
      <c r="L142" s="37">
        <f t="shared" si="15"/>
        <v>105580902397.6828</v>
      </c>
      <c r="M142" s="34">
        <f t="shared" si="2"/>
        <v>6655224409.6507549</v>
      </c>
      <c r="N142" s="34">
        <f t="shared" si="3"/>
        <v>0</v>
      </c>
      <c r="O142" s="34">
        <f t="shared" si="4"/>
        <v>6655224409.6507549</v>
      </c>
      <c r="P142" s="34">
        <f t="shared" si="20"/>
        <v>665522440.96507549</v>
      </c>
      <c r="Q142" s="38">
        <f t="shared" si="5"/>
        <v>5959753458.8422508</v>
      </c>
      <c r="R142" s="39">
        <f t="shared" si="6"/>
        <v>2979876729.4211254</v>
      </c>
      <c r="S142" s="34">
        <f t="shared" si="7"/>
        <v>2979876729.4211254</v>
      </c>
      <c r="T142" s="40">
        <f t="shared" si="21"/>
        <v>9606229387.0224648</v>
      </c>
      <c r="U142" s="272">
        <f t="shared" si="8"/>
        <v>2.6988780705650929E-3</v>
      </c>
      <c r="V142" s="41">
        <f t="shared" si="9"/>
        <v>9.5781323805733294</v>
      </c>
    </row>
    <row r="143" spans="1:22" ht="15.75" customHeight="1">
      <c r="A143" s="31" t="s">
        <v>176</v>
      </c>
      <c r="B143" s="32">
        <v>2159</v>
      </c>
      <c r="C143" s="274">
        <f t="shared" si="10"/>
        <v>7.4567765909854646E-8</v>
      </c>
      <c r="D143" s="271">
        <f t="shared" si="18"/>
        <v>7.4567765909854646E-8</v>
      </c>
      <c r="E143" s="34"/>
      <c r="F143" s="42">
        <v>500</v>
      </c>
      <c r="G143" s="34">
        <f t="shared" si="0"/>
        <v>37283.882954927321</v>
      </c>
      <c r="H143" s="34">
        <f t="shared" si="1"/>
        <v>37097.463540152683</v>
      </c>
      <c r="I143" s="35">
        <f t="shared" si="19"/>
        <v>1</v>
      </c>
      <c r="J143" s="36">
        <f t="shared" si="13"/>
        <v>37097.463540152683</v>
      </c>
      <c r="K143" s="34">
        <f t="shared" si="14"/>
        <v>110526676291.9108</v>
      </c>
      <c r="L143" s="37">
        <f t="shared" si="15"/>
        <v>106193338705.14337</v>
      </c>
      <c r="M143" s="34">
        <f t="shared" si="2"/>
        <v>6693829212.0130892</v>
      </c>
      <c r="N143" s="34">
        <f t="shared" si="3"/>
        <v>0</v>
      </c>
      <c r="O143" s="34">
        <f t="shared" si="4"/>
        <v>6693829212.0130892</v>
      </c>
      <c r="P143" s="34">
        <f t="shared" si="20"/>
        <v>669382921.20130897</v>
      </c>
      <c r="Q143" s="38">
        <f t="shared" si="5"/>
        <v>5994324059.3577213</v>
      </c>
      <c r="R143" s="39">
        <f t="shared" si="6"/>
        <v>2997162029.6788607</v>
      </c>
      <c r="S143" s="34">
        <f t="shared" si="7"/>
        <v>2997162029.6788607</v>
      </c>
      <c r="T143" s="40">
        <f t="shared" si="21"/>
        <v>9596623157.6354427</v>
      </c>
      <c r="U143" s="272">
        <f t="shared" si="8"/>
        <v>2.6988780705650929E-3</v>
      </c>
      <c r="V143" s="41">
        <f t="shared" si="9"/>
        <v>9.6433353612285782</v>
      </c>
    </row>
    <row r="144" spans="1:22" ht="15.75" customHeight="1">
      <c r="A144" s="31" t="s">
        <v>177</v>
      </c>
      <c r="B144" s="32">
        <v>2160</v>
      </c>
      <c r="C144" s="274">
        <f t="shared" si="10"/>
        <v>6.7110989318869177E-8</v>
      </c>
      <c r="D144" s="271">
        <f t="shared" si="18"/>
        <v>6.7110989318869177E-8</v>
      </c>
      <c r="E144" s="34"/>
      <c r="F144" s="42">
        <v>500</v>
      </c>
      <c r="G144" s="34">
        <f t="shared" si="0"/>
        <v>33555.494659434589</v>
      </c>
      <c r="H144" s="34">
        <f t="shared" si="1"/>
        <v>33387.717186137415</v>
      </c>
      <c r="I144" s="35">
        <f t="shared" si="19"/>
        <v>1</v>
      </c>
      <c r="J144" s="36">
        <f t="shared" si="13"/>
        <v>33387.717186137415</v>
      </c>
      <c r="K144" s="34">
        <f t="shared" si="14"/>
        <v>111196092600.8293</v>
      </c>
      <c r="L144" s="37">
        <f t="shared" si="15"/>
        <v>106809323636.55486</v>
      </c>
      <c r="M144" s="34">
        <f t="shared" si="2"/>
        <v>6732657673.9060898</v>
      </c>
      <c r="N144" s="34">
        <f t="shared" si="3"/>
        <v>0</v>
      </c>
      <c r="O144" s="34">
        <f t="shared" si="4"/>
        <v>6732657673.9060898</v>
      </c>
      <c r="P144" s="34">
        <f t="shared" si="20"/>
        <v>673265767.39060903</v>
      </c>
      <c r="Q144" s="38">
        <f t="shared" si="5"/>
        <v>6029094946.9829035</v>
      </c>
      <c r="R144" s="39">
        <f t="shared" si="6"/>
        <v>3014547473.4914517</v>
      </c>
      <c r="S144" s="34">
        <f t="shared" si="7"/>
        <v>3014547473.4914517</v>
      </c>
      <c r="T144" s="40">
        <f t="shared" si="21"/>
        <v>9587026534.477808</v>
      </c>
      <c r="U144" s="272">
        <f t="shared" si="8"/>
        <v>2.6988780705650929E-3</v>
      </c>
      <c r="V144" s="41">
        <f t="shared" si="9"/>
        <v>9.7089818143669664</v>
      </c>
    </row>
    <row r="145" spans="1:22" ht="15.75" customHeight="1">
      <c r="A145" s="31" t="s">
        <v>178</v>
      </c>
      <c r="B145" s="32">
        <v>2161</v>
      </c>
      <c r="C145" s="274">
        <f t="shared" si="10"/>
        <v>6.0399890386982258E-8</v>
      </c>
      <c r="D145" s="271">
        <f t="shared" si="18"/>
        <v>6.0399890386982258E-8</v>
      </c>
      <c r="E145" s="34"/>
      <c r="F145" s="42">
        <v>500</v>
      </c>
      <c r="G145" s="34">
        <f t="shared" si="0"/>
        <v>30199.94519349113</v>
      </c>
      <c r="H145" s="34">
        <f t="shared" si="1"/>
        <v>30048.945467523674</v>
      </c>
      <c r="I145" s="35">
        <f t="shared" si="19"/>
        <v>1</v>
      </c>
      <c r="J145" s="36">
        <f t="shared" si="13"/>
        <v>30048.945467523674</v>
      </c>
      <c r="K145" s="34">
        <f t="shared" si="14"/>
        <v>111869388417.16537</v>
      </c>
      <c r="L145" s="37">
        <f t="shared" si="15"/>
        <v>107428878143.16449</v>
      </c>
      <c r="M145" s="34">
        <f t="shared" si="2"/>
        <v>6771711118.5575781</v>
      </c>
      <c r="N145" s="34">
        <f t="shared" si="3"/>
        <v>0</v>
      </c>
      <c r="O145" s="34">
        <f t="shared" si="4"/>
        <v>6771711118.5575781</v>
      </c>
      <c r="P145" s="34">
        <f t="shared" si="20"/>
        <v>677171111.85575783</v>
      </c>
      <c r="Q145" s="38">
        <f t="shared" si="5"/>
        <v>6064067306.6683111</v>
      </c>
      <c r="R145" s="39">
        <f t="shared" si="6"/>
        <v>3032033653.3341556</v>
      </c>
      <c r="S145" s="34">
        <f t="shared" si="7"/>
        <v>3032033653.3341556</v>
      </c>
      <c r="T145" s="40">
        <f t="shared" si="21"/>
        <v>9577439507.9433308</v>
      </c>
      <c r="U145" s="272">
        <f t="shared" si="8"/>
        <v>2.6988780705650929E-3</v>
      </c>
      <c r="V145" s="41">
        <f t="shared" si="9"/>
        <v>9.7750747954446862</v>
      </c>
    </row>
    <row r="146" spans="1:22" ht="15.75" customHeight="1">
      <c r="A146" s="31" t="s">
        <v>179</v>
      </c>
      <c r="B146" s="32">
        <v>2162</v>
      </c>
      <c r="C146" s="274">
        <f t="shared" si="10"/>
        <v>5.4359901348284036E-8</v>
      </c>
      <c r="D146" s="271">
        <f t="shared" si="18"/>
        <v>5.4359901348284036E-8</v>
      </c>
      <c r="E146" s="34"/>
      <c r="F146" s="42">
        <v>500</v>
      </c>
      <c r="G146" s="34">
        <f t="shared" si="0"/>
        <v>27179.950674142015</v>
      </c>
      <c r="H146" s="34">
        <f t="shared" si="1"/>
        <v>27044.050920771304</v>
      </c>
      <c r="I146" s="35">
        <f t="shared" si="19"/>
        <v>1</v>
      </c>
      <c r="J146" s="36">
        <f t="shared" si="13"/>
        <v>27044.050920771304</v>
      </c>
      <c r="K146" s="34">
        <f t="shared" si="14"/>
        <v>112546586573.07205</v>
      </c>
      <c r="L146" s="37">
        <f t="shared" si="15"/>
        <v>108052023260.92163</v>
      </c>
      <c r="M146" s="34">
        <f t="shared" si="2"/>
        <v>6810990874.2766285</v>
      </c>
      <c r="N146" s="34">
        <f t="shared" si="3"/>
        <v>0</v>
      </c>
      <c r="O146" s="34">
        <f t="shared" si="4"/>
        <v>6810990874.2766285</v>
      </c>
      <c r="P146" s="34">
        <f t="shared" si="20"/>
        <v>681099087.42766285</v>
      </c>
      <c r="Q146" s="38">
        <f t="shared" si="5"/>
        <v>6099242327.9147205</v>
      </c>
      <c r="R146" s="39">
        <f t="shared" si="6"/>
        <v>3049621163.9573603</v>
      </c>
      <c r="S146" s="34">
        <f t="shared" si="7"/>
        <v>3049621163.9573603</v>
      </c>
      <c r="T146" s="40">
        <f t="shared" si="21"/>
        <v>9567862068.4353886</v>
      </c>
      <c r="U146" s="272">
        <f t="shared" si="8"/>
        <v>2.6988780705650929E-3</v>
      </c>
      <c r="V146" s="41">
        <f t="shared" si="9"/>
        <v>9.8416173770800146</v>
      </c>
    </row>
    <row r="147" spans="1:22" ht="15.75" customHeight="1">
      <c r="A147" s="31" t="s">
        <v>180</v>
      </c>
      <c r="B147" s="32">
        <v>2163</v>
      </c>
      <c r="C147" s="274">
        <f t="shared" si="10"/>
        <v>4.8923911213455635E-8</v>
      </c>
      <c r="D147" s="271">
        <f t="shared" si="18"/>
        <v>4.8923911213455635E-8</v>
      </c>
      <c r="E147" s="34"/>
      <c r="F147" s="42">
        <v>500</v>
      </c>
      <c r="G147" s="34">
        <f t="shared" si="0"/>
        <v>24461.955606727817</v>
      </c>
      <c r="H147" s="34">
        <f t="shared" si="1"/>
        <v>24339.645828694178</v>
      </c>
      <c r="I147" s="35">
        <f t="shared" si="19"/>
        <v>1</v>
      </c>
      <c r="J147" s="36">
        <f t="shared" si="13"/>
        <v>24339.645828694178</v>
      </c>
      <c r="K147" s="34">
        <f t="shared" si="14"/>
        <v>113227710000.14554</v>
      </c>
      <c r="L147" s="37">
        <f t="shared" si="15"/>
        <v>108678780114.65112</v>
      </c>
      <c r="M147" s="34">
        <f t="shared" si="2"/>
        <v>6850498274.7424316</v>
      </c>
      <c r="N147" s="34">
        <f t="shared" si="3"/>
        <v>0</v>
      </c>
      <c r="O147" s="34">
        <f t="shared" si="4"/>
        <v>6850498274.7424316</v>
      </c>
      <c r="P147" s="34">
        <f t="shared" si="20"/>
        <v>685049827.47424316</v>
      </c>
      <c r="Q147" s="38">
        <f t="shared" si="5"/>
        <v>6134621205.031848</v>
      </c>
      <c r="R147" s="39">
        <f t="shared" si="6"/>
        <v>3067310602.515924</v>
      </c>
      <c r="S147" s="34">
        <f t="shared" si="7"/>
        <v>3067310602.515924</v>
      </c>
      <c r="T147" s="40">
        <f t="shared" si="21"/>
        <v>9558294206.3669548</v>
      </c>
      <c r="U147" s="272">
        <f t="shared" si="8"/>
        <v>2.6988780705650929E-3</v>
      </c>
      <c r="V147" s="41">
        <f t="shared" si="9"/>
        <v>9.9086126495305393</v>
      </c>
    </row>
    <row r="148" spans="1:22" ht="15.75" customHeight="1">
      <c r="A148" s="31" t="s">
        <v>181</v>
      </c>
      <c r="B148" s="32">
        <v>2164</v>
      </c>
      <c r="C148" s="274">
        <f t="shared" si="10"/>
        <v>4.4031520092110074E-8</v>
      </c>
      <c r="D148" s="271">
        <f t="shared" si="18"/>
        <v>4.4031520092110074E-8</v>
      </c>
      <c r="E148" s="34"/>
      <c r="F148" s="42">
        <v>500</v>
      </c>
      <c r="G148" s="34">
        <f t="shared" si="0"/>
        <v>22015.760046055038</v>
      </c>
      <c r="H148" s="34">
        <f t="shared" si="1"/>
        <v>21905.681245824762</v>
      </c>
      <c r="I148" s="35">
        <f t="shared" si="19"/>
        <v>1</v>
      </c>
      <c r="J148" s="36">
        <f t="shared" si="13"/>
        <v>21905.681245824762</v>
      </c>
      <c r="K148" s="34">
        <f t="shared" si="14"/>
        <v>113912781733.30103</v>
      </c>
      <c r="L148" s="37">
        <f t="shared" si="15"/>
        <v>109309169921.88271</v>
      </c>
      <c r="M148" s="34">
        <f t="shared" si="2"/>
        <v>6890234659.2688808</v>
      </c>
      <c r="N148" s="34">
        <f t="shared" si="3"/>
        <v>0</v>
      </c>
      <c r="O148" s="34">
        <f t="shared" si="4"/>
        <v>6890234659.2688808</v>
      </c>
      <c r="P148" s="34">
        <f t="shared" si="20"/>
        <v>689023465.92688811</v>
      </c>
      <c r="Q148" s="38">
        <f t="shared" si="5"/>
        <v>6170205137.3752823</v>
      </c>
      <c r="R148" s="39">
        <f t="shared" si="6"/>
        <v>3085102568.6876411</v>
      </c>
      <c r="S148" s="34">
        <f t="shared" si="7"/>
        <v>3085102568.6876411</v>
      </c>
      <c r="T148" s="40">
        <f t="shared" si="21"/>
        <v>9548735912.1605892</v>
      </c>
      <c r="U148" s="272">
        <f t="shared" si="8"/>
        <v>2.6988780705650929E-3</v>
      </c>
      <c r="V148" s="41">
        <f t="shared" si="9"/>
        <v>9.976063721137896</v>
      </c>
    </row>
    <row r="149" spans="1:22" ht="15.75" customHeight="1">
      <c r="A149" s="31" t="s">
        <v>182</v>
      </c>
      <c r="B149" s="32">
        <v>2165</v>
      </c>
      <c r="C149" s="274">
        <f t="shared" si="10"/>
        <v>3.9628368082899069E-8</v>
      </c>
      <c r="D149" s="271">
        <f t="shared" si="18"/>
        <v>3.9628368082899069E-8</v>
      </c>
      <c r="E149" s="34"/>
      <c r="F149" s="42">
        <v>500</v>
      </c>
      <c r="G149" s="34">
        <f t="shared" si="0"/>
        <v>19814.184041449535</v>
      </c>
      <c r="H149" s="34">
        <f t="shared" si="1"/>
        <v>19715.113121242288</v>
      </c>
      <c r="I149" s="35">
        <f t="shared" si="19"/>
        <v>1</v>
      </c>
      <c r="J149" s="36">
        <f t="shared" si="13"/>
        <v>19715.113121242288</v>
      </c>
      <c r="K149" s="34">
        <f t="shared" si="14"/>
        <v>114601824914.34105</v>
      </c>
      <c r="L149" s="37">
        <f t="shared" si="15"/>
        <v>109943213996.37128</v>
      </c>
      <c r="M149" s="34">
        <f t="shared" si="2"/>
        <v>6930201373.0473633</v>
      </c>
      <c r="N149" s="34">
        <f t="shared" si="3"/>
        <v>0</v>
      </c>
      <c r="O149" s="34">
        <f t="shared" si="4"/>
        <v>6930201373.0473633</v>
      </c>
      <c r="P149" s="34">
        <f t="shared" si="20"/>
        <v>693020137.30473638</v>
      </c>
      <c r="Q149" s="38">
        <f t="shared" si="5"/>
        <v>6205995329.5639143</v>
      </c>
      <c r="R149" s="39">
        <f t="shared" si="6"/>
        <v>3102997664.7819571</v>
      </c>
      <c r="S149" s="34">
        <f t="shared" si="7"/>
        <v>3102997664.7819571</v>
      </c>
      <c r="T149" s="40">
        <f t="shared" si="21"/>
        <v>9539187176.2484303</v>
      </c>
      <c r="U149" s="272">
        <f t="shared" si="8"/>
        <v>2.6988780705650929E-3</v>
      </c>
      <c r="V149" s="41">
        <f t="shared" si="9"/>
        <v>10.043973718743398</v>
      </c>
    </row>
    <row r="150" spans="1:22" ht="15.75" customHeight="1">
      <c r="A150" s="31" t="s">
        <v>183</v>
      </c>
      <c r="B150" s="32">
        <v>2166</v>
      </c>
      <c r="C150" s="274">
        <f t="shared" si="10"/>
        <v>3.5665531274609163E-8</v>
      </c>
      <c r="D150" s="271">
        <f t="shared" si="18"/>
        <v>3.5665531274609163E-8</v>
      </c>
      <c r="E150" s="34"/>
      <c r="F150" s="42">
        <v>500</v>
      </c>
      <c r="G150" s="34">
        <f t="shared" si="0"/>
        <v>17832.765637304583</v>
      </c>
      <c r="H150" s="34">
        <f t="shared" si="1"/>
        <v>17743.601809118059</v>
      </c>
      <c r="I150" s="35">
        <f t="shared" si="19"/>
        <v>1</v>
      </c>
      <c r="J150" s="36">
        <f t="shared" si="13"/>
        <v>17743.601809118059</v>
      </c>
      <c r="K150" s="34">
        <f t="shared" si="14"/>
        <v>115294862795.24759</v>
      </c>
      <c r="L150" s="37">
        <f t="shared" si="15"/>
        <v>110580933751.33919</v>
      </c>
      <c r="M150" s="34">
        <f t="shared" si="2"/>
        <v>6970399767.3699389</v>
      </c>
      <c r="N150" s="34">
        <f t="shared" si="3"/>
        <v>0</v>
      </c>
      <c r="O150" s="34">
        <f t="shared" si="4"/>
        <v>6970399767.3699389</v>
      </c>
      <c r="P150" s="34">
        <f t="shared" si="20"/>
        <v>697039976.73699391</v>
      </c>
      <c r="Q150" s="38">
        <f t="shared" si="5"/>
        <v>6241992991.67978</v>
      </c>
      <c r="R150" s="39">
        <f t="shared" si="6"/>
        <v>3120996495.83989</v>
      </c>
      <c r="S150" s="34">
        <f t="shared" si="7"/>
        <v>3120996495.83989</v>
      </c>
      <c r="T150" s="40">
        <f t="shared" si="21"/>
        <v>9529647989.0721836</v>
      </c>
      <c r="U150" s="272">
        <f t="shared" si="8"/>
        <v>2.6988780705650929E-3</v>
      </c>
      <c r="V150" s="41">
        <f t="shared" si="9"/>
        <v>10.112345788077443</v>
      </c>
    </row>
    <row r="151" spans="1:22" ht="15.75" customHeight="1">
      <c r="A151" s="31" t="s">
        <v>184</v>
      </c>
      <c r="B151" s="32">
        <v>2167</v>
      </c>
      <c r="C151" s="274">
        <f t="shared" si="10"/>
        <v>3.2098978147148246E-8</v>
      </c>
      <c r="D151" s="271">
        <f t="shared" si="18"/>
        <v>3.2098978147148246E-8</v>
      </c>
      <c r="E151" s="34"/>
      <c r="F151" s="42">
        <v>500</v>
      </c>
      <c r="G151" s="34">
        <f t="shared" si="0"/>
        <v>16049.489073574121</v>
      </c>
      <c r="H151" s="34">
        <f t="shared" si="1"/>
        <v>15969.24162820625</v>
      </c>
      <c r="I151" s="35">
        <f t="shared" si="19"/>
        <v>1</v>
      </c>
      <c r="J151" s="36">
        <f t="shared" si="13"/>
        <v>15969.24162820625</v>
      </c>
      <c r="K151" s="34">
        <f t="shared" si="14"/>
        <v>115991918741.22621</v>
      </c>
      <c r="L151" s="37">
        <f t="shared" si="15"/>
        <v>111222350702.46916</v>
      </c>
      <c r="M151" s="34">
        <f t="shared" si="2"/>
        <v>7010831199.8349047</v>
      </c>
      <c r="N151" s="34">
        <f t="shared" si="3"/>
        <v>0</v>
      </c>
      <c r="O151" s="34">
        <f t="shared" si="4"/>
        <v>7010831199.8349047</v>
      </c>
      <c r="P151" s="34">
        <f t="shared" si="20"/>
        <v>701083119.98349047</v>
      </c>
      <c r="Q151" s="38">
        <f t="shared" si="5"/>
        <v>6278199339.452157</v>
      </c>
      <c r="R151" s="39">
        <f t="shared" si="6"/>
        <v>3139099669.7260785</v>
      </c>
      <c r="S151" s="34">
        <f t="shared" si="7"/>
        <v>3139099669.7260785</v>
      </c>
      <c r="T151" s="40">
        <f t="shared" si="21"/>
        <v>9520118341.0831127</v>
      </c>
      <c r="U151" s="272">
        <f t="shared" si="8"/>
        <v>2.6988780705650929E-3</v>
      </c>
      <c r="V151" s="41">
        <f t="shared" si="9"/>
        <v>10.181183094125517</v>
      </c>
    </row>
    <row r="152" spans="1:22" ht="15.75" customHeight="1">
      <c r="A152" s="31" t="s">
        <v>185</v>
      </c>
      <c r="B152" s="32">
        <v>2168</v>
      </c>
      <c r="C152" s="274">
        <f t="shared" si="10"/>
        <v>2.8889080332433423E-8</v>
      </c>
      <c r="D152" s="271">
        <f t="shared" si="18"/>
        <v>2.8889080332433423E-8</v>
      </c>
      <c r="E152" s="34"/>
      <c r="F152" s="42">
        <v>500</v>
      </c>
      <c r="G152" s="34">
        <f t="shared" si="0"/>
        <v>14444.540166216711</v>
      </c>
      <c r="H152" s="34">
        <f t="shared" si="1"/>
        <v>14372.317465385628</v>
      </c>
      <c r="I152" s="35">
        <f t="shared" si="19"/>
        <v>1</v>
      </c>
      <c r="J152" s="36">
        <f t="shared" si="13"/>
        <v>14372.317465385628</v>
      </c>
      <c r="K152" s="34">
        <f t="shared" si="14"/>
        <v>116693016233.52716</v>
      </c>
      <c r="L152" s="37">
        <f t="shared" si="15"/>
        <v>111867486470.67273</v>
      </c>
      <c r="M152" s="34">
        <f t="shared" si="2"/>
        <v>7051497034.5365448</v>
      </c>
      <c r="N152" s="34">
        <f t="shared" si="3"/>
        <v>0</v>
      </c>
      <c r="O152" s="34">
        <f t="shared" si="4"/>
        <v>7051497034.5365448</v>
      </c>
      <c r="P152" s="34">
        <f t="shared" si="20"/>
        <v>705149703.45365453</v>
      </c>
      <c r="Q152" s="38">
        <f t="shared" si="5"/>
        <v>6314615594.4274759</v>
      </c>
      <c r="R152" s="39">
        <f t="shared" si="6"/>
        <v>3157307797.213738</v>
      </c>
      <c r="S152" s="34">
        <f t="shared" si="7"/>
        <v>3157307797.213738</v>
      </c>
      <c r="T152" s="40">
        <f t="shared" si="21"/>
        <v>9510598222.7420311</v>
      </c>
      <c r="U152" s="272">
        <f t="shared" si="8"/>
        <v>2.6988780705650929E-3</v>
      </c>
      <c r="V152" s="41">
        <f t="shared" si="9"/>
        <v>10.250488821473139</v>
      </c>
    </row>
    <row r="153" spans="1:22" ht="15.75" customHeight="1">
      <c r="A153" s="31" t="s">
        <v>186</v>
      </c>
      <c r="B153" s="32">
        <v>2169</v>
      </c>
      <c r="C153" s="274">
        <f t="shared" si="10"/>
        <v>2.6000172299190083E-8</v>
      </c>
      <c r="D153" s="271">
        <f t="shared" si="18"/>
        <v>2.6000172299190083E-8</v>
      </c>
      <c r="E153" s="34"/>
      <c r="F153" s="42">
        <v>500</v>
      </c>
      <c r="G153" s="34">
        <f t="shared" si="0"/>
        <v>13000.086149595041</v>
      </c>
      <c r="H153" s="34">
        <f t="shared" si="1"/>
        <v>12935.085718847065</v>
      </c>
      <c r="I153" s="35">
        <f t="shared" si="19"/>
        <v>1</v>
      </c>
      <c r="J153" s="36">
        <f t="shared" si="13"/>
        <v>12935.085718847065</v>
      </c>
      <c r="K153" s="34">
        <f t="shared" si="14"/>
        <v>117398178872.06654</v>
      </c>
      <c r="L153" s="37">
        <f t="shared" si="15"/>
        <v>112516362784.65752</v>
      </c>
      <c r="M153" s="34">
        <f t="shared" si="2"/>
        <v>7092398642.2406511</v>
      </c>
      <c r="N153" s="34">
        <f t="shared" si="3"/>
        <v>0</v>
      </c>
      <c r="O153" s="34">
        <f t="shared" si="4"/>
        <v>7092398642.2406511</v>
      </c>
      <c r="P153" s="34">
        <f t="shared" si="20"/>
        <v>709239864.22406518</v>
      </c>
      <c r="Q153" s="38">
        <f t="shared" si="5"/>
        <v>6351242984.126503</v>
      </c>
      <c r="R153" s="39">
        <f t="shared" si="6"/>
        <v>3175621492.0632515</v>
      </c>
      <c r="S153" s="34">
        <f t="shared" si="7"/>
        <v>3175621492.0632515</v>
      </c>
      <c r="T153" s="40">
        <f t="shared" si="21"/>
        <v>9501087624.5192909</v>
      </c>
      <c r="U153" s="272">
        <f t="shared" si="8"/>
        <v>2.6988780705650929E-3</v>
      </c>
      <c r="V153" s="41">
        <f t="shared" si="9"/>
        <v>10.320266174631962</v>
      </c>
    </row>
    <row r="154" spans="1:22" ht="15.75" customHeight="1">
      <c r="A154" s="31" t="s">
        <v>187</v>
      </c>
      <c r="B154" s="32">
        <v>2170</v>
      </c>
      <c r="C154" s="274">
        <f t="shared" si="10"/>
        <v>2.3400155069271073E-8</v>
      </c>
      <c r="D154" s="271">
        <f t="shared" si="18"/>
        <v>2.3400155069271073E-8</v>
      </c>
      <c r="E154" s="34"/>
      <c r="F154" s="42">
        <v>500</v>
      </c>
      <c r="G154" s="34">
        <f t="shared" si="0"/>
        <v>11700.077534635537</v>
      </c>
      <c r="H154" s="34">
        <f t="shared" si="1"/>
        <v>11641.57714696236</v>
      </c>
      <c r="I154" s="35">
        <f t="shared" si="19"/>
        <v>1</v>
      </c>
      <c r="J154" s="36">
        <f t="shared" si="13"/>
        <v>11641.57714696236</v>
      </c>
      <c r="K154" s="34">
        <f t="shared" si="14"/>
        <v>118107430377.86775</v>
      </c>
      <c r="L154" s="37">
        <f t="shared" si="15"/>
        <v>113169001483.31351</v>
      </c>
      <c r="M154" s="34">
        <f t="shared" si="2"/>
        <v>7133537400.547286</v>
      </c>
      <c r="N154" s="34">
        <f t="shared" si="3"/>
        <v>0</v>
      </c>
      <c r="O154" s="34">
        <f t="shared" si="4"/>
        <v>7133537400.547286</v>
      </c>
      <c r="P154" s="34">
        <f t="shared" si="20"/>
        <v>713353740.05472863</v>
      </c>
      <c r="Q154" s="38">
        <f t="shared" si="5"/>
        <v>6388082742.1900949</v>
      </c>
      <c r="R154" s="39">
        <f t="shared" si="6"/>
        <v>3194041371.0950475</v>
      </c>
      <c r="S154" s="34">
        <f t="shared" si="7"/>
        <v>3194041371.0950475</v>
      </c>
      <c r="T154" s="40">
        <f t="shared" si="21"/>
        <v>9491586536.8947735</v>
      </c>
      <c r="U154" s="272">
        <f t="shared" si="8"/>
        <v>2.6988780705650929E-3</v>
      </c>
      <c r="V154" s="41">
        <f t="shared" si="9"/>
        <v>10.390518378348995</v>
      </c>
    </row>
    <row r="155" spans="1:22" ht="15.75" customHeight="1">
      <c r="A155" s="31" t="s">
        <v>188</v>
      </c>
      <c r="B155" s="32">
        <v>2171</v>
      </c>
      <c r="C155" s="274">
        <f t="shared" si="10"/>
        <v>2.1060139562343965E-8</v>
      </c>
      <c r="D155" s="271">
        <f t="shared" si="18"/>
        <v>2.1060139562343965E-8</v>
      </c>
      <c r="E155" s="34"/>
      <c r="F155" s="42">
        <v>500</v>
      </c>
      <c r="G155" s="34">
        <f t="shared" si="0"/>
        <v>10530.069781171984</v>
      </c>
      <c r="H155" s="34">
        <f t="shared" si="1"/>
        <v>10477.419432266124</v>
      </c>
      <c r="I155" s="35">
        <f t="shared" si="19"/>
        <v>1</v>
      </c>
      <c r="J155" s="36">
        <f t="shared" si="13"/>
        <v>10477.419432266124</v>
      </c>
      <c r="K155" s="34">
        <f t="shared" si="14"/>
        <v>118820794595.34192</v>
      </c>
      <c r="L155" s="37">
        <f t="shared" si="15"/>
        <v>113825424517.93729</v>
      </c>
      <c r="M155" s="34">
        <f t="shared" si="2"/>
        <v>7174914694.0420761</v>
      </c>
      <c r="N155" s="34">
        <f t="shared" si="3"/>
        <v>0</v>
      </c>
      <c r="O155" s="34">
        <f t="shared" si="4"/>
        <v>7174914694.0420761</v>
      </c>
      <c r="P155" s="34">
        <f t="shared" si="20"/>
        <v>717491469.40420771</v>
      </c>
      <c r="Q155" s="38">
        <f t="shared" si="5"/>
        <v>6425136108.5146799</v>
      </c>
      <c r="R155" s="39">
        <f t="shared" si="6"/>
        <v>3212568054.25734</v>
      </c>
      <c r="S155" s="34">
        <f t="shared" si="7"/>
        <v>3212568054.25734</v>
      </c>
      <c r="T155" s="40">
        <f t="shared" si="21"/>
        <v>9482094950.3578796</v>
      </c>
      <c r="U155" s="272">
        <f t="shared" si="8"/>
        <v>2.6988780705650929E-3</v>
      </c>
      <c r="V155" s="41">
        <f t="shared" si="9"/>
        <v>10.461248677900727</v>
      </c>
    </row>
    <row r="156" spans="1:22" ht="15.75" customHeight="1">
      <c r="A156" s="31" t="s">
        <v>189</v>
      </c>
      <c r="B156" s="32">
        <v>2172</v>
      </c>
      <c r="C156" s="274">
        <f t="shared" si="10"/>
        <v>1.8954125606109568E-8</v>
      </c>
      <c r="D156" s="271">
        <f t="shared" si="18"/>
        <v>1.8954125606109568E-8</v>
      </c>
      <c r="E156" s="34"/>
      <c r="F156" s="42">
        <v>500</v>
      </c>
      <c r="G156" s="34">
        <f t="shared" si="0"/>
        <v>9477.0628030547832</v>
      </c>
      <c r="H156" s="34">
        <f t="shared" si="1"/>
        <v>9429.67748903951</v>
      </c>
      <c r="I156" s="35">
        <f t="shared" si="19"/>
        <v>1</v>
      </c>
      <c r="J156" s="36">
        <f t="shared" si="13"/>
        <v>9429.67748903951</v>
      </c>
      <c r="K156" s="34">
        <f t="shared" si="14"/>
        <v>119538295494.42361</v>
      </c>
      <c r="L156" s="37">
        <f t="shared" si="15"/>
        <v>114485653954.31049</v>
      </c>
      <c r="M156" s="34">
        <f t="shared" si="2"/>
        <v>7216531914.4372234</v>
      </c>
      <c r="N156" s="34">
        <f t="shared" si="3"/>
        <v>0</v>
      </c>
      <c r="O156" s="34">
        <f t="shared" si="4"/>
        <v>7216531914.4372234</v>
      </c>
      <c r="P156" s="34">
        <f t="shared" si="20"/>
        <v>721653191.44372237</v>
      </c>
      <c r="Q156" s="38">
        <f t="shared" si="5"/>
        <v>6462404329.3785334</v>
      </c>
      <c r="R156" s="39">
        <f t="shared" si="6"/>
        <v>3231202164.6892667</v>
      </c>
      <c r="S156" s="34">
        <f t="shared" si="7"/>
        <v>3231202164.6892667</v>
      </c>
      <c r="T156" s="40">
        <f t="shared" si="21"/>
        <v>9472612855.4075222</v>
      </c>
      <c r="U156" s="272">
        <f t="shared" si="8"/>
        <v>2.6988780705650929E-3</v>
      </c>
      <c r="V156" s="41">
        <f t="shared" si="9"/>
        <v>10.532460339373758</v>
      </c>
    </row>
    <row r="157" spans="1:22" ht="15.75" customHeight="1">
      <c r="A157" s="31" t="s">
        <v>190</v>
      </c>
      <c r="B157" s="32">
        <v>2173</v>
      </c>
      <c r="C157" s="274">
        <f t="shared" si="10"/>
        <v>1.7058713045498612E-8</v>
      </c>
      <c r="D157" s="271">
        <f t="shared" si="18"/>
        <v>1.7058713045498612E-8</v>
      </c>
      <c r="E157" s="34"/>
      <c r="F157" s="42">
        <v>500</v>
      </c>
      <c r="G157" s="34">
        <f t="shared" si="0"/>
        <v>8529.3565227493054</v>
      </c>
      <c r="H157" s="34">
        <f t="shared" si="1"/>
        <v>8486.7097401355586</v>
      </c>
      <c r="I157" s="35">
        <f t="shared" si="19"/>
        <v>1</v>
      </c>
      <c r="J157" s="36">
        <f t="shared" si="13"/>
        <v>8486.7097401355586</v>
      </c>
      <c r="K157" s="34">
        <f t="shared" si="14"/>
        <v>120259957172.57709</v>
      </c>
      <c r="L157" s="37">
        <f t="shared" si="15"/>
        <v>115149711974.64774</v>
      </c>
      <c r="M157" s="34">
        <f t="shared" si="2"/>
        <v>7258390460.7032843</v>
      </c>
      <c r="N157" s="34">
        <f t="shared" si="3"/>
        <v>0</v>
      </c>
      <c r="O157" s="34">
        <f t="shared" si="4"/>
        <v>7258390460.7032843</v>
      </c>
      <c r="P157" s="34">
        <f t="shared" si="20"/>
        <v>725839046.07032847</v>
      </c>
      <c r="Q157" s="38">
        <f t="shared" si="5"/>
        <v>6499888657.5597906</v>
      </c>
      <c r="R157" s="39">
        <f t="shared" si="6"/>
        <v>3249944328.7798953</v>
      </c>
      <c r="S157" s="34">
        <f t="shared" si="7"/>
        <v>3249944328.7798953</v>
      </c>
      <c r="T157" s="40">
        <f t="shared" si="21"/>
        <v>9463140242.5521164</v>
      </c>
      <c r="U157" s="272">
        <f t="shared" si="8"/>
        <v>2.6988780705650929E-3</v>
      </c>
      <c r="V157" s="41">
        <f t="shared" si="9"/>
        <v>10.604156649933399</v>
      </c>
    </row>
    <row r="158" spans="1:22" ht="15.75" customHeight="1">
      <c r="A158" s="31" t="s">
        <v>191</v>
      </c>
      <c r="B158" s="32">
        <v>2174</v>
      </c>
      <c r="C158" s="274">
        <f t="shared" si="10"/>
        <v>1.5352841740948752E-8</v>
      </c>
      <c r="D158" s="271">
        <f t="shared" si="18"/>
        <v>1.5352841740948752E-8</v>
      </c>
      <c r="E158" s="34"/>
      <c r="F158" s="42">
        <v>500</v>
      </c>
      <c r="G158" s="34">
        <f t="shared" si="0"/>
        <v>7676.4208704743751</v>
      </c>
      <c r="H158" s="34">
        <f t="shared" si="1"/>
        <v>7638.0387661220029</v>
      </c>
      <c r="I158" s="35">
        <f t="shared" si="19"/>
        <v>1</v>
      </c>
      <c r="J158" s="36">
        <f t="shared" si="13"/>
        <v>7638.0387661220029</v>
      </c>
      <c r="K158" s="34">
        <f t="shared" si="14"/>
        <v>120985803856.68619</v>
      </c>
      <c r="L158" s="37">
        <f t="shared" si="15"/>
        <v>115817620879.42746</v>
      </c>
      <c r="M158" s="34">
        <f t="shared" si="2"/>
        <v>7300491739.1926661</v>
      </c>
      <c r="N158" s="34">
        <f t="shared" si="3"/>
        <v>0</v>
      </c>
      <c r="O158" s="34">
        <f t="shared" si="4"/>
        <v>7300491739.1926661</v>
      </c>
      <c r="P158" s="34">
        <f t="shared" si="20"/>
        <v>730049173.9192667</v>
      </c>
      <c r="Q158" s="38">
        <f t="shared" si="5"/>
        <v>6537590352.447032</v>
      </c>
      <c r="R158" s="39">
        <f t="shared" si="6"/>
        <v>3268795176.223516</v>
      </c>
      <c r="S158" s="34">
        <f t="shared" si="7"/>
        <v>3268795176.223516</v>
      </c>
      <c r="T158" s="40">
        <f t="shared" si="21"/>
        <v>9453677102.3095646</v>
      </c>
      <c r="U158" s="272">
        <f t="shared" si="8"/>
        <v>2.6988780705650929E-3</v>
      </c>
      <c r="V158" s="41">
        <f t="shared" si="9"/>
        <v>10.676340918081481</v>
      </c>
    </row>
    <row r="159" spans="1:22" ht="15.75" customHeight="1">
      <c r="A159" s="31" t="s">
        <v>192</v>
      </c>
      <c r="B159" s="32">
        <v>2175</v>
      </c>
      <c r="C159" s="274">
        <f t="shared" si="10"/>
        <v>1.3817557566853877E-8</v>
      </c>
      <c r="D159" s="271">
        <f t="shared" si="18"/>
        <v>1.3817557566853877E-8</v>
      </c>
      <c r="E159" s="34"/>
      <c r="F159" s="42">
        <v>500</v>
      </c>
      <c r="G159" s="34">
        <f t="shared" si="0"/>
        <v>6908.7787834269384</v>
      </c>
      <c r="H159" s="34">
        <f t="shared" si="1"/>
        <v>6874.2348895098039</v>
      </c>
      <c r="I159" s="35">
        <f t="shared" si="19"/>
        <v>1</v>
      </c>
      <c r="J159" s="36">
        <f t="shared" si="13"/>
        <v>6874.2348895098039</v>
      </c>
      <c r="K159" s="34">
        <f t="shared" si="14"/>
        <v>121715859904.84035</v>
      </c>
      <c r="L159" s="37">
        <f t="shared" si="15"/>
        <v>116489403089.11783</v>
      </c>
      <c r="M159" s="34">
        <f t="shared" si="2"/>
        <v>7342837163.7557011</v>
      </c>
      <c r="N159" s="34">
        <f t="shared" si="3"/>
        <v>0</v>
      </c>
      <c r="O159" s="34">
        <f t="shared" si="4"/>
        <v>7342837163.7557011</v>
      </c>
      <c r="P159" s="34">
        <f t="shared" si="20"/>
        <v>734283716.37557018</v>
      </c>
      <c r="Q159" s="38">
        <f t="shared" si="5"/>
        <v>6575510680.1432304</v>
      </c>
      <c r="R159" s="39">
        <f t="shared" si="6"/>
        <v>3287755340.0716152</v>
      </c>
      <c r="S159" s="34">
        <f t="shared" si="7"/>
        <v>3287755340.0716152</v>
      </c>
      <c r="T159" s="40">
        <f t="shared" si="21"/>
        <v>9444223425.2072563</v>
      </c>
      <c r="U159" s="272">
        <f t="shared" si="8"/>
        <v>2.6988780705650929E-3</v>
      </c>
      <c r="V159" s="41">
        <f t="shared" si="9"/>
        <v>10.74901647390462</v>
      </c>
    </row>
    <row r="160" spans="1:22" ht="15.75" customHeight="1">
      <c r="A160" s="31" t="s">
        <v>193</v>
      </c>
      <c r="B160" s="32">
        <v>2176</v>
      </c>
      <c r="C160" s="274">
        <f t="shared" si="10"/>
        <v>1.2435801810168489E-8</v>
      </c>
      <c r="D160" s="271">
        <f t="shared" si="18"/>
        <v>1.2435801810168489E-8</v>
      </c>
      <c r="E160" s="34"/>
      <c r="F160" s="42">
        <v>500</v>
      </c>
      <c r="G160" s="34">
        <f t="shared" si="0"/>
        <v>6217.9009050842442</v>
      </c>
      <c r="H160" s="34">
        <f t="shared" si="1"/>
        <v>6186.8114005588232</v>
      </c>
      <c r="I160" s="35">
        <f t="shared" si="19"/>
        <v>1</v>
      </c>
      <c r="J160" s="36">
        <f t="shared" si="13"/>
        <v>6186.8114005588232</v>
      </c>
      <c r="K160" s="34">
        <f t="shared" si="14"/>
        <v>122450149808.02731</v>
      </c>
      <c r="L160" s="37">
        <f t="shared" si="15"/>
        <v>117165081145.80865</v>
      </c>
      <c r="M160" s="34">
        <f t="shared" si="2"/>
        <v>7385428155.85007</v>
      </c>
      <c r="N160" s="34">
        <f t="shared" si="3"/>
        <v>0</v>
      </c>
      <c r="O160" s="34">
        <f t="shared" si="4"/>
        <v>7385428155.85007</v>
      </c>
      <c r="P160" s="34">
        <f t="shared" si="20"/>
        <v>738542815.58500707</v>
      </c>
      <c r="Q160" s="38">
        <f t="shared" si="5"/>
        <v>6613650913.5637379</v>
      </c>
      <c r="R160" s="39">
        <f t="shared" si="6"/>
        <v>3306825456.7818689</v>
      </c>
      <c r="S160" s="34">
        <f t="shared" si="7"/>
        <v>3306825456.7818689</v>
      </c>
      <c r="T160" s="40">
        <f t="shared" si="21"/>
        <v>9434779201.7820492</v>
      </c>
      <c r="U160" s="272">
        <f t="shared" si="8"/>
        <v>2.6988780705650929E-3</v>
      </c>
      <c r="V160" s="41">
        <f t="shared" si="9"/>
        <v>10.822186669313943</v>
      </c>
    </row>
    <row r="161" spans="1:22" ht="15.75" customHeight="1">
      <c r="A161" s="31" t="s">
        <v>194</v>
      </c>
      <c r="B161" s="32">
        <v>2177</v>
      </c>
      <c r="C161" s="274">
        <f t="shared" si="10"/>
        <v>1.1192221629151641E-8</v>
      </c>
      <c r="D161" s="271">
        <f t="shared" si="18"/>
        <v>1.1192221629151641E-8</v>
      </c>
      <c r="E161" s="34"/>
      <c r="F161" s="42">
        <v>500</v>
      </c>
      <c r="G161" s="34">
        <f t="shared" si="0"/>
        <v>5596.1108145758208</v>
      </c>
      <c r="H161" s="34">
        <f t="shared" si="1"/>
        <v>5568.1302605029414</v>
      </c>
      <c r="I161" s="35">
        <f t="shared" si="19"/>
        <v>1</v>
      </c>
      <c r="J161" s="36">
        <f t="shared" si="13"/>
        <v>5568.1302605029414</v>
      </c>
      <c r="K161" s="34">
        <f t="shared" si="14"/>
        <v>123188698191.74258</v>
      </c>
      <c r="L161" s="37">
        <f t="shared" si="15"/>
        <v>117844677714.75917</v>
      </c>
      <c r="M161" s="34">
        <f t="shared" si="2"/>
        <v>7428266144.644268</v>
      </c>
      <c r="N161" s="34">
        <f t="shared" si="3"/>
        <v>0</v>
      </c>
      <c r="O161" s="34">
        <f t="shared" si="4"/>
        <v>7428266144.644268</v>
      </c>
      <c r="P161" s="34">
        <f t="shared" si="20"/>
        <v>742826614.46442688</v>
      </c>
      <c r="Q161" s="38">
        <f t="shared" si="5"/>
        <v>6652012332.5289421</v>
      </c>
      <c r="R161" s="39">
        <f t="shared" si="6"/>
        <v>3326006166.2644711</v>
      </c>
      <c r="S161" s="34">
        <f t="shared" si="7"/>
        <v>3326006166.2644711</v>
      </c>
      <c r="T161" s="40">
        <f t="shared" si="21"/>
        <v>9425344422.5802689</v>
      </c>
      <c r="U161" s="272">
        <f t="shared" si="8"/>
        <v>2.6988780705650929E-3</v>
      </c>
      <c r="V161" s="41">
        <f t="shared" si="9"/>
        <v>10.895854878277278</v>
      </c>
    </row>
    <row r="162" spans="1:22" ht="15.75" customHeight="1">
      <c r="A162" s="31" t="s">
        <v>195</v>
      </c>
      <c r="B162" s="32">
        <v>2178</v>
      </c>
      <c r="C162" s="274">
        <f t="shared" si="10"/>
        <v>1.0072999466236478E-8</v>
      </c>
      <c r="D162" s="271">
        <f t="shared" si="18"/>
        <v>1.0072999466236478E-8</v>
      </c>
      <c r="E162" s="34"/>
      <c r="F162" s="42">
        <v>500</v>
      </c>
      <c r="G162" s="34">
        <f t="shared" si="0"/>
        <v>5036.4997331182385</v>
      </c>
      <c r="H162" s="34">
        <f t="shared" si="1"/>
        <v>5011.3172344526474</v>
      </c>
      <c r="I162" s="35">
        <f t="shared" si="19"/>
        <v>1</v>
      </c>
      <c r="J162" s="36">
        <f t="shared" si="13"/>
        <v>5011.3172344526474</v>
      </c>
      <c r="K162" s="34">
        <f t="shared" si="14"/>
        <v>123931529817.52425</v>
      </c>
      <c r="L162" s="37">
        <f t="shared" si="15"/>
        <v>118528215585.87057</v>
      </c>
      <c r="M162" s="34">
        <f t="shared" si="2"/>
        <v>7471352567.1157312</v>
      </c>
      <c r="N162" s="34">
        <f t="shared" si="3"/>
        <v>0</v>
      </c>
      <c r="O162" s="34">
        <f t="shared" si="4"/>
        <v>7471352567.1157312</v>
      </c>
      <c r="P162" s="34">
        <f t="shared" si="20"/>
        <v>747135256.71157312</v>
      </c>
      <c r="Q162" s="38">
        <f t="shared" si="5"/>
        <v>6690596223.8521366</v>
      </c>
      <c r="R162" s="39">
        <f t="shared" si="6"/>
        <v>3345298111.9260683</v>
      </c>
      <c r="S162" s="34">
        <f t="shared" si="7"/>
        <v>3345298111.9260683</v>
      </c>
      <c r="T162" s="40">
        <f t="shared" si="21"/>
        <v>9415919078.15769</v>
      </c>
      <c r="U162" s="272">
        <f t="shared" si="8"/>
        <v>2.6988780705650929E-3</v>
      </c>
      <c r="V162" s="41">
        <f t="shared" si="9"/>
        <v>10.970024497044603</v>
      </c>
    </row>
    <row r="163" spans="1:22" ht="15.75" customHeight="1">
      <c r="A163" s="31" t="s">
        <v>196</v>
      </c>
      <c r="B163" s="32">
        <v>2179</v>
      </c>
      <c r="C163" s="274">
        <f t="shared" si="10"/>
        <v>9.0656995196128296E-9</v>
      </c>
      <c r="D163" s="271">
        <f t="shared" si="18"/>
        <v>9.0656995196128296E-9</v>
      </c>
      <c r="E163" s="34"/>
      <c r="F163" s="42">
        <v>500</v>
      </c>
      <c r="G163" s="34">
        <f t="shared" si="0"/>
        <v>4532.849759806415</v>
      </c>
      <c r="H163" s="34">
        <f t="shared" si="1"/>
        <v>4510.185511007383</v>
      </c>
      <c r="I163" s="35">
        <f t="shared" si="19"/>
        <v>1</v>
      </c>
      <c r="J163" s="36">
        <f t="shared" si="13"/>
        <v>4510.185511007383</v>
      </c>
      <c r="K163" s="34">
        <f t="shared" si="14"/>
        <v>124678669584.42134</v>
      </c>
      <c r="L163" s="37">
        <f t="shared" si="15"/>
        <v>119215717675.09129</v>
      </c>
      <c r="M163" s="34">
        <f t="shared" si="2"/>
        <v>7514688868.1441946</v>
      </c>
      <c r="N163" s="34">
        <f t="shared" si="3"/>
        <v>0</v>
      </c>
      <c r="O163" s="34">
        <f t="shared" si="4"/>
        <v>7514688868.1441946</v>
      </c>
      <c r="P163" s="34">
        <f t="shared" si="20"/>
        <v>751468886.81441951</v>
      </c>
      <c r="Q163" s="38">
        <f t="shared" si="5"/>
        <v>6729403881.4231262</v>
      </c>
      <c r="R163" s="39">
        <f t="shared" si="6"/>
        <v>3364701940.7115631</v>
      </c>
      <c r="S163" s="34">
        <f t="shared" si="7"/>
        <v>3364701940.7115631</v>
      </c>
      <c r="T163" s="40">
        <f t="shared" si="21"/>
        <v>9406503159.0795326</v>
      </c>
      <c r="U163" s="272">
        <f t="shared" si="8"/>
        <v>2.6988780705650929E-3</v>
      </c>
      <c r="V163" s="41">
        <f t="shared" si="9"/>
        <v>11.044698944367594</v>
      </c>
    </row>
    <row r="164" spans="1:22" ht="15.75" customHeight="1">
      <c r="A164" s="31" t="s">
        <v>197</v>
      </c>
      <c r="B164" s="32">
        <v>2180</v>
      </c>
      <c r="C164" s="274">
        <f t="shared" si="10"/>
        <v>8.1591295676515475E-9</v>
      </c>
      <c r="D164" s="271">
        <f t="shared" si="18"/>
        <v>8.1591295676515475E-9</v>
      </c>
      <c r="E164" s="34"/>
      <c r="F164" s="42">
        <v>500</v>
      </c>
      <c r="G164" s="34">
        <f t="shared" si="0"/>
        <v>4079.5647838257737</v>
      </c>
      <c r="H164" s="34">
        <f t="shared" si="1"/>
        <v>4059.1669599066449</v>
      </c>
      <c r="I164" s="35">
        <f t="shared" si="19"/>
        <v>1</v>
      </c>
      <c r="J164" s="36">
        <f t="shared" si="13"/>
        <v>4059.1669599066449</v>
      </c>
      <c r="K164" s="34">
        <f t="shared" si="14"/>
        <v>125430142530.40273</v>
      </c>
      <c r="L164" s="37">
        <f t="shared" si="15"/>
        <v>119907207025.76215</v>
      </c>
      <c r="M164" s="34">
        <f t="shared" si="2"/>
        <v>7558276500.6007881</v>
      </c>
      <c r="N164" s="34">
        <f t="shared" si="3"/>
        <v>0</v>
      </c>
      <c r="O164" s="34">
        <f t="shared" si="4"/>
        <v>7558276500.6007881</v>
      </c>
      <c r="P164" s="34">
        <f t="shared" si="20"/>
        <v>755827650.06007886</v>
      </c>
      <c r="Q164" s="38">
        <f t="shared" si="5"/>
        <v>6768436606.2880058</v>
      </c>
      <c r="R164" s="39">
        <f t="shared" si="6"/>
        <v>3384218303.1440029</v>
      </c>
      <c r="S164" s="34">
        <f t="shared" si="7"/>
        <v>3384218303.1440029</v>
      </c>
      <c r="T164" s="40">
        <f t="shared" si="21"/>
        <v>9397096655.920454</v>
      </c>
      <c r="U164" s="272">
        <f t="shared" si="8"/>
        <v>2.6988780705650929E-3</v>
      </c>
      <c r="V164" s="41">
        <f t="shared" si="9"/>
        <v>11.11988166171391</v>
      </c>
    </row>
    <row r="165" spans="1:22" ht="15.75" customHeight="1">
      <c r="A165" s="31" t="s">
        <v>198</v>
      </c>
      <c r="B165" s="32">
        <v>2181</v>
      </c>
      <c r="C165" s="274">
        <f t="shared" si="10"/>
        <v>7.3432166108863929E-9</v>
      </c>
      <c r="D165" s="271">
        <f t="shared" si="18"/>
        <v>7.3432166108863929E-9</v>
      </c>
      <c r="E165" s="34"/>
      <c r="F165" s="42">
        <v>500</v>
      </c>
      <c r="G165" s="34">
        <f t="shared" si="0"/>
        <v>3671.6083054431965</v>
      </c>
      <c r="H165" s="34">
        <f t="shared" si="1"/>
        <v>3653.2502639159807</v>
      </c>
      <c r="I165" s="35">
        <f t="shared" si="19"/>
        <v>1</v>
      </c>
      <c r="J165" s="36">
        <f t="shared" si="13"/>
        <v>3653.2502639159807</v>
      </c>
      <c r="K165" s="34">
        <f t="shared" si="14"/>
        <v>126185973833.71306</v>
      </c>
      <c r="L165" s="37">
        <f t="shared" si="15"/>
        <v>120602706809.90794</v>
      </c>
      <c r="M165" s="34">
        <f t="shared" si="2"/>
        <v>7602116925.43332</v>
      </c>
      <c r="N165" s="34">
        <f t="shared" si="3"/>
        <v>0</v>
      </c>
      <c r="O165" s="34">
        <f t="shared" si="4"/>
        <v>7602116925.43332</v>
      </c>
      <c r="P165" s="34">
        <f t="shared" si="20"/>
        <v>760211692.5433321</v>
      </c>
      <c r="Q165" s="38">
        <f t="shared" si="5"/>
        <v>6807695706.7255383</v>
      </c>
      <c r="R165" s="39">
        <f t="shared" si="6"/>
        <v>3403847853.3627691</v>
      </c>
      <c r="S165" s="34">
        <f t="shared" si="7"/>
        <v>3403847853.3627691</v>
      </c>
      <c r="T165" s="40">
        <f t="shared" si="21"/>
        <v>9387699559.264534</v>
      </c>
      <c r="U165" s="272">
        <f t="shared" si="8"/>
        <v>2.6988780705650929E-3</v>
      </c>
      <c r="V165" s="41">
        <f t="shared" si="9"/>
        <v>11.195576113476916</v>
      </c>
    </row>
    <row r="166" spans="1:22" ht="15.75" customHeight="1">
      <c r="A166" s="31" t="s">
        <v>199</v>
      </c>
      <c r="B166" s="32">
        <v>2182</v>
      </c>
      <c r="C166" s="274">
        <f t="shared" si="10"/>
        <v>6.6088949497977538E-9</v>
      </c>
      <c r="D166" s="271">
        <f t="shared" si="18"/>
        <v>6.6088949497977538E-9</v>
      </c>
      <c r="E166" s="34"/>
      <c r="F166" s="42">
        <v>500</v>
      </c>
      <c r="G166" s="34">
        <f t="shared" si="0"/>
        <v>3304.4474748988769</v>
      </c>
      <c r="H166" s="34">
        <f t="shared" si="1"/>
        <v>3287.9252375243823</v>
      </c>
      <c r="I166" s="35">
        <f t="shared" si="19"/>
        <v>1</v>
      </c>
      <c r="J166" s="36">
        <f t="shared" si="13"/>
        <v>3287.9252375243823</v>
      </c>
      <c r="K166" s="34">
        <f t="shared" si="14"/>
        <v>126946188814.18163</v>
      </c>
      <c r="L166" s="37">
        <f t="shared" si="15"/>
        <v>121302240329.48132</v>
      </c>
      <c r="M166" s="34">
        <f t="shared" si="2"/>
        <v>7646211611.7481632</v>
      </c>
      <c r="N166" s="34">
        <f t="shared" si="3"/>
        <v>0</v>
      </c>
      <c r="O166" s="34">
        <f t="shared" si="4"/>
        <v>7646211611.7481632</v>
      </c>
      <c r="P166" s="34">
        <f t="shared" si="20"/>
        <v>764621161.17481637</v>
      </c>
      <c r="Q166" s="38">
        <f t="shared" si="5"/>
        <v>6847182498.3204803</v>
      </c>
      <c r="R166" s="39">
        <f t="shared" si="6"/>
        <v>3423591249.1602402</v>
      </c>
      <c r="S166" s="34">
        <f t="shared" si="7"/>
        <v>3423591249.1602402</v>
      </c>
      <c r="T166" s="40">
        <f t="shared" si="21"/>
        <v>9378311859.7052708</v>
      </c>
      <c r="U166" s="272">
        <f t="shared" si="8"/>
        <v>2.6988780705650929E-3</v>
      </c>
      <c r="V166" s="41">
        <f t="shared" si="9"/>
        <v>11.271785787181358</v>
      </c>
    </row>
    <row r="167" spans="1:22" ht="15.75" customHeight="1">
      <c r="A167" s="31" t="s">
        <v>200</v>
      </c>
      <c r="B167" s="32">
        <v>2183</v>
      </c>
      <c r="C167" s="274">
        <f t="shared" si="10"/>
        <v>5.9480054548179786E-9</v>
      </c>
      <c r="D167" s="271">
        <f t="shared" si="18"/>
        <v>5.9480054548179786E-9</v>
      </c>
      <c r="E167" s="34"/>
      <c r="F167" s="42">
        <v>500</v>
      </c>
      <c r="G167" s="34">
        <f t="shared" si="0"/>
        <v>2974.0027274089894</v>
      </c>
      <c r="H167" s="34">
        <f t="shared" si="1"/>
        <v>2959.1327137719445</v>
      </c>
      <c r="I167" s="35">
        <f t="shared" si="19"/>
        <v>1</v>
      </c>
      <c r="J167" s="36">
        <f t="shared" si="13"/>
        <v>2959.1327137719445</v>
      </c>
      <c r="K167" s="34">
        <f t="shared" si="14"/>
        <v>127710812934.48917</v>
      </c>
      <c r="L167" s="37">
        <f t="shared" si="15"/>
        <v>122005831017.56398</v>
      </c>
      <c r="M167" s="34">
        <f t="shared" si="2"/>
        <v>7690562036.8891153</v>
      </c>
      <c r="N167" s="34">
        <f t="shared" si="3"/>
        <v>0</v>
      </c>
      <c r="O167" s="34">
        <f t="shared" si="4"/>
        <v>7690562036.8891153</v>
      </c>
      <c r="P167" s="34">
        <f t="shared" si="20"/>
        <v>769056203.68891156</v>
      </c>
      <c r="Q167" s="38">
        <f t="shared" si="5"/>
        <v>6886898304.0342026</v>
      </c>
      <c r="R167" s="39">
        <f t="shared" si="6"/>
        <v>3443449152.0171013</v>
      </c>
      <c r="S167" s="34">
        <f t="shared" si="7"/>
        <v>3443449152.0171013</v>
      </c>
      <c r="T167" s="40">
        <f t="shared" si="21"/>
        <v>9368933547.8455658</v>
      </c>
      <c r="U167" s="272">
        <f t="shared" si="8"/>
        <v>2.6988780705650929E-3</v>
      </c>
      <c r="V167" s="41">
        <f t="shared" si="9"/>
        <v>11.348514193685522</v>
      </c>
    </row>
    <row r="168" spans="1:22" ht="15.75" customHeight="1">
      <c r="A168" s="31" t="s">
        <v>201</v>
      </c>
      <c r="B168" s="32">
        <v>2184</v>
      </c>
      <c r="C168" s="274">
        <f t="shared" si="10"/>
        <v>5.3532049093361808E-9</v>
      </c>
      <c r="D168" s="271">
        <f t="shared" si="18"/>
        <v>5.3532049093361808E-9</v>
      </c>
      <c r="E168" s="34"/>
      <c r="F168" s="42">
        <v>500</v>
      </c>
      <c r="G168" s="34">
        <f t="shared" si="0"/>
        <v>2676.6024546680901</v>
      </c>
      <c r="H168" s="34">
        <f t="shared" si="1"/>
        <v>2663.2194423947494</v>
      </c>
      <c r="I168" s="35">
        <f t="shared" si="19"/>
        <v>1</v>
      </c>
      <c r="J168" s="36">
        <f t="shared" si="13"/>
        <v>2663.2194423947494</v>
      </c>
      <c r="K168" s="34">
        <f t="shared" si="14"/>
        <v>128479871801.39752</v>
      </c>
      <c r="L168" s="37">
        <f t="shared" si="15"/>
        <v>122713502439.53011</v>
      </c>
      <c r="M168" s="34">
        <f t="shared" si="2"/>
        <v>7735169686.5135565</v>
      </c>
      <c r="N168" s="34">
        <f t="shared" si="3"/>
        <v>0</v>
      </c>
      <c r="O168" s="34">
        <f t="shared" si="4"/>
        <v>7735169686.5135565</v>
      </c>
      <c r="P168" s="34">
        <f t="shared" si="20"/>
        <v>773516968.65135574</v>
      </c>
      <c r="Q168" s="38">
        <f t="shared" si="5"/>
        <v>6926844454.2728901</v>
      </c>
      <c r="R168" s="39">
        <f t="shared" si="6"/>
        <v>3463422227.136445</v>
      </c>
      <c r="S168" s="34">
        <f t="shared" si="7"/>
        <v>3463422227.136445</v>
      </c>
      <c r="T168" s="40">
        <f t="shared" si="21"/>
        <v>9359564614.2977219</v>
      </c>
      <c r="U168" s="272">
        <f t="shared" si="8"/>
        <v>2.6988780705650929E-3</v>
      </c>
      <c r="V168" s="41">
        <f t="shared" si="9"/>
        <v>11.42576486738033</v>
      </c>
    </row>
    <row r="169" spans="1:22" ht="15.75" customHeight="1">
      <c r="A169" s="31" t="s">
        <v>202</v>
      </c>
      <c r="B169" s="32">
        <v>2185</v>
      </c>
      <c r="C169" s="274">
        <f t="shared" si="10"/>
        <v>4.8178844184025626E-9</v>
      </c>
      <c r="D169" s="271">
        <f t="shared" si="18"/>
        <v>4.8178844184025626E-9</v>
      </c>
      <c r="E169" s="34"/>
      <c r="F169" s="42">
        <v>500</v>
      </c>
      <c r="G169" s="34">
        <f t="shared" si="0"/>
        <v>2408.9422092012815</v>
      </c>
      <c r="H169" s="34">
        <f t="shared" si="1"/>
        <v>2396.8974981552751</v>
      </c>
      <c r="I169" s="35">
        <f t="shared" si="19"/>
        <v>1</v>
      </c>
      <c r="J169" s="36">
        <f t="shared" si="13"/>
        <v>2396.8974981552751</v>
      </c>
      <c r="K169" s="34">
        <f t="shared" si="14"/>
        <v>129253391166.94637</v>
      </c>
      <c r="L169" s="37">
        <f t="shared" si="15"/>
        <v>123425278294.17642</v>
      </c>
      <c r="M169" s="34">
        <f t="shared" si="2"/>
        <v>7780036054.6662083</v>
      </c>
      <c r="N169" s="34">
        <f t="shared" si="3"/>
        <v>0</v>
      </c>
      <c r="O169" s="34">
        <f t="shared" si="4"/>
        <v>7780036054.6662083</v>
      </c>
      <c r="P169" s="34">
        <f t="shared" si="20"/>
        <v>778003605.46662092</v>
      </c>
      <c r="Q169" s="38">
        <f t="shared" si="5"/>
        <v>6967022286.9535885</v>
      </c>
      <c r="R169" s="39">
        <f t="shared" si="6"/>
        <v>3483511143.4767942</v>
      </c>
      <c r="S169" s="34">
        <f t="shared" si="7"/>
        <v>3483511143.4767942</v>
      </c>
      <c r="T169" s="40">
        <f t="shared" si="21"/>
        <v>9350205049.6834259</v>
      </c>
      <c r="U169" s="272">
        <f t="shared" si="8"/>
        <v>2.6988780705650929E-3</v>
      </c>
      <c r="V169" s="41">
        <f t="shared" si="9"/>
        <v>11.503541366385805</v>
      </c>
    </row>
    <row r="170" spans="1:22" ht="15.75" customHeight="1">
      <c r="A170" s="31" t="s">
        <v>203</v>
      </c>
      <c r="B170" s="32">
        <v>2186</v>
      </c>
      <c r="C170" s="274">
        <f t="shared" si="10"/>
        <v>4.3360959765623063E-9</v>
      </c>
      <c r="D170" s="271">
        <f t="shared" si="18"/>
        <v>4.3360959765623063E-9</v>
      </c>
      <c r="E170" s="34"/>
      <c r="F170" s="42">
        <v>500</v>
      </c>
      <c r="G170" s="34">
        <f t="shared" si="0"/>
        <v>2168.0479882811528</v>
      </c>
      <c r="H170" s="34">
        <f t="shared" si="1"/>
        <v>2157.207748339747</v>
      </c>
      <c r="I170" s="35">
        <f t="shared" si="19"/>
        <v>1</v>
      </c>
      <c r="J170" s="36">
        <f t="shared" si="13"/>
        <v>2157.207748339747</v>
      </c>
      <c r="K170" s="34">
        <f t="shared" si="14"/>
        <v>130031396929.62073</v>
      </c>
      <c r="L170" s="37">
        <f t="shared" si="15"/>
        <v>124141182414.82237</v>
      </c>
      <c r="M170" s="34">
        <f t="shared" si="2"/>
        <v>7825162643.8507853</v>
      </c>
      <c r="N170" s="34">
        <f t="shared" si="3"/>
        <v>0</v>
      </c>
      <c r="O170" s="34">
        <f t="shared" si="4"/>
        <v>7825162643.8507853</v>
      </c>
      <c r="P170" s="34">
        <f t="shared" si="20"/>
        <v>782516264.38507855</v>
      </c>
      <c r="Q170" s="38">
        <f t="shared" si="5"/>
        <v>7007433147.5683784</v>
      </c>
      <c r="R170" s="39">
        <f t="shared" si="6"/>
        <v>3503716573.7841892</v>
      </c>
      <c r="S170" s="34">
        <f t="shared" si="7"/>
        <v>3503716573.7841892</v>
      </c>
      <c r="T170" s="40">
        <f t="shared" si="21"/>
        <v>9340854844.6337433</v>
      </c>
      <c r="U170" s="272">
        <f t="shared" si="8"/>
        <v>2.6988780705650929E-3</v>
      </c>
      <c r="V170" s="41">
        <f t="shared" si="9"/>
        <v>11.581847272745314</v>
      </c>
    </row>
    <row r="171" spans="1:22" ht="15.75" customHeight="1">
      <c r="A171" s="31" t="s">
        <v>204</v>
      </c>
      <c r="B171" s="32">
        <v>2187</v>
      </c>
      <c r="C171" s="274">
        <f t="shared" si="10"/>
        <v>3.9024863789060758E-9</v>
      </c>
      <c r="D171" s="271">
        <f t="shared" si="18"/>
        <v>3.9024863789060758E-9</v>
      </c>
      <c r="E171" s="34"/>
      <c r="F171" s="42">
        <v>500</v>
      </c>
      <c r="G171" s="34">
        <f t="shared" si="0"/>
        <v>1951.243189453038</v>
      </c>
      <c r="H171" s="34">
        <f t="shared" si="1"/>
        <v>1941.4869735057728</v>
      </c>
      <c r="I171" s="35">
        <f t="shared" si="19"/>
        <v>1</v>
      </c>
      <c r="J171" s="36">
        <f t="shared" si="13"/>
        <v>1941.4869735057728</v>
      </c>
      <c r="K171" s="34">
        <f t="shared" si="14"/>
        <v>130813915135.49278</v>
      </c>
      <c r="L171" s="37">
        <f t="shared" si="15"/>
        <v>124861238770.38409</v>
      </c>
      <c r="M171" s="34">
        <f t="shared" si="2"/>
        <v>7870550965.0997381</v>
      </c>
      <c r="N171" s="34">
        <f t="shared" si="3"/>
        <v>0</v>
      </c>
      <c r="O171" s="34">
        <f t="shared" si="4"/>
        <v>7870550965.0997381</v>
      </c>
      <c r="P171" s="34">
        <f t="shared" si="20"/>
        <v>787055096.50997388</v>
      </c>
      <c r="Q171" s="38">
        <f t="shared" si="5"/>
        <v>7048078389.2468157</v>
      </c>
      <c r="R171" s="39">
        <f t="shared" si="6"/>
        <v>3524039194.6234078</v>
      </c>
      <c r="S171" s="34">
        <f t="shared" si="7"/>
        <v>3524039194.6234078</v>
      </c>
      <c r="T171" s="40">
        <f t="shared" si="21"/>
        <v>9331513989.7891102</v>
      </c>
      <c r="U171" s="272">
        <f t="shared" si="8"/>
        <v>2.6988780705650929E-3</v>
      </c>
      <c r="V171" s="41">
        <f t="shared" si="9"/>
        <v>11.66068619261781</v>
      </c>
    </row>
    <row r="172" spans="1:22" ht="15.75" customHeight="1">
      <c r="A172" s="31" t="s">
        <v>205</v>
      </c>
      <c r="B172" s="32">
        <v>2188</v>
      </c>
      <c r="C172" s="274">
        <f t="shared" si="10"/>
        <v>3.5122377410154681E-9</v>
      </c>
      <c r="D172" s="271">
        <f t="shared" si="18"/>
        <v>3.5122377410154681E-9</v>
      </c>
      <c r="E172" s="34"/>
      <c r="F172" s="42">
        <v>500</v>
      </c>
      <c r="G172" s="34">
        <f t="shared" si="0"/>
        <v>1756.1188705077341</v>
      </c>
      <c r="H172" s="34">
        <f t="shared" si="1"/>
        <v>1747.3382761551954</v>
      </c>
      <c r="I172" s="35">
        <f t="shared" si="19"/>
        <v>1</v>
      </c>
      <c r="J172" s="36">
        <f t="shared" si="13"/>
        <v>1747.3382761551954</v>
      </c>
      <c r="K172" s="34">
        <f t="shared" si="14"/>
        <v>131600971979.34103</v>
      </c>
      <c r="L172" s="37">
        <f t="shared" si="15"/>
        <v>125585471466.42523</v>
      </c>
      <c r="M172" s="34">
        <f t="shared" si="2"/>
        <v>7916202538.0423517</v>
      </c>
      <c r="N172" s="34">
        <f t="shared" si="3"/>
        <v>0</v>
      </c>
      <c r="O172" s="34">
        <f t="shared" si="4"/>
        <v>7916202538.0423517</v>
      </c>
      <c r="P172" s="34">
        <f t="shared" si="20"/>
        <v>791620253.80423522</v>
      </c>
      <c r="Q172" s="38">
        <f t="shared" si="5"/>
        <v>7088959372.816926</v>
      </c>
      <c r="R172" s="39">
        <f t="shared" si="6"/>
        <v>3544479686.408463</v>
      </c>
      <c r="S172" s="34">
        <f t="shared" si="7"/>
        <v>3544479686.408463</v>
      </c>
      <c r="T172" s="40">
        <f t="shared" si="21"/>
        <v>9322182475.7993221</v>
      </c>
      <c r="U172" s="272">
        <f t="shared" si="8"/>
        <v>2.6988780705650929E-3</v>
      </c>
      <c r="V172" s="41">
        <f t="shared" si="9"/>
        <v>11.740061756468569</v>
      </c>
    </row>
    <row r="173" spans="1:22" ht="15.75" customHeight="1">
      <c r="A173" s="31" t="s">
        <v>206</v>
      </c>
      <c r="B173" s="32">
        <v>2189</v>
      </c>
      <c r="C173" s="274">
        <f t="shared" si="10"/>
        <v>3.1610139669139212E-9</v>
      </c>
      <c r="D173" s="271">
        <f t="shared" si="18"/>
        <v>3.1610139669139212E-9</v>
      </c>
      <c r="E173" s="34"/>
      <c r="F173" s="42">
        <v>500</v>
      </c>
      <c r="G173" s="34">
        <f t="shared" si="0"/>
        <v>1580.5069834569606</v>
      </c>
      <c r="H173" s="34">
        <f t="shared" si="1"/>
        <v>1572.6044485396758</v>
      </c>
      <c r="I173" s="35">
        <f t="shared" si="19"/>
        <v>1</v>
      </c>
      <c r="J173" s="36">
        <f t="shared" si="13"/>
        <v>1572.6044485396758</v>
      </c>
      <c r="K173" s="34">
        <f t="shared" si="14"/>
        <v>132392593805.74971</v>
      </c>
      <c r="L173" s="37">
        <f t="shared" si="15"/>
        <v>126313904746.1875</v>
      </c>
      <c r="M173" s="34">
        <f t="shared" si="2"/>
        <v>7962118890.9713593</v>
      </c>
      <c r="N173" s="34">
        <f t="shared" si="3"/>
        <v>0</v>
      </c>
      <c r="O173" s="34">
        <f t="shared" si="4"/>
        <v>7962118890.9713593</v>
      </c>
      <c r="P173" s="34">
        <f t="shared" si="20"/>
        <v>796211889.09713602</v>
      </c>
      <c r="Q173" s="38">
        <f t="shared" si="5"/>
        <v>7130077466.8648529</v>
      </c>
      <c r="R173" s="39">
        <f t="shared" si="6"/>
        <v>3565038733.4324265</v>
      </c>
      <c r="S173" s="34">
        <f t="shared" si="7"/>
        <v>3565038733.4324265</v>
      </c>
      <c r="T173" s="40">
        <f t="shared" si="21"/>
        <v>9312860293.3235245</v>
      </c>
      <c r="U173" s="272">
        <f t="shared" si="8"/>
        <v>2.6988780705650929E-3</v>
      </c>
      <c r="V173" s="41">
        <f t="shared" si="9"/>
        <v>11.819977619258502</v>
      </c>
    </row>
    <row r="174" spans="1:22" ht="15.75" customHeight="1">
      <c r="A174" s="31" t="s">
        <v>207</v>
      </c>
      <c r="B174" s="32">
        <v>2190</v>
      </c>
      <c r="C174" s="274">
        <f t="shared" si="10"/>
        <v>2.8449125702225293E-9</v>
      </c>
      <c r="D174" s="271">
        <f t="shared" si="18"/>
        <v>2.8449125702225293E-9</v>
      </c>
      <c r="E174" s="34"/>
      <c r="F174" s="42">
        <v>500</v>
      </c>
      <c r="G174" s="34">
        <f t="shared" si="0"/>
        <v>1422.4562851112646</v>
      </c>
      <c r="H174" s="34">
        <f t="shared" si="1"/>
        <v>1415.3440036857082</v>
      </c>
      <c r="I174" s="35">
        <f t="shared" si="19"/>
        <v>1</v>
      </c>
      <c r="J174" s="36">
        <f t="shared" si="13"/>
        <v>1415.3440036857082</v>
      </c>
      <c r="K174" s="34">
        <f t="shared" si="14"/>
        <v>133188807110.19086</v>
      </c>
      <c r="L174" s="37">
        <f t="shared" si="15"/>
        <v>127046562991.60333</v>
      </c>
      <c r="M174" s="34">
        <f t="shared" si="2"/>
        <v>8008301560.908287</v>
      </c>
      <c r="N174" s="34">
        <f t="shared" si="3"/>
        <v>0</v>
      </c>
      <c r="O174" s="34">
        <f t="shared" si="4"/>
        <v>8008301560.908287</v>
      </c>
      <c r="P174" s="34">
        <f t="shared" si="20"/>
        <v>800830156.09082878</v>
      </c>
      <c r="Q174" s="38">
        <f t="shared" si="5"/>
        <v>7171434047.7933712</v>
      </c>
      <c r="R174" s="39">
        <f t="shared" si="6"/>
        <v>3585717023.8966856</v>
      </c>
      <c r="S174" s="34">
        <f t="shared" si="7"/>
        <v>3585717023.8966856</v>
      </c>
      <c r="T174" s="40">
        <f t="shared" si="21"/>
        <v>9303547433.0302029</v>
      </c>
      <c r="U174" s="272">
        <f t="shared" si="8"/>
        <v>2.6988780705650929E-3</v>
      </c>
      <c r="V174" s="41">
        <f t="shared" si="9"/>
        <v>11.900437460632466</v>
      </c>
    </row>
    <row r="175" spans="1:22" ht="15.75" customHeight="1">
      <c r="A175" s="31" t="s">
        <v>208</v>
      </c>
      <c r="B175" s="32">
        <v>2191</v>
      </c>
      <c r="C175" s="274">
        <f t="shared" si="10"/>
        <v>2.5604213132002766E-9</v>
      </c>
      <c r="D175" s="271">
        <f t="shared" si="18"/>
        <v>2.5604213132002766E-9</v>
      </c>
      <c r="E175" s="34"/>
      <c r="F175" s="42">
        <v>500</v>
      </c>
      <c r="G175" s="34">
        <f t="shared" si="0"/>
        <v>1280.2106566001382</v>
      </c>
      <c r="H175" s="34">
        <f t="shared" si="1"/>
        <v>1273.8096033171375</v>
      </c>
      <c r="I175" s="35">
        <f t="shared" si="19"/>
        <v>1</v>
      </c>
      <c r="J175" s="36">
        <f t="shared" si="13"/>
        <v>1273.8096033171375</v>
      </c>
      <c r="K175" s="34">
        <f t="shared" si="14"/>
        <v>133989638540.09129</v>
      </c>
      <c r="L175" s="37">
        <f t="shared" si="15"/>
        <v>127783470724.29303</v>
      </c>
      <c r="M175" s="34">
        <f t="shared" si="2"/>
        <v>8054752093.6676512</v>
      </c>
      <c r="N175" s="34">
        <f t="shared" si="3"/>
        <v>0</v>
      </c>
      <c r="O175" s="34">
        <f t="shared" si="4"/>
        <v>8054752093.6676512</v>
      </c>
      <c r="P175" s="34">
        <f t="shared" si="20"/>
        <v>805475209.36676514</v>
      </c>
      <c r="Q175" s="38">
        <f t="shared" si="5"/>
        <v>7213030499.8793821</v>
      </c>
      <c r="R175" s="39">
        <f t="shared" si="6"/>
        <v>3606515249.9396911</v>
      </c>
      <c r="S175" s="34">
        <f t="shared" si="7"/>
        <v>3606515249.9396911</v>
      </c>
      <c r="T175" s="40">
        <f t="shared" si="21"/>
        <v>9294243885.5971737</v>
      </c>
      <c r="U175" s="272">
        <f t="shared" si="8"/>
        <v>2.6988780705650929E-3</v>
      </c>
      <c r="V175" s="41">
        <f t="shared" si="9"/>
        <v>11.981444985106663</v>
      </c>
    </row>
    <row r="176" spans="1:22" ht="15.75" customHeight="1">
      <c r="A176" s="31" t="s">
        <v>209</v>
      </c>
      <c r="B176" s="32">
        <v>2192</v>
      </c>
      <c r="C176" s="274">
        <f t="shared" si="10"/>
        <v>2.3043791818802489E-9</v>
      </c>
      <c r="D176" s="271">
        <f t="shared" si="18"/>
        <v>2.3043791818802489E-9</v>
      </c>
      <c r="E176" s="34"/>
      <c r="F176" s="42">
        <v>500</v>
      </c>
      <c r="G176" s="34">
        <f t="shared" si="0"/>
        <v>1152.1895909401246</v>
      </c>
      <c r="H176" s="34">
        <f t="shared" si="1"/>
        <v>1146.4286429854239</v>
      </c>
      <c r="I176" s="35">
        <f t="shared" si="19"/>
        <v>1</v>
      </c>
      <c r="J176" s="36">
        <f t="shared" si="13"/>
        <v>1146.4286429854239</v>
      </c>
      <c r="K176" s="34">
        <f t="shared" si="14"/>
        <v>134795114895.8867</v>
      </c>
      <c r="L176" s="37">
        <f t="shared" si="15"/>
        <v>128524652606.5484</v>
      </c>
      <c r="M176" s="34">
        <f t="shared" si="2"/>
        <v>8101472043.9201775</v>
      </c>
      <c r="N176" s="34">
        <f t="shared" si="3"/>
        <v>0</v>
      </c>
      <c r="O176" s="34">
        <f t="shared" si="4"/>
        <v>8101472043.9201775</v>
      </c>
      <c r="P176" s="34">
        <f t="shared" si="20"/>
        <v>810147204.39201784</v>
      </c>
      <c r="Q176" s="38">
        <f t="shared" si="5"/>
        <v>7254868215.3305197</v>
      </c>
      <c r="R176" s="39">
        <f t="shared" si="6"/>
        <v>3627434107.6652598</v>
      </c>
      <c r="S176" s="34">
        <f t="shared" si="7"/>
        <v>3627434107.6652598</v>
      </c>
      <c r="T176" s="40">
        <f t="shared" si="21"/>
        <v>9284949641.7115784</v>
      </c>
      <c r="U176" s="272">
        <f t="shared" si="8"/>
        <v>2.6988780705650929E-3</v>
      </c>
      <c r="V176" s="41">
        <f t="shared" si="9"/>
        <v>12.063003922255419</v>
      </c>
    </row>
    <row r="177" spans="1:22" ht="15.75" customHeight="1">
      <c r="A177" s="31" t="s">
        <v>210</v>
      </c>
      <c r="B177" s="32">
        <v>2193</v>
      </c>
      <c r="C177" s="274">
        <f t="shared" si="10"/>
        <v>2.0739412636922239E-9</v>
      </c>
      <c r="D177" s="271">
        <f t="shared" si="18"/>
        <v>2.0739412636922239E-9</v>
      </c>
      <c r="E177" s="34"/>
      <c r="F177" s="42">
        <v>500</v>
      </c>
      <c r="G177" s="34">
        <f t="shared" si="0"/>
        <v>1036.9706318461119</v>
      </c>
      <c r="H177" s="34">
        <f t="shared" si="1"/>
        <v>1031.7857786868813</v>
      </c>
      <c r="I177" s="35">
        <f t="shared" si="19"/>
        <v>1</v>
      </c>
      <c r="J177" s="36">
        <f t="shared" si="13"/>
        <v>1031.7857786868813</v>
      </c>
      <c r="K177" s="34">
        <f t="shared" si="14"/>
        <v>135605263132.0645</v>
      </c>
      <c r="L177" s="37">
        <f t="shared" si="15"/>
        <v>129270133442.30484</v>
      </c>
      <c r="M177" s="34">
        <f t="shared" si="2"/>
        <v>8148462975.255168</v>
      </c>
      <c r="N177" s="34">
        <f t="shared" si="3"/>
        <v>0</v>
      </c>
      <c r="O177" s="34">
        <f t="shared" si="4"/>
        <v>8148462975.255168</v>
      </c>
      <c r="P177" s="34">
        <f t="shared" si="20"/>
        <v>814846297.52551687</v>
      </c>
      <c r="Q177" s="38">
        <f t="shared" si="5"/>
        <v>7296948594.3410034</v>
      </c>
      <c r="R177" s="39">
        <f t="shared" si="6"/>
        <v>3648474297.1705017</v>
      </c>
      <c r="S177" s="34">
        <f t="shared" si="7"/>
        <v>3648474297.1705017</v>
      </c>
      <c r="T177" s="40">
        <f t="shared" si="21"/>
        <v>9275664692.0698681</v>
      </c>
      <c r="U177" s="272">
        <f t="shared" si="8"/>
        <v>2.6988780705650929E-3</v>
      </c>
      <c r="V177" s="41">
        <f t="shared" si="9"/>
        <v>12.145118026897508</v>
      </c>
    </row>
    <row r="178" spans="1:22" ht="15.75" customHeight="1">
      <c r="A178" s="31" t="s">
        <v>211</v>
      </c>
      <c r="B178" s="32">
        <v>2194</v>
      </c>
      <c r="C178" s="274">
        <f t="shared" si="10"/>
        <v>1.8665471373230016E-9</v>
      </c>
      <c r="D178" s="271">
        <f t="shared" si="18"/>
        <v>1.8665471373230016E-9</v>
      </c>
      <c r="E178" s="34"/>
      <c r="F178" s="42">
        <v>500</v>
      </c>
      <c r="G178" s="34">
        <f t="shared" si="0"/>
        <v>933.2735686615008</v>
      </c>
      <c r="H178" s="34">
        <f t="shared" si="1"/>
        <v>928.60720081819329</v>
      </c>
      <c r="I178" s="35">
        <f t="shared" si="19"/>
        <v>1</v>
      </c>
      <c r="J178" s="36">
        <f t="shared" si="13"/>
        <v>928.60720081819329</v>
      </c>
      <c r="K178" s="34">
        <f t="shared" si="14"/>
        <v>136420110358.19722</v>
      </c>
      <c r="L178" s="37">
        <f t="shared" si="15"/>
        <v>130019938178.10335</v>
      </c>
      <c r="M178" s="34">
        <f t="shared" si="2"/>
        <v>8195726460.2421265</v>
      </c>
      <c r="N178" s="34">
        <f t="shared" si="3"/>
        <v>0</v>
      </c>
      <c r="O178" s="34">
        <f t="shared" si="4"/>
        <v>8195726460.2421265</v>
      </c>
      <c r="P178" s="34">
        <f t="shared" si="20"/>
        <v>819572646.02421272</v>
      </c>
      <c r="Q178" s="38">
        <f t="shared" si="5"/>
        <v>7339273045.1468239</v>
      </c>
      <c r="R178" s="39">
        <f t="shared" si="6"/>
        <v>3669636522.5734119</v>
      </c>
      <c r="S178" s="34">
        <f t="shared" si="7"/>
        <v>3669636522.5734119</v>
      </c>
      <c r="T178" s="40">
        <f t="shared" si="21"/>
        <v>9266389027.3778</v>
      </c>
      <c r="U178" s="272">
        <f t="shared" si="8"/>
        <v>2.6988780705650929E-3</v>
      </c>
      <c r="V178" s="41">
        <f t="shared" si="9"/>
        <v>12.227791079282172</v>
      </c>
    </row>
    <row r="179" spans="1:22" ht="15.75" customHeight="1">
      <c r="A179" s="31" t="s">
        <v>212</v>
      </c>
      <c r="B179" s="32">
        <v>2195</v>
      </c>
      <c r="C179" s="274">
        <f t="shared" si="10"/>
        <v>1.6798924235907014E-9</v>
      </c>
      <c r="D179" s="271">
        <f t="shared" si="18"/>
        <v>1.6798924235907014E-9</v>
      </c>
      <c r="E179" s="34"/>
      <c r="F179" s="42">
        <v>500</v>
      </c>
      <c r="G179" s="34">
        <f t="shared" si="0"/>
        <v>839.94621179535068</v>
      </c>
      <c r="H179" s="34">
        <f t="shared" si="1"/>
        <v>835.74648073637388</v>
      </c>
      <c r="I179" s="35">
        <f t="shared" si="19"/>
        <v>1</v>
      </c>
      <c r="J179" s="36">
        <f t="shared" si="13"/>
        <v>835.74648073637388</v>
      </c>
      <c r="K179" s="34">
        <f t="shared" si="14"/>
        <v>137239683839.96791</v>
      </c>
      <c r="L179" s="37">
        <f t="shared" si="15"/>
        <v>130774091904.04411</v>
      </c>
      <c r="M179" s="34">
        <f t="shared" si="2"/>
        <v>8243264080.4917517</v>
      </c>
      <c r="N179" s="34">
        <f t="shared" si="3"/>
        <v>0</v>
      </c>
      <c r="O179" s="34">
        <f t="shared" si="4"/>
        <v>8243264080.4917517</v>
      </c>
      <c r="P179" s="34">
        <f t="shared" si="20"/>
        <v>824326408.04917526</v>
      </c>
      <c r="Q179" s="38">
        <f t="shared" si="5"/>
        <v>7381842984.0803633</v>
      </c>
      <c r="R179" s="39">
        <f t="shared" si="6"/>
        <v>3690921492.0401816</v>
      </c>
      <c r="S179" s="34">
        <f t="shared" si="7"/>
        <v>3690921492.0401816</v>
      </c>
      <c r="T179" s="40">
        <f t="shared" si="21"/>
        <v>9257122638.3504238</v>
      </c>
      <c r="U179" s="272">
        <f t="shared" si="8"/>
        <v>2.6988780705650929E-3</v>
      </c>
      <c r="V179" s="41">
        <f t="shared" si="9"/>
        <v>12.311026885275007</v>
      </c>
    </row>
    <row r="180" spans="1:22" ht="15.75" customHeight="1">
      <c r="A180" s="31" t="s">
        <v>213</v>
      </c>
      <c r="B180" s="32">
        <v>2196</v>
      </c>
      <c r="C180" s="274">
        <f t="shared" si="10"/>
        <v>1.5119031812316312E-9</v>
      </c>
      <c r="D180" s="271">
        <f t="shared" si="18"/>
        <v>1.5119031812316312E-9</v>
      </c>
      <c r="E180" s="34"/>
      <c r="F180" s="42">
        <v>500</v>
      </c>
      <c r="G180" s="34">
        <f t="shared" si="0"/>
        <v>755.95159061581558</v>
      </c>
      <c r="H180" s="34">
        <f t="shared" si="1"/>
        <v>752.17183266273651</v>
      </c>
      <c r="I180" s="35">
        <f t="shared" si="19"/>
        <v>1</v>
      </c>
      <c r="J180" s="36">
        <f t="shared" si="13"/>
        <v>752.17183266273651</v>
      </c>
      <c r="K180" s="34">
        <f t="shared" si="14"/>
        <v>138064011000.1889</v>
      </c>
      <c r="L180" s="37">
        <f t="shared" si="15"/>
        <v>131532619854.733</v>
      </c>
      <c r="M180" s="34">
        <f t="shared" si="2"/>
        <v>8291077426.7163963</v>
      </c>
      <c r="N180" s="34">
        <f t="shared" si="3"/>
        <v>0</v>
      </c>
      <c r="O180" s="34">
        <f t="shared" si="4"/>
        <v>8291077426.7163963</v>
      </c>
      <c r="P180" s="34">
        <f t="shared" si="20"/>
        <v>829107742.67163968</v>
      </c>
      <c r="Q180" s="38">
        <f t="shared" si="5"/>
        <v>7424659835.6245327</v>
      </c>
      <c r="R180" s="39">
        <f t="shared" si="6"/>
        <v>3712329917.8122663</v>
      </c>
      <c r="S180" s="34">
        <f t="shared" si="7"/>
        <v>3712329917.8122663</v>
      </c>
      <c r="T180" s="40">
        <f t="shared" si="21"/>
        <v>9247865515.7120743</v>
      </c>
      <c r="U180" s="272">
        <f t="shared" si="8"/>
        <v>2.6988780705650929E-3</v>
      </c>
      <c r="V180" s="41">
        <f t="shared" si="9"/>
        <v>12.394829276543845</v>
      </c>
    </row>
    <row r="181" spans="1:22" ht="15.75" customHeight="1">
      <c r="A181" s="31" t="s">
        <v>214</v>
      </c>
      <c r="B181" s="32">
        <v>2197</v>
      </c>
      <c r="C181" s="274">
        <f t="shared" si="10"/>
        <v>1.3607128631084681E-9</v>
      </c>
      <c r="D181" s="271">
        <f t="shared" si="18"/>
        <v>1.3607128631084681E-9</v>
      </c>
      <c r="E181" s="34"/>
      <c r="F181" s="42">
        <v>500</v>
      </c>
      <c r="G181" s="34">
        <f t="shared" si="0"/>
        <v>680.35643155423395</v>
      </c>
      <c r="H181" s="34">
        <f t="shared" si="1"/>
        <v>676.95464939646274</v>
      </c>
      <c r="I181" s="35">
        <f t="shared" si="19"/>
        <v>1</v>
      </c>
      <c r="J181" s="36">
        <f t="shared" si="13"/>
        <v>676.95464939646274</v>
      </c>
      <c r="K181" s="34">
        <f t="shared" si="14"/>
        <v>138893119419.81519</v>
      </c>
      <c r="L181" s="37">
        <f t="shared" si="15"/>
        <v>132295547410.22212</v>
      </c>
      <c r="M181" s="34">
        <f t="shared" si="2"/>
        <v>8339168098.7900724</v>
      </c>
      <c r="N181" s="34">
        <f t="shared" si="3"/>
        <v>0</v>
      </c>
      <c r="O181" s="34">
        <f t="shared" si="4"/>
        <v>8339168098.7900724</v>
      </c>
      <c r="P181" s="34">
        <f t="shared" si="20"/>
        <v>833916809.87900734</v>
      </c>
      <c r="Q181" s="38">
        <f t="shared" si="5"/>
        <v>7467725032.4665098</v>
      </c>
      <c r="R181" s="39">
        <f t="shared" si="6"/>
        <v>3733862516.2332549</v>
      </c>
      <c r="S181" s="34">
        <f t="shared" si="7"/>
        <v>3733862516.2332549</v>
      </c>
      <c r="T181" s="40">
        <f t="shared" si="21"/>
        <v>9238617650.1963634</v>
      </c>
      <c r="U181" s="272">
        <f t="shared" si="8"/>
        <v>2.6988780705650929E-3</v>
      </c>
      <c r="V181" s="41">
        <f t="shared" si="9"/>
        <v>12.47920211074476</v>
      </c>
    </row>
    <row r="182" spans="1:22" ht="15.75" customHeight="1">
      <c r="A182" s="31" t="s">
        <v>215</v>
      </c>
      <c r="B182" s="32">
        <v>2198</v>
      </c>
      <c r="C182" s="274">
        <f t="shared" si="10"/>
        <v>1.2246415767976214E-9</v>
      </c>
      <c r="D182" s="271">
        <f t="shared" si="18"/>
        <v>1.2246415767976214E-9</v>
      </c>
      <c r="E182" s="34"/>
      <c r="F182" s="42">
        <v>500</v>
      </c>
      <c r="G182" s="34">
        <f t="shared" si="0"/>
        <v>612.32078839881069</v>
      </c>
      <c r="H182" s="34">
        <f t="shared" si="1"/>
        <v>609.25918445681668</v>
      </c>
      <c r="I182" s="35">
        <f t="shared" si="19"/>
        <v>1</v>
      </c>
      <c r="J182" s="36">
        <f t="shared" si="13"/>
        <v>609.25918445681668</v>
      </c>
      <c r="K182" s="34">
        <f t="shared" si="14"/>
        <v>139727036838.95337</v>
      </c>
      <c r="L182" s="37">
        <f t="shared" si="15"/>
        <v>133062900096.94565</v>
      </c>
      <c r="M182" s="34">
        <f t="shared" si="2"/>
        <v>8387537705.8080826</v>
      </c>
      <c r="N182" s="34">
        <f t="shared" si="3"/>
        <v>0</v>
      </c>
      <c r="O182" s="34">
        <f t="shared" si="4"/>
        <v>8387537705.8080826</v>
      </c>
      <c r="P182" s="34">
        <f t="shared" si="20"/>
        <v>838753770.58080828</v>
      </c>
      <c r="Q182" s="38">
        <f t="shared" si="5"/>
        <v>7511040015.5511379</v>
      </c>
      <c r="R182" s="39">
        <f t="shared" si="6"/>
        <v>3755520007.775569</v>
      </c>
      <c r="S182" s="34">
        <f t="shared" si="7"/>
        <v>3755520007.775569</v>
      </c>
      <c r="T182" s="40">
        <f t="shared" si="21"/>
        <v>9229379032.5461674</v>
      </c>
      <c r="U182" s="272">
        <f t="shared" si="8"/>
        <v>2.6988780705650929E-3</v>
      </c>
      <c r="V182" s="41">
        <f t="shared" si="9"/>
        <v>12.564149271708319</v>
      </c>
    </row>
    <row r="183" spans="1:22" ht="15.75" customHeight="1">
      <c r="A183" s="31" t="s">
        <v>216</v>
      </c>
      <c r="B183" s="32">
        <v>2199</v>
      </c>
      <c r="C183" s="274">
        <f t="shared" si="10"/>
        <v>1.1021774191178593E-9</v>
      </c>
      <c r="D183" s="271">
        <f t="shared" si="18"/>
        <v>1.1021774191178593E-9</v>
      </c>
      <c r="E183" s="34"/>
      <c r="F183" s="42">
        <v>500</v>
      </c>
      <c r="G183" s="34">
        <f t="shared" si="0"/>
        <v>551.08870955892962</v>
      </c>
      <c r="H183" s="34">
        <f t="shared" si="1"/>
        <v>548.33326601113492</v>
      </c>
      <c r="I183" s="35">
        <f t="shared" si="19"/>
        <v>1</v>
      </c>
      <c r="J183" s="36">
        <f t="shared" si="13"/>
        <v>548.33326601113492</v>
      </c>
      <c r="K183" s="34">
        <f t="shared" si="14"/>
        <v>140565791157.86743</v>
      </c>
      <c r="L183" s="37">
        <f t="shared" si="15"/>
        <v>133834703588.65181</v>
      </c>
      <c r="M183" s="34">
        <f t="shared" si="2"/>
        <v>8436187866.1463537</v>
      </c>
      <c r="N183" s="34">
        <f t="shared" si="3"/>
        <v>0</v>
      </c>
      <c r="O183" s="34">
        <f t="shared" si="4"/>
        <v>8436187866.1463537</v>
      </c>
      <c r="P183" s="34">
        <f t="shared" si="20"/>
        <v>843618786.61463547</v>
      </c>
      <c r="Q183" s="38">
        <f t="shared" si="5"/>
        <v>7554606234.1340599</v>
      </c>
      <c r="R183" s="39">
        <f t="shared" si="6"/>
        <v>3777303117.06703</v>
      </c>
      <c r="S183" s="34">
        <f t="shared" si="7"/>
        <v>3777303117.06703</v>
      </c>
      <c r="T183" s="40">
        <f t="shared" si="21"/>
        <v>9220149653.5136223</v>
      </c>
      <c r="U183" s="272">
        <f t="shared" si="8"/>
        <v>2.6988780705650929E-3</v>
      </c>
      <c r="V183" s="41">
        <f t="shared" si="9"/>
        <v>12.649674669626178</v>
      </c>
    </row>
    <row r="184" spans="1:22" ht="15.75" customHeight="1">
      <c r="A184" s="47" t="s">
        <v>217</v>
      </c>
      <c r="B184" s="48">
        <v>2200</v>
      </c>
      <c r="C184" s="275">
        <f t="shared" si="10"/>
        <v>9.9195967720607338E-10</v>
      </c>
      <c r="D184" s="271">
        <f t="shared" si="18"/>
        <v>9.9195967720607338E-10</v>
      </c>
      <c r="E184" s="34"/>
      <c r="F184" s="42">
        <v>500</v>
      </c>
      <c r="G184" s="34">
        <f t="shared" si="0"/>
        <v>495.97983860303668</v>
      </c>
      <c r="H184" s="50">
        <f t="shared" si="1"/>
        <v>493.49993941002151</v>
      </c>
      <c r="I184" s="51">
        <f t="shared" si="19"/>
        <v>1</v>
      </c>
      <c r="J184" s="36">
        <f t="shared" si="13"/>
        <v>493.49993941002151</v>
      </c>
      <c r="K184" s="34">
        <f t="shared" si="14"/>
        <v>141409410437.98199</v>
      </c>
      <c r="L184" s="37">
        <f t="shared" si="15"/>
        <v>134610983707.33202</v>
      </c>
      <c r="M184" s="34">
        <f t="shared" si="2"/>
        <v>8485120207.520524</v>
      </c>
      <c r="N184" s="34">
        <f t="shared" si="3"/>
        <v>0</v>
      </c>
      <c r="O184" s="50">
        <f t="shared" si="4"/>
        <v>8485120207.520524</v>
      </c>
      <c r="P184" s="34">
        <f t="shared" si="20"/>
        <v>848512020.75205243</v>
      </c>
      <c r="Q184" s="38">
        <f t="shared" si="5"/>
        <v>7598425145.8346291</v>
      </c>
      <c r="R184" s="39">
        <f t="shared" si="6"/>
        <v>3799212572.9173145</v>
      </c>
      <c r="S184" s="34">
        <f t="shared" si="7"/>
        <v>3799212572.9173145</v>
      </c>
      <c r="T184" s="40">
        <f t="shared" si="21"/>
        <v>9210929503.8601093</v>
      </c>
      <c r="U184" s="272">
        <f t="shared" si="8"/>
        <v>2.6988780705650929E-3</v>
      </c>
      <c r="V184" s="41">
        <f t="shared" si="9"/>
        <v>12.735782241238089</v>
      </c>
    </row>
    <row r="185" spans="1:22" ht="15.75" customHeight="1">
      <c r="A185" s="4"/>
      <c r="B185" s="4"/>
      <c r="C185" s="4"/>
      <c r="D185" s="4"/>
      <c r="E185" s="4"/>
      <c r="F185" s="4"/>
      <c r="G185" s="4"/>
      <c r="H185" s="4"/>
      <c r="I185" s="4"/>
      <c r="J185" s="4"/>
      <c r="K185" s="4"/>
      <c r="L185" s="4"/>
      <c r="M185" s="4"/>
      <c r="N185" s="4"/>
      <c r="O185" s="4"/>
      <c r="P185" s="4"/>
      <c r="Q185" s="4"/>
      <c r="R185" s="4"/>
      <c r="S185" s="4"/>
      <c r="T185" s="53"/>
      <c r="U185" s="4"/>
      <c r="V185" s="4"/>
    </row>
    <row r="186" spans="1:22" ht="15.75" customHeight="1">
      <c r="A186" s="54" t="s">
        <v>218</v>
      </c>
      <c r="B186" s="55"/>
      <c r="C186" s="276">
        <f>SUM(C9:C184)</f>
        <v>1.0093803894637081</v>
      </c>
      <c r="D186" s="57"/>
      <c r="E186" s="57"/>
      <c r="F186" s="57" t="s">
        <v>219</v>
      </c>
      <c r="G186" s="58">
        <f>SUM(G8:G184)</f>
        <v>84333733330.35759</v>
      </c>
      <c r="H186" s="59"/>
      <c r="I186" s="59"/>
      <c r="J186" s="59"/>
      <c r="K186" s="59"/>
      <c r="L186" s="59"/>
      <c r="M186" s="59"/>
      <c r="N186" s="62"/>
      <c r="O186" s="63"/>
      <c r="P186" s="64" t="s">
        <v>221</v>
      </c>
      <c r="Q186" s="65">
        <f>SUM(Q8:Q184)</f>
        <v>790755648554.58679</v>
      </c>
      <c r="R186" s="59"/>
      <c r="S186" s="59"/>
      <c r="T186" s="66"/>
      <c r="U186" s="59"/>
      <c r="V186" s="59"/>
    </row>
    <row r="187" spans="1:22" ht="15.75" customHeight="1">
      <c r="A187" s="4"/>
      <c r="B187" s="4"/>
      <c r="C187" s="4"/>
      <c r="D187" s="4"/>
      <c r="E187" s="4"/>
      <c r="F187" s="4"/>
      <c r="G187" s="4"/>
      <c r="H187" s="4"/>
      <c r="I187" s="4"/>
      <c r="J187" s="4"/>
      <c r="K187" s="4"/>
      <c r="L187" s="4"/>
      <c r="M187" s="4"/>
      <c r="N187" s="4"/>
      <c r="O187" s="4"/>
      <c r="P187" s="4"/>
      <c r="Q187" s="4"/>
      <c r="R187" s="4"/>
      <c r="S187" s="4"/>
      <c r="T187" s="53"/>
      <c r="U187" s="4"/>
      <c r="V187" s="4"/>
    </row>
    <row r="188" spans="1:22" ht="15.75" customHeight="1">
      <c r="A188" s="4"/>
      <c r="B188" s="4"/>
      <c r="C188" s="4"/>
      <c r="D188" s="4"/>
      <c r="E188" s="4"/>
      <c r="F188" s="4"/>
      <c r="G188" s="4"/>
      <c r="H188" s="4"/>
      <c r="I188" s="4"/>
      <c r="J188" s="4"/>
      <c r="K188" s="4"/>
      <c r="L188" s="4"/>
      <c r="M188" s="4"/>
      <c r="N188" s="4"/>
      <c r="O188" s="4"/>
      <c r="P188" s="4"/>
      <c r="Q188" s="4"/>
      <c r="R188" s="4"/>
      <c r="S188" s="4"/>
      <c r="T188" s="53"/>
      <c r="U188" s="4"/>
      <c r="V188" s="4"/>
    </row>
    <row r="189" spans="1:22" ht="15.75" customHeight="1">
      <c r="A189" s="4"/>
      <c r="B189" s="4"/>
      <c r="C189" s="4"/>
      <c r="D189" s="4"/>
      <c r="E189" s="4"/>
      <c r="F189" s="4"/>
      <c r="G189" s="4"/>
      <c r="H189" s="4"/>
      <c r="I189" s="4"/>
      <c r="J189" s="4"/>
      <c r="K189" s="4"/>
      <c r="L189" s="4"/>
      <c r="M189" s="4"/>
      <c r="N189" s="4"/>
      <c r="O189" s="4"/>
      <c r="P189" s="4"/>
      <c r="Q189" s="4"/>
      <c r="R189" s="4"/>
      <c r="S189" s="4"/>
      <c r="T189" s="53"/>
      <c r="U189" s="4"/>
      <c r="V189" s="4"/>
    </row>
    <row r="190" spans="1:22" ht="15.75" customHeight="1">
      <c r="A190" s="4"/>
      <c r="B190" s="4"/>
      <c r="C190" s="4"/>
      <c r="D190" s="4"/>
      <c r="E190" s="4"/>
      <c r="F190" s="4"/>
      <c r="G190" s="4"/>
      <c r="H190" s="4"/>
      <c r="I190" s="4"/>
      <c r="J190" s="4"/>
      <c r="K190" s="4"/>
      <c r="L190" s="4"/>
      <c r="M190" s="4"/>
      <c r="N190" s="4"/>
      <c r="O190" s="4"/>
      <c r="P190" s="4"/>
      <c r="Q190" s="4"/>
      <c r="R190" s="4"/>
      <c r="S190" s="4"/>
      <c r="T190" s="53"/>
      <c r="U190" s="4"/>
      <c r="V190" s="4"/>
    </row>
    <row r="191" spans="1:22" ht="15.75" customHeight="1">
      <c r="A191" s="4"/>
      <c r="B191" s="4"/>
      <c r="C191" s="4"/>
      <c r="D191" s="4"/>
      <c r="E191" s="4"/>
      <c r="F191" s="4"/>
      <c r="G191" s="4"/>
      <c r="H191" s="4"/>
      <c r="I191" s="4"/>
      <c r="J191" s="4"/>
      <c r="K191" s="4"/>
      <c r="L191" s="4"/>
      <c r="M191" s="4"/>
      <c r="N191" s="4"/>
      <c r="O191" s="4"/>
      <c r="P191" s="4"/>
      <c r="Q191" s="4"/>
      <c r="R191" s="4"/>
      <c r="S191" s="4"/>
      <c r="T191" s="53"/>
      <c r="U191" s="4"/>
      <c r="V191" s="4"/>
    </row>
    <row r="192" spans="1:22" ht="15.75" customHeight="1">
      <c r="A192" s="4"/>
      <c r="B192" s="4"/>
      <c r="C192" s="4"/>
      <c r="D192" s="4"/>
      <c r="E192" s="4"/>
      <c r="F192" s="4"/>
      <c r="G192" s="4"/>
      <c r="H192" s="4"/>
      <c r="I192" s="4"/>
      <c r="J192" s="4"/>
      <c r="K192" s="4"/>
      <c r="L192" s="4"/>
      <c r="M192" s="4"/>
      <c r="N192" s="4"/>
      <c r="O192" s="4"/>
      <c r="P192" s="4"/>
      <c r="Q192" s="4"/>
      <c r="R192" s="4"/>
      <c r="S192" s="4"/>
      <c r="T192" s="53"/>
      <c r="U192" s="4"/>
      <c r="V192" s="4"/>
    </row>
    <row r="193" spans="1:22" ht="15.75" customHeight="1">
      <c r="A193" s="4"/>
      <c r="B193" s="4"/>
      <c r="C193" s="4"/>
      <c r="D193" s="4"/>
      <c r="E193" s="4"/>
      <c r="F193" s="4"/>
      <c r="G193" s="4"/>
      <c r="H193" s="4"/>
      <c r="I193" s="4"/>
      <c r="J193" s="4"/>
      <c r="K193" s="4"/>
      <c r="L193" s="4"/>
      <c r="M193" s="4"/>
      <c r="N193" s="4"/>
      <c r="O193" s="4"/>
      <c r="P193" s="4"/>
      <c r="Q193" s="4"/>
      <c r="R193" s="4"/>
      <c r="S193" s="4"/>
      <c r="T193" s="53"/>
      <c r="U193" s="4"/>
      <c r="V193" s="4"/>
    </row>
    <row r="194" spans="1:22" ht="15.75" customHeight="1">
      <c r="A194" s="4"/>
      <c r="B194" s="4"/>
      <c r="C194" s="4"/>
      <c r="D194" s="4"/>
      <c r="E194" s="4"/>
      <c r="F194" s="4"/>
      <c r="G194" s="4"/>
      <c r="H194" s="4"/>
      <c r="I194" s="4"/>
      <c r="J194" s="4"/>
      <c r="K194" s="4"/>
      <c r="L194" s="4"/>
      <c r="M194" s="4"/>
      <c r="N194" s="4"/>
      <c r="O194" s="4"/>
      <c r="P194" s="4"/>
      <c r="Q194" s="4"/>
      <c r="R194" s="4"/>
      <c r="S194" s="4"/>
      <c r="T194" s="53"/>
      <c r="U194" s="4"/>
      <c r="V194" s="4"/>
    </row>
    <row r="195" spans="1:22" ht="15.75" customHeight="1">
      <c r="A195" s="4"/>
      <c r="B195" s="4"/>
      <c r="C195" s="4"/>
      <c r="D195" s="4"/>
      <c r="E195" s="4"/>
      <c r="F195" s="4"/>
      <c r="G195" s="4"/>
      <c r="H195" s="4"/>
      <c r="I195" s="4"/>
      <c r="J195" s="4"/>
      <c r="K195" s="4"/>
      <c r="L195" s="4"/>
      <c r="M195" s="4"/>
      <c r="N195" s="4"/>
      <c r="O195" s="4"/>
      <c r="P195" s="4"/>
      <c r="Q195" s="4"/>
      <c r="R195" s="4"/>
      <c r="S195" s="4"/>
      <c r="T195" s="53"/>
      <c r="U195" s="4"/>
      <c r="V195" s="4"/>
    </row>
    <row r="196" spans="1:22" ht="15.75" customHeight="1">
      <c r="A196" s="4"/>
      <c r="B196" s="4"/>
      <c r="C196" s="4"/>
      <c r="D196" s="4"/>
      <c r="E196" s="4"/>
      <c r="F196" s="4"/>
      <c r="G196" s="4"/>
      <c r="H196" s="4"/>
      <c r="I196" s="4"/>
      <c r="J196" s="4"/>
      <c r="K196" s="4"/>
      <c r="L196" s="4"/>
      <c r="M196" s="4"/>
      <c r="N196" s="4"/>
      <c r="O196" s="4"/>
      <c r="P196" s="4"/>
      <c r="Q196" s="4"/>
      <c r="R196" s="4"/>
      <c r="S196" s="4"/>
      <c r="T196" s="53"/>
      <c r="U196" s="4"/>
      <c r="V196" s="4"/>
    </row>
    <row r="197" spans="1:22" ht="15.75" customHeight="1">
      <c r="A197" s="4"/>
      <c r="B197" s="4"/>
      <c r="C197" s="4"/>
      <c r="D197" s="4"/>
      <c r="E197" s="4"/>
      <c r="F197" s="4"/>
      <c r="G197" s="4"/>
      <c r="H197" s="4"/>
      <c r="I197" s="4"/>
      <c r="J197" s="4"/>
      <c r="K197" s="4"/>
      <c r="L197" s="4"/>
      <c r="M197" s="4"/>
      <c r="N197" s="4"/>
      <c r="O197" s="4"/>
      <c r="P197" s="4"/>
      <c r="Q197" s="4"/>
      <c r="R197" s="4"/>
      <c r="S197" s="4"/>
      <c r="T197" s="53"/>
      <c r="U197" s="4"/>
      <c r="V197" s="4"/>
    </row>
    <row r="198" spans="1:22" ht="15.75" customHeight="1">
      <c r="A198" s="4"/>
      <c r="B198" s="4"/>
      <c r="C198" s="4"/>
      <c r="D198" s="4"/>
      <c r="E198" s="4"/>
      <c r="F198" s="4"/>
      <c r="G198" s="4"/>
      <c r="H198" s="4"/>
      <c r="I198" s="4"/>
      <c r="J198" s="4"/>
      <c r="K198" s="4"/>
      <c r="L198" s="4"/>
      <c r="M198" s="4"/>
      <c r="N198" s="4"/>
      <c r="O198" s="4"/>
      <c r="P198" s="4"/>
      <c r="Q198" s="4"/>
      <c r="R198" s="4"/>
      <c r="S198" s="4"/>
      <c r="T198" s="53"/>
      <c r="U198" s="4"/>
      <c r="V198" s="4"/>
    </row>
    <row r="199" spans="1:22" ht="15.75" customHeight="1">
      <c r="A199" s="4"/>
      <c r="B199" s="4"/>
      <c r="C199" s="4"/>
      <c r="D199" s="4"/>
      <c r="E199" s="4"/>
      <c r="F199" s="4"/>
      <c r="G199" s="4"/>
      <c r="H199" s="4"/>
      <c r="I199" s="4"/>
      <c r="J199" s="4"/>
      <c r="K199" s="4"/>
      <c r="L199" s="4"/>
      <c r="M199" s="4"/>
      <c r="N199" s="4"/>
      <c r="O199" s="4"/>
      <c r="P199" s="4"/>
      <c r="Q199" s="4"/>
      <c r="R199" s="4"/>
      <c r="S199" s="4"/>
      <c r="T199" s="53"/>
      <c r="U199" s="4"/>
      <c r="V199" s="4"/>
    </row>
    <row r="200" spans="1:22" ht="15.75" customHeight="1">
      <c r="A200" s="4"/>
      <c r="B200" s="4"/>
      <c r="C200" s="4"/>
      <c r="D200" s="4"/>
      <c r="E200" s="4"/>
      <c r="F200" s="4"/>
      <c r="G200" s="4"/>
      <c r="H200" s="4"/>
      <c r="I200" s="4"/>
      <c r="J200" s="4"/>
      <c r="K200" s="4"/>
      <c r="L200" s="4"/>
      <c r="M200" s="4"/>
      <c r="N200" s="4"/>
      <c r="O200" s="4"/>
      <c r="P200" s="4"/>
      <c r="Q200" s="4"/>
      <c r="R200" s="4"/>
      <c r="S200" s="4"/>
      <c r="T200" s="53"/>
      <c r="U200" s="4"/>
      <c r="V200" s="4"/>
    </row>
    <row r="201" spans="1:22" ht="15.75" customHeight="1">
      <c r="A201" s="4"/>
      <c r="B201" s="4"/>
      <c r="C201" s="4"/>
      <c r="D201" s="4"/>
      <c r="E201" s="4"/>
      <c r="F201" s="4"/>
      <c r="G201" s="4"/>
      <c r="H201" s="4"/>
      <c r="I201" s="4"/>
      <c r="J201" s="4"/>
      <c r="K201" s="4"/>
      <c r="L201" s="4"/>
      <c r="M201" s="4"/>
      <c r="N201" s="4"/>
      <c r="O201" s="4"/>
      <c r="P201" s="4"/>
      <c r="Q201" s="4"/>
      <c r="R201" s="4"/>
      <c r="S201" s="4"/>
      <c r="T201" s="53"/>
      <c r="U201" s="4"/>
      <c r="V201" s="4"/>
    </row>
    <row r="202" spans="1:22" ht="15.75" customHeight="1">
      <c r="A202" s="4"/>
      <c r="B202" s="4"/>
      <c r="C202" s="4"/>
      <c r="D202" s="4"/>
      <c r="E202" s="4"/>
      <c r="F202" s="4"/>
      <c r="G202" s="4"/>
      <c r="H202" s="4"/>
      <c r="I202" s="4"/>
      <c r="J202" s="4"/>
      <c r="K202" s="4"/>
      <c r="L202" s="4"/>
      <c r="M202" s="4"/>
      <c r="N202" s="4"/>
      <c r="O202" s="4"/>
      <c r="P202" s="4"/>
      <c r="Q202" s="4"/>
      <c r="R202" s="4"/>
      <c r="S202" s="4"/>
      <c r="T202" s="53"/>
      <c r="U202" s="4"/>
      <c r="V202" s="4"/>
    </row>
    <row r="203" spans="1:22" ht="15.75" customHeight="1">
      <c r="A203" s="4"/>
      <c r="B203" s="4"/>
      <c r="C203" s="4"/>
      <c r="D203" s="4"/>
      <c r="E203" s="4"/>
      <c r="F203" s="4"/>
      <c r="G203" s="4"/>
      <c r="H203" s="4"/>
      <c r="I203" s="4"/>
      <c r="J203" s="4"/>
      <c r="K203" s="4"/>
      <c r="L203" s="4"/>
      <c r="M203" s="4"/>
      <c r="N203" s="4"/>
      <c r="O203" s="4"/>
      <c r="P203" s="4"/>
      <c r="Q203" s="4"/>
      <c r="R203" s="4"/>
      <c r="S203" s="4"/>
      <c r="T203" s="53"/>
      <c r="U203" s="4"/>
      <c r="V203" s="4"/>
    </row>
    <row r="204" spans="1:22" ht="15.75" customHeight="1">
      <c r="A204" s="4"/>
      <c r="B204" s="4"/>
      <c r="C204" s="4"/>
      <c r="D204" s="4"/>
      <c r="E204" s="4"/>
      <c r="F204" s="4"/>
      <c r="G204" s="4"/>
      <c r="H204" s="4"/>
      <c r="I204" s="4"/>
      <c r="J204" s="4"/>
      <c r="K204" s="4"/>
      <c r="L204" s="4"/>
      <c r="M204" s="4"/>
      <c r="N204" s="4"/>
      <c r="O204" s="4"/>
      <c r="P204" s="4"/>
      <c r="Q204" s="4"/>
      <c r="R204" s="4"/>
      <c r="S204" s="4"/>
      <c r="T204" s="53"/>
      <c r="U204" s="4"/>
      <c r="V204" s="4"/>
    </row>
    <row r="205" spans="1:22" ht="15.75" customHeight="1">
      <c r="A205" s="4"/>
      <c r="B205" s="4"/>
      <c r="C205" s="4"/>
      <c r="D205" s="4"/>
      <c r="E205" s="4"/>
      <c r="F205" s="4"/>
      <c r="G205" s="4"/>
      <c r="H205" s="4"/>
      <c r="I205" s="4"/>
      <c r="J205" s="4"/>
      <c r="K205" s="4"/>
      <c r="L205" s="4"/>
      <c r="M205" s="4"/>
      <c r="N205" s="4"/>
      <c r="O205" s="4"/>
      <c r="P205" s="4"/>
      <c r="Q205" s="4"/>
      <c r="R205" s="4"/>
      <c r="S205" s="4"/>
      <c r="T205" s="53"/>
      <c r="U205" s="4"/>
      <c r="V205" s="4"/>
    </row>
    <row r="206" spans="1:22" ht="15.75" customHeight="1">
      <c r="A206" s="4"/>
      <c r="B206" s="4"/>
      <c r="C206" s="4"/>
      <c r="D206" s="4"/>
      <c r="E206" s="4"/>
      <c r="F206" s="4"/>
      <c r="G206" s="4"/>
      <c r="H206" s="4"/>
      <c r="I206" s="4"/>
      <c r="J206" s="4"/>
      <c r="K206" s="4"/>
      <c r="L206" s="4"/>
      <c r="M206" s="4"/>
      <c r="N206" s="4"/>
      <c r="O206" s="4"/>
      <c r="P206" s="4"/>
      <c r="Q206" s="4"/>
      <c r="R206" s="4"/>
      <c r="S206" s="4"/>
      <c r="T206" s="53"/>
      <c r="U206" s="4"/>
      <c r="V206" s="4"/>
    </row>
    <row r="207" spans="1:22" ht="15.75" customHeight="1">
      <c r="A207" s="4"/>
      <c r="B207" s="4"/>
      <c r="C207" s="4"/>
      <c r="D207" s="4"/>
      <c r="E207" s="4"/>
      <c r="F207" s="4"/>
      <c r="G207" s="4"/>
      <c r="H207" s="4"/>
      <c r="I207" s="4"/>
      <c r="J207" s="4"/>
      <c r="K207" s="4"/>
      <c r="L207" s="4"/>
      <c r="M207" s="4"/>
      <c r="N207" s="4"/>
      <c r="O207" s="4"/>
      <c r="P207" s="4"/>
      <c r="Q207" s="4"/>
      <c r="R207" s="4"/>
      <c r="S207" s="4"/>
      <c r="T207" s="53"/>
      <c r="U207" s="4"/>
      <c r="V207" s="4"/>
    </row>
    <row r="208" spans="1:22" ht="15.75" customHeight="1">
      <c r="A208" s="4"/>
      <c r="B208" s="4"/>
      <c r="C208" s="4"/>
      <c r="D208" s="4"/>
      <c r="E208" s="4"/>
      <c r="F208" s="4"/>
      <c r="G208" s="4"/>
      <c r="H208" s="4"/>
      <c r="I208" s="4"/>
      <c r="J208" s="4"/>
      <c r="K208" s="4"/>
      <c r="L208" s="4"/>
      <c r="M208" s="4"/>
      <c r="N208" s="4"/>
      <c r="O208" s="4"/>
      <c r="P208" s="4"/>
      <c r="Q208" s="4"/>
      <c r="R208" s="4"/>
      <c r="S208" s="4"/>
      <c r="T208" s="53"/>
      <c r="U208" s="4"/>
      <c r="V208" s="4"/>
    </row>
    <row r="209" spans="1:22" ht="15.75" customHeight="1">
      <c r="A209" s="4"/>
      <c r="B209" s="4"/>
      <c r="C209" s="4"/>
      <c r="D209" s="4"/>
      <c r="E209" s="4"/>
      <c r="F209" s="4"/>
      <c r="G209" s="4"/>
      <c r="H209" s="4"/>
      <c r="I209" s="4"/>
      <c r="J209" s="4"/>
      <c r="K209" s="4"/>
      <c r="L209" s="4"/>
      <c r="M209" s="4"/>
      <c r="N209" s="4"/>
      <c r="O209" s="4"/>
      <c r="P209" s="4"/>
      <c r="Q209" s="4"/>
      <c r="R209" s="4"/>
      <c r="S209" s="4"/>
      <c r="T209" s="53"/>
      <c r="U209" s="4"/>
      <c r="V209" s="4"/>
    </row>
    <row r="210" spans="1:22" ht="15.75" customHeight="1">
      <c r="A210" s="4"/>
      <c r="B210" s="4"/>
      <c r="C210" s="4"/>
      <c r="D210" s="4"/>
      <c r="E210" s="4"/>
      <c r="F210" s="4"/>
      <c r="G210" s="4"/>
      <c r="H210" s="4"/>
      <c r="I210" s="4"/>
      <c r="J210" s="4"/>
      <c r="K210" s="4"/>
      <c r="L210" s="4"/>
      <c r="M210" s="4"/>
      <c r="N210" s="4"/>
      <c r="O210" s="4"/>
      <c r="P210" s="4"/>
      <c r="Q210" s="4"/>
      <c r="R210" s="4"/>
      <c r="S210" s="4"/>
      <c r="T210" s="53"/>
      <c r="U210" s="4"/>
      <c r="V210" s="4"/>
    </row>
    <row r="211" spans="1:22" ht="15.75" customHeight="1">
      <c r="A211" s="4"/>
      <c r="B211" s="4"/>
      <c r="C211" s="4"/>
      <c r="D211" s="4"/>
      <c r="E211" s="4"/>
      <c r="F211" s="4"/>
      <c r="G211" s="4"/>
      <c r="H211" s="4"/>
      <c r="I211" s="4"/>
      <c r="J211" s="4"/>
      <c r="K211" s="4"/>
      <c r="L211" s="4"/>
      <c r="M211" s="4"/>
      <c r="N211" s="4"/>
      <c r="O211" s="4"/>
      <c r="P211" s="4"/>
      <c r="Q211" s="4"/>
      <c r="R211" s="4"/>
      <c r="S211" s="4"/>
      <c r="T211" s="53"/>
      <c r="U211" s="4"/>
      <c r="V211" s="4"/>
    </row>
    <row r="212" spans="1:22" ht="15.75" customHeight="1">
      <c r="A212" s="4"/>
      <c r="B212" s="4"/>
      <c r="C212" s="4"/>
      <c r="D212" s="4"/>
      <c r="E212" s="4"/>
      <c r="F212" s="4"/>
      <c r="G212" s="4"/>
      <c r="H212" s="4"/>
      <c r="I212" s="4"/>
      <c r="J212" s="4"/>
      <c r="K212" s="4"/>
      <c r="L212" s="4"/>
      <c r="M212" s="4"/>
      <c r="N212" s="4"/>
      <c r="O212" s="4"/>
      <c r="P212" s="4"/>
      <c r="Q212" s="4"/>
      <c r="R212" s="4"/>
      <c r="S212" s="4"/>
      <c r="T212" s="53"/>
      <c r="U212" s="4"/>
      <c r="V212" s="4"/>
    </row>
    <row r="213" spans="1:22" ht="15.75" customHeight="1">
      <c r="A213" s="4"/>
      <c r="B213" s="4"/>
      <c r="C213" s="4"/>
      <c r="D213" s="4"/>
      <c r="E213" s="4"/>
      <c r="F213" s="4"/>
      <c r="G213" s="4"/>
      <c r="H213" s="4"/>
      <c r="I213" s="4"/>
      <c r="J213" s="4"/>
      <c r="K213" s="4"/>
      <c r="L213" s="4"/>
      <c r="M213" s="4"/>
      <c r="N213" s="4"/>
      <c r="O213" s="4"/>
      <c r="P213" s="4"/>
      <c r="Q213" s="4"/>
      <c r="R213" s="4"/>
      <c r="S213" s="4"/>
      <c r="T213" s="53"/>
      <c r="U213" s="4"/>
      <c r="V213" s="4"/>
    </row>
    <row r="214" spans="1:22" ht="15.75" customHeight="1">
      <c r="A214" s="4"/>
      <c r="B214" s="4"/>
      <c r="C214" s="4"/>
      <c r="D214" s="4"/>
      <c r="E214" s="4"/>
      <c r="F214" s="4"/>
      <c r="G214" s="4"/>
      <c r="H214" s="4"/>
      <c r="I214" s="4"/>
      <c r="J214" s="4"/>
      <c r="K214" s="4"/>
      <c r="L214" s="4"/>
      <c r="M214" s="4"/>
      <c r="N214" s="4"/>
      <c r="O214" s="4"/>
      <c r="P214" s="4"/>
      <c r="Q214" s="4"/>
      <c r="R214" s="4"/>
      <c r="S214" s="4"/>
      <c r="T214" s="53"/>
      <c r="U214" s="4"/>
      <c r="V214" s="4"/>
    </row>
    <row r="215" spans="1:22" ht="15.75" customHeight="1">
      <c r="A215" s="4"/>
      <c r="B215" s="4"/>
      <c r="C215" s="4"/>
      <c r="D215" s="4"/>
      <c r="E215" s="4"/>
      <c r="F215" s="4"/>
      <c r="G215" s="4"/>
      <c r="H215" s="4"/>
      <c r="I215" s="4"/>
      <c r="J215" s="4"/>
      <c r="K215" s="4"/>
      <c r="L215" s="4"/>
      <c r="M215" s="4"/>
      <c r="N215" s="4"/>
      <c r="O215" s="4"/>
      <c r="P215" s="4"/>
      <c r="Q215" s="4"/>
      <c r="R215" s="4"/>
      <c r="S215" s="4"/>
      <c r="T215" s="53"/>
      <c r="U215" s="4"/>
      <c r="V215" s="4"/>
    </row>
    <row r="216" spans="1:22" ht="15.75" customHeight="1">
      <c r="A216" s="4"/>
      <c r="B216" s="4"/>
      <c r="C216" s="4"/>
      <c r="D216" s="4"/>
      <c r="E216" s="4"/>
      <c r="F216" s="4"/>
      <c r="G216" s="4"/>
      <c r="H216" s="4"/>
      <c r="I216" s="4"/>
      <c r="J216" s="4"/>
      <c r="K216" s="4"/>
      <c r="L216" s="4"/>
      <c r="M216" s="4"/>
      <c r="N216" s="4"/>
      <c r="O216" s="4"/>
      <c r="P216" s="4"/>
      <c r="Q216" s="4"/>
      <c r="R216" s="4"/>
      <c r="S216" s="4"/>
      <c r="T216" s="53"/>
      <c r="U216" s="4"/>
      <c r="V216" s="4"/>
    </row>
    <row r="217" spans="1:22" ht="15.75" customHeight="1">
      <c r="A217" s="4"/>
      <c r="B217" s="4"/>
      <c r="C217" s="4"/>
      <c r="D217" s="4"/>
      <c r="E217" s="4"/>
      <c r="F217" s="4"/>
      <c r="G217" s="4"/>
      <c r="H217" s="4"/>
      <c r="I217" s="4"/>
      <c r="J217" s="4"/>
      <c r="K217" s="4"/>
      <c r="L217" s="4"/>
      <c r="M217" s="4"/>
      <c r="N217" s="4"/>
      <c r="O217" s="4"/>
      <c r="P217" s="4"/>
      <c r="Q217" s="4"/>
      <c r="R217" s="4"/>
      <c r="S217" s="4"/>
      <c r="T217" s="53"/>
      <c r="U217" s="4"/>
      <c r="V217" s="4"/>
    </row>
    <row r="218" spans="1:22" ht="15.75" customHeight="1">
      <c r="A218" s="4"/>
      <c r="B218" s="4"/>
      <c r="C218" s="4"/>
      <c r="D218" s="4"/>
      <c r="E218" s="4"/>
      <c r="F218" s="4"/>
      <c r="G218" s="4"/>
      <c r="H218" s="4"/>
      <c r="I218" s="4"/>
      <c r="J218" s="4"/>
      <c r="K218" s="4"/>
      <c r="L218" s="4"/>
      <c r="M218" s="4"/>
      <c r="N218" s="4"/>
      <c r="O218" s="4"/>
      <c r="P218" s="4"/>
      <c r="Q218" s="4"/>
      <c r="R218" s="4"/>
      <c r="S218" s="4"/>
      <c r="T218" s="53"/>
      <c r="U218" s="4"/>
      <c r="V218" s="4"/>
    </row>
    <row r="219" spans="1:22" ht="15.75" customHeight="1">
      <c r="A219" s="4"/>
      <c r="B219" s="4"/>
      <c r="C219" s="4"/>
      <c r="D219" s="4"/>
      <c r="E219" s="4"/>
      <c r="F219" s="4"/>
      <c r="G219" s="4"/>
      <c r="H219" s="4"/>
      <c r="I219" s="4"/>
      <c r="J219" s="4"/>
      <c r="K219" s="4"/>
      <c r="L219" s="4"/>
      <c r="M219" s="4"/>
      <c r="N219" s="4"/>
      <c r="O219" s="4"/>
      <c r="P219" s="4"/>
      <c r="Q219" s="4"/>
      <c r="R219" s="4"/>
      <c r="S219" s="4"/>
      <c r="T219" s="53"/>
      <c r="U219" s="4"/>
      <c r="V219" s="4"/>
    </row>
    <row r="220" spans="1:22" ht="15.75" customHeight="1">
      <c r="A220" s="4"/>
      <c r="B220" s="4"/>
      <c r="C220" s="4"/>
      <c r="D220" s="4"/>
      <c r="E220" s="4"/>
      <c r="F220" s="4"/>
      <c r="G220" s="4"/>
      <c r="H220" s="4"/>
      <c r="I220" s="4"/>
      <c r="J220" s="4"/>
      <c r="K220" s="4"/>
      <c r="L220" s="4"/>
      <c r="M220" s="4"/>
      <c r="N220" s="4"/>
      <c r="O220" s="4"/>
      <c r="P220" s="4"/>
      <c r="Q220" s="4"/>
      <c r="R220" s="4"/>
      <c r="S220" s="4"/>
      <c r="T220" s="53"/>
      <c r="U220" s="4"/>
      <c r="V220" s="4"/>
    </row>
    <row r="221" spans="1:22" ht="15.75" customHeight="1">
      <c r="A221" s="4"/>
      <c r="B221" s="4"/>
      <c r="C221" s="4"/>
      <c r="D221" s="4"/>
      <c r="E221" s="4"/>
      <c r="F221" s="4"/>
      <c r="G221" s="4"/>
      <c r="H221" s="4"/>
      <c r="I221" s="4"/>
      <c r="J221" s="4"/>
      <c r="K221" s="4"/>
      <c r="L221" s="4"/>
      <c r="M221" s="4"/>
      <c r="N221" s="4"/>
      <c r="O221" s="4"/>
      <c r="P221" s="4"/>
      <c r="Q221" s="4"/>
      <c r="R221" s="4"/>
      <c r="S221" s="4"/>
      <c r="T221" s="53"/>
      <c r="U221" s="4"/>
      <c r="V221" s="4"/>
    </row>
    <row r="222" spans="1:22" ht="15.75" customHeight="1">
      <c r="A222" s="4"/>
      <c r="B222" s="4"/>
      <c r="C222" s="4"/>
      <c r="D222" s="4"/>
      <c r="E222" s="4"/>
      <c r="F222" s="4"/>
      <c r="G222" s="4"/>
      <c r="H222" s="4"/>
      <c r="I222" s="4"/>
      <c r="J222" s="4"/>
      <c r="K222" s="4"/>
      <c r="L222" s="4"/>
      <c r="M222" s="4"/>
      <c r="N222" s="4"/>
      <c r="O222" s="4"/>
      <c r="P222" s="4"/>
      <c r="Q222" s="4"/>
      <c r="R222" s="4"/>
      <c r="S222" s="4"/>
      <c r="T222" s="53"/>
      <c r="U222" s="4"/>
      <c r="V222" s="4"/>
    </row>
    <row r="223" spans="1:22" ht="15.75" customHeight="1">
      <c r="A223" s="4"/>
      <c r="B223" s="4"/>
      <c r="C223" s="4"/>
      <c r="D223" s="4"/>
      <c r="E223" s="4"/>
      <c r="F223" s="4"/>
      <c r="G223" s="4"/>
      <c r="H223" s="4"/>
      <c r="I223" s="4"/>
      <c r="J223" s="4"/>
      <c r="K223" s="4"/>
      <c r="L223" s="4"/>
      <c r="M223" s="4"/>
      <c r="N223" s="4"/>
      <c r="O223" s="4"/>
      <c r="P223" s="4"/>
      <c r="Q223" s="4"/>
      <c r="R223" s="4"/>
      <c r="S223" s="4"/>
      <c r="T223" s="53"/>
      <c r="U223" s="4"/>
      <c r="V223" s="4"/>
    </row>
    <row r="224" spans="1:22" ht="15.75" customHeight="1">
      <c r="A224" s="4"/>
      <c r="B224" s="4"/>
      <c r="C224" s="4"/>
      <c r="D224" s="4"/>
      <c r="E224" s="4"/>
      <c r="F224" s="4"/>
      <c r="G224" s="4"/>
      <c r="H224" s="4"/>
      <c r="I224" s="4"/>
      <c r="J224" s="4"/>
      <c r="K224" s="4"/>
      <c r="L224" s="4"/>
      <c r="M224" s="4"/>
      <c r="N224" s="4"/>
      <c r="O224" s="4"/>
      <c r="P224" s="4"/>
      <c r="Q224" s="4"/>
      <c r="R224" s="4"/>
      <c r="S224" s="4"/>
      <c r="T224" s="53"/>
      <c r="U224" s="4"/>
      <c r="V224" s="4"/>
    </row>
    <row r="225" spans="1:22" ht="15.75" customHeight="1">
      <c r="A225" s="4"/>
      <c r="B225" s="4"/>
      <c r="C225" s="4"/>
      <c r="D225" s="4"/>
      <c r="E225" s="4"/>
      <c r="F225" s="4"/>
      <c r="G225" s="4"/>
      <c r="H225" s="4"/>
      <c r="I225" s="4"/>
      <c r="J225" s="4"/>
      <c r="K225" s="4"/>
      <c r="L225" s="4"/>
      <c r="M225" s="4"/>
      <c r="N225" s="4"/>
      <c r="O225" s="4"/>
      <c r="P225" s="4"/>
      <c r="Q225" s="4"/>
      <c r="R225" s="4"/>
      <c r="S225" s="4"/>
      <c r="T225" s="53"/>
      <c r="U225" s="4"/>
      <c r="V225" s="4"/>
    </row>
    <row r="226" spans="1:22" ht="15.75" customHeight="1">
      <c r="A226" s="4"/>
      <c r="B226" s="4"/>
      <c r="C226" s="4"/>
      <c r="D226" s="4"/>
      <c r="E226" s="4"/>
      <c r="F226" s="4"/>
      <c r="G226" s="4"/>
      <c r="H226" s="4"/>
      <c r="I226" s="4"/>
      <c r="J226" s="4"/>
      <c r="K226" s="4"/>
      <c r="L226" s="4"/>
      <c r="M226" s="4"/>
      <c r="N226" s="4"/>
      <c r="O226" s="4"/>
      <c r="P226" s="4"/>
      <c r="Q226" s="4"/>
      <c r="R226" s="4"/>
      <c r="S226" s="4"/>
      <c r="T226" s="53"/>
      <c r="U226" s="4"/>
      <c r="V226" s="4"/>
    </row>
    <row r="227" spans="1:22" ht="15.75" customHeight="1">
      <c r="A227" s="4"/>
      <c r="B227" s="4"/>
      <c r="C227" s="4"/>
      <c r="D227" s="4"/>
      <c r="E227" s="4"/>
      <c r="F227" s="4"/>
      <c r="G227" s="4"/>
      <c r="H227" s="4"/>
      <c r="I227" s="4"/>
      <c r="J227" s="4"/>
      <c r="K227" s="4"/>
      <c r="L227" s="4"/>
      <c r="M227" s="4"/>
      <c r="N227" s="4"/>
      <c r="O227" s="4"/>
      <c r="P227" s="4"/>
      <c r="Q227" s="4"/>
      <c r="R227" s="4"/>
      <c r="S227" s="4"/>
      <c r="T227" s="53"/>
      <c r="U227" s="4"/>
      <c r="V227" s="4"/>
    </row>
    <row r="228" spans="1:22" ht="15.75" customHeight="1">
      <c r="A228" s="4"/>
      <c r="B228" s="4"/>
      <c r="C228" s="4"/>
      <c r="D228" s="4"/>
      <c r="E228" s="4"/>
      <c r="F228" s="4"/>
      <c r="G228" s="4"/>
      <c r="H228" s="4"/>
      <c r="I228" s="4"/>
      <c r="J228" s="4"/>
      <c r="K228" s="4"/>
      <c r="L228" s="4"/>
      <c r="M228" s="4"/>
      <c r="N228" s="4"/>
      <c r="O228" s="4"/>
      <c r="P228" s="4"/>
      <c r="Q228" s="4"/>
      <c r="R228" s="4"/>
      <c r="S228" s="4"/>
      <c r="T228" s="53"/>
      <c r="U228" s="4"/>
      <c r="V228" s="4"/>
    </row>
    <row r="229" spans="1:22" ht="15.75" customHeight="1">
      <c r="A229" s="4"/>
      <c r="B229" s="4"/>
      <c r="C229" s="4"/>
      <c r="D229" s="4"/>
      <c r="E229" s="4"/>
      <c r="F229" s="4"/>
      <c r="G229" s="4"/>
      <c r="H229" s="4"/>
      <c r="I229" s="4"/>
      <c r="J229" s="4"/>
      <c r="K229" s="4"/>
      <c r="L229" s="4"/>
      <c r="M229" s="4"/>
      <c r="N229" s="4"/>
      <c r="O229" s="4"/>
      <c r="P229" s="4"/>
      <c r="Q229" s="4"/>
      <c r="R229" s="4"/>
      <c r="S229" s="4"/>
      <c r="T229" s="53"/>
      <c r="U229" s="4"/>
      <c r="V229" s="4"/>
    </row>
    <row r="230" spans="1:22" ht="15.75" customHeight="1">
      <c r="A230" s="4"/>
      <c r="B230" s="4"/>
      <c r="C230" s="4"/>
      <c r="D230" s="4"/>
      <c r="E230" s="4"/>
      <c r="F230" s="4"/>
      <c r="G230" s="4"/>
      <c r="H230" s="4"/>
      <c r="I230" s="4"/>
      <c r="J230" s="4"/>
      <c r="K230" s="4"/>
      <c r="L230" s="4"/>
      <c r="M230" s="4"/>
      <c r="N230" s="4"/>
      <c r="O230" s="4"/>
      <c r="P230" s="4"/>
      <c r="Q230" s="4"/>
      <c r="R230" s="4"/>
      <c r="S230" s="4"/>
      <c r="T230" s="53"/>
      <c r="U230" s="4"/>
      <c r="V230" s="4"/>
    </row>
    <row r="231" spans="1:22" ht="15.75" customHeight="1">
      <c r="A231" s="4"/>
      <c r="B231" s="4"/>
      <c r="C231" s="4"/>
      <c r="D231" s="4"/>
      <c r="E231" s="4"/>
      <c r="F231" s="4"/>
      <c r="G231" s="4"/>
      <c r="H231" s="4"/>
      <c r="I231" s="4"/>
      <c r="J231" s="4"/>
      <c r="K231" s="4"/>
      <c r="L231" s="4"/>
      <c r="M231" s="4"/>
      <c r="N231" s="4"/>
      <c r="O231" s="4"/>
      <c r="P231" s="4"/>
      <c r="Q231" s="4"/>
      <c r="R231" s="4"/>
      <c r="S231" s="4"/>
      <c r="T231" s="53"/>
      <c r="U231" s="4"/>
      <c r="V231" s="4"/>
    </row>
    <row r="232" spans="1:22" ht="15.75" customHeight="1">
      <c r="A232" s="4"/>
      <c r="B232" s="4"/>
      <c r="C232" s="4"/>
      <c r="D232" s="4"/>
      <c r="E232" s="4"/>
      <c r="F232" s="4"/>
      <c r="G232" s="4"/>
      <c r="H232" s="4"/>
      <c r="I232" s="4"/>
      <c r="J232" s="4"/>
      <c r="K232" s="4"/>
      <c r="L232" s="4"/>
      <c r="M232" s="4"/>
      <c r="N232" s="4"/>
      <c r="O232" s="4"/>
      <c r="P232" s="4"/>
      <c r="Q232" s="4"/>
      <c r="R232" s="4"/>
      <c r="S232" s="4"/>
      <c r="T232" s="53"/>
      <c r="U232" s="4"/>
      <c r="V232" s="4"/>
    </row>
    <row r="233" spans="1:22" ht="15.75" customHeight="1">
      <c r="A233" s="4"/>
      <c r="B233" s="4"/>
      <c r="C233" s="4"/>
      <c r="D233" s="4"/>
      <c r="E233" s="4"/>
      <c r="F233" s="4"/>
      <c r="G233" s="4"/>
      <c r="H233" s="4"/>
      <c r="I233" s="4"/>
      <c r="J233" s="4"/>
      <c r="K233" s="4"/>
      <c r="L233" s="4"/>
      <c r="M233" s="4"/>
      <c r="N233" s="4"/>
      <c r="O233" s="4"/>
      <c r="P233" s="4"/>
      <c r="Q233" s="4"/>
      <c r="R233" s="4"/>
      <c r="S233" s="4"/>
      <c r="T233" s="53"/>
      <c r="U233" s="4"/>
      <c r="V233" s="4"/>
    </row>
    <row r="234" spans="1:22" ht="15.75" customHeight="1">
      <c r="A234" s="4"/>
      <c r="B234" s="4"/>
      <c r="C234" s="4"/>
      <c r="D234" s="4"/>
      <c r="E234" s="4"/>
      <c r="F234" s="4"/>
      <c r="G234" s="4"/>
      <c r="H234" s="4"/>
      <c r="I234" s="4"/>
      <c r="J234" s="4"/>
      <c r="K234" s="4"/>
      <c r="L234" s="4"/>
      <c r="M234" s="4"/>
      <c r="N234" s="4"/>
      <c r="O234" s="4"/>
      <c r="P234" s="4"/>
      <c r="Q234" s="4"/>
      <c r="R234" s="4"/>
      <c r="S234" s="4"/>
      <c r="T234" s="53"/>
      <c r="U234" s="4"/>
      <c r="V234" s="4"/>
    </row>
    <row r="235" spans="1:22" ht="15.75" customHeight="1">
      <c r="A235" s="4"/>
      <c r="B235" s="4"/>
      <c r="C235" s="4"/>
      <c r="D235" s="4"/>
      <c r="E235" s="4"/>
      <c r="F235" s="4"/>
      <c r="G235" s="4"/>
      <c r="H235" s="4"/>
      <c r="I235" s="4"/>
      <c r="J235" s="4"/>
      <c r="K235" s="4"/>
      <c r="L235" s="4"/>
      <c r="M235" s="4"/>
      <c r="N235" s="4"/>
      <c r="O235" s="4"/>
      <c r="P235" s="4"/>
      <c r="Q235" s="4"/>
      <c r="R235" s="4"/>
      <c r="S235" s="4"/>
      <c r="T235" s="53"/>
      <c r="U235" s="4"/>
      <c r="V235" s="4"/>
    </row>
    <row r="236" spans="1:22" ht="15.75" customHeight="1">
      <c r="A236" s="4"/>
      <c r="B236" s="4"/>
      <c r="C236" s="4"/>
      <c r="D236" s="4"/>
      <c r="E236" s="4"/>
      <c r="F236" s="4"/>
      <c r="G236" s="4"/>
      <c r="H236" s="4"/>
      <c r="I236" s="4"/>
      <c r="J236" s="4"/>
      <c r="K236" s="4"/>
      <c r="L236" s="4"/>
      <c r="M236" s="4"/>
      <c r="N236" s="4"/>
      <c r="O236" s="4"/>
      <c r="P236" s="4"/>
      <c r="Q236" s="4"/>
      <c r="R236" s="4"/>
      <c r="S236" s="4"/>
      <c r="T236" s="53"/>
      <c r="U236" s="4"/>
      <c r="V236" s="4"/>
    </row>
    <row r="237" spans="1:22" ht="15.75" customHeight="1">
      <c r="A237" s="4"/>
      <c r="B237" s="4"/>
      <c r="C237" s="4"/>
      <c r="D237" s="4"/>
      <c r="E237" s="4"/>
      <c r="F237" s="4"/>
      <c r="G237" s="4"/>
      <c r="H237" s="4"/>
      <c r="I237" s="4"/>
      <c r="J237" s="4"/>
      <c r="K237" s="4"/>
      <c r="L237" s="4"/>
      <c r="M237" s="4"/>
      <c r="N237" s="4"/>
      <c r="O237" s="4"/>
      <c r="P237" s="4"/>
      <c r="Q237" s="4"/>
      <c r="R237" s="4"/>
      <c r="S237" s="4"/>
      <c r="T237" s="53"/>
      <c r="U237" s="4"/>
      <c r="V237" s="4"/>
    </row>
    <row r="238" spans="1:22" ht="15.75" customHeight="1">
      <c r="A238" s="4"/>
      <c r="B238" s="4"/>
      <c r="C238" s="4"/>
      <c r="D238" s="4"/>
      <c r="E238" s="4"/>
      <c r="F238" s="4"/>
      <c r="G238" s="4"/>
      <c r="H238" s="4"/>
      <c r="I238" s="4"/>
      <c r="J238" s="4"/>
      <c r="K238" s="4"/>
      <c r="L238" s="4"/>
      <c r="M238" s="4"/>
      <c r="N238" s="4"/>
      <c r="O238" s="4"/>
      <c r="P238" s="4"/>
      <c r="Q238" s="4"/>
      <c r="R238" s="4"/>
      <c r="S238" s="4"/>
      <c r="T238" s="53"/>
      <c r="U238" s="4"/>
      <c r="V238" s="4"/>
    </row>
    <row r="239" spans="1:22" ht="15.75" customHeight="1">
      <c r="A239" s="4"/>
      <c r="B239" s="4"/>
      <c r="C239" s="4"/>
      <c r="D239" s="4"/>
      <c r="E239" s="4"/>
      <c r="F239" s="4"/>
      <c r="G239" s="4"/>
      <c r="H239" s="4"/>
      <c r="I239" s="4"/>
      <c r="J239" s="4"/>
      <c r="K239" s="4"/>
      <c r="L239" s="4"/>
      <c r="M239" s="4"/>
      <c r="N239" s="4"/>
      <c r="O239" s="4"/>
      <c r="P239" s="4"/>
      <c r="Q239" s="4"/>
      <c r="R239" s="4"/>
      <c r="S239" s="4"/>
      <c r="T239" s="53"/>
      <c r="U239" s="4"/>
      <c r="V239" s="4"/>
    </row>
    <row r="240" spans="1:22" ht="15.75" customHeight="1">
      <c r="A240" s="4"/>
      <c r="B240" s="4"/>
      <c r="C240" s="4"/>
      <c r="D240" s="4"/>
      <c r="E240" s="4"/>
      <c r="F240" s="4"/>
      <c r="G240" s="4"/>
      <c r="H240" s="4"/>
      <c r="I240" s="4"/>
      <c r="J240" s="4"/>
      <c r="K240" s="4"/>
      <c r="L240" s="4"/>
      <c r="M240" s="4"/>
      <c r="N240" s="4"/>
      <c r="O240" s="4"/>
      <c r="P240" s="4"/>
      <c r="Q240" s="4"/>
      <c r="R240" s="4"/>
      <c r="S240" s="4"/>
      <c r="T240" s="53"/>
      <c r="U240" s="4"/>
      <c r="V240" s="4"/>
    </row>
    <row r="241" spans="1:22" ht="15.75" customHeight="1">
      <c r="A241" s="4"/>
      <c r="B241" s="4"/>
      <c r="C241" s="4"/>
      <c r="D241" s="4"/>
      <c r="E241" s="4"/>
      <c r="F241" s="4"/>
      <c r="G241" s="4"/>
      <c r="H241" s="4"/>
      <c r="I241" s="4"/>
      <c r="J241" s="4"/>
      <c r="K241" s="4"/>
      <c r="L241" s="4"/>
      <c r="M241" s="4"/>
      <c r="N241" s="4"/>
      <c r="O241" s="4"/>
      <c r="P241" s="4"/>
      <c r="Q241" s="4"/>
      <c r="R241" s="4"/>
      <c r="S241" s="4"/>
      <c r="T241" s="53"/>
      <c r="U241" s="4"/>
      <c r="V241" s="4"/>
    </row>
    <row r="242" spans="1:22" ht="15.75" customHeight="1">
      <c r="A242" s="4"/>
      <c r="B242" s="4"/>
      <c r="C242" s="4"/>
      <c r="D242" s="4"/>
      <c r="E242" s="4"/>
      <c r="F242" s="4"/>
      <c r="G242" s="4"/>
      <c r="H242" s="4"/>
      <c r="I242" s="4"/>
      <c r="J242" s="4"/>
      <c r="K242" s="4"/>
      <c r="L242" s="4"/>
      <c r="M242" s="4"/>
      <c r="N242" s="4"/>
      <c r="O242" s="4"/>
      <c r="P242" s="4"/>
      <c r="Q242" s="4"/>
      <c r="R242" s="4"/>
      <c r="S242" s="4"/>
      <c r="T242" s="53"/>
      <c r="U242" s="4"/>
      <c r="V242" s="4"/>
    </row>
    <row r="243" spans="1:22" ht="15.75" customHeight="1">
      <c r="A243" s="4"/>
      <c r="B243" s="4"/>
      <c r="C243" s="4"/>
      <c r="D243" s="4"/>
      <c r="E243" s="4"/>
      <c r="F243" s="4"/>
      <c r="G243" s="4"/>
      <c r="H243" s="4"/>
      <c r="I243" s="4"/>
      <c r="J243" s="4"/>
      <c r="K243" s="4"/>
      <c r="L243" s="4"/>
      <c r="M243" s="4"/>
      <c r="N243" s="4"/>
      <c r="O243" s="4"/>
      <c r="P243" s="4"/>
      <c r="Q243" s="4"/>
      <c r="R243" s="4"/>
      <c r="S243" s="4"/>
      <c r="T243" s="53"/>
      <c r="U243" s="4"/>
      <c r="V243" s="4"/>
    </row>
    <row r="244" spans="1:22" ht="15.75" customHeight="1">
      <c r="A244" s="4"/>
      <c r="B244" s="4"/>
      <c r="C244" s="4"/>
      <c r="D244" s="4"/>
      <c r="E244" s="4"/>
      <c r="F244" s="4"/>
      <c r="G244" s="4"/>
      <c r="H244" s="4"/>
      <c r="I244" s="4"/>
      <c r="J244" s="4"/>
      <c r="K244" s="4"/>
      <c r="L244" s="4"/>
      <c r="M244" s="4"/>
      <c r="N244" s="4"/>
      <c r="O244" s="4"/>
      <c r="P244" s="4"/>
      <c r="Q244" s="4"/>
      <c r="R244" s="4"/>
      <c r="S244" s="4"/>
      <c r="T244" s="53"/>
      <c r="U244" s="4"/>
      <c r="V244" s="4"/>
    </row>
    <row r="245" spans="1:22" ht="15.75" customHeight="1">
      <c r="A245" s="4"/>
      <c r="B245" s="4"/>
      <c r="C245" s="4"/>
      <c r="D245" s="4"/>
      <c r="E245" s="4"/>
      <c r="F245" s="4"/>
      <c r="G245" s="4"/>
      <c r="H245" s="4"/>
      <c r="I245" s="4"/>
      <c r="J245" s="4"/>
      <c r="K245" s="4"/>
      <c r="L245" s="4"/>
      <c r="M245" s="4"/>
      <c r="N245" s="4"/>
      <c r="O245" s="4"/>
      <c r="P245" s="4"/>
      <c r="Q245" s="4"/>
      <c r="R245" s="4"/>
      <c r="S245" s="4"/>
      <c r="T245" s="53"/>
      <c r="U245" s="4"/>
      <c r="V245" s="4"/>
    </row>
    <row r="246" spans="1:22" ht="15.75" customHeight="1">
      <c r="A246" s="4"/>
      <c r="B246" s="4"/>
      <c r="C246" s="4"/>
      <c r="D246" s="4"/>
      <c r="E246" s="4"/>
      <c r="F246" s="4"/>
      <c r="G246" s="4"/>
      <c r="H246" s="4"/>
      <c r="I246" s="4"/>
      <c r="J246" s="4"/>
      <c r="K246" s="4"/>
      <c r="L246" s="4"/>
      <c r="M246" s="4"/>
      <c r="N246" s="4"/>
      <c r="O246" s="4"/>
      <c r="P246" s="4"/>
      <c r="Q246" s="4"/>
      <c r="R246" s="4"/>
      <c r="S246" s="4"/>
      <c r="T246" s="53"/>
      <c r="U246" s="4"/>
      <c r="V246" s="4"/>
    </row>
    <row r="247" spans="1:22" ht="15.75" customHeight="1">
      <c r="A247" s="4"/>
      <c r="B247" s="4"/>
      <c r="C247" s="4"/>
      <c r="D247" s="4"/>
      <c r="E247" s="4"/>
      <c r="F247" s="4"/>
      <c r="G247" s="4"/>
      <c r="H247" s="4"/>
      <c r="I247" s="4"/>
      <c r="J247" s="4"/>
      <c r="K247" s="4"/>
      <c r="L247" s="4"/>
      <c r="M247" s="4"/>
      <c r="N247" s="4"/>
      <c r="O247" s="4"/>
      <c r="P247" s="4"/>
      <c r="Q247" s="4"/>
      <c r="R247" s="4"/>
      <c r="S247" s="4"/>
      <c r="T247" s="53"/>
      <c r="U247" s="4"/>
      <c r="V247" s="4"/>
    </row>
    <row r="248" spans="1:22" ht="15.75" customHeight="1">
      <c r="A248" s="4"/>
      <c r="B248" s="4"/>
      <c r="C248" s="4"/>
      <c r="D248" s="4"/>
      <c r="E248" s="4"/>
      <c r="F248" s="4"/>
      <c r="G248" s="4"/>
      <c r="H248" s="4"/>
      <c r="I248" s="4"/>
      <c r="J248" s="4"/>
      <c r="K248" s="4"/>
      <c r="L248" s="4"/>
      <c r="M248" s="4"/>
      <c r="N248" s="4"/>
      <c r="O248" s="4"/>
      <c r="P248" s="4"/>
      <c r="Q248" s="4"/>
      <c r="R248" s="4"/>
      <c r="S248" s="4"/>
      <c r="T248" s="53"/>
      <c r="U248" s="4"/>
      <c r="V248" s="4"/>
    </row>
    <row r="249" spans="1:22" ht="15.75" customHeight="1">
      <c r="A249" s="4"/>
      <c r="B249" s="4"/>
      <c r="C249" s="4"/>
      <c r="D249" s="4"/>
      <c r="E249" s="4"/>
      <c r="F249" s="4"/>
      <c r="G249" s="4"/>
      <c r="H249" s="4"/>
      <c r="I249" s="4"/>
      <c r="J249" s="4"/>
      <c r="K249" s="4"/>
      <c r="L249" s="4"/>
      <c r="M249" s="4"/>
      <c r="N249" s="4"/>
      <c r="O249" s="4"/>
      <c r="P249" s="4"/>
      <c r="Q249" s="4"/>
      <c r="R249" s="4"/>
      <c r="S249" s="4"/>
      <c r="T249" s="53"/>
      <c r="U249" s="4"/>
      <c r="V249" s="4"/>
    </row>
    <row r="250" spans="1:22" ht="15.75" customHeight="1">
      <c r="A250" s="4"/>
      <c r="B250" s="4"/>
      <c r="C250" s="4"/>
      <c r="D250" s="4"/>
      <c r="E250" s="4"/>
      <c r="F250" s="4"/>
      <c r="G250" s="4"/>
      <c r="H250" s="4"/>
      <c r="I250" s="4"/>
      <c r="J250" s="4"/>
      <c r="K250" s="4"/>
      <c r="L250" s="4"/>
      <c r="M250" s="4"/>
      <c r="N250" s="4"/>
      <c r="O250" s="4"/>
      <c r="P250" s="4"/>
      <c r="Q250" s="4"/>
      <c r="R250" s="4"/>
      <c r="S250" s="4"/>
      <c r="T250" s="53"/>
      <c r="U250" s="4"/>
      <c r="V250" s="4"/>
    </row>
    <row r="251" spans="1:22" ht="15.75" customHeight="1">
      <c r="A251" s="4"/>
      <c r="B251" s="4"/>
      <c r="C251" s="4"/>
      <c r="D251" s="4"/>
      <c r="E251" s="4"/>
      <c r="F251" s="4"/>
      <c r="G251" s="4"/>
      <c r="H251" s="4"/>
      <c r="I251" s="4"/>
      <c r="J251" s="4"/>
      <c r="K251" s="4"/>
      <c r="L251" s="4"/>
      <c r="M251" s="4"/>
      <c r="N251" s="4"/>
      <c r="O251" s="4"/>
      <c r="P251" s="4"/>
      <c r="Q251" s="4"/>
      <c r="R251" s="4"/>
      <c r="S251" s="4"/>
      <c r="T251" s="53"/>
      <c r="U251" s="4"/>
      <c r="V251" s="4"/>
    </row>
    <row r="252" spans="1:22" ht="15.75" customHeight="1">
      <c r="A252" s="4"/>
      <c r="B252" s="4"/>
      <c r="C252" s="4"/>
      <c r="D252" s="4"/>
      <c r="E252" s="4"/>
      <c r="F252" s="4"/>
      <c r="G252" s="4"/>
      <c r="H252" s="4"/>
      <c r="I252" s="4"/>
      <c r="J252" s="4"/>
      <c r="K252" s="4"/>
      <c r="L252" s="4"/>
      <c r="M252" s="4"/>
      <c r="N252" s="4"/>
      <c r="O252" s="4"/>
      <c r="P252" s="4"/>
      <c r="Q252" s="4"/>
      <c r="R252" s="4"/>
      <c r="S252" s="4"/>
      <c r="T252" s="53"/>
      <c r="U252" s="4"/>
      <c r="V252" s="4"/>
    </row>
    <row r="253" spans="1:22" ht="15.75" customHeight="1">
      <c r="A253" s="4"/>
      <c r="B253" s="4"/>
      <c r="C253" s="4"/>
      <c r="D253" s="4"/>
      <c r="E253" s="4"/>
      <c r="F253" s="4"/>
      <c r="G253" s="4"/>
      <c r="H253" s="4"/>
      <c r="I253" s="4"/>
      <c r="J253" s="4"/>
      <c r="K253" s="4"/>
      <c r="L253" s="4"/>
      <c r="M253" s="4"/>
      <c r="N253" s="4"/>
      <c r="O253" s="4"/>
      <c r="P253" s="4"/>
      <c r="Q253" s="4"/>
      <c r="R253" s="4"/>
      <c r="S253" s="4"/>
      <c r="T253" s="53"/>
      <c r="U253" s="4"/>
      <c r="V253" s="4"/>
    </row>
    <row r="254" spans="1:22" ht="15.75" customHeight="1">
      <c r="A254" s="4"/>
      <c r="B254" s="4"/>
      <c r="C254" s="4"/>
      <c r="D254" s="4"/>
      <c r="E254" s="4"/>
      <c r="F254" s="4"/>
      <c r="G254" s="4"/>
      <c r="H254" s="4"/>
      <c r="I254" s="4"/>
      <c r="J254" s="4"/>
      <c r="K254" s="4"/>
      <c r="L254" s="4"/>
      <c r="M254" s="4"/>
      <c r="N254" s="4"/>
      <c r="O254" s="4"/>
      <c r="P254" s="4"/>
      <c r="Q254" s="4"/>
      <c r="R254" s="4"/>
      <c r="S254" s="4"/>
      <c r="T254" s="53"/>
      <c r="U254" s="4"/>
      <c r="V254" s="4"/>
    </row>
    <row r="255" spans="1:22" ht="15.75" customHeight="1">
      <c r="A255" s="4"/>
      <c r="B255" s="4"/>
      <c r="C255" s="4"/>
      <c r="D255" s="4"/>
      <c r="E255" s="4"/>
      <c r="F255" s="4"/>
      <c r="G255" s="4"/>
      <c r="H255" s="4"/>
      <c r="I255" s="4"/>
      <c r="J255" s="4"/>
      <c r="K255" s="4"/>
      <c r="L255" s="4"/>
      <c r="M255" s="4"/>
      <c r="N255" s="4"/>
      <c r="O255" s="4"/>
      <c r="P255" s="4"/>
      <c r="Q255" s="4"/>
      <c r="R255" s="4"/>
      <c r="S255" s="4"/>
      <c r="T255" s="53"/>
      <c r="U255" s="4"/>
      <c r="V255" s="4"/>
    </row>
    <row r="256" spans="1:22" ht="15.75" customHeight="1">
      <c r="A256" s="4"/>
      <c r="B256" s="4"/>
      <c r="C256" s="4"/>
      <c r="D256" s="4"/>
      <c r="E256" s="4"/>
      <c r="F256" s="4"/>
      <c r="G256" s="4"/>
      <c r="H256" s="4"/>
      <c r="I256" s="4"/>
      <c r="J256" s="4"/>
      <c r="K256" s="4"/>
      <c r="L256" s="4"/>
      <c r="M256" s="4"/>
      <c r="N256" s="4"/>
      <c r="O256" s="4"/>
      <c r="P256" s="4"/>
      <c r="Q256" s="4"/>
      <c r="R256" s="4"/>
      <c r="S256" s="4"/>
      <c r="T256" s="53"/>
      <c r="U256" s="4"/>
      <c r="V256" s="4"/>
    </row>
    <row r="257" spans="1:22" ht="15.75" customHeight="1">
      <c r="A257" s="4"/>
      <c r="B257" s="4"/>
      <c r="C257" s="4"/>
      <c r="D257" s="4"/>
      <c r="E257" s="4"/>
      <c r="F257" s="4"/>
      <c r="G257" s="4"/>
      <c r="H257" s="4"/>
      <c r="I257" s="4"/>
      <c r="J257" s="4"/>
      <c r="K257" s="4"/>
      <c r="L257" s="4"/>
      <c r="M257" s="4"/>
      <c r="N257" s="4"/>
      <c r="O257" s="4"/>
      <c r="P257" s="4"/>
      <c r="Q257" s="4"/>
      <c r="R257" s="4"/>
      <c r="S257" s="4"/>
      <c r="T257" s="53"/>
      <c r="U257" s="4"/>
      <c r="V257" s="4"/>
    </row>
    <row r="258" spans="1:22" ht="15.75" customHeight="1">
      <c r="A258" s="4"/>
      <c r="B258" s="4"/>
      <c r="C258" s="4"/>
      <c r="D258" s="4"/>
      <c r="E258" s="4"/>
      <c r="F258" s="4"/>
      <c r="G258" s="4"/>
      <c r="H258" s="4"/>
      <c r="I258" s="4"/>
      <c r="J258" s="4"/>
      <c r="K258" s="4"/>
      <c r="L258" s="4"/>
      <c r="M258" s="4"/>
      <c r="N258" s="4"/>
      <c r="O258" s="4"/>
      <c r="P258" s="4"/>
      <c r="Q258" s="4"/>
      <c r="R258" s="4"/>
      <c r="S258" s="4"/>
      <c r="T258" s="53"/>
      <c r="U258" s="4"/>
      <c r="V258" s="4"/>
    </row>
    <row r="259" spans="1:22" ht="15.75" customHeight="1">
      <c r="A259" s="4"/>
      <c r="B259" s="4"/>
      <c r="C259" s="4"/>
      <c r="D259" s="4"/>
      <c r="E259" s="4"/>
      <c r="F259" s="4"/>
      <c r="G259" s="4"/>
      <c r="H259" s="4"/>
      <c r="I259" s="4"/>
      <c r="J259" s="4"/>
      <c r="K259" s="4"/>
      <c r="L259" s="4"/>
      <c r="M259" s="4"/>
      <c r="N259" s="4"/>
      <c r="O259" s="4"/>
      <c r="P259" s="4"/>
      <c r="Q259" s="4"/>
      <c r="R259" s="4"/>
      <c r="S259" s="4"/>
      <c r="T259" s="53"/>
      <c r="U259" s="4"/>
      <c r="V259" s="4"/>
    </row>
    <row r="260" spans="1:22" ht="15.75" customHeight="1">
      <c r="A260" s="4"/>
      <c r="B260" s="4"/>
      <c r="C260" s="4"/>
      <c r="D260" s="4"/>
      <c r="E260" s="4"/>
      <c r="F260" s="4"/>
      <c r="G260" s="4"/>
      <c r="H260" s="4"/>
      <c r="I260" s="4"/>
      <c r="J260" s="4"/>
      <c r="K260" s="4"/>
      <c r="L260" s="4"/>
      <c r="M260" s="4"/>
      <c r="N260" s="4"/>
      <c r="O260" s="4"/>
      <c r="P260" s="4"/>
      <c r="Q260" s="4"/>
      <c r="R260" s="4"/>
      <c r="S260" s="4"/>
      <c r="T260" s="53"/>
      <c r="U260" s="4"/>
      <c r="V260" s="4"/>
    </row>
    <row r="261" spans="1:22" ht="15.75" customHeight="1">
      <c r="A261" s="4"/>
      <c r="B261" s="4"/>
      <c r="C261" s="4"/>
      <c r="D261" s="4"/>
      <c r="E261" s="4"/>
      <c r="F261" s="4"/>
      <c r="G261" s="4"/>
      <c r="H261" s="4"/>
      <c r="I261" s="4"/>
      <c r="J261" s="4"/>
      <c r="K261" s="4"/>
      <c r="L261" s="4"/>
      <c r="M261" s="4"/>
      <c r="N261" s="4"/>
      <c r="O261" s="4"/>
      <c r="P261" s="4"/>
      <c r="Q261" s="4"/>
      <c r="R261" s="4"/>
      <c r="S261" s="4"/>
      <c r="T261" s="53"/>
      <c r="U261" s="4"/>
      <c r="V261" s="4"/>
    </row>
    <row r="262" spans="1:22" ht="15.75" customHeight="1">
      <c r="A262" s="4"/>
      <c r="B262" s="4"/>
      <c r="C262" s="4"/>
      <c r="D262" s="4"/>
      <c r="E262" s="4"/>
      <c r="F262" s="4"/>
      <c r="G262" s="4"/>
      <c r="H262" s="4"/>
      <c r="I262" s="4"/>
      <c r="J262" s="4"/>
      <c r="K262" s="4"/>
      <c r="L262" s="4"/>
      <c r="M262" s="4"/>
      <c r="N262" s="4"/>
      <c r="O262" s="4"/>
      <c r="P262" s="4"/>
      <c r="Q262" s="4"/>
      <c r="R262" s="4"/>
      <c r="S262" s="4"/>
      <c r="T262" s="53"/>
      <c r="U262" s="4"/>
      <c r="V262" s="4"/>
    </row>
    <row r="263" spans="1:22" ht="15.75" customHeight="1">
      <c r="A263" s="4"/>
      <c r="B263" s="4"/>
      <c r="C263" s="4"/>
      <c r="D263" s="4"/>
      <c r="E263" s="4"/>
      <c r="F263" s="4"/>
      <c r="G263" s="4"/>
      <c r="H263" s="4"/>
      <c r="I263" s="4"/>
      <c r="J263" s="4"/>
      <c r="K263" s="4"/>
      <c r="L263" s="4"/>
      <c r="M263" s="4"/>
      <c r="N263" s="4"/>
      <c r="O263" s="4"/>
      <c r="P263" s="4"/>
      <c r="Q263" s="4"/>
      <c r="R263" s="4"/>
      <c r="S263" s="4"/>
      <c r="T263" s="53"/>
      <c r="U263" s="4"/>
      <c r="V263" s="4"/>
    </row>
    <row r="264" spans="1:22" ht="15.75" customHeight="1">
      <c r="A264" s="4"/>
      <c r="B264" s="4"/>
      <c r="C264" s="4"/>
      <c r="D264" s="4"/>
      <c r="E264" s="4"/>
      <c r="F264" s="4"/>
      <c r="G264" s="4"/>
      <c r="H264" s="4"/>
      <c r="I264" s="4"/>
      <c r="J264" s="4"/>
      <c r="K264" s="4"/>
      <c r="L264" s="4"/>
      <c r="M264" s="4"/>
      <c r="N264" s="4"/>
      <c r="O264" s="4"/>
      <c r="P264" s="4"/>
      <c r="Q264" s="4"/>
      <c r="R264" s="4"/>
      <c r="S264" s="4"/>
      <c r="T264" s="53"/>
      <c r="U264" s="4"/>
      <c r="V264" s="4"/>
    </row>
    <row r="265" spans="1:22" ht="15.75" customHeight="1">
      <c r="A265" s="4"/>
      <c r="B265" s="4"/>
      <c r="C265" s="4"/>
      <c r="D265" s="4"/>
      <c r="E265" s="4"/>
      <c r="F265" s="4"/>
      <c r="G265" s="4"/>
      <c r="H265" s="4"/>
      <c r="I265" s="4"/>
      <c r="J265" s="4"/>
      <c r="K265" s="4"/>
      <c r="L265" s="4"/>
      <c r="M265" s="4"/>
      <c r="N265" s="4"/>
      <c r="O265" s="4"/>
      <c r="P265" s="4"/>
      <c r="Q265" s="4"/>
      <c r="R265" s="4"/>
      <c r="S265" s="4"/>
      <c r="T265" s="53"/>
      <c r="U265" s="4"/>
      <c r="V265" s="4"/>
    </row>
    <row r="266" spans="1:22" ht="15.75" customHeight="1">
      <c r="A266" s="4"/>
      <c r="B266" s="4"/>
      <c r="C266" s="4"/>
      <c r="D266" s="4"/>
      <c r="E266" s="4"/>
      <c r="F266" s="4"/>
      <c r="G266" s="4"/>
      <c r="H266" s="4"/>
      <c r="I266" s="4"/>
      <c r="J266" s="4"/>
      <c r="K266" s="4"/>
      <c r="L266" s="4"/>
      <c r="M266" s="4"/>
      <c r="N266" s="4"/>
      <c r="O266" s="4"/>
      <c r="P266" s="4"/>
      <c r="Q266" s="4"/>
      <c r="R266" s="4"/>
      <c r="S266" s="4"/>
      <c r="T266" s="53"/>
      <c r="U266" s="4"/>
      <c r="V266" s="4"/>
    </row>
    <row r="267" spans="1:22" ht="15.75" customHeight="1">
      <c r="A267" s="4"/>
      <c r="B267" s="4"/>
      <c r="C267" s="4"/>
      <c r="D267" s="4"/>
      <c r="E267" s="4"/>
      <c r="F267" s="4"/>
      <c r="G267" s="4"/>
      <c r="H267" s="4"/>
      <c r="I267" s="4"/>
      <c r="J267" s="4"/>
      <c r="K267" s="4"/>
      <c r="L267" s="4"/>
      <c r="M267" s="4"/>
      <c r="N267" s="4"/>
      <c r="O267" s="4"/>
      <c r="P267" s="4"/>
      <c r="Q267" s="4"/>
      <c r="R267" s="4"/>
      <c r="S267" s="4"/>
      <c r="T267" s="53"/>
      <c r="U267" s="4"/>
      <c r="V267" s="4"/>
    </row>
    <row r="268" spans="1:22" ht="15.75" customHeight="1">
      <c r="A268" s="4"/>
      <c r="B268" s="4"/>
      <c r="C268" s="4"/>
      <c r="D268" s="4"/>
      <c r="E268" s="4"/>
      <c r="F268" s="4"/>
      <c r="G268" s="4"/>
      <c r="H268" s="4"/>
      <c r="I268" s="4"/>
      <c r="J268" s="4"/>
      <c r="K268" s="4"/>
      <c r="L268" s="4"/>
      <c r="M268" s="4"/>
      <c r="N268" s="4"/>
      <c r="O268" s="4"/>
      <c r="P268" s="4"/>
      <c r="Q268" s="4"/>
      <c r="R268" s="4"/>
      <c r="S268" s="4"/>
      <c r="T268" s="53"/>
      <c r="U268" s="4"/>
      <c r="V268" s="4"/>
    </row>
    <row r="269" spans="1:22" ht="15.75" customHeight="1">
      <c r="A269" s="4"/>
      <c r="B269" s="4"/>
      <c r="C269" s="4"/>
      <c r="D269" s="4"/>
      <c r="E269" s="4"/>
      <c r="F269" s="4"/>
      <c r="G269" s="4"/>
      <c r="H269" s="4"/>
      <c r="I269" s="4"/>
      <c r="J269" s="4"/>
      <c r="K269" s="4"/>
      <c r="L269" s="4"/>
      <c r="M269" s="4"/>
      <c r="N269" s="4"/>
      <c r="O269" s="4"/>
      <c r="P269" s="4"/>
      <c r="Q269" s="4"/>
      <c r="R269" s="4"/>
      <c r="S269" s="4"/>
      <c r="T269" s="53"/>
      <c r="U269" s="4"/>
      <c r="V269" s="4"/>
    </row>
    <row r="270" spans="1:22" ht="15.75" customHeight="1">
      <c r="A270" s="4"/>
      <c r="B270" s="4"/>
      <c r="C270" s="4"/>
      <c r="D270" s="4"/>
      <c r="E270" s="4"/>
      <c r="F270" s="4"/>
      <c r="G270" s="4"/>
      <c r="H270" s="4"/>
      <c r="I270" s="4"/>
      <c r="J270" s="4"/>
      <c r="K270" s="4"/>
      <c r="L270" s="4"/>
      <c r="M270" s="4"/>
      <c r="N270" s="4"/>
      <c r="O270" s="4"/>
      <c r="P270" s="4"/>
      <c r="Q270" s="4"/>
      <c r="R270" s="4"/>
      <c r="S270" s="4"/>
      <c r="T270" s="53"/>
      <c r="U270" s="4"/>
      <c r="V270" s="4"/>
    </row>
    <row r="271" spans="1:22" ht="15.75" customHeight="1">
      <c r="A271" s="4"/>
      <c r="B271" s="4"/>
      <c r="C271" s="4"/>
      <c r="D271" s="4"/>
      <c r="E271" s="4"/>
      <c r="F271" s="4"/>
      <c r="G271" s="4"/>
      <c r="H271" s="4"/>
      <c r="I271" s="4"/>
      <c r="J271" s="4"/>
      <c r="K271" s="4"/>
      <c r="L271" s="4"/>
      <c r="M271" s="4"/>
      <c r="N271" s="4"/>
      <c r="O271" s="4"/>
      <c r="P271" s="4"/>
      <c r="Q271" s="4"/>
      <c r="R271" s="4"/>
      <c r="S271" s="4"/>
      <c r="T271" s="53"/>
      <c r="U271" s="4"/>
      <c r="V271" s="4"/>
    </row>
    <row r="272" spans="1:22" ht="15.75" customHeight="1">
      <c r="A272" s="4"/>
      <c r="B272" s="4"/>
      <c r="C272" s="4"/>
      <c r="D272" s="4"/>
      <c r="E272" s="4"/>
      <c r="F272" s="4"/>
      <c r="G272" s="4"/>
      <c r="H272" s="4"/>
      <c r="I272" s="4"/>
      <c r="J272" s="4"/>
      <c r="K272" s="4"/>
      <c r="L272" s="4"/>
      <c r="M272" s="4"/>
      <c r="N272" s="4"/>
      <c r="O272" s="4"/>
      <c r="P272" s="4"/>
      <c r="Q272" s="4"/>
      <c r="R272" s="4"/>
      <c r="S272" s="4"/>
      <c r="T272" s="53"/>
      <c r="U272" s="4"/>
      <c r="V272" s="4"/>
    </row>
    <row r="273" spans="1:22" ht="15.75" customHeight="1">
      <c r="A273" s="4"/>
      <c r="B273" s="4"/>
      <c r="C273" s="4"/>
      <c r="D273" s="4"/>
      <c r="E273" s="4"/>
      <c r="F273" s="4"/>
      <c r="G273" s="4"/>
      <c r="H273" s="4"/>
      <c r="I273" s="4"/>
      <c r="J273" s="4"/>
      <c r="K273" s="4"/>
      <c r="L273" s="4"/>
      <c r="M273" s="4"/>
      <c r="N273" s="4"/>
      <c r="O273" s="4"/>
      <c r="P273" s="4"/>
      <c r="Q273" s="4"/>
      <c r="R273" s="4"/>
      <c r="S273" s="4"/>
      <c r="T273" s="53"/>
      <c r="U273" s="4"/>
      <c r="V273" s="4"/>
    </row>
    <row r="274" spans="1:22" ht="15.75" customHeight="1">
      <c r="A274" s="4"/>
      <c r="B274" s="4"/>
      <c r="C274" s="4"/>
      <c r="D274" s="4"/>
      <c r="E274" s="4"/>
      <c r="F274" s="4"/>
      <c r="G274" s="4"/>
      <c r="H274" s="4"/>
      <c r="I274" s="4"/>
      <c r="J274" s="4"/>
      <c r="K274" s="4"/>
      <c r="L274" s="4"/>
      <c r="M274" s="4"/>
      <c r="N274" s="4"/>
      <c r="O274" s="4"/>
      <c r="P274" s="4"/>
      <c r="Q274" s="4"/>
      <c r="R274" s="4"/>
      <c r="S274" s="4"/>
      <c r="T274" s="53"/>
      <c r="U274" s="4"/>
      <c r="V274" s="4"/>
    </row>
    <row r="275" spans="1:22" ht="15.75" customHeight="1">
      <c r="A275" s="4"/>
      <c r="B275" s="4"/>
      <c r="C275" s="4"/>
      <c r="D275" s="4"/>
      <c r="E275" s="4"/>
      <c r="F275" s="4"/>
      <c r="G275" s="4"/>
      <c r="H275" s="4"/>
      <c r="I275" s="4"/>
      <c r="J275" s="4"/>
      <c r="K275" s="4"/>
      <c r="L275" s="4"/>
      <c r="M275" s="4"/>
      <c r="N275" s="4"/>
      <c r="O275" s="4"/>
      <c r="P275" s="4"/>
      <c r="Q275" s="4"/>
      <c r="R275" s="4"/>
      <c r="S275" s="4"/>
      <c r="T275" s="53"/>
      <c r="U275" s="4"/>
      <c r="V275" s="4"/>
    </row>
    <row r="276" spans="1:22" ht="15.75" customHeight="1">
      <c r="A276" s="4"/>
      <c r="B276" s="4"/>
      <c r="C276" s="4"/>
      <c r="D276" s="4"/>
      <c r="E276" s="4"/>
      <c r="F276" s="4"/>
      <c r="G276" s="4"/>
      <c r="H276" s="4"/>
      <c r="I276" s="4"/>
      <c r="J276" s="4"/>
      <c r="K276" s="4"/>
      <c r="L276" s="4"/>
      <c r="M276" s="4"/>
      <c r="N276" s="4"/>
      <c r="O276" s="4"/>
      <c r="P276" s="4"/>
      <c r="Q276" s="4"/>
      <c r="R276" s="4"/>
      <c r="S276" s="4"/>
      <c r="T276" s="53"/>
      <c r="U276" s="4"/>
      <c r="V276" s="4"/>
    </row>
    <row r="277" spans="1:22" ht="15.75" customHeight="1">
      <c r="A277" s="4"/>
      <c r="B277" s="4"/>
      <c r="C277" s="4"/>
      <c r="D277" s="4"/>
      <c r="E277" s="4"/>
      <c r="F277" s="4"/>
      <c r="G277" s="4"/>
      <c r="H277" s="4"/>
      <c r="I277" s="4"/>
      <c r="J277" s="4"/>
      <c r="K277" s="4"/>
      <c r="L277" s="4"/>
      <c r="M277" s="4"/>
      <c r="N277" s="4"/>
      <c r="O277" s="4"/>
      <c r="P277" s="4"/>
      <c r="Q277" s="4"/>
      <c r="R277" s="4"/>
      <c r="S277" s="4"/>
      <c r="T277" s="53"/>
      <c r="U277" s="4"/>
      <c r="V277" s="4"/>
    </row>
    <row r="278" spans="1:22" ht="15.75" customHeight="1">
      <c r="A278" s="4"/>
      <c r="B278" s="4"/>
      <c r="C278" s="4"/>
      <c r="D278" s="4"/>
      <c r="E278" s="4"/>
      <c r="F278" s="4"/>
      <c r="G278" s="4"/>
      <c r="H278" s="4"/>
      <c r="I278" s="4"/>
      <c r="J278" s="4"/>
      <c r="K278" s="4"/>
      <c r="L278" s="4"/>
      <c r="M278" s="4"/>
      <c r="N278" s="4"/>
      <c r="O278" s="4"/>
      <c r="P278" s="4"/>
      <c r="Q278" s="4"/>
      <c r="R278" s="4"/>
      <c r="S278" s="4"/>
      <c r="T278" s="53"/>
      <c r="U278" s="4"/>
      <c r="V278" s="4"/>
    </row>
    <row r="279" spans="1:22" ht="15.75" customHeight="1">
      <c r="A279" s="4"/>
      <c r="B279" s="4"/>
      <c r="C279" s="4"/>
      <c r="D279" s="4"/>
      <c r="E279" s="4"/>
      <c r="F279" s="4"/>
      <c r="G279" s="4"/>
      <c r="H279" s="4"/>
      <c r="I279" s="4"/>
      <c r="J279" s="4"/>
      <c r="K279" s="4"/>
      <c r="L279" s="4"/>
      <c r="M279" s="4"/>
      <c r="N279" s="4"/>
      <c r="O279" s="4"/>
      <c r="P279" s="4"/>
      <c r="Q279" s="4"/>
      <c r="R279" s="4"/>
      <c r="S279" s="4"/>
      <c r="T279" s="53"/>
      <c r="U279" s="4"/>
      <c r="V279" s="4"/>
    </row>
    <row r="280" spans="1:22" ht="15.75" customHeight="1">
      <c r="A280" s="4"/>
      <c r="B280" s="4"/>
      <c r="C280" s="4"/>
      <c r="D280" s="4"/>
      <c r="E280" s="4"/>
      <c r="F280" s="4"/>
      <c r="G280" s="4"/>
      <c r="H280" s="4"/>
      <c r="I280" s="4"/>
      <c r="J280" s="4"/>
      <c r="K280" s="4"/>
      <c r="L280" s="4"/>
      <c r="M280" s="4"/>
      <c r="N280" s="4"/>
      <c r="O280" s="4"/>
      <c r="P280" s="4"/>
      <c r="Q280" s="4"/>
      <c r="R280" s="4"/>
      <c r="S280" s="4"/>
      <c r="T280" s="53"/>
      <c r="U280" s="4"/>
      <c r="V280" s="4"/>
    </row>
    <row r="281" spans="1:22" ht="15.75" customHeight="1">
      <c r="A281" s="4"/>
      <c r="B281" s="4"/>
      <c r="C281" s="4"/>
      <c r="D281" s="4"/>
      <c r="E281" s="4"/>
      <c r="F281" s="4"/>
      <c r="G281" s="4"/>
      <c r="H281" s="4"/>
      <c r="I281" s="4"/>
      <c r="J281" s="4"/>
      <c r="K281" s="4"/>
      <c r="L281" s="4"/>
      <c r="M281" s="4"/>
      <c r="N281" s="4"/>
      <c r="O281" s="4"/>
      <c r="P281" s="4"/>
      <c r="Q281" s="4"/>
      <c r="R281" s="4"/>
      <c r="S281" s="4"/>
      <c r="T281" s="53"/>
      <c r="U281" s="4"/>
      <c r="V281" s="4"/>
    </row>
    <row r="282" spans="1:22" ht="15.75" customHeight="1">
      <c r="A282" s="4"/>
      <c r="B282" s="4"/>
      <c r="C282" s="4"/>
      <c r="D282" s="4"/>
      <c r="E282" s="4"/>
      <c r="F282" s="4"/>
      <c r="G282" s="4"/>
      <c r="H282" s="4"/>
      <c r="I282" s="4"/>
      <c r="J282" s="4"/>
      <c r="K282" s="4"/>
      <c r="L282" s="4"/>
      <c r="M282" s="4"/>
      <c r="N282" s="4"/>
      <c r="O282" s="4"/>
      <c r="P282" s="4"/>
      <c r="Q282" s="4"/>
      <c r="R282" s="4"/>
      <c r="S282" s="4"/>
      <c r="T282" s="53"/>
      <c r="U282" s="4"/>
      <c r="V282" s="4"/>
    </row>
    <row r="283" spans="1:22" ht="15.75" customHeight="1">
      <c r="A283" s="4"/>
      <c r="B283" s="4"/>
      <c r="C283" s="4"/>
      <c r="D283" s="4"/>
      <c r="E283" s="4"/>
      <c r="F283" s="4"/>
      <c r="G283" s="4"/>
      <c r="H283" s="4"/>
      <c r="I283" s="4"/>
      <c r="J283" s="4"/>
      <c r="K283" s="4"/>
      <c r="L283" s="4"/>
      <c r="M283" s="4"/>
      <c r="N283" s="4"/>
      <c r="O283" s="4"/>
      <c r="P283" s="4"/>
      <c r="Q283" s="4"/>
      <c r="R283" s="4"/>
      <c r="S283" s="4"/>
      <c r="T283" s="53"/>
      <c r="U283" s="4"/>
      <c r="V283" s="4"/>
    </row>
    <row r="284" spans="1:22" ht="15.75" customHeight="1">
      <c r="A284" s="4"/>
      <c r="B284" s="4"/>
      <c r="C284" s="4"/>
      <c r="D284" s="4"/>
      <c r="E284" s="4"/>
      <c r="F284" s="4"/>
      <c r="G284" s="4"/>
      <c r="H284" s="4"/>
      <c r="I284" s="4"/>
      <c r="J284" s="4"/>
      <c r="K284" s="4"/>
      <c r="L284" s="4"/>
      <c r="M284" s="4"/>
      <c r="N284" s="4"/>
      <c r="O284" s="4"/>
      <c r="P284" s="4"/>
      <c r="Q284" s="4"/>
      <c r="R284" s="4"/>
      <c r="S284" s="4"/>
      <c r="T284" s="53"/>
      <c r="U284" s="4"/>
      <c r="V284" s="4"/>
    </row>
    <row r="285" spans="1:22" ht="15.75" customHeight="1">
      <c r="A285" s="4"/>
      <c r="B285" s="4"/>
      <c r="C285" s="4"/>
      <c r="D285" s="4"/>
      <c r="E285" s="4"/>
      <c r="F285" s="4"/>
      <c r="G285" s="4"/>
      <c r="H285" s="4"/>
      <c r="I285" s="4"/>
      <c r="J285" s="4"/>
      <c r="K285" s="4"/>
      <c r="L285" s="4"/>
      <c r="M285" s="4"/>
      <c r="N285" s="4"/>
      <c r="O285" s="4"/>
      <c r="P285" s="4"/>
      <c r="Q285" s="4"/>
      <c r="R285" s="4"/>
      <c r="S285" s="4"/>
      <c r="T285" s="53"/>
      <c r="U285" s="4"/>
      <c r="V285" s="4"/>
    </row>
    <row r="286" spans="1:22" ht="15.75" customHeight="1">
      <c r="A286" s="4"/>
      <c r="B286" s="4"/>
      <c r="C286" s="4"/>
      <c r="D286" s="4"/>
      <c r="E286" s="4"/>
      <c r="F286" s="4"/>
      <c r="G286" s="4"/>
      <c r="H286" s="4"/>
      <c r="I286" s="4"/>
      <c r="J286" s="4"/>
      <c r="K286" s="4"/>
      <c r="L286" s="4"/>
      <c r="M286" s="4"/>
      <c r="N286" s="4"/>
      <c r="O286" s="4"/>
      <c r="P286" s="4"/>
      <c r="Q286" s="4"/>
      <c r="R286" s="4"/>
      <c r="S286" s="4"/>
      <c r="T286" s="53"/>
      <c r="U286" s="4"/>
      <c r="V286" s="4"/>
    </row>
    <row r="287" spans="1:22" ht="15.75" customHeight="1">
      <c r="A287" s="4"/>
      <c r="B287" s="4"/>
      <c r="C287" s="4"/>
      <c r="D287" s="4"/>
      <c r="E287" s="4"/>
      <c r="F287" s="4"/>
      <c r="G287" s="4"/>
      <c r="H287" s="4"/>
      <c r="I287" s="4"/>
      <c r="J287" s="4"/>
      <c r="K287" s="4"/>
      <c r="L287" s="4"/>
      <c r="M287" s="4"/>
      <c r="N287" s="4"/>
      <c r="O287" s="4"/>
      <c r="P287" s="4"/>
      <c r="Q287" s="4"/>
      <c r="R287" s="4"/>
      <c r="S287" s="4"/>
      <c r="T287" s="53"/>
      <c r="U287" s="4"/>
      <c r="V287" s="4"/>
    </row>
    <row r="288" spans="1:22" ht="15.75" customHeight="1">
      <c r="A288" s="4"/>
      <c r="B288" s="4"/>
      <c r="C288" s="4"/>
      <c r="D288" s="4"/>
      <c r="E288" s="4"/>
      <c r="F288" s="4"/>
      <c r="G288" s="4"/>
      <c r="H288" s="4"/>
      <c r="I288" s="4"/>
      <c r="J288" s="4"/>
      <c r="K288" s="4"/>
      <c r="L288" s="4"/>
      <c r="M288" s="4"/>
      <c r="N288" s="4"/>
      <c r="O288" s="4"/>
      <c r="P288" s="4"/>
      <c r="Q288" s="4"/>
      <c r="R288" s="4"/>
      <c r="S288" s="4"/>
      <c r="T288" s="53"/>
      <c r="U288" s="4"/>
      <c r="V288" s="4"/>
    </row>
    <row r="289" spans="1:22" ht="15.75" customHeight="1">
      <c r="A289" s="4"/>
      <c r="B289" s="4"/>
      <c r="C289" s="4"/>
      <c r="D289" s="4"/>
      <c r="E289" s="4"/>
      <c r="F289" s="4"/>
      <c r="G289" s="4"/>
      <c r="H289" s="4"/>
      <c r="I289" s="4"/>
      <c r="J289" s="4"/>
      <c r="K289" s="4"/>
      <c r="L289" s="4"/>
      <c r="M289" s="4"/>
      <c r="N289" s="4"/>
      <c r="O289" s="4"/>
      <c r="P289" s="4"/>
      <c r="Q289" s="4"/>
      <c r="R289" s="4"/>
      <c r="S289" s="4"/>
      <c r="T289" s="53"/>
      <c r="U289" s="4"/>
      <c r="V289" s="4"/>
    </row>
    <row r="290" spans="1:22" ht="15.75" customHeight="1">
      <c r="A290" s="4"/>
      <c r="B290" s="4"/>
      <c r="C290" s="4"/>
      <c r="D290" s="4"/>
      <c r="E290" s="4"/>
      <c r="F290" s="4"/>
      <c r="G290" s="4"/>
      <c r="H290" s="4"/>
      <c r="I290" s="4"/>
      <c r="J290" s="4"/>
      <c r="K290" s="4"/>
      <c r="L290" s="4"/>
      <c r="M290" s="4"/>
      <c r="N290" s="4"/>
      <c r="O290" s="4"/>
      <c r="P290" s="4"/>
      <c r="Q290" s="4"/>
      <c r="R290" s="4"/>
      <c r="S290" s="4"/>
      <c r="T290" s="53"/>
      <c r="U290" s="4"/>
      <c r="V290" s="4"/>
    </row>
    <row r="291" spans="1:22" ht="15.75" customHeight="1">
      <c r="A291" s="4"/>
      <c r="B291" s="4"/>
      <c r="C291" s="4"/>
      <c r="D291" s="4"/>
      <c r="E291" s="4"/>
      <c r="F291" s="4"/>
      <c r="G291" s="4"/>
      <c r="H291" s="4"/>
      <c r="I291" s="4"/>
      <c r="J291" s="4"/>
      <c r="K291" s="4"/>
      <c r="L291" s="4"/>
      <c r="M291" s="4"/>
      <c r="N291" s="4"/>
      <c r="O291" s="4"/>
      <c r="P291" s="4"/>
      <c r="Q291" s="4"/>
      <c r="R291" s="4"/>
      <c r="S291" s="4"/>
      <c r="T291" s="53"/>
      <c r="U291" s="4"/>
      <c r="V291" s="4"/>
    </row>
    <row r="292" spans="1:22" ht="15.75" customHeight="1">
      <c r="A292" s="4"/>
      <c r="B292" s="4"/>
      <c r="C292" s="4"/>
      <c r="D292" s="4"/>
      <c r="E292" s="4"/>
      <c r="F292" s="4"/>
      <c r="G292" s="4"/>
      <c r="H292" s="4"/>
      <c r="I292" s="4"/>
      <c r="J292" s="4"/>
      <c r="K292" s="4"/>
      <c r="L292" s="4"/>
      <c r="M292" s="4"/>
      <c r="N292" s="4"/>
      <c r="O292" s="4"/>
      <c r="P292" s="4"/>
      <c r="Q292" s="4"/>
      <c r="R292" s="4"/>
      <c r="S292" s="4"/>
      <c r="T292" s="53"/>
      <c r="U292" s="4"/>
      <c r="V292" s="4"/>
    </row>
    <row r="293" spans="1:22" ht="15.75" customHeight="1">
      <c r="A293" s="4"/>
      <c r="B293" s="4"/>
      <c r="C293" s="4"/>
      <c r="D293" s="4"/>
      <c r="E293" s="4"/>
      <c r="F293" s="4"/>
      <c r="G293" s="4"/>
      <c r="H293" s="4"/>
      <c r="I293" s="4"/>
      <c r="J293" s="4"/>
      <c r="K293" s="4"/>
      <c r="L293" s="4"/>
      <c r="M293" s="4"/>
      <c r="N293" s="4"/>
      <c r="O293" s="4"/>
      <c r="P293" s="4"/>
      <c r="Q293" s="4"/>
      <c r="R293" s="4"/>
      <c r="S293" s="4"/>
      <c r="T293" s="53"/>
      <c r="U293" s="4"/>
      <c r="V293" s="4"/>
    </row>
    <row r="294" spans="1:22" ht="15.75" customHeight="1">
      <c r="A294" s="4"/>
      <c r="B294" s="4"/>
      <c r="C294" s="4"/>
      <c r="D294" s="4"/>
      <c r="E294" s="4"/>
      <c r="F294" s="4"/>
      <c r="G294" s="4"/>
      <c r="H294" s="4"/>
      <c r="I294" s="4"/>
      <c r="J294" s="4"/>
      <c r="K294" s="4"/>
      <c r="L294" s="4"/>
      <c r="M294" s="4"/>
      <c r="N294" s="4"/>
      <c r="O294" s="4"/>
      <c r="P294" s="4"/>
      <c r="Q294" s="4"/>
      <c r="R294" s="4"/>
      <c r="S294" s="4"/>
      <c r="T294" s="53"/>
      <c r="U294" s="4"/>
      <c r="V294" s="4"/>
    </row>
    <row r="295" spans="1:22" ht="15.75" customHeight="1">
      <c r="A295" s="4"/>
      <c r="B295" s="4"/>
      <c r="C295" s="4"/>
      <c r="D295" s="4"/>
      <c r="E295" s="4"/>
      <c r="F295" s="4"/>
      <c r="G295" s="4"/>
      <c r="H295" s="4"/>
      <c r="I295" s="4"/>
      <c r="J295" s="4"/>
      <c r="K295" s="4"/>
      <c r="L295" s="4"/>
      <c r="M295" s="4"/>
      <c r="N295" s="4"/>
      <c r="O295" s="4"/>
      <c r="P295" s="4"/>
      <c r="Q295" s="4"/>
      <c r="R295" s="4"/>
      <c r="S295" s="4"/>
      <c r="T295" s="53"/>
      <c r="U295" s="4"/>
      <c r="V295" s="4"/>
    </row>
    <row r="296" spans="1:22" ht="15.75" customHeight="1">
      <c r="A296" s="4"/>
      <c r="B296" s="4"/>
      <c r="C296" s="4"/>
      <c r="D296" s="4"/>
      <c r="E296" s="4"/>
      <c r="F296" s="4"/>
      <c r="G296" s="4"/>
      <c r="H296" s="4"/>
      <c r="I296" s="4"/>
      <c r="J296" s="4"/>
      <c r="K296" s="4"/>
      <c r="L296" s="4"/>
      <c r="M296" s="4"/>
      <c r="N296" s="4"/>
      <c r="O296" s="4"/>
      <c r="P296" s="4"/>
      <c r="Q296" s="4"/>
      <c r="R296" s="4"/>
      <c r="S296" s="4"/>
      <c r="T296" s="53"/>
      <c r="U296" s="4"/>
      <c r="V296" s="4"/>
    </row>
    <row r="297" spans="1:22" ht="15.75" customHeight="1">
      <c r="A297" s="4"/>
      <c r="B297" s="4"/>
      <c r="C297" s="4"/>
      <c r="D297" s="4"/>
      <c r="E297" s="4"/>
      <c r="F297" s="4"/>
      <c r="G297" s="4"/>
      <c r="H297" s="4"/>
      <c r="I297" s="4"/>
      <c r="J297" s="4"/>
      <c r="K297" s="4"/>
      <c r="L297" s="4"/>
      <c r="M297" s="4"/>
      <c r="N297" s="4"/>
      <c r="O297" s="4"/>
      <c r="P297" s="4"/>
      <c r="Q297" s="4"/>
      <c r="R297" s="4"/>
      <c r="S297" s="4"/>
      <c r="T297" s="53"/>
      <c r="U297" s="4"/>
      <c r="V297" s="4"/>
    </row>
    <row r="298" spans="1:22" ht="15.75" customHeight="1">
      <c r="A298" s="4"/>
      <c r="B298" s="4"/>
      <c r="C298" s="4"/>
      <c r="D298" s="4"/>
      <c r="E298" s="4"/>
      <c r="F298" s="4"/>
      <c r="G298" s="4"/>
      <c r="H298" s="4"/>
      <c r="I298" s="4"/>
      <c r="J298" s="4"/>
      <c r="K298" s="4"/>
      <c r="L298" s="4"/>
      <c r="M298" s="4"/>
      <c r="N298" s="4"/>
      <c r="O298" s="4"/>
      <c r="P298" s="4"/>
      <c r="Q298" s="4"/>
      <c r="R298" s="4"/>
      <c r="S298" s="4"/>
      <c r="T298" s="53"/>
      <c r="U298" s="4"/>
      <c r="V298" s="4"/>
    </row>
    <row r="299" spans="1:22" ht="15.75" customHeight="1">
      <c r="A299" s="4"/>
      <c r="B299" s="4"/>
      <c r="C299" s="4"/>
      <c r="D299" s="4"/>
      <c r="E299" s="4"/>
      <c r="F299" s="4"/>
      <c r="G299" s="4"/>
      <c r="H299" s="4"/>
      <c r="I299" s="4"/>
      <c r="J299" s="4"/>
      <c r="K299" s="4"/>
      <c r="L299" s="4"/>
      <c r="M299" s="4"/>
      <c r="N299" s="4"/>
      <c r="O299" s="4"/>
      <c r="P299" s="4"/>
      <c r="Q299" s="4"/>
      <c r="R299" s="4"/>
      <c r="S299" s="4"/>
      <c r="T299" s="53"/>
      <c r="U299" s="4"/>
      <c r="V299" s="4"/>
    </row>
    <row r="300" spans="1:22" ht="15.75" customHeight="1">
      <c r="A300" s="4"/>
      <c r="B300" s="4"/>
      <c r="C300" s="4"/>
      <c r="D300" s="4"/>
      <c r="E300" s="4"/>
      <c r="F300" s="4"/>
      <c r="G300" s="4"/>
      <c r="H300" s="4"/>
      <c r="I300" s="4"/>
      <c r="J300" s="4"/>
      <c r="K300" s="4"/>
      <c r="L300" s="4"/>
      <c r="M300" s="4"/>
      <c r="N300" s="4"/>
      <c r="O300" s="4"/>
      <c r="P300" s="4"/>
      <c r="Q300" s="4"/>
      <c r="R300" s="4"/>
      <c r="S300" s="4"/>
      <c r="T300" s="53"/>
      <c r="U300" s="4"/>
      <c r="V300" s="4"/>
    </row>
    <row r="301" spans="1:22" ht="15.75" customHeight="1">
      <c r="A301" s="4"/>
      <c r="B301" s="4"/>
      <c r="C301" s="4"/>
      <c r="D301" s="4"/>
      <c r="E301" s="4"/>
      <c r="F301" s="4"/>
      <c r="G301" s="4"/>
      <c r="H301" s="4"/>
      <c r="I301" s="4"/>
      <c r="J301" s="4"/>
      <c r="K301" s="4"/>
      <c r="L301" s="4"/>
      <c r="M301" s="4"/>
      <c r="N301" s="4"/>
      <c r="O301" s="4"/>
      <c r="P301" s="4"/>
      <c r="Q301" s="4"/>
      <c r="R301" s="4"/>
      <c r="S301" s="4"/>
      <c r="T301" s="53"/>
      <c r="U301" s="4"/>
      <c r="V301" s="4"/>
    </row>
    <row r="302" spans="1:22" ht="15.75" customHeight="1">
      <c r="A302" s="4"/>
      <c r="B302" s="4"/>
      <c r="C302" s="4"/>
      <c r="D302" s="4"/>
      <c r="E302" s="4"/>
      <c r="F302" s="4"/>
      <c r="G302" s="4"/>
      <c r="H302" s="4"/>
      <c r="I302" s="4"/>
      <c r="J302" s="4"/>
      <c r="K302" s="4"/>
      <c r="L302" s="4"/>
      <c r="M302" s="4"/>
      <c r="N302" s="4"/>
      <c r="O302" s="4"/>
      <c r="P302" s="4"/>
      <c r="Q302" s="4"/>
      <c r="R302" s="4"/>
      <c r="S302" s="4"/>
      <c r="T302" s="4"/>
      <c r="U302" s="4"/>
      <c r="V302" s="4"/>
    </row>
    <row r="303" spans="1:22" ht="15.75" customHeight="1">
      <c r="A303" s="4"/>
      <c r="B303" s="4"/>
      <c r="C303" s="4"/>
      <c r="D303" s="4"/>
      <c r="E303" s="4"/>
      <c r="F303" s="4"/>
      <c r="G303" s="4"/>
      <c r="H303" s="4"/>
      <c r="I303" s="4"/>
      <c r="J303" s="4"/>
      <c r="K303" s="4"/>
      <c r="L303" s="4"/>
      <c r="M303" s="4"/>
      <c r="N303" s="4"/>
      <c r="O303" s="4"/>
      <c r="P303" s="4"/>
      <c r="Q303" s="4"/>
      <c r="R303" s="4"/>
      <c r="S303" s="4"/>
      <c r="T303" s="4"/>
      <c r="U303" s="4"/>
      <c r="V303" s="4"/>
    </row>
    <row r="304" spans="1:22" ht="15.75" customHeight="1">
      <c r="A304" s="4"/>
      <c r="B304" s="4"/>
      <c r="C304" s="4"/>
      <c r="D304" s="4"/>
      <c r="E304" s="4"/>
      <c r="F304" s="4"/>
      <c r="G304" s="4"/>
      <c r="H304" s="4"/>
      <c r="I304" s="4"/>
      <c r="J304" s="4"/>
      <c r="K304" s="4"/>
      <c r="L304" s="4"/>
      <c r="M304" s="4"/>
      <c r="N304" s="4"/>
      <c r="O304" s="4"/>
      <c r="P304" s="4"/>
      <c r="Q304" s="4"/>
      <c r="R304" s="4"/>
      <c r="S304" s="4"/>
      <c r="T304" s="4"/>
      <c r="U304" s="4"/>
      <c r="V304" s="4"/>
    </row>
    <row r="305" spans="1:22" ht="15.75" customHeight="1">
      <c r="A305" s="4"/>
      <c r="B305" s="4"/>
      <c r="C305" s="4"/>
      <c r="D305" s="4"/>
      <c r="E305" s="4"/>
      <c r="F305" s="4"/>
      <c r="G305" s="4"/>
      <c r="H305" s="4"/>
      <c r="I305" s="4"/>
      <c r="J305" s="4"/>
      <c r="K305" s="4"/>
      <c r="L305" s="4"/>
      <c r="M305" s="4"/>
      <c r="N305" s="4"/>
      <c r="O305" s="4"/>
      <c r="P305" s="4"/>
      <c r="Q305" s="4"/>
      <c r="R305" s="4"/>
      <c r="S305" s="4"/>
      <c r="T305" s="4"/>
      <c r="U305" s="4"/>
      <c r="V305" s="4"/>
    </row>
    <row r="306" spans="1:22" ht="15.75" customHeight="1">
      <c r="A306" s="4"/>
      <c r="B306" s="4"/>
      <c r="C306" s="4"/>
      <c r="D306" s="4"/>
      <c r="E306" s="4"/>
      <c r="F306" s="4"/>
      <c r="G306" s="4"/>
      <c r="H306" s="4"/>
      <c r="I306" s="4"/>
      <c r="J306" s="4"/>
      <c r="K306" s="4"/>
      <c r="L306" s="4"/>
      <c r="M306" s="4"/>
      <c r="N306" s="4"/>
      <c r="O306" s="4"/>
      <c r="P306" s="4"/>
      <c r="Q306" s="4"/>
      <c r="R306" s="4"/>
      <c r="S306" s="4"/>
      <c r="T306" s="4"/>
      <c r="U306" s="4"/>
      <c r="V306" s="4"/>
    </row>
    <row r="307" spans="1:22" ht="15.75" customHeight="1">
      <c r="A307" s="4"/>
      <c r="B307" s="4"/>
      <c r="C307" s="4"/>
      <c r="D307" s="4"/>
      <c r="E307" s="4"/>
      <c r="F307" s="4"/>
      <c r="G307" s="4"/>
      <c r="H307" s="4"/>
      <c r="I307" s="4"/>
      <c r="J307" s="4"/>
      <c r="K307" s="4"/>
      <c r="L307" s="4"/>
      <c r="M307" s="4"/>
      <c r="N307" s="4"/>
      <c r="O307" s="4"/>
      <c r="P307" s="4"/>
      <c r="Q307" s="4"/>
      <c r="R307" s="4"/>
      <c r="S307" s="4"/>
      <c r="T307" s="4"/>
      <c r="U307" s="4"/>
      <c r="V307" s="4"/>
    </row>
    <row r="308" spans="1:22" ht="15.75" customHeight="1">
      <c r="A308" s="4"/>
      <c r="B308" s="4"/>
      <c r="C308" s="4"/>
      <c r="D308" s="4"/>
      <c r="E308" s="4"/>
      <c r="F308" s="4"/>
      <c r="G308" s="4"/>
      <c r="H308" s="4"/>
      <c r="I308" s="4"/>
      <c r="J308" s="4"/>
      <c r="K308" s="4"/>
      <c r="L308" s="4"/>
      <c r="M308" s="4"/>
      <c r="N308" s="4"/>
      <c r="O308" s="4"/>
      <c r="P308" s="4"/>
      <c r="Q308" s="4"/>
      <c r="R308" s="4"/>
      <c r="S308" s="4"/>
      <c r="T308" s="4"/>
      <c r="U308" s="4"/>
      <c r="V308" s="4"/>
    </row>
    <row r="309" spans="1:22" ht="15.75" customHeight="1">
      <c r="A309" s="4"/>
      <c r="B309" s="4"/>
      <c r="C309" s="4"/>
      <c r="D309" s="4"/>
      <c r="E309" s="4"/>
      <c r="F309" s="4"/>
      <c r="G309" s="4"/>
      <c r="H309" s="4"/>
      <c r="I309" s="4"/>
      <c r="J309" s="4"/>
      <c r="K309" s="4"/>
      <c r="L309" s="4"/>
      <c r="M309" s="4"/>
      <c r="N309" s="4"/>
      <c r="O309" s="4"/>
      <c r="P309" s="4"/>
      <c r="Q309" s="4"/>
      <c r="R309" s="4"/>
      <c r="S309" s="4"/>
      <c r="T309" s="4"/>
      <c r="U309" s="4"/>
      <c r="V309" s="4"/>
    </row>
    <row r="310" spans="1:22" ht="15.75" customHeight="1">
      <c r="A310" s="4"/>
      <c r="B310" s="4"/>
      <c r="C310" s="4"/>
      <c r="D310" s="4"/>
      <c r="E310" s="4"/>
      <c r="F310" s="4"/>
      <c r="G310" s="4"/>
      <c r="H310" s="4"/>
      <c r="I310" s="4"/>
      <c r="J310" s="4"/>
      <c r="K310" s="4"/>
      <c r="L310" s="4"/>
      <c r="M310" s="4"/>
      <c r="N310" s="4"/>
      <c r="O310" s="4"/>
      <c r="P310" s="4"/>
      <c r="Q310" s="4"/>
      <c r="R310" s="4"/>
      <c r="S310" s="4"/>
      <c r="T310" s="4"/>
      <c r="U310" s="4"/>
      <c r="V310" s="4"/>
    </row>
    <row r="311" spans="1:22" ht="15.75" customHeight="1">
      <c r="A311" s="4"/>
      <c r="B311" s="4"/>
      <c r="C311" s="4"/>
      <c r="D311" s="4"/>
      <c r="E311" s="4"/>
      <c r="F311" s="4"/>
      <c r="G311" s="4"/>
      <c r="H311" s="4"/>
      <c r="I311" s="4"/>
      <c r="J311" s="4"/>
      <c r="K311" s="4"/>
      <c r="L311" s="4"/>
      <c r="M311" s="4"/>
      <c r="N311" s="4"/>
      <c r="O311" s="4"/>
      <c r="P311" s="4"/>
      <c r="Q311" s="4"/>
      <c r="R311" s="4"/>
      <c r="S311" s="4"/>
      <c r="T311" s="4"/>
      <c r="U311" s="4"/>
      <c r="V311" s="4"/>
    </row>
    <row r="312" spans="1:22" ht="15.75" customHeight="1">
      <c r="A312" s="4"/>
      <c r="B312" s="4"/>
      <c r="C312" s="4"/>
      <c r="D312" s="4"/>
      <c r="E312" s="4"/>
      <c r="F312" s="4"/>
      <c r="G312" s="4"/>
      <c r="H312" s="4"/>
      <c r="I312" s="4"/>
      <c r="J312" s="4"/>
      <c r="K312" s="4"/>
      <c r="L312" s="4"/>
      <c r="M312" s="4"/>
      <c r="N312" s="4"/>
      <c r="O312" s="4"/>
      <c r="P312" s="4"/>
      <c r="Q312" s="4"/>
      <c r="R312" s="4"/>
      <c r="S312" s="4"/>
      <c r="T312" s="4"/>
      <c r="U312" s="4"/>
      <c r="V312" s="4"/>
    </row>
    <row r="313" spans="1:22" ht="15.75" customHeight="1">
      <c r="A313" s="4"/>
      <c r="B313" s="4"/>
      <c r="C313" s="4"/>
      <c r="D313" s="4"/>
      <c r="E313" s="4"/>
      <c r="F313" s="4"/>
      <c r="G313" s="4"/>
      <c r="H313" s="4"/>
      <c r="I313" s="4"/>
      <c r="J313" s="4"/>
      <c r="K313" s="4"/>
      <c r="L313" s="4"/>
      <c r="M313" s="4"/>
      <c r="N313" s="4"/>
      <c r="O313" s="4"/>
      <c r="P313" s="4"/>
      <c r="Q313" s="4"/>
      <c r="R313" s="4"/>
      <c r="S313" s="4"/>
      <c r="T313" s="4"/>
      <c r="U313" s="4"/>
      <c r="V313" s="4"/>
    </row>
    <row r="314" spans="1:22" ht="15.75" customHeight="1">
      <c r="A314" s="4"/>
      <c r="B314" s="4"/>
      <c r="C314" s="4"/>
      <c r="D314" s="4"/>
      <c r="E314" s="4"/>
      <c r="F314" s="4"/>
      <c r="G314" s="4"/>
      <c r="H314" s="4"/>
      <c r="I314" s="4"/>
      <c r="J314" s="4"/>
      <c r="K314" s="4"/>
      <c r="L314" s="4"/>
      <c r="M314" s="4"/>
      <c r="N314" s="4"/>
      <c r="O314" s="4"/>
      <c r="P314" s="4"/>
      <c r="Q314" s="4"/>
      <c r="R314" s="4"/>
      <c r="S314" s="4"/>
      <c r="T314" s="4"/>
      <c r="U314" s="4"/>
      <c r="V314" s="4"/>
    </row>
    <row r="315" spans="1:22" ht="15.75" customHeight="1">
      <c r="A315" s="4"/>
      <c r="B315" s="4"/>
      <c r="C315" s="4"/>
      <c r="D315" s="4"/>
      <c r="E315" s="4"/>
      <c r="F315" s="4"/>
      <c r="G315" s="4"/>
      <c r="H315" s="4"/>
      <c r="I315" s="4"/>
      <c r="J315" s="4"/>
      <c r="K315" s="4"/>
      <c r="L315" s="4"/>
      <c r="M315" s="4"/>
      <c r="N315" s="4"/>
      <c r="O315" s="4"/>
      <c r="P315" s="4"/>
      <c r="Q315" s="4"/>
      <c r="R315" s="4"/>
      <c r="S315" s="4"/>
      <c r="T315" s="4"/>
      <c r="U315" s="4"/>
      <c r="V315" s="4"/>
    </row>
    <row r="316" spans="1:22" ht="15.75" customHeight="1">
      <c r="A316" s="4"/>
      <c r="B316" s="4"/>
      <c r="C316" s="4"/>
      <c r="D316" s="4"/>
      <c r="E316" s="4"/>
      <c r="F316" s="4"/>
      <c r="G316" s="4"/>
      <c r="H316" s="4"/>
      <c r="I316" s="4"/>
      <c r="J316" s="4"/>
      <c r="K316" s="4"/>
      <c r="L316" s="4"/>
      <c r="M316" s="4"/>
      <c r="N316" s="4"/>
      <c r="O316" s="4"/>
      <c r="P316" s="4"/>
      <c r="Q316" s="4"/>
      <c r="R316" s="4"/>
      <c r="S316" s="4"/>
      <c r="T316" s="4"/>
      <c r="U316" s="4"/>
      <c r="V316" s="4"/>
    </row>
    <row r="317" spans="1:22" ht="15.75" customHeight="1">
      <c r="A317" s="4"/>
      <c r="B317" s="4"/>
      <c r="C317" s="4"/>
      <c r="D317" s="4"/>
      <c r="E317" s="4"/>
      <c r="F317" s="4"/>
      <c r="G317" s="4"/>
      <c r="H317" s="4"/>
      <c r="I317" s="4"/>
      <c r="J317" s="4"/>
      <c r="K317" s="4"/>
      <c r="L317" s="4"/>
      <c r="M317" s="4"/>
      <c r="N317" s="4"/>
      <c r="O317" s="4"/>
      <c r="P317" s="4"/>
      <c r="Q317" s="4"/>
      <c r="R317" s="4"/>
      <c r="S317" s="4"/>
      <c r="T317" s="4"/>
      <c r="U317" s="4"/>
      <c r="V317" s="4"/>
    </row>
    <row r="318" spans="1:22" ht="15.75" customHeight="1">
      <c r="A318" s="4"/>
      <c r="B318" s="4"/>
      <c r="C318" s="4"/>
      <c r="D318" s="4"/>
      <c r="E318" s="4"/>
      <c r="F318" s="4"/>
      <c r="G318" s="4"/>
      <c r="H318" s="4"/>
      <c r="I318" s="4"/>
      <c r="J318" s="4"/>
      <c r="K318" s="4"/>
      <c r="L318" s="4"/>
      <c r="M318" s="4"/>
      <c r="N318" s="4"/>
      <c r="O318" s="4"/>
      <c r="P318" s="4"/>
      <c r="Q318" s="4"/>
      <c r="R318" s="4"/>
      <c r="S318" s="4"/>
      <c r="T318" s="4"/>
      <c r="U318" s="4"/>
      <c r="V318" s="4"/>
    </row>
    <row r="319" spans="1:22" ht="15.75" customHeight="1">
      <c r="A319" s="4"/>
      <c r="B319" s="4"/>
      <c r="C319" s="4"/>
      <c r="D319" s="4"/>
      <c r="E319" s="4"/>
      <c r="F319" s="4"/>
      <c r="G319" s="4"/>
      <c r="H319" s="4"/>
      <c r="I319" s="4"/>
      <c r="J319" s="4"/>
      <c r="K319" s="4"/>
      <c r="L319" s="4"/>
      <c r="M319" s="4"/>
      <c r="N319" s="4"/>
      <c r="O319" s="4"/>
      <c r="P319" s="4"/>
      <c r="Q319" s="4"/>
      <c r="R319" s="4"/>
      <c r="S319" s="4"/>
      <c r="T319" s="4"/>
      <c r="U319" s="4"/>
      <c r="V319" s="4"/>
    </row>
    <row r="320" spans="1:22" ht="15.75" customHeight="1">
      <c r="A320" s="4"/>
      <c r="B320" s="4"/>
      <c r="C320" s="4"/>
      <c r="D320" s="4"/>
      <c r="E320" s="4"/>
      <c r="F320" s="4"/>
      <c r="G320" s="4"/>
      <c r="H320" s="4"/>
      <c r="I320" s="4"/>
      <c r="J320" s="4"/>
      <c r="K320" s="4"/>
      <c r="L320" s="4"/>
      <c r="M320" s="4"/>
      <c r="N320" s="4"/>
      <c r="O320" s="4"/>
      <c r="P320" s="4"/>
      <c r="Q320" s="4"/>
      <c r="R320" s="4"/>
      <c r="S320" s="4"/>
      <c r="T320" s="4"/>
      <c r="U320" s="4"/>
      <c r="V320" s="4"/>
    </row>
    <row r="321" spans="1:22" ht="15.75" customHeight="1">
      <c r="A321" s="4"/>
      <c r="B321" s="4"/>
      <c r="C321" s="4"/>
      <c r="D321" s="4"/>
      <c r="E321" s="4"/>
      <c r="F321" s="4"/>
      <c r="G321" s="4"/>
      <c r="H321" s="4"/>
      <c r="I321" s="4"/>
      <c r="J321" s="4"/>
      <c r="K321" s="4"/>
      <c r="L321" s="4"/>
      <c r="M321" s="4"/>
      <c r="N321" s="4"/>
      <c r="O321" s="4"/>
      <c r="P321" s="4"/>
      <c r="Q321" s="4"/>
      <c r="R321" s="4"/>
      <c r="S321" s="4"/>
      <c r="T321" s="4"/>
      <c r="U321" s="4"/>
      <c r="V321" s="4"/>
    </row>
    <row r="322" spans="1:22" ht="15.75" customHeight="1">
      <c r="A322" s="4"/>
      <c r="B322" s="4"/>
      <c r="C322" s="4"/>
      <c r="D322" s="4"/>
      <c r="E322" s="4"/>
      <c r="F322" s="4"/>
      <c r="G322" s="4"/>
      <c r="H322" s="4"/>
      <c r="I322" s="4"/>
      <c r="J322" s="4"/>
      <c r="K322" s="4"/>
      <c r="L322" s="4"/>
      <c r="M322" s="4"/>
      <c r="N322" s="4"/>
      <c r="O322" s="4"/>
      <c r="P322" s="4"/>
      <c r="Q322" s="4"/>
      <c r="R322" s="4"/>
      <c r="S322" s="4"/>
      <c r="T322" s="4"/>
      <c r="U322" s="4"/>
      <c r="V322" s="4"/>
    </row>
    <row r="323" spans="1:22" ht="15.75" customHeight="1">
      <c r="A323" s="4"/>
      <c r="B323" s="4"/>
      <c r="C323" s="4"/>
      <c r="D323" s="4"/>
      <c r="E323" s="4"/>
      <c r="F323" s="4"/>
      <c r="G323" s="4"/>
      <c r="H323" s="4"/>
      <c r="I323" s="4"/>
      <c r="J323" s="4"/>
      <c r="K323" s="4"/>
      <c r="L323" s="4"/>
      <c r="M323" s="4"/>
      <c r="N323" s="4"/>
      <c r="O323" s="4"/>
      <c r="P323" s="4"/>
      <c r="Q323" s="4"/>
      <c r="R323" s="4"/>
      <c r="S323" s="4"/>
      <c r="T323" s="4"/>
      <c r="U323" s="4"/>
      <c r="V323" s="4"/>
    </row>
    <row r="324" spans="1:22" ht="15.75" customHeight="1">
      <c r="A324" s="4"/>
      <c r="B324" s="4"/>
      <c r="C324" s="4"/>
      <c r="D324" s="4"/>
      <c r="E324" s="4"/>
      <c r="F324" s="4"/>
      <c r="G324" s="4"/>
      <c r="H324" s="4"/>
      <c r="I324" s="4"/>
      <c r="J324" s="4"/>
      <c r="K324" s="4"/>
      <c r="L324" s="4"/>
      <c r="M324" s="4"/>
      <c r="N324" s="4"/>
      <c r="O324" s="4"/>
      <c r="P324" s="4"/>
      <c r="Q324" s="4"/>
      <c r="R324" s="4"/>
      <c r="S324" s="4"/>
      <c r="T324" s="4"/>
      <c r="U324" s="4"/>
      <c r="V324" s="4"/>
    </row>
    <row r="325" spans="1:22" ht="15.75" customHeight="1">
      <c r="A325" s="4"/>
      <c r="B325" s="4"/>
      <c r="C325" s="4"/>
      <c r="D325" s="4"/>
      <c r="E325" s="4"/>
      <c r="F325" s="4"/>
      <c r="G325" s="4"/>
      <c r="H325" s="4"/>
      <c r="I325" s="4"/>
      <c r="J325" s="4"/>
      <c r="K325" s="4"/>
      <c r="L325" s="4"/>
      <c r="M325" s="4"/>
      <c r="N325" s="4"/>
      <c r="O325" s="4"/>
      <c r="P325" s="4"/>
      <c r="Q325" s="4"/>
      <c r="R325" s="4"/>
      <c r="S325" s="4"/>
      <c r="T325" s="4"/>
      <c r="U325" s="4"/>
      <c r="V325" s="4"/>
    </row>
    <row r="326" spans="1:22" ht="15.75" customHeight="1">
      <c r="A326" s="4"/>
      <c r="B326" s="4"/>
      <c r="C326" s="4"/>
      <c r="D326" s="4"/>
      <c r="E326" s="4"/>
      <c r="F326" s="4"/>
      <c r="G326" s="4"/>
      <c r="H326" s="4"/>
      <c r="I326" s="4"/>
      <c r="J326" s="4"/>
      <c r="K326" s="4"/>
      <c r="L326" s="4"/>
      <c r="M326" s="4"/>
      <c r="N326" s="4"/>
      <c r="O326" s="4"/>
      <c r="P326" s="4"/>
      <c r="Q326" s="4"/>
      <c r="R326" s="4"/>
      <c r="S326" s="4"/>
      <c r="T326" s="4"/>
      <c r="U326" s="4"/>
      <c r="V326" s="4"/>
    </row>
    <row r="327" spans="1:22" ht="15.75" customHeight="1">
      <c r="A327" s="4"/>
      <c r="B327" s="4"/>
      <c r="C327" s="4"/>
      <c r="D327" s="4"/>
      <c r="E327" s="4"/>
      <c r="F327" s="4"/>
      <c r="G327" s="4"/>
      <c r="H327" s="4"/>
      <c r="I327" s="4"/>
      <c r="J327" s="4"/>
      <c r="K327" s="4"/>
      <c r="L327" s="4"/>
      <c r="M327" s="4"/>
      <c r="N327" s="4"/>
      <c r="O327" s="4"/>
      <c r="P327" s="4"/>
      <c r="Q327" s="4"/>
      <c r="R327" s="4"/>
      <c r="S327" s="4"/>
      <c r="T327" s="4"/>
      <c r="U327" s="4"/>
      <c r="V327" s="4"/>
    </row>
    <row r="328" spans="1:22" ht="15.75" customHeight="1">
      <c r="A328" s="4"/>
      <c r="B328" s="4"/>
      <c r="C328" s="4"/>
      <c r="D328" s="4"/>
      <c r="E328" s="4"/>
      <c r="F328" s="4"/>
      <c r="G328" s="4"/>
      <c r="H328" s="4"/>
      <c r="I328" s="4"/>
      <c r="J328" s="4"/>
      <c r="K328" s="4"/>
      <c r="L328" s="4"/>
      <c r="M328" s="4"/>
      <c r="N328" s="4"/>
      <c r="O328" s="4"/>
      <c r="P328" s="4"/>
      <c r="Q328" s="4"/>
      <c r="R328" s="4"/>
      <c r="S328" s="4"/>
      <c r="T328" s="4"/>
      <c r="U328" s="4"/>
      <c r="V328" s="4"/>
    </row>
    <row r="329" spans="1:22" ht="15.75" customHeight="1">
      <c r="A329" s="4"/>
      <c r="B329" s="4"/>
      <c r="C329" s="4"/>
      <c r="D329" s="4"/>
      <c r="E329" s="4"/>
      <c r="F329" s="4"/>
      <c r="G329" s="4"/>
      <c r="H329" s="4"/>
      <c r="I329" s="4"/>
      <c r="J329" s="4"/>
      <c r="K329" s="4"/>
      <c r="L329" s="4"/>
      <c r="M329" s="4"/>
      <c r="N329" s="4"/>
      <c r="O329" s="4"/>
      <c r="P329" s="4"/>
      <c r="Q329" s="4"/>
      <c r="R329" s="4"/>
      <c r="S329" s="4"/>
      <c r="T329" s="4"/>
      <c r="U329" s="4"/>
      <c r="V329" s="4"/>
    </row>
    <row r="330" spans="1:22" ht="15.75" customHeight="1">
      <c r="A330" s="4"/>
      <c r="B330" s="4"/>
      <c r="C330" s="4"/>
      <c r="D330" s="4"/>
      <c r="E330" s="4"/>
      <c r="F330" s="4"/>
      <c r="G330" s="4"/>
      <c r="H330" s="4"/>
      <c r="I330" s="4"/>
      <c r="J330" s="4"/>
      <c r="K330" s="4"/>
      <c r="L330" s="4"/>
      <c r="M330" s="4"/>
      <c r="N330" s="4"/>
      <c r="O330" s="4"/>
      <c r="P330" s="4"/>
      <c r="Q330" s="4"/>
      <c r="R330" s="4"/>
      <c r="S330" s="4"/>
      <c r="T330" s="4"/>
      <c r="U330" s="4"/>
      <c r="V330" s="4"/>
    </row>
    <row r="331" spans="1:22" ht="15.75" customHeight="1">
      <c r="A331" s="4"/>
      <c r="B331" s="4"/>
      <c r="C331" s="4"/>
      <c r="D331" s="4"/>
      <c r="E331" s="4"/>
      <c r="F331" s="4"/>
      <c r="G331" s="4"/>
      <c r="H331" s="4"/>
      <c r="I331" s="4"/>
      <c r="J331" s="4"/>
      <c r="K331" s="4"/>
      <c r="L331" s="4"/>
      <c r="M331" s="4"/>
      <c r="N331" s="4"/>
      <c r="O331" s="4"/>
      <c r="P331" s="4"/>
      <c r="Q331" s="4"/>
      <c r="R331" s="4"/>
      <c r="S331" s="4"/>
      <c r="T331" s="4"/>
      <c r="U331" s="4"/>
      <c r="V331" s="4"/>
    </row>
    <row r="332" spans="1:22" ht="15.75" customHeight="1">
      <c r="A332" s="4"/>
      <c r="B332" s="4"/>
      <c r="C332" s="4"/>
      <c r="D332" s="4"/>
      <c r="E332" s="4"/>
      <c r="F332" s="4"/>
      <c r="G332" s="4"/>
      <c r="H332" s="4"/>
      <c r="I332" s="4"/>
      <c r="J332" s="4"/>
      <c r="K332" s="4"/>
      <c r="L332" s="4"/>
      <c r="M332" s="4"/>
      <c r="N332" s="4"/>
      <c r="O332" s="4"/>
      <c r="P332" s="4"/>
      <c r="Q332" s="4"/>
      <c r="R332" s="4"/>
      <c r="S332" s="4"/>
      <c r="T332" s="4"/>
      <c r="U332" s="4"/>
      <c r="V332" s="4"/>
    </row>
    <row r="333" spans="1:22" ht="15.75" customHeight="1">
      <c r="A333" s="4"/>
      <c r="B333" s="4"/>
      <c r="C333" s="4"/>
      <c r="D333" s="4"/>
      <c r="E333" s="4"/>
      <c r="F333" s="4"/>
      <c r="G333" s="4"/>
      <c r="H333" s="4"/>
      <c r="I333" s="4"/>
      <c r="J333" s="4"/>
      <c r="K333" s="4"/>
      <c r="L333" s="4"/>
      <c r="M333" s="4"/>
      <c r="N333" s="4"/>
      <c r="O333" s="4"/>
      <c r="P333" s="4"/>
      <c r="Q333" s="4"/>
      <c r="R333" s="4"/>
      <c r="S333" s="4"/>
      <c r="T333" s="4"/>
      <c r="U333" s="4"/>
      <c r="V333" s="4"/>
    </row>
    <row r="334" spans="1:22" ht="15.75" customHeight="1">
      <c r="A334" s="4"/>
      <c r="B334" s="4"/>
      <c r="C334" s="4"/>
      <c r="D334" s="4"/>
      <c r="E334" s="4"/>
      <c r="F334" s="4"/>
      <c r="G334" s="4"/>
      <c r="H334" s="4"/>
      <c r="I334" s="4"/>
      <c r="J334" s="4"/>
      <c r="K334" s="4"/>
      <c r="L334" s="4"/>
      <c r="M334" s="4"/>
      <c r="N334" s="4"/>
      <c r="O334" s="4"/>
      <c r="P334" s="4"/>
      <c r="Q334" s="4"/>
      <c r="R334" s="4"/>
      <c r="S334" s="4"/>
      <c r="T334" s="4"/>
      <c r="U334" s="4"/>
      <c r="V334" s="4"/>
    </row>
    <row r="335" spans="1:22" ht="15.75" customHeight="1">
      <c r="A335" s="4"/>
      <c r="B335" s="4"/>
      <c r="C335" s="4"/>
      <c r="D335" s="4"/>
      <c r="E335" s="4"/>
      <c r="F335" s="4"/>
      <c r="G335" s="4"/>
      <c r="H335" s="4"/>
      <c r="I335" s="4"/>
      <c r="J335" s="4"/>
      <c r="K335" s="4"/>
      <c r="L335" s="4"/>
      <c r="M335" s="4"/>
      <c r="N335" s="4"/>
      <c r="O335" s="4"/>
      <c r="P335" s="4"/>
      <c r="Q335" s="4"/>
      <c r="R335" s="4"/>
      <c r="S335" s="4"/>
      <c r="T335" s="4"/>
      <c r="U335" s="4"/>
      <c r="V335" s="4"/>
    </row>
    <row r="336" spans="1:22" ht="15.75" customHeight="1">
      <c r="A336" s="4"/>
      <c r="B336" s="4"/>
      <c r="C336" s="4"/>
      <c r="D336" s="4"/>
      <c r="E336" s="4"/>
      <c r="F336" s="4"/>
      <c r="G336" s="4"/>
      <c r="H336" s="4"/>
      <c r="I336" s="4"/>
      <c r="J336" s="4"/>
      <c r="K336" s="4"/>
      <c r="L336" s="4"/>
      <c r="M336" s="4"/>
      <c r="N336" s="4"/>
      <c r="O336" s="4"/>
      <c r="P336" s="4"/>
      <c r="Q336" s="4"/>
      <c r="R336" s="4"/>
      <c r="S336" s="4"/>
      <c r="T336" s="4"/>
      <c r="U336" s="4"/>
      <c r="V336" s="4"/>
    </row>
    <row r="337" spans="1:22" ht="15.75" customHeight="1">
      <c r="A337" s="4"/>
      <c r="B337" s="4"/>
      <c r="C337" s="4"/>
      <c r="D337" s="4"/>
      <c r="E337" s="4"/>
      <c r="F337" s="4"/>
      <c r="G337" s="4"/>
      <c r="H337" s="4"/>
      <c r="I337" s="4"/>
      <c r="J337" s="4"/>
      <c r="K337" s="4"/>
      <c r="L337" s="4"/>
      <c r="M337" s="4"/>
      <c r="N337" s="4"/>
      <c r="O337" s="4"/>
      <c r="P337" s="4"/>
      <c r="Q337" s="4"/>
      <c r="R337" s="4"/>
      <c r="S337" s="4"/>
      <c r="T337" s="4"/>
      <c r="U337" s="4"/>
      <c r="V337" s="4"/>
    </row>
    <row r="338" spans="1:22" ht="15.75" customHeight="1">
      <c r="A338" s="4"/>
      <c r="B338" s="4"/>
      <c r="C338" s="4"/>
      <c r="D338" s="4"/>
      <c r="E338" s="4"/>
      <c r="F338" s="4"/>
      <c r="G338" s="4"/>
      <c r="H338" s="4"/>
      <c r="I338" s="4"/>
      <c r="J338" s="4"/>
      <c r="K338" s="4"/>
      <c r="L338" s="4"/>
      <c r="M338" s="4"/>
      <c r="N338" s="4"/>
      <c r="O338" s="4"/>
      <c r="P338" s="4"/>
      <c r="Q338" s="4"/>
      <c r="R338" s="4"/>
      <c r="S338" s="4"/>
      <c r="T338" s="4"/>
      <c r="U338" s="4"/>
      <c r="V338" s="4"/>
    </row>
    <row r="339" spans="1:22" ht="15.75" customHeight="1">
      <c r="A339" s="4"/>
      <c r="B339" s="4"/>
      <c r="C339" s="4"/>
      <c r="D339" s="4"/>
      <c r="E339" s="4"/>
      <c r="F339" s="4"/>
      <c r="G339" s="4"/>
      <c r="H339" s="4"/>
      <c r="I339" s="4"/>
      <c r="J339" s="4"/>
      <c r="K339" s="4"/>
      <c r="L339" s="4"/>
      <c r="M339" s="4"/>
      <c r="N339" s="4"/>
      <c r="O339" s="4"/>
      <c r="P339" s="4"/>
      <c r="Q339" s="4"/>
      <c r="R339" s="4"/>
      <c r="S339" s="4"/>
      <c r="T339" s="4"/>
      <c r="U339" s="4"/>
      <c r="V339" s="4"/>
    </row>
    <row r="340" spans="1:22" ht="15.75" customHeight="1">
      <c r="A340" s="4"/>
      <c r="B340" s="4"/>
      <c r="C340" s="4"/>
      <c r="D340" s="4"/>
      <c r="E340" s="4"/>
      <c r="F340" s="4"/>
      <c r="G340" s="4"/>
      <c r="H340" s="4"/>
      <c r="I340" s="4"/>
      <c r="J340" s="4"/>
      <c r="K340" s="4"/>
      <c r="L340" s="4"/>
      <c r="M340" s="4"/>
      <c r="N340" s="4"/>
      <c r="O340" s="4"/>
      <c r="P340" s="4"/>
      <c r="Q340" s="4"/>
      <c r="R340" s="4"/>
      <c r="S340" s="4"/>
      <c r="T340" s="4"/>
      <c r="U340" s="4"/>
      <c r="V340" s="4"/>
    </row>
    <row r="341" spans="1:22" ht="15.75" customHeight="1">
      <c r="A341" s="4"/>
      <c r="B341" s="4"/>
      <c r="C341" s="4"/>
      <c r="D341" s="4"/>
      <c r="E341" s="4"/>
      <c r="F341" s="4"/>
      <c r="G341" s="4"/>
      <c r="H341" s="4"/>
      <c r="I341" s="4"/>
      <c r="J341" s="4"/>
      <c r="K341" s="4"/>
      <c r="L341" s="4"/>
      <c r="M341" s="4"/>
      <c r="N341" s="4"/>
      <c r="O341" s="4"/>
      <c r="P341" s="4"/>
      <c r="Q341" s="4"/>
      <c r="R341" s="4"/>
      <c r="S341" s="4"/>
      <c r="T341" s="4"/>
      <c r="U341" s="4"/>
      <c r="V341" s="4"/>
    </row>
    <row r="342" spans="1:22" ht="15.75" customHeight="1">
      <c r="A342" s="4"/>
      <c r="B342" s="4"/>
      <c r="C342" s="4"/>
      <c r="D342" s="4"/>
      <c r="E342" s="4"/>
      <c r="F342" s="4"/>
      <c r="G342" s="4"/>
      <c r="H342" s="4"/>
      <c r="I342" s="4"/>
      <c r="J342" s="4"/>
      <c r="K342" s="4"/>
      <c r="L342" s="4"/>
      <c r="M342" s="4"/>
      <c r="N342" s="4"/>
      <c r="O342" s="4"/>
      <c r="P342" s="4"/>
      <c r="Q342" s="4"/>
      <c r="R342" s="4"/>
      <c r="S342" s="4"/>
      <c r="T342" s="4"/>
      <c r="U342" s="4"/>
      <c r="V342" s="4"/>
    </row>
    <row r="343" spans="1:22" ht="15.75" customHeight="1">
      <c r="A343" s="4"/>
      <c r="B343" s="4"/>
      <c r="C343" s="4"/>
      <c r="D343" s="4"/>
      <c r="E343" s="4"/>
      <c r="F343" s="4"/>
      <c r="G343" s="4"/>
      <c r="H343" s="4"/>
      <c r="I343" s="4"/>
      <c r="J343" s="4"/>
      <c r="K343" s="4"/>
      <c r="L343" s="4"/>
      <c r="M343" s="4"/>
      <c r="N343" s="4"/>
      <c r="O343" s="4"/>
      <c r="P343" s="4"/>
      <c r="Q343" s="4"/>
      <c r="R343" s="4"/>
      <c r="S343" s="4"/>
      <c r="T343" s="4"/>
      <c r="U343" s="4"/>
      <c r="V343" s="4"/>
    </row>
    <row r="344" spans="1:22" ht="15.75" customHeight="1">
      <c r="A344" s="4"/>
      <c r="B344" s="4"/>
      <c r="C344" s="4"/>
      <c r="D344" s="4"/>
      <c r="E344" s="4"/>
      <c r="F344" s="4"/>
      <c r="G344" s="4"/>
      <c r="H344" s="4"/>
      <c r="I344" s="4"/>
      <c r="J344" s="4"/>
      <c r="K344" s="4"/>
      <c r="L344" s="4"/>
      <c r="M344" s="4"/>
      <c r="N344" s="4"/>
      <c r="O344" s="4"/>
      <c r="P344" s="4"/>
      <c r="Q344" s="4"/>
      <c r="R344" s="4"/>
      <c r="S344" s="4"/>
      <c r="T344" s="4"/>
      <c r="U344" s="4"/>
      <c r="V344" s="4"/>
    </row>
    <row r="345" spans="1:22" ht="15.75" customHeight="1">
      <c r="A345" s="4"/>
      <c r="B345" s="4"/>
      <c r="C345" s="4"/>
      <c r="D345" s="4"/>
      <c r="E345" s="4"/>
      <c r="F345" s="4"/>
      <c r="G345" s="4"/>
      <c r="H345" s="4"/>
      <c r="I345" s="4"/>
      <c r="J345" s="4"/>
      <c r="K345" s="4"/>
      <c r="L345" s="4"/>
      <c r="M345" s="4"/>
      <c r="N345" s="4"/>
      <c r="O345" s="4"/>
      <c r="P345" s="4"/>
      <c r="Q345" s="4"/>
      <c r="R345" s="4"/>
      <c r="S345" s="4"/>
      <c r="T345" s="4"/>
      <c r="U345" s="4"/>
      <c r="V345" s="4"/>
    </row>
    <row r="346" spans="1:22" ht="15.75" customHeight="1">
      <c r="A346" s="4"/>
      <c r="B346" s="4"/>
      <c r="C346" s="4"/>
      <c r="D346" s="4"/>
      <c r="E346" s="4"/>
      <c r="F346" s="4"/>
      <c r="G346" s="4"/>
      <c r="H346" s="4"/>
      <c r="I346" s="4"/>
      <c r="J346" s="4"/>
      <c r="K346" s="4"/>
      <c r="L346" s="4"/>
      <c r="M346" s="4"/>
      <c r="N346" s="4"/>
      <c r="O346" s="4"/>
      <c r="P346" s="4"/>
      <c r="Q346" s="4"/>
      <c r="R346" s="4"/>
      <c r="S346" s="4"/>
      <c r="T346" s="4"/>
      <c r="U346" s="4"/>
      <c r="V346" s="4"/>
    </row>
    <row r="347" spans="1:22" ht="15.75" customHeight="1">
      <c r="A347" s="4"/>
      <c r="B347" s="4"/>
      <c r="C347" s="4"/>
      <c r="D347" s="4"/>
      <c r="E347" s="4"/>
      <c r="F347" s="4"/>
      <c r="G347" s="4"/>
      <c r="H347" s="4"/>
      <c r="I347" s="4"/>
      <c r="J347" s="4"/>
      <c r="K347" s="4"/>
      <c r="L347" s="4"/>
      <c r="M347" s="4"/>
      <c r="N347" s="4"/>
      <c r="O347" s="4"/>
      <c r="P347" s="4"/>
      <c r="Q347" s="4"/>
      <c r="R347" s="4"/>
      <c r="S347" s="4"/>
      <c r="T347" s="4"/>
      <c r="U347" s="4"/>
      <c r="V347" s="4"/>
    </row>
    <row r="348" spans="1:22" ht="15.75" customHeight="1">
      <c r="A348" s="4"/>
      <c r="B348" s="4"/>
      <c r="C348" s="4"/>
      <c r="D348" s="4"/>
      <c r="E348" s="4"/>
      <c r="F348" s="4"/>
      <c r="G348" s="4"/>
      <c r="H348" s="4"/>
      <c r="I348" s="4"/>
      <c r="J348" s="4"/>
      <c r="K348" s="4"/>
      <c r="L348" s="4"/>
      <c r="M348" s="4"/>
      <c r="N348" s="4"/>
      <c r="O348" s="4"/>
      <c r="P348" s="4"/>
      <c r="Q348" s="4"/>
      <c r="R348" s="4"/>
      <c r="S348" s="4"/>
      <c r="T348" s="4"/>
      <c r="U348" s="4"/>
      <c r="V348" s="4"/>
    </row>
    <row r="349" spans="1:22" ht="15.75" customHeight="1">
      <c r="A349" s="4"/>
      <c r="B349" s="4"/>
      <c r="C349" s="4"/>
      <c r="D349" s="4"/>
      <c r="E349" s="4"/>
      <c r="F349" s="4"/>
      <c r="G349" s="4"/>
      <c r="H349" s="4"/>
      <c r="I349" s="4"/>
      <c r="J349" s="4"/>
      <c r="K349" s="4"/>
      <c r="L349" s="4"/>
      <c r="M349" s="4"/>
      <c r="N349" s="4"/>
      <c r="O349" s="4"/>
      <c r="P349" s="4"/>
      <c r="Q349" s="4"/>
      <c r="R349" s="4"/>
      <c r="S349" s="4"/>
      <c r="T349" s="4"/>
      <c r="U349" s="4"/>
      <c r="V349" s="4"/>
    </row>
    <row r="350" spans="1:22" ht="15.75" customHeight="1">
      <c r="A350" s="4"/>
      <c r="B350" s="4"/>
      <c r="C350" s="4"/>
      <c r="D350" s="4"/>
      <c r="E350" s="4"/>
      <c r="F350" s="4"/>
      <c r="G350" s="4"/>
      <c r="H350" s="4"/>
      <c r="I350" s="4"/>
      <c r="J350" s="4"/>
      <c r="K350" s="4"/>
      <c r="L350" s="4"/>
      <c r="M350" s="4"/>
      <c r="N350" s="4"/>
      <c r="O350" s="4"/>
      <c r="P350" s="4"/>
      <c r="Q350" s="4"/>
      <c r="R350" s="4"/>
      <c r="S350" s="4"/>
      <c r="T350" s="4"/>
      <c r="U350" s="4"/>
      <c r="V350" s="4"/>
    </row>
    <row r="351" spans="1:22" ht="15.75" customHeight="1">
      <c r="A351" s="4"/>
      <c r="B351" s="4"/>
      <c r="C351" s="4"/>
      <c r="D351" s="4"/>
      <c r="E351" s="4"/>
      <c r="F351" s="4"/>
      <c r="G351" s="4"/>
      <c r="H351" s="4"/>
      <c r="I351" s="4"/>
      <c r="J351" s="4"/>
      <c r="K351" s="4"/>
      <c r="L351" s="4"/>
      <c r="M351" s="4"/>
      <c r="N351" s="4"/>
      <c r="O351" s="4"/>
      <c r="P351" s="4"/>
      <c r="Q351" s="4"/>
      <c r="R351" s="4"/>
      <c r="S351" s="4"/>
      <c r="T351" s="4"/>
      <c r="U351" s="4"/>
      <c r="V351" s="4"/>
    </row>
    <row r="352" spans="1:22" ht="15.75" customHeight="1">
      <c r="A352" s="4"/>
      <c r="B352" s="4"/>
      <c r="C352" s="4"/>
      <c r="D352" s="4"/>
      <c r="E352" s="4"/>
      <c r="F352" s="4"/>
      <c r="G352" s="4"/>
      <c r="H352" s="4"/>
      <c r="I352" s="4"/>
      <c r="J352" s="4"/>
      <c r="K352" s="4"/>
      <c r="L352" s="4"/>
      <c r="M352" s="4"/>
      <c r="N352" s="4"/>
      <c r="O352" s="4"/>
      <c r="P352" s="4"/>
      <c r="Q352" s="4"/>
      <c r="R352" s="4"/>
      <c r="S352" s="4"/>
      <c r="T352" s="4"/>
      <c r="U352" s="4"/>
      <c r="V352" s="4"/>
    </row>
    <row r="353" spans="1:22" ht="15.75" customHeight="1">
      <c r="A353" s="4"/>
      <c r="B353" s="4"/>
      <c r="C353" s="4"/>
      <c r="D353" s="4"/>
      <c r="E353" s="4"/>
      <c r="F353" s="4"/>
      <c r="G353" s="4"/>
      <c r="H353" s="4"/>
      <c r="I353" s="4"/>
      <c r="J353" s="4"/>
      <c r="K353" s="4"/>
      <c r="L353" s="4"/>
      <c r="M353" s="4"/>
      <c r="N353" s="4"/>
      <c r="O353" s="4"/>
      <c r="P353" s="4"/>
      <c r="Q353" s="4"/>
      <c r="R353" s="4"/>
      <c r="S353" s="4"/>
      <c r="T353" s="4"/>
      <c r="U353" s="4"/>
      <c r="V353" s="4"/>
    </row>
    <row r="354" spans="1:22" ht="15.75" customHeight="1">
      <c r="A354" s="4"/>
      <c r="B354" s="4"/>
      <c r="C354" s="4"/>
      <c r="D354" s="4"/>
      <c r="E354" s="4"/>
      <c r="F354" s="4"/>
      <c r="G354" s="4"/>
      <c r="H354" s="4"/>
      <c r="I354" s="4"/>
      <c r="J354" s="4"/>
      <c r="K354" s="4"/>
      <c r="L354" s="4"/>
      <c r="M354" s="4"/>
      <c r="N354" s="4"/>
      <c r="O354" s="4"/>
      <c r="P354" s="4"/>
      <c r="Q354" s="4"/>
      <c r="R354" s="4"/>
      <c r="S354" s="4"/>
      <c r="T354" s="4"/>
      <c r="U354" s="4"/>
      <c r="V354" s="4"/>
    </row>
    <row r="355" spans="1:22" ht="15.75" customHeight="1">
      <c r="A355" s="4"/>
      <c r="B355" s="4"/>
      <c r="C355" s="4"/>
      <c r="D355" s="4"/>
      <c r="E355" s="4"/>
      <c r="F355" s="4"/>
      <c r="G355" s="4"/>
      <c r="H355" s="4"/>
      <c r="I355" s="4"/>
      <c r="J355" s="4"/>
      <c r="K355" s="4"/>
      <c r="L355" s="4"/>
      <c r="M355" s="4"/>
      <c r="N355" s="4"/>
      <c r="O355" s="4"/>
      <c r="P355" s="4"/>
      <c r="Q355" s="4"/>
      <c r="R355" s="4"/>
      <c r="S355" s="4"/>
      <c r="T355" s="4"/>
      <c r="U355" s="4"/>
      <c r="V355" s="4"/>
    </row>
    <row r="356" spans="1:22" ht="15.75" customHeight="1">
      <c r="A356" s="4"/>
      <c r="B356" s="4"/>
      <c r="C356" s="4"/>
      <c r="D356" s="4"/>
      <c r="E356" s="4"/>
      <c r="F356" s="4"/>
      <c r="G356" s="4"/>
      <c r="H356" s="4"/>
      <c r="I356" s="4"/>
      <c r="J356" s="4"/>
      <c r="K356" s="4"/>
      <c r="L356" s="4"/>
      <c r="M356" s="4"/>
      <c r="N356" s="4"/>
      <c r="O356" s="4"/>
      <c r="P356" s="4"/>
      <c r="Q356" s="4"/>
      <c r="R356" s="4"/>
      <c r="S356" s="4"/>
      <c r="T356" s="4"/>
      <c r="U356" s="4"/>
      <c r="V356" s="4"/>
    </row>
    <row r="357" spans="1:22" ht="15.75" customHeight="1">
      <c r="A357" s="4"/>
      <c r="B357" s="4"/>
      <c r="C357" s="4"/>
      <c r="D357" s="4"/>
      <c r="E357" s="4"/>
      <c r="F357" s="4"/>
      <c r="G357" s="4"/>
      <c r="H357" s="4"/>
      <c r="I357" s="4"/>
      <c r="J357" s="4"/>
      <c r="K357" s="4"/>
      <c r="L357" s="4"/>
      <c r="M357" s="4"/>
      <c r="N357" s="4"/>
      <c r="O357" s="4"/>
      <c r="P357" s="4"/>
      <c r="Q357" s="4"/>
      <c r="R357" s="4"/>
      <c r="S357" s="4"/>
      <c r="T357" s="4"/>
      <c r="U357" s="4"/>
      <c r="V357" s="4"/>
    </row>
    <row r="358" spans="1:22" ht="15.75" customHeight="1">
      <c r="A358" s="4"/>
      <c r="B358" s="4"/>
      <c r="C358" s="4"/>
      <c r="D358" s="4"/>
      <c r="E358" s="4"/>
      <c r="F358" s="4"/>
      <c r="G358" s="4"/>
      <c r="H358" s="4"/>
      <c r="I358" s="4"/>
      <c r="J358" s="4"/>
      <c r="K358" s="4"/>
      <c r="L358" s="4"/>
      <c r="M358" s="4"/>
      <c r="N358" s="4"/>
      <c r="O358" s="4"/>
      <c r="P358" s="4"/>
      <c r="Q358" s="4"/>
      <c r="R358" s="4"/>
      <c r="S358" s="4"/>
      <c r="T358" s="4"/>
      <c r="U358" s="4"/>
      <c r="V358" s="4"/>
    </row>
    <row r="359" spans="1:22" ht="15.75" customHeight="1">
      <c r="A359" s="4"/>
      <c r="B359" s="4"/>
      <c r="C359" s="4"/>
      <c r="D359" s="4"/>
      <c r="E359" s="4"/>
      <c r="F359" s="4"/>
      <c r="G359" s="4"/>
      <c r="H359" s="4"/>
      <c r="I359" s="4"/>
      <c r="J359" s="4"/>
      <c r="K359" s="4"/>
      <c r="L359" s="4"/>
      <c r="M359" s="4"/>
      <c r="N359" s="4"/>
      <c r="O359" s="4"/>
      <c r="P359" s="4"/>
      <c r="Q359" s="4"/>
      <c r="R359" s="4"/>
      <c r="S359" s="4"/>
      <c r="T359" s="4"/>
      <c r="U359" s="4"/>
      <c r="V359" s="4"/>
    </row>
    <row r="360" spans="1:22" ht="15.75" customHeight="1">
      <c r="A360" s="4"/>
      <c r="B360" s="4"/>
      <c r="C360" s="4"/>
      <c r="D360" s="4"/>
      <c r="E360" s="4"/>
      <c r="F360" s="4"/>
      <c r="G360" s="4"/>
      <c r="H360" s="4"/>
      <c r="I360" s="4"/>
      <c r="J360" s="4"/>
      <c r="K360" s="4"/>
      <c r="L360" s="4"/>
      <c r="M360" s="4"/>
      <c r="N360" s="4"/>
      <c r="O360" s="4"/>
      <c r="P360" s="4"/>
      <c r="Q360" s="4"/>
      <c r="R360" s="4"/>
      <c r="S360" s="4"/>
      <c r="T360" s="4"/>
      <c r="U360" s="4"/>
      <c r="V360" s="4"/>
    </row>
    <row r="361" spans="1:22" ht="15.75" customHeight="1">
      <c r="A361" s="4"/>
      <c r="B361" s="4"/>
      <c r="C361" s="4"/>
      <c r="D361" s="4"/>
      <c r="E361" s="4"/>
      <c r="F361" s="4"/>
      <c r="G361" s="4"/>
      <c r="H361" s="4"/>
      <c r="I361" s="4"/>
      <c r="J361" s="4"/>
      <c r="K361" s="4"/>
      <c r="L361" s="4"/>
      <c r="M361" s="4"/>
      <c r="N361" s="4"/>
      <c r="O361" s="4"/>
      <c r="P361" s="4"/>
      <c r="Q361" s="4"/>
      <c r="R361" s="4"/>
      <c r="S361" s="4"/>
      <c r="T361" s="4"/>
      <c r="U361" s="4"/>
      <c r="V361" s="4"/>
    </row>
    <row r="362" spans="1:22" ht="15.75" customHeight="1">
      <c r="A362" s="4"/>
      <c r="B362" s="4"/>
      <c r="C362" s="4"/>
      <c r="D362" s="4"/>
      <c r="E362" s="4"/>
      <c r="F362" s="4"/>
      <c r="G362" s="4"/>
      <c r="H362" s="4"/>
      <c r="I362" s="4"/>
      <c r="J362" s="4"/>
      <c r="K362" s="4"/>
      <c r="L362" s="4"/>
      <c r="M362" s="4"/>
      <c r="N362" s="4"/>
      <c r="O362" s="4"/>
      <c r="P362" s="4"/>
      <c r="Q362" s="4"/>
      <c r="R362" s="4"/>
      <c r="S362" s="4"/>
      <c r="T362" s="4"/>
      <c r="U362" s="4"/>
      <c r="V362" s="4"/>
    </row>
    <row r="363" spans="1:22" ht="15.75" customHeight="1">
      <c r="A363" s="4"/>
      <c r="B363" s="4"/>
      <c r="C363" s="4"/>
      <c r="D363" s="4"/>
      <c r="E363" s="4"/>
      <c r="F363" s="4"/>
      <c r="G363" s="4"/>
      <c r="H363" s="4"/>
      <c r="I363" s="4"/>
      <c r="J363" s="4"/>
      <c r="K363" s="4"/>
      <c r="L363" s="4"/>
      <c r="M363" s="4"/>
      <c r="N363" s="4"/>
      <c r="O363" s="4"/>
      <c r="P363" s="4"/>
      <c r="Q363" s="4"/>
      <c r="R363" s="4"/>
      <c r="S363" s="4"/>
      <c r="T363" s="4"/>
      <c r="U363" s="4"/>
      <c r="V363" s="4"/>
    </row>
    <row r="364" spans="1:22" ht="15.75" customHeight="1">
      <c r="A364" s="4"/>
      <c r="B364" s="4"/>
      <c r="C364" s="4"/>
      <c r="D364" s="4"/>
      <c r="E364" s="4"/>
      <c r="F364" s="4"/>
      <c r="G364" s="4"/>
      <c r="H364" s="4"/>
      <c r="I364" s="4"/>
      <c r="J364" s="4"/>
      <c r="K364" s="4"/>
      <c r="L364" s="4"/>
      <c r="M364" s="4"/>
      <c r="N364" s="4"/>
      <c r="O364" s="4"/>
      <c r="P364" s="4"/>
      <c r="Q364" s="4"/>
      <c r="R364" s="4"/>
      <c r="S364" s="4"/>
      <c r="T364" s="4"/>
      <c r="U364" s="4"/>
      <c r="V364" s="4"/>
    </row>
    <row r="365" spans="1:22" ht="15.75" customHeight="1">
      <c r="A365" s="4"/>
      <c r="B365" s="4"/>
      <c r="C365" s="4"/>
      <c r="D365" s="4"/>
      <c r="E365" s="4"/>
      <c r="F365" s="4"/>
      <c r="G365" s="4"/>
      <c r="H365" s="4"/>
      <c r="I365" s="4"/>
      <c r="J365" s="4"/>
      <c r="K365" s="4"/>
      <c r="L365" s="4"/>
      <c r="M365" s="4"/>
      <c r="N365" s="4"/>
      <c r="O365" s="4"/>
      <c r="P365" s="4"/>
      <c r="Q365" s="4"/>
      <c r="R365" s="4"/>
      <c r="S365" s="4"/>
      <c r="T365" s="4"/>
      <c r="U365" s="4"/>
      <c r="V365" s="4"/>
    </row>
    <row r="366" spans="1:22" ht="15.75" customHeight="1">
      <c r="A366" s="4"/>
      <c r="B366" s="4"/>
      <c r="C366" s="4"/>
      <c r="D366" s="4"/>
      <c r="E366" s="4"/>
      <c r="F366" s="4"/>
      <c r="G366" s="4"/>
      <c r="H366" s="4"/>
      <c r="I366" s="4"/>
      <c r="J366" s="4"/>
      <c r="K366" s="4"/>
      <c r="L366" s="4"/>
      <c r="M366" s="4"/>
      <c r="N366" s="4"/>
      <c r="O366" s="4"/>
      <c r="P366" s="4"/>
      <c r="Q366" s="4"/>
      <c r="R366" s="4"/>
      <c r="S366" s="4"/>
      <c r="T366" s="4"/>
      <c r="U366" s="4"/>
      <c r="V366" s="4"/>
    </row>
    <row r="367" spans="1:22" ht="15.75" customHeight="1">
      <c r="A367" s="4"/>
      <c r="B367" s="4"/>
      <c r="C367" s="4"/>
      <c r="D367" s="4"/>
      <c r="E367" s="4"/>
      <c r="F367" s="4"/>
      <c r="G367" s="4"/>
      <c r="H367" s="4"/>
      <c r="I367" s="4"/>
      <c r="J367" s="4"/>
      <c r="K367" s="4"/>
      <c r="L367" s="4"/>
      <c r="M367" s="4"/>
      <c r="N367" s="4"/>
      <c r="O367" s="4"/>
      <c r="P367" s="4"/>
      <c r="Q367" s="4"/>
      <c r="R367" s="4"/>
      <c r="S367" s="4"/>
      <c r="T367" s="4"/>
      <c r="U367" s="4"/>
      <c r="V367" s="4"/>
    </row>
    <row r="368" spans="1:22" ht="15.75" customHeight="1">
      <c r="A368" s="4"/>
      <c r="B368" s="4"/>
      <c r="C368" s="4"/>
      <c r="D368" s="4"/>
      <c r="E368" s="4"/>
      <c r="F368" s="4"/>
      <c r="G368" s="4"/>
      <c r="H368" s="4"/>
      <c r="I368" s="4"/>
      <c r="J368" s="4"/>
      <c r="K368" s="4"/>
      <c r="L368" s="4"/>
      <c r="M368" s="4"/>
      <c r="N368" s="4"/>
      <c r="O368" s="4"/>
      <c r="P368" s="4"/>
      <c r="Q368" s="4"/>
      <c r="R368" s="4"/>
      <c r="S368" s="4"/>
      <c r="T368" s="4"/>
      <c r="U368" s="4"/>
      <c r="V368" s="4"/>
    </row>
    <row r="369" spans="1:22" ht="15.75" customHeight="1">
      <c r="A369" s="4"/>
      <c r="B369" s="4"/>
      <c r="C369" s="4"/>
      <c r="D369" s="4"/>
      <c r="E369" s="4"/>
      <c r="F369" s="4"/>
      <c r="G369" s="4"/>
      <c r="H369" s="4"/>
      <c r="I369" s="4"/>
      <c r="J369" s="4"/>
      <c r="K369" s="4"/>
      <c r="L369" s="4"/>
      <c r="M369" s="4"/>
      <c r="N369" s="4"/>
      <c r="O369" s="4"/>
      <c r="P369" s="4"/>
      <c r="Q369" s="4"/>
      <c r="R369" s="4"/>
      <c r="S369" s="4"/>
      <c r="T369" s="4"/>
      <c r="U369" s="4"/>
      <c r="V369" s="4"/>
    </row>
    <row r="370" spans="1:22" ht="15.75" customHeight="1">
      <c r="A370" s="4"/>
      <c r="B370" s="4"/>
      <c r="C370" s="4"/>
      <c r="D370" s="4"/>
      <c r="E370" s="4"/>
      <c r="F370" s="4"/>
      <c r="G370" s="4"/>
      <c r="H370" s="4"/>
      <c r="I370" s="4"/>
      <c r="J370" s="4"/>
      <c r="K370" s="4"/>
      <c r="L370" s="4"/>
      <c r="M370" s="4"/>
      <c r="N370" s="4"/>
      <c r="O370" s="4"/>
      <c r="P370" s="4"/>
      <c r="Q370" s="4"/>
      <c r="R370" s="4"/>
      <c r="S370" s="4"/>
      <c r="T370" s="4"/>
      <c r="U370" s="4"/>
      <c r="V370" s="4"/>
    </row>
    <row r="371" spans="1:22" ht="15.75" customHeight="1">
      <c r="A371" s="4"/>
      <c r="B371" s="4"/>
      <c r="C371" s="4"/>
      <c r="D371" s="4"/>
      <c r="E371" s="4"/>
      <c r="F371" s="4"/>
      <c r="G371" s="4"/>
      <c r="H371" s="4"/>
      <c r="I371" s="4"/>
      <c r="J371" s="4"/>
      <c r="K371" s="4"/>
      <c r="L371" s="4"/>
      <c r="M371" s="4"/>
      <c r="N371" s="4"/>
      <c r="O371" s="4"/>
      <c r="P371" s="4"/>
      <c r="Q371" s="4"/>
      <c r="R371" s="4"/>
      <c r="S371" s="4"/>
      <c r="T371" s="4"/>
      <c r="U371" s="4"/>
      <c r="V371" s="4"/>
    </row>
    <row r="372" spans="1:22" ht="15.75" customHeight="1">
      <c r="A372" s="4"/>
      <c r="B372" s="4"/>
      <c r="C372" s="4"/>
      <c r="D372" s="4"/>
      <c r="E372" s="4"/>
      <c r="F372" s="4"/>
      <c r="G372" s="4"/>
      <c r="H372" s="4"/>
      <c r="I372" s="4"/>
      <c r="J372" s="4"/>
      <c r="K372" s="4"/>
      <c r="L372" s="4"/>
      <c r="M372" s="4"/>
      <c r="N372" s="4"/>
      <c r="O372" s="4"/>
      <c r="P372" s="4"/>
      <c r="Q372" s="4"/>
      <c r="R372" s="4"/>
      <c r="S372" s="4"/>
      <c r="T372" s="4"/>
      <c r="U372" s="4"/>
      <c r="V372" s="4"/>
    </row>
    <row r="373" spans="1:22" ht="15.75" customHeight="1">
      <c r="A373" s="4"/>
      <c r="B373" s="4"/>
      <c r="C373" s="4"/>
      <c r="D373" s="4"/>
      <c r="E373" s="4"/>
      <c r="F373" s="4"/>
      <c r="G373" s="4"/>
      <c r="H373" s="4"/>
      <c r="I373" s="4"/>
      <c r="J373" s="4"/>
      <c r="K373" s="4"/>
      <c r="L373" s="4"/>
      <c r="M373" s="4"/>
      <c r="N373" s="4"/>
      <c r="O373" s="4"/>
      <c r="P373" s="4"/>
      <c r="Q373" s="4"/>
      <c r="R373" s="4"/>
      <c r="S373" s="4"/>
      <c r="T373" s="4"/>
      <c r="U373" s="4"/>
      <c r="V373" s="4"/>
    </row>
    <row r="374" spans="1:22" ht="15.75" customHeight="1">
      <c r="A374" s="4"/>
      <c r="B374" s="4"/>
      <c r="C374" s="4"/>
      <c r="D374" s="4"/>
      <c r="E374" s="4"/>
      <c r="F374" s="4"/>
      <c r="G374" s="4"/>
      <c r="H374" s="4"/>
      <c r="I374" s="4"/>
      <c r="J374" s="4"/>
      <c r="K374" s="4"/>
      <c r="L374" s="4"/>
      <c r="M374" s="4"/>
      <c r="N374" s="4"/>
      <c r="O374" s="4"/>
      <c r="P374" s="4"/>
      <c r="Q374" s="4"/>
      <c r="R374" s="4"/>
      <c r="S374" s="4"/>
      <c r="T374" s="4"/>
      <c r="U374" s="4"/>
      <c r="V374" s="4"/>
    </row>
    <row r="375" spans="1:22" ht="15.75" customHeight="1">
      <c r="A375" s="4"/>
      <c r="B375" s="4"/>
      <c r="C375" s="4"/>
      <c r="D375" s="4"/>
      <c r="E375" s="4"/>
      <c r="F375" s="4"/>
      <c r="G375" s="4"/>
      <c r="H375" s="4"/>
      <c r="I375" s="4"/>
      <c r="J375" s="4"/>
      <c r="K375" s="4"/>
      <c r="L375" s="4"/>
      <c r="M375" s="4"/>
      <c r="N375" s="4"/>
      <c r="O375" s="4"/>
      <c r="P375" s="4"/>
      <c r="Q375" s="4"/>
      <c r="R375" s="4"/>
      <c r="S375" s="4"/>
      <c r="T375" s="4"/>
      <c r="U375" s="4"/>
      <c r="V375" s="4"/>
    </row>
    <row r="376" spans="1:22" ht="15.75" customHeight="1">
      <c r="A376" s="4"/>
      <c r="B376" s="4"/>
      <c r="C376" s="4"/>
      <c r="D376" s="4"/>
      <c r="E376" s="4"/>
      <c r="F376" s="4"/>
      <c r="G376" s="4"/>
      <c r="H376" s="4"/>
      <c r="I376" s="4"/>
      <c r="J376" s="4"/>
      <c r="K376" s="4"/>
      <c r="L376" s="4"/>
      <c r="M376" s="4"/>
      <c r="N376" s="4"/>
      <c r="O376" s="4"/>
      <c r="P376" s="4"/>
      <c r="Q376" s="4"/>
      <c r="R376" s="4"/>
      <c r="S376" s="4"/>
      <c r="T376" s="4"/>
      <c r="U376" s="4"/>
      <c r="V376" s="4"/>
    </row>
    <row r="377" spans="1:22" ht="15.75" customHeight="1">
      <c r="A377" s="4"/>
      <c r="B377" s="4"/>
      <c r="C377" s="4"/>
      <c r="D377" s="4"/>
      <c r="E377" s="4"/>
      <c r="F377" s="4"/>
      <c r="G377" s="4"/>
      <c r="H377" s="4"/>
      <c r="I377" s="4"/>
      <c r="J377" s="4"/>
      <c r="K377" s="4"/>
      <c r="L377" s="4"/>
      <c r="M377" s="4"/>
      <c r="N377" s="4"/>
      <c r="O377" s="4"/>
      <c r="P377" s="4"/>
      <c r="Q377" s="4"/>
      <c r="R377" s="4"/>
      <c r="S377" s="4"/>
      <c r="T377" s="4"/>
      <c r="U377" s="4"/>
      <c r="V377" s="4"/>
    </row>
    <row r="378" spans="1:22" ht="15.75" customHeight="1">
      <c r="A378" s="4"/>
      <c r="B378" s="4"/>
      <c r="C378" s="4"/>
      <c r="D378" s="4"/>
      <c r="E378" s="4"/>
      <c r="F378" s="4"/>
      <c r="G378" s="4"/>
      <c r="H378" s="4"/>
      <c r="I378" s="4"/>
      <c r="J378" s="4"/>
      <c r="K378" s="4"/>
      <c r="L378" s="4"/>
      <c r="M378" s="4"/>
      <c r="N378" s="4"/>
      <c r="O378" s="4"/>
      <c r="P378" s="4"/>
      <c r="Q378" s="4"/>
      <c r="R378" s="4"/>
      <c r="S378" s="4"/>
      <c r="T378" s="4"/>
      <c r="U378" s="4"/>
      <c r="V378" s="4"/>
    </row>
    <row r="379" spans="1:22" ht="15.75" customHeight="1">
      <c r="A379" s="4"/>
      <c r="B379" s="4"/>
      <c r="C379" s="4"/>
      <c r="D379" s="4"/>
      <c r="E379" s="4"/>
      <c r="F379" s="4"/>
      <c r="G379" s="4"/>
      <c r="H379" s="4"/>
      <c r="I379" s="4"/>
      <c r="J379" s="4"/>
      <c r="K379" s="4"/>
      <c r="L379" s="4"/>
      <c r="M379" s="4"/>
      <c r="N379" s="4"/>
      <c r="O379" s="4"/>
      <c r="P379" s="4"/>
      <c r="Q379" s="4"/>
      <c r="R379" s="4"/>
      <c r="S379" s="4"/>
      <c r="T379" s="4"/>
      <c r="U379" s="4"/>
      <c r="V379" s="4"/>
    </row>
    <row r="380" spans="1:22" ht="15.75" customHeight="1">
      <c r="A380" s="4"/>
      <c r="B380" s="4"/>
      <c r="C380" s="4"/>
      <c r="D380" s="4"/>
      <c r="E380" s="4"/>
      <c r="F380" s="4"/>
      <c r="G380" s="4"/>
      <c r="H380" s="4"/>
      <c r="I380" s="4"/>
      <c r="J380" s="4"/>
      <c r="K380" s="4"/>
      <c r="L380" s="4"/>
      <c r="M380" s="4"/>
      <c r="N380" s="4"/>
      <c r="O380" s="4"/>
      <c r="P380" s="4"/>
      <c r="Q380" s="4"/>
      <c r="R380" s="4"/>
      <c r="S380" s="4"/>
      <c r="T380" s="4"/>
      <c r="U380" s="4"/>
      <c r="V380" s="4"/>
    </row>
    <row r="381" spans="1:22" ht="15.75" customHeight="1">
      <c r="A381" s="4"/>
      <c r="B381" s="4"/>
      <c r="C381" s="4"/>
      <c r="D381" s="4"/>
      <c r="E381" s="4"/>
      <c r="F381" s="4"/>
      <c r="G381" s="4"/>
      <c r="H381" s="4"/>
      <c r="I381" s="4"/>
      <c r="J381" s="4"/>
      <c r="K381" s="4"/>
      <c r="L381" s="4"/>
      <c r="M381" s="4"/>
      <c r="N381" s="4"/>
      <c r="O381" s="4"/>
      <c r="P381" s="4"/>
      <c r="Q381" s="4"/>
      <c r="R381" s="4"/>
      <c r="S381" s="4"/>
      <c r="T381" s="4"/>
      <c r="U381" s="4"/>
      <c r="V381" s="4"/>
    </row>
    <row r="382" spans="1:22" ht="15.75" customHeight="1">
      <c r="A382" s="4"/>
      <c r="B382" s="4"/>
      <c r="C382" s="4"/>
      <c r="D382" s="4"/>
      <c r="E382" s="4"/>
      <c r="F382" s="4"/>
      <c r="G382" s="4"/>
      <c r="H382" s="4"/>
      <c r="I382" s="4"/>
      <c r="J382" s="4"/>
      <c r="K382" s="4"/>
      <c r="L382" s="4"/>
      <c r="M382" s="4"/>
      <c r="N382" s="4"/>
      <c r="O382" s="4"/>
      <c r="P382" s="4"/>
      <c r="Q382" s="4"/>
      <c r="R382" s="4"/>
      <c r="S382" s="4"/>
      <c r="T382" s="4"/>
      <c r="U382" s="4"/>
      <c r="V382" s="4"/>
    </row>
    <row r="383" spans="1:22" ht="15.75" customHeight="1">
      <c r="A383" s="4"/>
      <c r="B383" s="4"/>
      <c r="C383" s="4"/>
      <c r="D383" s="4"/>
      <c r="E383" s="4"/>
      <c r="F383" s="4"/>
      <c r="G383" s="4"/>
      <c r="H383" s="4"/>
      <c r="I383" s="4"/>
      <c r="J383" s="4"/>
      <c r="K383" s="4"/>
      <c r="L383" s="4"/>
      <c r="M383" s="4"/>
      <c r="N383" s="4"/>
      <c r="O383" s="4"/>
      <c r="P383" s="4"/>
      <c r="Q383" s="4"/>
      <c r="R383" s="4"/>
      <c r="S383" s="4"/>
      <c r="T383" s="4"/>
      <c r="U383" s="4"/>
      <c r="V383" s="4"/>
    </row>
    <row r="384" spans="1:22" ht="15.75" customHeight="1">
      <c r="A384" s="4"/>
      <c r="B384" s="4"/>
      <c r="C384" s="4"/>
      <c r="D384" s="4"/>
      <c r="E384" s="4"/>
      <c r="F384" s="4"/>
      <c r="G384" s="4"/>
      <c r="H384" s="4"/>
      <c r="I384" s="4"/>
      <c r="J384" s="4"/>
      <c r="K384" s="4"/>
      <c r="L384" s="4"/>
      <c r="M384" s="4"/>
      <c r="N384" s="4"/>
      <c r="O384" s="4"/>
      <c r="P384" s="4"/>
      <c r="Q384" s="4"/>
      <c r="R384" s="4"/>
      <c r="S384" s="4"/>
      <c r="T384" s="4"/>
      <c r="U384" s="4"/>
      <c r="V384" s="4"/>
    </row>
    <row r="385" spans="1:22" ht="15.75" customHeight="1">
      <c r="A385" s="4"/>
      <c r="B385" s="4"/>
      <c r="C385" s="4"/>
      <c r="D385" s="4"/>
      <c r="E385" s="4"/>
      <c r="F385" s="4"/>
      <c r="G385" s="4"/>
      <c r="H385" s="4"/>
      <c r="I385" s="4"/>
      <c r="J385" s="4"/>
      <c r="K385" s="4"/>
      <c r="L385" s="4"/>
      <c r="M385" s="4"/>
      <c r="N385" s="4"/>
      <c r="O385" s="4"/>
      <c r="P385" s="4"/>
      <c r="Q385" s="4"/>
      <c r="R385" s="4"/>
      <c r="S385" s="4"/>
      <c r="T385" s="4"/>
      <c r="U385" s="4"/>
      <c r="V385" s="4"/>
    </row>
    <row r="386" spans="1:22" ht="15.75" customHeight="1">
      <c r="A386" s="4"/>
      <c r="B386" s="4"/>
      <c r="C386" s="4"/>
      <c r="D386" s="4"/>
      <c r="E386" s="4"/>
      <c r="F386" s="4"/>
      <c r="G386" s="4"/>
      <c r="H386" s="4"/>
      <c r="I386" s="4"/>
      <c r="J386" s="4"/>
      <c r="K386" s="4"/>
      <c r="L386" s="4"/>
      <c r="M386" s="4"/>
      <c r="N386" s="4"/>
      <c r="O386" s="4"/>
      <c r="P386" s="4"/>
      <c r="Q386" s="4"/>
      <c r="R386" s="4"/>
      <c r="S386" s="4"/>
      <c r="T386" s="4"/>
      <c r="U386" s="4"/>
      <c r="V386" s="4"/>
    </row>
    <row r="387" spans="1:22" ht="15.75" customHeight="1"/>
    <row r="388" spans="1:22" ht="15.75" customHeight="1"/>
    <row r="389" spans="1:22" ht="15.75" customHeight="1"/>
    <row r="390" spans="1:22" ht="15.75" customHeight="1"/>
    <row r="391" spans="1:22" ht="15.75" customHeight="1"/>
    <row r="392" spans="1:22" ht="15.75" customHeight="1"/>
    <row r="393" spans="1:22" ht="15.75" customHeight="1"/>
    <row r="394" spans="1:22" ht="15.75" customHeight="1"/>
    <row r="395" spans="1:22" ht="15.75" customHeight="1"/>
    <row r="396" spans="1:22" ht="15.75" customHeight="1"/>
    <row r="397" spans="1:22" ht="15.75" customHeight="1"/>
    <row r="398" spans="1:22" ht="15.75" customHeight="1"/>
    <row r="399" spans="1:22" ht="15.75" customHeight="1"/>
    <row r="400" spans="1:22"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0"/>
  <sheetViews>
    <sheetView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12.5703125" defaultRowHeight="15" customHeight="1"/>
  <cols>
    <col min="1" max="1" width="8.5703125" customWidth="1"/>
    <col min="2" max="2" width="9.42578125" customWidth="1"/>
    <col min="5" max="5" width="20.42578125" customWidth="1"/>
    <col min="10" max="10" width="17.28515625" customWidth="1"/>
    <col min="11" max="11" width="15.7109375" customWidth="1"/>
    <col min="12" max="12" width="16.5703125" customWidth="1"/>
    <col min="13" max="13" width="17.42578125" customWidth="1"/>
    <col min="14" max="14" width="16.85546875" customWidth="1"/>
    <col min="15" max="15" width="15.5703125" customWidth="1"/>
    <col min="16" max="17" width="17.140625" customWidth="1"/>
    <col min="18" max="18" width="18.42578125" customWidth="1"/>
    <col min="19" max="19" width="16" customWidth="1"/>
    <col min="23" max="24" width="18" customWidth="1"/>
    <col min="25" max="25" width="21.5703125" customWidth="1"/>
    <col min="26" max="26" width="18" customWidth="1"/>
  </cols>
  <sheetData>
    <row r="1" spans="1:26" ht="32.25" customHeight="1">
      <c r="A1" s="1" t="s">
        <v>466</v>
      </c>
      <c r="B1" s="2"/>
      <c r="C1" s="2"/>
      <c r="D1" s="2"/>
      <c r="E1" s="2"/>
      <c r="F1" s="2"/>
      <c r="G1" s="2"/>
      <c r="H1" s="2"/>
      <c r="I1" s="2"/>
      <c r="J1" s="2"/>
      <c r="K1" s="2"/>
      <c r="L1" s="2"/>
      <c r="M1" s="2"/>
      <c r="N1" s="2"/>
      <c r="O1" s="2"/>
      <c r="P1" s="2"/>
      <c r="Q1" s="2"/>
      <c r="R1" s="2"/>
      <c r="S1" s="2"/>
      <c r="T1" s="2"/>
      <c r="U1" s="2"/>
      <c r="V1" s="352"/>
      <c r="W1" s="353"/>
    </row>
    <row r="2" spans="1:26" ht="44.25" customHeight="1">
      <c r="A2" s="5" t="s">
        <v>467</v>
      </c>
      <c r="B2" s="5" t="s">
        <v>444</v>
      </c>
      <c r="C2" s="5" t="s">
        <v>2</v>
      </c>
      <c r="D2" s="5"/>
      <c r="E2" s="5" t="s">
        <v>446</v>
      </c>
      <c r="F2" s="5" t="s">
        <v>3</v>
      </c>
      <c r="G2" s="5"/>
      <c r="H2" s="5" t="s">
        <v>4</v>
      </c>
      <c r="I2" s="5" t="s">
        <v>5</v>
      </c>
      <c r="J2" s="265"/>
      <c r="K2" s="19" t="s">
        <v>468</v>
      </c>
      <c r="L2" s="5" t="s">
        <v>6</v>
      </c>
      <c r="M2" s="5" t="s">
        <v>7</v>
      </c>
      <c r="N2" s="5" t="s">
        <v>448</v>
      </c>
      <c r="O2" s="6"/>
      <c r="P2" s="5" t="s">
        <v>8</v>
      </c>
      <c r="Q2" s="5" t="s">
        <v>9</v>
      </c>
      <c r="R2" s="5"/>
      <c r="S2" s="6"/>
      <c r="T2" s="5" t="s">
        <v>11</v>
      </c>
      <c r="U2" s="5" t="s">
        <v>12</v>
      </c>
      <c r="V2" s="6"/>
      <c r="W2" s="6"/>
      <c r="X2" s="6"/>
      <c r="Y2" s="6"/>
      <c r="Z2" s="6"/>
    </row>
    <row r="3" spans="1:26" ht="15.75" customHeight="1">
      <c r="A3" s="266">
        <v>5623071</v>
      </c>
      <c r="B3" s="266">
        <v>8231613070</v>
      </c>
      <c r="C3" s="8">
        <v>37.4</v>
      </c>
      <c r="D3" s="10"/>
      <c r="E3" s="10" t="s">
        <v>449</v>
      </c>
      <c r="F3" s="9">
        <f>240</f>
        <v>240</v>
      </c>
      <c r="G3" s="10"/>
      <c r="H3" s="11">
        <v>5.0000000000000001E-3</v>
      </c>
      <c r="I3" s="16">
        <v>0.1</v>
      </c>
      <c r="J3" s="10"/>
      <c r="K3" s="277"/>
      <c r="L3" s="14">
        <v>5.0000000000000001E-4</v>
      </c>
      <c r="M3" s="15">
        <v>6.3399999999999998E-2</v>
      </c>
      <c r="N3" s="16">
        <f>1-I3</f>
        <v>0.9</v>
      </c>
      <c r="O3" s="13"/>
      <c r="P3" s="278" t="s">
        <v>469</v>
      </c>
      <c r="Q3" s="11">
        <v>5.0000000000000001E-3</v>
      </c>
      <c r="R3" s="10"/>
      <c r="S3" s="13"/>
      <c r="T3" s="13"/>
      <c r="U3" s="269">
        <f>A5</f>
        <v>6.8310681663272103E-4</v>
      </c>
      <c r="V3" s="13"/>
      <c r="W3" s="13"/>
      <c r="X3" s="13"/>
      <c r="Y3" s="13"/>
      <c r="Z3" s="13"/>
    </row>
    <row r="4" spans="1:26" ht="41.25" customHeight="1">
      <c r="A4" s="5" t="s">
        <v>450</v>
      </c>
      <c r="B4" s="5" t="s">
        <v>451</v>
      </c>
      <c r="C4" s="5" t="s">
        <v>14</v>
      </c>
      <c r="D4" s="5" t="s">
        <v>452</v>
      </c>
      <c r="E4" s="5" t="s">
        <v>453</v>
      </c>
      <c r="F4" s="5" t="s">
        <v>15</v>
      </c>
      <c r="G4" s="18"/>
      <c r="H4" s="5"/>
      <c r="I4" s="19" t="s">
        <v>16</v>
      </c>
      <c r="J4" s="19" t="s">
        <v>17</v>
      </c>
      <c r="K4" s="19" t="s">
        <v>454</v>
      </c>
      <c r="L4" s="5"/>
      <c r="M4" s="5"/>
      <c r="N4" s="19" t="s">
        <v>470</v>
      </c>
      <c r="O4" s="19" t="s">
        <v>471</v>
      </c>
      <c r="P4" s="5" t="s">
        <v>19</v>
      </c>
      <c r="Q4" s="5"/>
      <c r="R4" s="19" t="s">
        <v>457</v>
      </c>
      <c r="S4" s="5"/>
      <c r="T4" s="5"/>
      <c r="U4" s="5" t="s">
        <v>21</v>
      </c>
      <c r="V4" s="6"/>
      <c r="W4" s="6"/>
      <c r="X4" s="6"/>
      <c r="Y4" s="6"/>
      <c r="Z4" s="6"/>
    </row>
    <row r="5" spans="1:26" ht="19.5" customHeight="1">
      <c r="A5" s="269">
        <f>A3/B3</f>
        <v>6.8310681663272103E-4</v>
      </c>
      <c r="B5" s="279">
        <f>C3*A5</f>
        <v>2.5548194942063767E-2</v>
      </c>
      <c r="C5" s="14">
        <v>0.1</v>
      </c>
      <c r="D5" s="8">
        <v>3.7339999999999998E-2</v>
      </c>
      <c r="E5" s="10" t="s">
        <v>449</v>
      </c>
      <c r="F5" s="14">
        <f>C5*1.64</f>
        <v>0.16400000000000001</v>
      </c>
      <c r="G5" s="10"/>
      <c r="H5" s="13"/>
      <c r="I5" s="20">
        <v>0.01</v>
      </c>
      <c r="J5" s="20">
        <v>0.05</v>
      </c>
      <c r="K5" s="10">
        <f>K3*5</f>
        <v>0</v>
      </c>
      <c r="L5" s="13"/>
      <c r="M5" s="13"/>
      <c r="N5" s="20">
        <f t="shared" ref="N5:O5" si="0">I5</f>
        <v>0.01</v>
      </c>
      <c r="O5" s="20">
        <f t="shared" si="0"/>
        <v>0.05</v>
      </c>
      <c r="P5" s="16">
        <v>0.1</v>
      </c>
      <c r="Q5" s="13"/>
      <c r="R5" s="12">
        <v>0.1</v>
      </c>
      <c r="S5" s="13"/>
      <c r="T5" s="13"/>
      <c r="U5" s="22" t="s">
        <v>458</v>
      </c>
      <c r="V5" s="13"/>
      <c r="W5" s="13"/>
      <c r="X5" s="13"/>
      <c r="Y5" s="13"/>
      <c r="Z5" s="13"/>
    </row>
    <row r="6" spans="1:26" ht="3" customHeight="1">
      <c r="A6" s="23"/>
      <c r="B6" s="23"/>
      <c r="C6" s="23"/>
      <c r="D6" s="23"/>
      <c r="E6" s="23"/>
      <c r="F6" s="23"/>
      <c r="G6" s="23"/>
      <c r="H6" s="23"/>
      <c r="I6" s="23"/>
      <c r="J6" s="23"/>
      <c r="K6" s="23"/>
      <c r="L6" s="23"/>
      <c r="M6" s="23"/>
      <c r="N6" s="23"/>
      <c r="O6" s="23"/>
      <c r="P6" s="23"/>
      <c r="Q6" s="23"/>
      <c r="R6" s="23"/>
      <c r="S6" s="23"/>
      <c r="T6" s="23"/>
      <c r="U6" s="23"/>
      <c r="V6" s="23"/>
      <c r="W6" s="4"/>
      <c r="X6" s="4"/>
      <c r="Y6" s="4"/>
      <c r="Z6" s="4"/>
    </row>
    <row r="7" spans="1:26" ht="57.75" customHeight="1">
      <c r="A7" s="24" t="s">
        <v>23</v>
      </c>
      <c r="B7" s="25" t="s">
        <v>24</v>
      </c>
      <c r="C7" s="25" t="s">
        <v>459</v>
      </c>
      <c r="D7" s="25" t="s">
        <v>460</v>
      </c>
      <c r="E7" s="25" t="s">
        <v>472</v>
      </c>
      <c r="F7" s="25" t="s">
        <v>26</v>
      </c>
      <c r="G7" s="25" t="s">
        <v>27</v>
      </c>
      <c r="H7" s="25" t="s">
        <v>28</v>
      </c>
      <c r="I7" s="25" t="s">
        <v>29</v>
      </c>
      <c r="J7" s="25" t="s">
        <v>30</v>
      </c>
      <c r="K7" s="25" t="s">
        <v>31</v>
      </c>
      <c r="L7" s="25" t="s">
        <v>32</v>
      </c>
      <c r="M7" s="25" t="s">
        <v>33</v>
      </c>
      <c r="N7" s="25" t="s">
        <v>34</v>
      </c>
      <c r="O7" s="25" t="s">
        <v>35</v>
      </c>
      <c r="P7" s="25" t="s">
        <v>36</v>
      </c>
      <c r="Q7" s="25" t="s">
        <v>473</v>
      </c>
      <c r="R7" s="25" t="s">
        <v>464</v>
      </c>
      <c r="S7" s="25" t="s">
        <v>39</v>
      </c>
      <c r="T7" s="25" t="s">
        <v>40</v>
      </c>
      <c r="U7" s="25" t="s">
        <v>12</v>
      </c>
      <c r="V7" s="28" t="s">
        <v>474</v>
      </c>
      <c r="W7" s="280" t="s">
        <v>475</v>
      </c>
      <c r="X7" s="280" t="s">
        <v>476</v>
      </c>
      <c r="Y7" s="280" t="s">
        <v>477</v>
      </c>
      <c r="Z7" s="281" t="s">
        <v>478</v>
      </c>
    </row>
    <row r="8" spans="1:26" ht="17.25" customHeight="1">
      <c r="A8" s="29"/>
      <c r="B8" s="30"/>
      <c r="C8" s="30"/>
      <c r="D8" s="30"/>
      <c r="E8" s="30"/>
      <c r="F8" s="30"/>
      <c r="G8" s="30"/>
      <c r="H8" s="30"/>
      <c r="I8" s="30"/>
      <c r="J8" s="30"/>
      <c r="K8" s="30"/>
      <c r="L8" s="30"/>
      <c r="M8" s="30"/>
      <c r="N8" s="30"/>
      <c r="O8" s="30"/>
      <c r="P8" s="30"/>
      <c r="Q8" s="30"/>
      <c r="R8" s="30"/>
      <c r="S8" s="30"/>
      <c r="T8" s="30"/>
      <c r="U8" s="30"/>
      <c r="V8" s="30"/>
      <c r="W8" s="4"/>
      <c r="X8" s="4"/>
      <c r="Y8" s="4"/>
      <c r="Z8" s="4"/>
    </row>
    <row r="9" spans="1:26" ht="15.75" customHeight="1">
      <c r="A9" s="31" t="s">
        <v>42</v>
      </c>
      <c r="B9" s="32">
        <v>2025</v>
      </c>
      <c r="C9" s="271">
        <f>B5</f>
        <v>2.5548194942063767E-2</v>
      </c>
      <c r="D9" s="271">
        <f>$D$5</f>
        <v>3.7339999999999998E-2</v>
      </c>
      <c r="E9" s="34">
        <f t="shared" ref="E9:E184" si="1">(C9-D9)*(F9*1000000000)</f>
        <v>-2830033213.9046955</v>
      </c>
      <c r="F9" s="34">
        <f>F3</f>
        <v>240</v>
      </c>
      <c r="G9" s="34">
        <f t="shared" ref="G9:G184" si="2">D9*F9*1000000000</f>
        <v>8961599999.9999981</v>
      </c>
      <c r="H9" s="34">
        <f t="shared" ref="H9:H184" si="3">G9*(1-$H$3)</f>
        <v>8916791999.9999981</v>
      </c>
      <c r="I9" s="35">
        <f>I3</f>
        <v>0.1</v>
      </c>
      <c r="J9" s="36">
        <f t="shared" ref="J9:J184" si="4">(H9*I9)</f>
        <v>891679199.99999988</v>
      </c>
      <c r="K9" s="34">
        <f>$K$5+J9</f>
        <v>891679199.99999988</v>
      </c>
      <c r="L9" s="37">
        <f>($K$5+J9)*(1-$L$3)</f>
        <v>891233360.39999998</v>
      </c>
      <c r="M9" s="34">
        <f t="shared" ref="M9:M184" si="5">L8*$M$3</f>
        <v>0</v>
      </c>
      <c r="N9" s="34">
        <f t="shared" ref="N9:N184" si="6">H9*(1-I9)</f>
        <v>8025112799.9999981</v>
      </c>
      <c r="O9" s="34">
        <f t="shared" ref="O9:O184" si="7">M9+N9</f>
        <v>8025112799.9999981</v>
      </c>
      <c r="P9" s="34"/>
      <c r="Q9" s="38">
        <f t="shared" ref="Q9:Q184" si="8">(O9-P9)*(1-$Q$3)</f>
        <v>7984987235.9999981</v>
      </c>
      <c r="R9" s="39">
        <f t="shared" ref="R9:R184" si="9">Q9*$R$5</f>
        <v>798498723.5999999</v>
      </c>
      <c r="S9" s="34">
        <f t="shared" ref="S9:S184" si="10">Q9-R9</f>
        <v>7186488512.3999977</v>
      </c>
      <c r="T9" s="40">
        <v>8231613070</v>
      </c>
      <c r="U9" s="272">
        <f t="shared" ref="U9:U184" si="11">$U$3</f>
        <v>6.8310681663272103E-4</v>
      </c>
      <c r="V9" s="282">
        <f t="shared" ref="V9:V184" si="12">(S9/(T9*U9))/12</f>
        <v>106.50301991562969</v>
      </c>
      <c r="W9" s="283">
        <f>((S9+'Malawi-only'!S9)/(T9*(U9+'Malawi-only'!U9))/12)</f>
        <v>21.570916533974525</v>
      </c>
      <c r="X9" s="284">
        <f>(R9+'Malawi-only'!R9)</f>
        <v>818212596.4124999</v>
      </c>
      <c r="Y9" s="284">
        <f>(L9+'Malawi-only'!L9)</f>
        <v>895634033.96249998</v>
      </c>
      <c r="Z9" s="284">
        <f>(Q9+'Malawi-only'!Q9)</f>
        <v>8024414981.6249981</v>
      </c>
    </row>
    <row r="10" spans="1:26" ht="15.75" customHeight="1">
      <c r="A10" s="31" t="s">
        <v>43</v>
      </c>
      <c r="B10" s="32">
        <v>2026</v>
      </c>
      <c r="C10" s="271">
        <f t="shared" ref="C10:C184" si="13">C9*(1-$C$5)</f>
        <v>2.299337544785739E-2</v>
      </c>
      <c r="D10" s="271">
        <f t="shared" ref="D10:D18" si="14">D9*0.865</f>
        <v>3.2299099999999997E-2</v>
      </c>
      <c r="E10" s="34">
        <f t="shared" si="1"/>
        <v>-2599647210.8865581</v>
      </c>
      <c r="F10" s="34">
        <f t="shared" ref="F10:F27" si="15">F9*(1+$F$5)</f>
        <v>279.35999999999996</v>
      </c>
      <c r="G10" s="34">
        <f t="shared" si="2"/>
        <v>9023076575.9999981</v>
      </c>
      <c r="H10" s="34">
        <f t="shared" si="3"/>
        <v>8977961193.1199989</v>
      </c>
      <c r="I10" s="35">
        <f>$I$3+$I$5</f>
        <v>0.11</v>
      </c>
      <c r="J10" s="36">
        <f t="shared" si="4"/>
        <v>987575731.24319994</v>
      </c>
      <c r="K10" s="34">
        <f t="shared" ref="K10:K184" si="16">K9+J10</f>
        <v>1879254931.2431998</v>
      </c>
      <c r="L10" s="37">
        <f t="shared" ref="L10:L59" si="17">(L9+J10)*(1-$L$3)</f>
        <v>1877869687.0973785</v>
      </c>
      <c r="M10" s="34">
        <f t="shared" si="5"/>
        <v>56504195.04936</v>
      </c>
      <c r="N10" s="34">
        <f t="shared" si="6"/>
        <v>7990385461.8767996</v>
      </c>
      <c r="O10" s="34">
        <f t="shared" si="7"/>
        <v>8046889656.9261599</v>
      </c>
      <c r="P10" s="34"/>
      <c r="Q10" s="38">
        <f t="shared" si="8"/>
        <v>8006655208.6415291</v>
      </c>
      <c r="R10" s="39">
        <f t="shared" si="9"/>
        <v>800665520.86415291</v>
      </c>
      <c r="S10" s="34">
        <f t="shared" si="10"/>
        <v>7205989687.7773762</v>
      </c>
      <c r="T10" s="40">
        <v>8300678395</v>
      </c>
      <c r="U10" s="272">
        <f t="shared" si="11"/>
        <v>6.8310681663272103E-4</v>
      </c>
      <c r="V10" s="282">
        <f t="shared" si="12"/>
        <v>105.90346832180528</v>
      </c>
      <c r="W10" s="283">
        <f>((S10+'Malawi-only'!S10)/(T10*(U10+'Malawi-only'!U10))/12)</f>
        <v>21.484227735072029</v>
      </c>
      <c r="X10" s="284">
        <f>(R10+'Malawi-only'!R10)</f>
        <v>832136951.73719978</v>
      </c>
      <c r="Y10" s="284">
        <f>(L10+'Malawi-only'!L10)</f>
        <v>1890048332.3711572</v>
      </c>
      <c r="Z10" s="284">
        <f>(Q10+'Malawi-only'!Q10)</f>
        <v>8069598070.3876228</v>
      </c>
    </row>
    <row r="11" spans="1:26" ht="15.75" customHeight="1">
      <c r="A11" s="31" t="s">
        <v>44</v>
      </c>
      <c r="B11" s="32">
        <v>2027</v>
      </c>
      <c r="C11" s="271">
        <f t="shared" si="13"/>
        <v>2.0694037903071651E-2</v>
      </c>
      <c r="D11" s="271">
        <f t="shared" si="14"/>
        <v>2.7938721499999996E-2</v>
      </c>
      <c r="E11" s="34">
        <f t="shared" si="1"/>
        <v>-2355790278.4185181</v>
      </c>
      <c r="F11" s="34">
        <f t="shared" si="15"/>
        <v>325.17503999999991</v>
      </c>
      <c r="G11" s="34">
        <f t="shared" si="2"/>
        <v>9084974881.3113556</v>
      </c>
      <c r="H11" s="34">
        <f t="shared" si="3"/>
        <v>9039550006.9047985</v>
      </c>
      <c r="I11" s="35">
        <f t="shared" ref="I11:I18" si="18">I10+$I$5</f>
        <v>0.12</v>
      </c>
      <c r="J11" s="36">
        <f t="shared" si="4"/>
        <v>1084746000.8285758</v>
      </c>
      <c r="K11" s="34">
        <f t="shared" si="16"/>
        <v>2964000932.0717754</v>
      </c>
      <c r="L11" s="37">
        <f t="shared" si="17"/>
        <v>2961134380.0819917</v>
      </c>
      <c r="M11" s="34">
        <f t="shared" si="5"/>
        <v>119056938.16197379</v>
      </c>
      <c r="N11" s="34">
        <f t="shared" si="6"/>
        <v>7954804006.0762224</v>
      </c>
      <c r="O11" s="34">
        <f t="shared" si="7"/>
        <v>8073860944.2381964</v>
      </c>
      <c r="P11" s="34"/>
      <c r="Q11" s="38">
        <f t="shared" si="8"/>
        <v>8033491639.517005</v>
      </c>
      <c r="R11" s="39">
        <f t="shared" si="9"/>
        <v>803349163.95170057</v>
      </c>
      <c r="S11" s="34">
        <f t="shared" si="10"/>
        <v>7230142475.5653048</v>
      </c>
      <c r="T11" s="40">
        <v>8369094344</v>
      </c>
      <c r="U11" s="272">
        <f t="shared" si="11"/>
        <v>6.8310681663272103E-4</v>
      </c>
      <c r="V11" s="282">
        <f t="shared" si="12"/>
        <v>105.38978697506178</v>
      </c>
      <c r="W11" s="283">
        <f>((S11+'Malawi-only'!S11)/(T11*(U11+'Malawi-only'!U11))/12)</f>
        <v>21.423632661376345</v>
      </c>
      <c r="X11" s="284">
        <f>(R11+'Malawi-only'!R11)</f>
        <v>849739389.01749718</v>
      </c>
      <c r="Y11" s="284">
        <f>(L11+'Malawi-only'!L11)</f>
        <v>2985910797.8731694</v>
      </c>
      <c r="Z11" s="284">
        <f>(Q11+'Malawi-only'!Q11)</f>
        <v>8126272089.6485987</v>
      </c>
    </row>
    <row r="12" spans="1:26" ht="15.75" customHeight="1">
      <c r="A12" s="31" t="s">
        <v>45</v>
      </c>
      <c r="B12" s="32">
        <v>2028</v>
      </c>
      <c r="C12" s="271">
        <f t="shared" si="13"/>
        <v>1.8624634112764486E-2</v>
      </c>
      <c r="D12" s="271">
        <f t="shared" si="14"/>
        <v>2.4166994097499995E-2</v>
      </c>
      <c r="E12" s="34">
        <f t="shared" si="1"/>
        <v>-2097804019.0066137</v>
      </c>
      <c r="F12" s="34">
        <f t="shared" si="15"/>
        <v>378.50374655999985</v>
      </c>
      <c r="G12" s="34">
        <f t="shared" si="2"/>
        <v>9147297808.9971504</v>
      </c>
      <c r="H12" s="34">
        <f t="shared" si="3"/>
        <v>9101561319.9521637</v>
      </c>
      <c r="I12" s="35">
        <f t="shared" si="18"/>
        <v>0.13</v>
      </c>
      <c r="J12" s="36">
        <f t="shared" si="4"/>
        <v>1183202971.5937812</v>
      </c>
      <c r="K12" s="34">
        <f t="shared" si="16"/>
        <v>4147203903.6655569</v>
      </c>
      <c r="L12" s="37">
        <f t="shared" si="17"/>
        <v>4142265182.9999352</v>
      </c>
      <c r="M12" s="34">
        <f t="shared" si="5"/>
        <v>187735919.69719827</v>
      </c>
      <c r="N12" s="34">
        <f t="shared" si="6"/>
        <v>7918358348.3583822</v>
      </c>
      <c r="O12" s="34">
        <f t="shared" si="7"/>
        <v>8106094268.0555801</v>
      </c>
      <c r="P12" s="34"/>
      <c r="Q12" s="38">
        <f t="shared" si="8"/>
        <v>8065563796.7153025</v>
      </c>
      <c r="R12" s="39">
        <f t="shared" si="9"/>
        <v>806556379.67153025</v>
      </c>
      <c r="S12" s="34">
        <f t="shared" si="10"/>
        <v>7259007417.0437717</v>
      </c>
      <c r="T12" s="40">
        <v>8436618886</v>
      </c>
      <c r="U12" s="272">
        <f t="shared" si="11"/>
        <v>6.8310681663272103E-4</v>
      </c>
      <c r="V12" s="282">
        <f t="shared" si="12"/>
        <v>104.96365476868152</v>
      </c>
      <c r="W12" s="283">
        <f>((S12+'Malawi-only'!S12)/(T12*(U12+'Malawi-only'!U12))/12)</f>
        <v>21.391311198354533</v>
      </c>
      <c r="X12" s="284">
        <f>(R12+'Malawi-only'!R12)</f>
        <v>871724514.36137545</v>
      </c>
      <c r="Y12" s="284">
        <f>(L12+'Malawi-only'!L12)</f>
        <v>4186358223.7942452</v>
      </c>
      <c r="Z12" s="284">
        <f>(Q12+'Malawi-only'!Q12)</f>
        <v>8195900066.0949926</v>
      </c>
    </row>
    <row r="13" spans="1:26" ht="15.75" customHeight="1">
      <c r="A13" s="31" t="s">
        <v>46</v>
      </c>
      <c r="B13" s="32">
        <v>2029</v>
      </c>
      <c r="C13" s="271">
        <f t="shared" si="13"/>
        <v>1.6762170701488038E-2</v>
      </c>
      <c r="D13" s="271">
        <f t="shared" si="14"/>
        <v>2.0904449894337495E-2</v>
      </c>
      <c r="E13" s="34">
        <f t="shared" si="1"/>
        <v>-1824998577.5727839</v>
      </c>
      <c r="F13" s="34">
        <f t="shared" si="15"/>
        <v>440.57836099583977</v>
      </c>
      <c r="G13" s="34">
        <f t="shared" si="2"/>
        <v>9210048271.9668694</v>
      </c>
      <c r="H13" s="34">
        <f t="shared" si="3"/>
        <v>9163998030.6070347</v>
      </c>
      <c r="I13" s="35">
        <f t="shared" si="18"/>
        <v>0.14000000000000001</v>
      </c>
      <c r="J13" s="36">
        <f t="shared" si="4"/>
        <v>1282959724.2849851</v>
      </c>
      <c r="K13" s="34">
        <f t="shared" si="16"/>
        <v>5430163627.9505424</v>
      </c>
      <c r="L13" s="37">
        <f t="shared" si="17"/>
        <v>5422512294.8312778</v>
      </c>
      <c r="M13" s="34">
        <f t="shared" si="5"/>
        <v>262619612.60219589</v>
      </c>
      <c r="N13" s="34">
        <f t="shared" si="6"/>
        <v>7881038306.3220501</v>
      </c>
      <c r="O13" s="34">
        <f t="shared" si="7"/>
        <v>8143657918.9242458</v>
      </c>
      <c r="P13" s="34"/>
      <c r="Q13" s="38">
        <f t="shared" si="8"/>
        <v>8102939629.3296242</v>
      </c>
      <c r="R13" s="39">
        <f t="shared" si="9"/>
        <v>810293962.93296242</v>
      </c>
      <c r="S13" s="34">
        <f t="shared" si="10"/>
        <v>7292645666.3966618</v>
      </c>
      <c r="T13" s="40">
        <v>8503285323</v>
      </c>
      <c r="U13" s="272">
        <f t="shared" si="11"/>
        <v>6.8310681663272103E-4</v>
      </c>
      <c r="V13" s="282">
        <f t="shared" si="12"/>
        <v>104.62331959841519</v>
      </c>
      <c r="W13" s="283">
        <f>((S13+'Malawi-only'!S13)/(T13*(U13+'Malawi-only'!U13))/12)</f>
        <v>21.389101442962417</v>
      </c>
      <c r="X13" s="284">
        <f>(R13+'Malawi-only'!R13)</f>
        <v>898937144.55746388</v>
      </c>
      <c r="Y13" s="284">
        <f>(L13+'Malawi-only'!L13)</f>
        <v>5495119531.4038744</v>
      </c>
      <c r="Z13" s="284">
        <f>(Q13+'Malawi-only'!Q13)</f>
        <v>8280225992.5786266</v>
      </c>
    </row>
    <row r="14" spans="1:26" ht="15.75" customHeight="1">
      <c r="A14" s="31" t="s">
        <v>47</v>
      </c>
      <c r="B14" s="32">
        <v>2030</v>
      </c>
      <c r="C14" s="271">
        <f t="shared" si="13"/>
        <v>1.5085953631339234E-2</v>
      </c>
      <c r="D14" s="271">
        <f t="shared" si="14"/>
        <v>1.8082349158601935E-2</v>
      </c>
      <c r="E14" s="34">
        <f t="shared" si="1"/>
        <v>-1536651143.2653193</v>
      </c>
      <c r="F14" s="34">
        <f t="shared" si="15"/>
        <v>512.83321219915751</v>
      </c>
      <c r="G14" s="34">
        <f t="shared" si="2"/>
        <v>9273229203.1125641</v>
      </c>
      <c r="H14" s="34">
        <f t="shared" si="3"/>
        <v>9226863057.097002</v>
      </c>
      <c r="I14" s="35">
        <f t="shared" si="18"/>
        <v>0.15000000000000002</v>
      </c>
      <c r="J14" s="36">
        <f t="shared" si="4"/>
        <v>1384029458.5645504</v>
      </c>
      <c r="K14" s="34">
        <f t="shared" si="16"/>
        <v>6814193086.5150928</v>
      </c>
      <c r="L14" s="37">
        <f t="shared" si="17"/>
        <v>6803138482.5191307</v>
      </c>
      <c r="M14" s="34">
        <f t="shared" si="5"/>
        <v>343787279.49230301</v>
      </c>
      <c r="N14" s="34">
        <f t="shared" si="6"/>
        <v>7842833598.5324516</v>
      </c>
      <c r="O14" s="34">
        <f t="shared" si="7"/>
        <v>8186620878.0247545</v>
      </c>
      <c r="P14" s="34"/>
      <c r="Q14" s="38">
        <f t="shared" si="8"/>
        <v>8145687773.6346312</v>
      </c>
      <c r="R14" s="39">
        <f t="shared" si="9"/>
        <v>814568777.36346316</v>
      </c>
      <c r="S14" s="34">
        <f t="shared" si="10"/>
        <v>7331118996.2711678</v>
      </c>
      <c r="T14" s="40">
        <v>8569124911</v>
      </c>
      <c r="U14" s="272">
        <f t="shared" si="11"/>
        <v>6.8310681663272103E-4</v>
      </c>
      <c r="V14" s="282">
        <f t="shared" si="12"/>
        <v>104.36717547985336</v>
      </c>
      <c r="W14" s="283">
        <f>((S14+'Malawi-only'!S14)/(T14*(U14+'Malawi-only'!U14))/12)</f>
        <v>21.419288580700236</v>
      </c>
      <c r="X14" s="284">
        <f>(R14+'Malawi-only'!R14)</f>
        <v>932388891.39395118</v>
      </c>
      <c r="Y14" s="284">
        <f>(L14+'Malawi-only'!L14)</f>
        <v>6916669110.8532915</v>
      </c>
      <c r="Z14" s="284">
        <f>(Q14+'Malawi-only'!Q14)</f>
        <v>8381328001.6956072</v>
      </c>
    </row>
    <row r="15" spans="1:26" ht="15.75" customHeight="1">
      <c r="A15" s="31" t="s">
        <v>48</v>
      </c>
      <c r="B15" s="32">
        <v>2031</v>
      </c>
      <c r="C15" s="271">
        <f t="shared" si="13"/>
        <v>1.357735826820531E-2</v>
      </c>
      <c r="D15" s="271">
        <f t="shared" si="14"/>
        <v>1.5641232022190674E-2</v>
      </c>
      <c r="E15" s="34">
        <f t="shared" si="1"/>
        <v>-1232004379.9499433</v>
      </c>
      <c r="F15" s="34">
        <f t="shared" si="15"/>
        <v>596.93785899981935</v>
      </c>
      <c r="G15" s="34">
        <f t="shared" si="2"/>
        <v>9336843555.4459171</v>
      </c>
      <c r="H15" s="34">
        <f t="shared" si="3"/>
        <v>9290159337.6686878</v>
      </c>
      <c r="I15" s="35">
        <f t="shared" si="18"/>
        <v>0.16000000000000003</v>
      </c>
      <c r="J15" s="36">
        <f t="shared" si="4"/>
        <v>1486425494.0269904</v>
      </c>
      <c r="K15" s="34">
        <f t="shared" si="16"/>
        <v>8300618580.5420837</v>
      </c>
      <c r="L15" s="37">
        <f t="shared" si="17"/>
        <v>8285419194.5578489</v>
      </c>
      <c r="M15" s="34">
        <f t="shared" si="5"/>
        <v>431318979.79171288</v>
      </c>
      <c r="N15" s="34">
        <f t="shared" si="6"/>
        <v>7803733843.6416979</v>
      </c>
      <c r="O15" s="34">
        <f t="shared" si="7"/>
        <v>8235052823.4334106</v>
      </c>
      <c r="P15" s="34"/>
      <c r="Q15" s="38">
        <f t="shared" si="8"/>
        <v>8193877559.3162432</v>
      </c>
      <c r="R15" s="39">
        <f t="shared" si="9"/>
        <v>819387755.93162441</v>
      </c>
      <c r="S15" s="34">
        <f t="shared" si="10"/>
        <v>7374489803.3846188</v>
      </c>
      <c r="T15" s="40">
        <v>8634119333</v>
      </c>
      <c r="U15" s="272">
        <f t="shared" si="11"/>
        <v>6.8310681663272103E-4</v>
      </c>
      <c r="V15" s="282">
        <f t="shared" si="12"/>
        <v>104.19432547530123</v>
      </c>
      <c r="W15" s="283">
        <f>((S15+'Malawi-only'!S15)/(T15*(U15+'Malawi-only'!U15))/12)</f>
        <v>21.484796700389555</v>
      </c>
      <c r="X15" s="284">
        <f>(R15+'Malawi-only'!R15)</f>
        <v>973289595.64575326</v>
      </c>
      <c r="Y15" s="284">
        <f>(L15+'Malawi-only'!L15)</f>
        <v>8456417155.3787813</v>
      </c>
      <c r="Z15" s="284">
        <f>(Q15+'Malawi-only'!Q15)</f>
        <v>8501681238.7445011</v>
      </c>
    </row>
    <row r="16" spans="1:26" ht="15.75" customHeight="1">
      <c r="A16" s="31" t="s">
        <v>49</v>
      </c>
      <c r="B16" s="32">
        <v>2032</v>
      </c>
      <c r="C16" s="271">
        <f t="shared" si="13"/>
        <v>1.2219622441384779E-2</v>
      </c>
      <c r="D16" s="271">
        <f t="shared" si="14"/>
        <v>1.3529665699194933E-2</v>
      </c>
      <c r="E16" s="34">
        <f t="shared" si="1"/>
        <v>-910264781.9866935</v>
      </c>
      <c r="F16" s="34">
        <f t="shared" si="15"/>
        <v>694.83566787578968</v>
      </c>
      <c r="G16" s="34">
        <f t="shared" si="2"/>
        <v>9400894302.2362747</v>
      </c>
      <c r="H16" s="34">
        <f t="shared" si="3"/>
        <v>9353889830.7250938</v>
      </c>
      <c r="I16" s="35">
        <f t="shared" si="18"/>
        <v>0.17000000000000004</v>
      </c>
      <c r="J16" s="36">
        <f t="shared" si="4"/>
        <v>1590161271.2232664</v>
      </c>
      <c r="K16" s="34">
        <f t="shared" si="16"/>
        <v>9890779851.7653503</v>
      </c>
      <c r="L16" s="37">
        <f t="shared" si="17"/>
        <v>9870642675.5482254</v>
      </c>
      <c r="M16" s="34">
        <f t="shared" si="5"/>
        <v>525295576.93496758</v>
      </c>
      <c r="N16" s="34">
        <f t="shared" si="6"/>
        <v>7763728559.5018272</v>
      </c>
      <c r="O16" s="34">
        <f t="shared" si="7"/>
        <v>8289024136.4367952</v>
      </c>
      <c r="P16" s="34"/>
      <c r="Q16" s="38">
        <f t="shared" si="8"/>
        <v>8247579015.754611</v>
      </c>
      <c r="R16" s="39">
        <f t="shared" si="9"/>
        <v>824757901.57546115</v>
      </c>
      <c r="S16" s="34">
        <f t="shared" si="10"/>
        <v>7422821114.1791496</v>
      </c>
      <c r="T16" s="40">
        <v>8698229812</v>
      </c>
      <c r="U16" s="272">
        <f t="shared" si="11"/>
        <v>6.8310681663272103E-4</v>
      </c>
      <c r="V16" s="282">
        <f t="shared" si="12"/>
        <v>104.10420008401032</v>
      </c>
      <c r="W16" s="283">
        <f>((S16+'Malawi-only'!S16)/(T16*(U16+'Malawi-only'!U16))/12)</f>
        <v>21.589202061122013</v>
      </c>
      <c r="X16" s="284">
        <f>(R16+'Malawi-only'!R16)</f>
        <v>1023084469.9395607</v>
      </c>
      <c r="Y16" s="284">
        <f>(L16+'Malawi-only'!L16)</f>
        <v>10120945382.210474</v>
      </c>
      <c r="Z16" s="284">
        <f>(Q16+'Malawi-only'!Q16)</f>
        <v>8644232152.482811</v>
      </c>
    </row>
    <row r="17" spans="1:26" ht="15.75" customHeight="1">
      <c r="A17" s="31" t="s">
        <v>50</v>
      </c>
      <c r="B17" s="32">
        <v>2033</v>
      </c>
      <c r="C17" s="271">
        <f t="shared" si="13"/>
        <v>1.0997660197246302E-2</v>
      </c>
      <c r="D17" s="271">
        <f t="shared" si="14"/>
        <v>1.1703160829803617E-2</v>
      </c>
      <c r="E17" s="34">
        <f t="shared" si="1"/>
        <v>-570600951.73615372</v>
      </c>
      <c r="F17" s="34">
        <f t="shared" si="15"/>
        <v>808.78871740741909</v>
      </c>
      <c r="G17" s="34">
        <f t="shared" si="2"/>
        <v>9465384437.1496143</v>
      </c>
      <c r="H17" s="34">
        <f t="shared" si="3"/>
        <v>9418057514.9638653</v>
      </c>
      <c r="I17" s="35">
        <f t="shared" si="18"/>
        <v>0.18000000000000005</v>
      </c>
      <c r="J17" s="36">
        <f t="shared" si="4"/>
        <v>1695250352.6934962</v>
      </c>
      <c r="K17" s="34">
        <f t="shared" si="16"/>
        <v>11586030204.458847</v>
      </c>
      <c r="L17" s="37">
        <f t="shared" si="17"/>
        <v>11560110081.727602</v>
      </c>
      <c r="M17" s="34">
        <f t="shared" si="5"/>
        <v>625798745.62975752</v>
      </c>
      <c r="N17" s="34">
        <f t="shared" si="6"/>
        <v>7722807162.2703695</v>
      </c>
      <c r="O17" s="34">
        <f t="shared" si="7"/>
        <v>8348605907.9001274</v>
      </c>
      <c r="P17" s="34"/>
      <c r="Q17" s="38">
        <f t="shared" si="8"/>
        <v>8306862878.3606272</v>
      </c>
      <c r="R17" s="39">
        <f t="shared" si="9"/>
        <v>830686287.83606279</v>
      </c>
      <c r="S17" s="34">
        <f t="shared" si="10"/>
        <v>7476176590.5245647</v>
      </c>
      <c r="T17" s="40">
        <v>8761449081</v>
      </c>
      <c r="U17" s="272">
        <f t="shared" si="11"/>
        <v>6.8310681663272103E-4</v>
      </c>
      <c r="V17" s="282">
        <f t="shared" si="12"/>
        <v>104.09592880473217</v>
      </c>
      <c r="W17" s="283">
        <f>((S17+'Malawi-only'!S17)/(T17*(U17+'Malawi-only'!U17))/12)</f>
        <v>21.736709323278646</v>
      </c>
      <c r="X17" s="284">
        <f>(R17+'Malawi-only'!R17)</f>
        <v>1083497958.3871107</v>
      </c>
      <c r="Y17" s="284">
        <f>(L17+'Malawi-only'!L17)</f>
        <v>11918298354.241814</v>
      </c>
      <c r="Z17" s="284">
        <f>(Q17+'Malawi-only'!Q17)</f>
        <v>8812486219.4627228</v>
      </c>
    </row>
    <row r="18" spans="1:26" ht="15.75" customHeight="1">
      <c r="A18" s="31" t="s">
        <v>51</v>
      </c>
      <c r="B18" s="32">
        <v>2034</v>
      </c>
      <c r="C18" s="271">
        <f t="shared" si="13"/>
        <v>9.8978941775216718E-3</v>
      </c>
      <c r="D18" s="271">
        <f t="shared" si="14"/>
        <v>1.0123234117780129E-2</v>
      </c>
      <c r="E18" s="34">
        <f t="shared" si="1"/>
        <v>-212141795.06931996</v>
      </c>
      <c r="F18" s="34">
        <f t="shared" si="15"/>
        <v>941.43006706223571</v>
      </c>
      <c r="G18" s="34">
        <f t="shared" si="2"/>
        <v>9530316974.3884602</v>
      </c>
      <c r="H18" s="34">
        <f t="shared" si="3"/>
        <v>9482665389.5165176</v>
      </c>
      <c r="I18" s="35">
        <f t="shared" si="18"/>
        <v>0.19000000000000006</v>
      </c>
      <c r="J18" s="36">
        <f t="shared" si="4"/>
        <v>1801706424.0081389</v>
      </c>
      <c r="K18" s="34">
        <f t="shared" si="16"/>
        <v>13387736628.466986</v>
      </c>
      <c r="L18" s="37">
        <f t="shared" si="17"/>
        <v>13355135597.482874</v>
      </c>
      <c r="M18" s="34">
        <f t="shared" si="5"/>
        <v>732910979.18153</v>
      </c>
      <c r="N18" s="34">
        <f t="shared" si="6"/>
        <v>7680958965.508379</v>
      </c>
      <c r="O18" s="34">
        <f t="shared" si="7"/>
        <v>8413869944.689909</v>
      </c>
      <c r="P18" s="34"/>
      <c r="Q18" s="38">
        <f t="shared" si="8"/>
        <v>8371800594.9664593</v>
      </c>
      <c r="R18" s="39">
        <f t="shared" si="9"/>
        <v>837180059.49664593</v>
      </c>
      <c r="S18" s="34">
        <f t="shared" si="10"/>
        <v>7534620535.4698133</v>
      </c>
      <c r="T18" s="40">
        <v>8823784909</v>
      </c>
      <c r="U18" s="272">
        <f t="shared" si="11"/>
        <v>6.8310681663272103E-4</v>
      </c>
      <c r="V18" s="282">
        <f t="shared" si="12"/>
        <v>104.16854705784813</v>
      </c>
      <c r="W18" s="283">
        <f>((S18+'Malawi-only'!S18)/(T18*(U18+'Malawi-only'!U18))/12)</f>
        <v>21.932316846250092</v>
      </c>
      <c r="X18" s="284">
        <f>(R18+'Malawi-only'!R18)</f>
        <v>1156585494.7723587</v>
      </c>
      <c r="Y18" s="284">
        <f>(L18+'Malawi-only'!L18)</f>
        <v>13858342818.794188</v>
      </c>
      <c r="Z18" s="284">
        <f>(Q18+'Malawi-only'!Q18)</f>
        <v>9010611465.5178852</v>
      </c>
    </row>
    <row r="19" spans="1:26" ht="15.75" customHeight="1">
      <c r="A19" s="31" t="s">
        <v>52</v>
      </c>
      <c r="B19" s="32">
        <v>2035</v>
      </c>
      <c r="C19" s="271">
        <f t="shared" si="13"/>
        <v>8.9081047597695043E-3</v>
      </c>
      <c r="D19" s="271">
        <f t="shared" ref="D19:D184" si="19">C19</f>
        <v>8.9081047597695043E-3</v>
      </c>
      <c r="E19" s="34">
        <f t="shared" si="1"/>
        <v>0</v>
      </c>
      <c r="F19" s="34">
        <f t="shared" si="15"/>
        <v>1095.8245980604422</v>
      </c>
      <c r="G19" s="34">
        <f t="shared" si="2"/>
        <v>9761720317.8547287</v>
      </c>
      <c r="H19" s="34">
        <f t="shared" si="3"/>
        <v>9712911716.2654552</v>
      </c>
      <c r="I19" s="35">
        <f t="shared" ref="I19:I34" si="20">I18+$J$5</f>
        <v>0.24000000000000005</v>
      </c>
      <c r="J19" s="36">
        <f t="shared" si="4"/>
        <v>2331098811.9037099</v>
      </c>
      <c r="K19" s="34">
        <f t="shared" si="16"/>
        <v>15718835440.370695</v>
      </c>
      <c r="L19" s="37">
        <f t="shared" si="17"/>
        <v>15678391292.18189</v>
      </c>
      <c r="M19" s="34">
        <f t="shared" si="5"/>
        <v>846715596.88041413</v>
      </c>
      <c r="N19" s="34">
        <f t="shared" si="6"/>
        <v>7381812904.3617458</v>
      </c>
      <c r="O19" s="34">
        <f t="shared" si="7"/>
        <v>8228528501.2421598</v>
      </c>
      <c r="P19" s="34"/>
      <c r="Q19" s="38">
        <f t="shared" si="8"/>
        <v>8187385858.7359486</v>
      </c>
      <c r="R19" s="39">
        <f t="shared" si="9"/>
        <v>818738585.87359488</v>
      </c>
      <c r="S19" s="34">
        <f t="shared" si="10"/>
        <v>7368647272.8623533</v>
      </c>
      <c r="T19" s="40">
        <v>8885210181</v>
      </c>
      <c r="U19" s="272">
        <f t="shared" si="11"/>
        <v>6.8310681663272103E-4</v>
      </c>
      <c r="V19" s="282">
        <f t="shared" si="12"/>
        <v>101.1696382726589</v>
      </c>
      <c r="W19" s="283">
        <f>((S19+'Malawi-only'!S19)/(T19*(U19+'Malawi-only'!U19))/12)</f>
        <v>21.49210407698251</v>
      </c>
      <c r="X19" s="284">
        <f>(R19+'Malawi-only'!R19)</f>
        <v>1200052887.0040216</v>
      </c>
      <c r="Y19" s="284">
        <f>(L19+'Malawi-only'!L19)</f>
        <v>16413196475.202299</v>
      </c>
      <c r="Z19" s="284">
        <f>(Q19+'Malawi-only'!Q19)</f>
        <v>8950014460.9968014</v>
      </c>
    </row>
    <row r="20" spans="1:26" ht="15.75" customHeight="1">
      <c r="A20" s="31" t="s">
        <v>53</v>
      </c>
      <c r="B20" s="32">
        <v>2036</v>
      </c>
      <c r="C20" s="271">
        <f t="shared" si="13"/>
        <v>8.0172942837925549E-3</v>
      </c>
      <c r="D20" s="271">
        <f t="shared" si="19"/>
        <v>8.0172942837925549E-3</v>
      </c>
      <c r="E20" s="34">
        <f t="shared" si="1"/>
        <v>0</v>
      </c>
      <c r="F20" s="34">
        <f t="shared" si="15"/>
        <v>1275.5398321423547</v>
      </c>
      <c r="G20" s="34">
        <f t="shared" si="2"/>
        <v>10226378204.984617</v>
      </c>
      <c r="H20" s="34">
        <f t="shared" si="3"/>
        <v>10175246313.959694</v>
      </c>
      <c r="I20" s="35">
        <f t="shared" si="20"/>
        <v>0.29000000000000004</v>
      </c>
      <c r="J20" s="36">
        <f t="shared" si="4"/>
        <v>2950821431.0483117</v>
      </c>
      <c r="K20" s="34">
        <f t="shared" si="16"/>
        <v>18669656871.419006</v>
      </c>
      <c r="L20" s="37">
        <f t="shared" si="17"/>
        <v>18619898116.868587</v>
      </c>
      <c r="M20" s="34">
        <f t="shared" si="5"/>
        <v>994010007.92433178</v>
      </c>
      <c r="N20" s="34">
        <f t="shared" si="6"/>
        <v>7224424882.9113827</v>
      </c>
      <c r="O20" s="34">
        <f t="shared" si="7"/>
        <v>8218434890.8357143</v>
      </c>
      <c r="P20" s="34"/>
      <c r="Q20" s="38">
        <f t="shared" si="8"/>
        <v>8177342716.3815355</v>
      </c>
      <c r="R20" s="39">
        <f t="shared" si="9"/>
        <v>817734271.63815355</v>
      </c>
      <c r="S20" s="34">
        <f t="shared" si="10"/>
        <v>7359608444.7433815</v>
      </c>
      <c r="T20" s="40">
        <v>8945686614</v>
      </c>
      <c r="U20" s="272">
        <f t="shared" si="11"/>
        <v>6.8310681663272103E-4</v>
      </c>
      <c r="V20" s="282">
        <f t="shared" si="12"/>
        <v>100.36242907863931</v>
      </c>
      <c r="W20" s="283">
        <f>((S20+'Malawi-only'!S20)/(T20*(U20+'Malawi-only'!U20))/12)</f>
        <v>21.516721795377084</v>
      </c>
      <c r="X20" s="284">
        <f>(R20+'Malawi-only'!R20)</f>
        <v>1269774325.7789047</v>
      </c>
      <c r="Y20" s="284">
        <f>(L20+'Malawi-only'!L20)</f>
        <v>19706259294.02779</v>
      </c>
      <c r="Z20" s="284">
        <f>(Q20+'Malawi-only'!Q20)</f>
        <v>9081422824.6630383</v>
      </c>
    </row>
    <row r="21" spans="1:26" ht="15.75" customHeight="1">
      <c r="A21" s="31" t="s">
        <v>54</v>
      </c>
      <c r="B21" s="32">
        <v>2037</v>
      </c>
      <c r="C21" s="271">
        <f t="shared" si="13"/>
        <v>7.2155648554132999E-3</v>
      </c>
      <c r="D21" s="271">
        <f t="shared" si="19"/>
        <v>7.2155648554132999E-3</v>
      </c>
      <c r="E21" s="34">
        <f t="shared" si="1"/>
        <v>0</v>
      </c>
      <c r="F21" s="34">
        <f t="shared" si="15"/>
        <v>1484.7283646137007</v>
      </c>
      <c r="G21" s="34">
        <f t="shared" si="2"/>
        <v>10713153807.541882</v>
      </c>
      <c r="H21" s="34">
        <f t="shared" si="3"/>
        <v>10659588038.504171</v>
      </c>
      <c r="I21" s="35">
        <f t="shared" si="20"/>
        <v>0.34</v>
      </c>
      <c r="J21" s="36">
        <f t="shared" si="4"/>
        <v>3624259933.0914187</v>
      </c>
      <c r="K21" s="34">
        <f t="shared" si="16"/>
        <v>22293916804.510426</v>
      </c>
      <c r="L21" s="37">
        <f t="shared" si="17"/>
        <v>22233035970.935028</v>
      </c>
      <c r="M21" s="34">
        <f t="shared" si="5"/>
        <v>1180501540.6094685</v>
      </c>
      <c r="N21" s="34">
        <f t="shared" si="6"/>
        <v>7035328105.4127522</v>
      </c>
      <c r="O21" s="34">
        <f t="shared" si="7"/>
        <v>8215829646.0222206</v>
      </c>
      <c r="P21" s="34"/>
      <c r="Q21" s="38">
        <f t="shared" si="8"/>
        <v>8174750497.7921095</v>
      </c>
      <c r="R21" s="39">
        <f t="shared" si="9"/>
        <v>817475049.77921104</v>
      </c>
      <c r="S21" s="34">
        <f t="shared" si="10"/>
        <v>7357275448.0128984</v>
      </c>
      <c r="T21" s="40">
        <v>9005152624</v>
      </c>
      <c r="U21" s="272">
        <f t="shared" si="11"/>
        <v>6.8310681663272103E-4</v>
      </c>
      <c r="V21" s="282">
        <f t="shared" si="12"/>
        <v>99.668075566581194</v>
      </c>
      <c r="W21" s="283">
        <f>((S21+'Malawi-only'!S21)/(T21*(U21+'Malawi-only'!U21))/12)</f>
        <v>21.588034196902125</v>
      </c>
      <c r="X21" s="284">
        <f>(R21+'Malawi-only'!R21)</f>
        <v>1349837726.7806871</v>
      </c>
      <c r="Y21" s="284">
        <f>(L21+'Malawi-only'!L21)</f>
        <v>23834366003.10854</v>
      </c>
      <c r="Z21" s="284">
        <f>(Q21+'Malawi-only'!Q21)</f>
        <v>9239475851.7950611</v>
      </c>
    </row>
    <row r="22" spans="1:26" ht="15.75" customHeight="1">
      <c r="A22" s="31" t="s">
        <v>55</v>
      </c>
      <c r="B22" s="32">
        <v>2038</v>
      </c>
      <c r="C22" s="271">
        <f t="shared" si="13"/>
        <v>6.4940083698719698E-3</v>
      </c>
      <c r="D22" s="271">
        <f t="shared" si="19"/>
        <v>6.4940083698719698E-3</v>
      </c>
      <c r="E22" s="34">
        <f t="shared" si="1"/>
        <v>0</v>
      </c>
      <c r="F22" s="34">
        <f t="shared" si="15"/>
        <v>1728.2238164103476</v>
      </c>
      <c r="G22" s="34">
        <f t="shared" si="2"/>
        <v>11223099928.780876</v>
      </c>
      <c r="H22" s="34">
        <f t="shared" si="3"/>
        <v>11166984429.136972</v>
      </c>
      <c r="I22" s="35">
        <f t="shared" si="20"/>
        <v>0.39</v>
      </c>
      <c r="J22" s="36">
        <f t="shared" si="4"/>
        <v>4355123927.3634195</v>
      </c>
      <c r="K22" s="34">
        <f t="shared" si="16"/>
        <v>26649040731.873844</v>
      </c>
      <c r="L22" s="37">
        <f t="shared" si="17"/>
        <v>26574865818.3493</v>
      </c>
      <c r="M22" s="34">
        <f t="shared" si="5"/>
        <v>1409574480.5572808</v>
      </c>
      <c r="N22" s="34">
        <f t="shared" si="6"/>
        <v>6811860501.7735529</v>
      </c>
      <c r="O22" s="34">
        <f t="shared" si="7"/>
        <v>8221434982.3308334</v>
      </c>
      <c r="P22" s="34"/>
      <c r="Q22" s="38">
        <f t="shared" si="8"/>
        <v>8180327807.419179</v>
      </c>
      <c r="R22" s="39">
        <f t="shared" si="9"/>
        <v>818032780.74191797</v>
      </c>
      <c r="S22" s="34">
        <f t="shared" si="10"/>
        <v>7362295026.6772614</v>
      </c>
      <c r="T22" s="40">
        <v>9063572926</v>
      </c>
      <c r="U22" s="272">
        <f t="shared" si="11"/>
        <v>6.8310681663272103E-4</v>
      </c>
      <c r="V22" s="282">
        <f t="shared" si="12"/>
        <v>99.093214814442987</v>
      </c>
      <c r="W22" s="283">
        <f>((S22+'Malawi-only'!S22)/(T22*(U22+'Malawi-only'!U22))/12)</f>
        <v>21.708960819526329</v>
      </c>
      <c r="X22" s="284">
        <f>(R22+'Malawi-only'!R22)</f>
        <v>1441040329.9360766</v>
      </c>
      <c r="Y22" s="284">
        <f>(L22+'Malawi-only'!L22)</f>
        <v>28910754110.855743</v>
      </c>
      <c r="Z22" s="284">
        <f>(Q22+'Malawi-only'!Q22)</f>
        <v>9426342905.8074951</v>
      </c>
    </row>
    <row r="23" spans="1:26" ht="15.75" customHeight="1">
      <c r="A23" s="31" t="s">
        <v>56</v>
      </c>
      <c r="B23" s="32">
        <v>2039</v>
      </c>
      <c r="C23" s="271">
        <f t="shared" si="13"/>
        <v>5.8446075328847727E-3</v>
      </c>
      <c r="D23" s="271">
        <f t="shared" si="19"/>
        <v>5.8446075328847727E-3</v>
      </c>
      <c r="E23" s="34">
        <f t="shared" si="1"/>
        <v>0</v>
      </c>
      <c r="F23" s="34">
        <f t="shared" si="15"/>
        <v>2011.6525223016445</v>
      </c>
      <c r="G23" s="34">
        <f t="shared" si="2"/>
        <v>11757319485.390844</v>
      </c>
      <c r="H23" s="34">
        <f t="shared" si="3"/>
        <v>11698532887.96389</v>
      </c>
      <c r="I23" s="35">
        <f t="shared" si="20"/>
        <v>0.44</v>
      </c>
      <c r="J23" s="36">
        <f t="shared" si="4"/>
        <v>5147354470.7041121</v>
      </c>
      <c r="K23" s="34">
        <f t="shared" si="16"/>
        <v>31796395202.577957</v>
      </c>
      <c r="L23" s="37">
        <f t="shared" si="17"/>
        <v>31706359178.90889</v>
      </c>
      <c r="M23" s="34">
        <f t="shared" si="5"/>
        <v>1684846492.8833456</v>
      </c>
      <c r="N23" s="34">
        <f t="shared" si="6"/>
        <v>6551178417.259779</v>
      </c>
      <c r="O23" s="34">
        <f t="shared" si="7"/>
        <v>8236024910.1431246</v>
      </c>
      <c r="P23" s="34"/>
      <c r="Q23" s="38">
        <f t="shared" si="8"/>
        <v>8194844785.5924091</v>
      </c>
      <c r="R23" s="39">
        <f t="shared" si="9"/>
        <v>819484478.55924094</v>
      </c>
      <c r="S23" s="34">
        <f t="shared" si="10"/>
        <v>7375360307.0331678</v>
      </c>
      <c r="T23" s="40">
        <v>9120928380</v>
      </c>
      <c r="U23" s="272">
        <f t="shared" si="11"/>
        <v>6.8310681663272103E-4</v>
      </c>
      <c r="V23" s="282">
        <f t="shared" si="12"/>
        <v>98.644830512177009</v>
      </c>
      <c r="W23" s="283">
        <f>((S23+'Malawi-only'!S23)/(T23*(U23+'Malawi-only'!U23))/12)</f>
        <v>21.88218289622796</v>
      </c>
      <c r="X23" s="284">
        <f>(R23+'Malawi-only'!R23)</f>
        <v>1544079016.3243971</v>
      </c>
      <c r="Y23" s="284">
        <f>(L23+'Malawi-only'!L23)</f>
        <v>35068575326.96946</v>
      </c>
      <c r="Z23" s="284">
        <f>(Q23+'Malawi-only'!Q23)</f>
        <v>9644033861.1227207</v>
      </c>
    </row>
    <row r="24" spans="1:26" ht="15.75" customHeight="1">
      <c r="A24" s="31" t="s">
        <v>57</v>
      </c>
      <c r="B24" s="32">
        <v>2040</v>
      </c>
      <c r="C24" s="271">
        <f t="shared" si="13"/>
        <v>5.2601467795962958E-3</v>
      </c>
      <c r="D24" s="271">
        <f t="shared" si="19"/>
        <v>5.2601467795962958E-3</v>
      </c>
      <c r="E24" s="34">
        <f t="shared" si="1"/>
        <v>0</v>
      </c>
      <c r="F24" s="34">
        <f t="shared" si="15"/>
        <v>2341.5635359591142</v>
      </c>
      <c r="G24" s="34">
        <f t="shared" si="2"/>
        <v>12316967892.895451</v>
      </c>
      <c r="H24" s="34">
        <f t="shared" si="3"/>
        <v>12255383053.430973</v>
      </c>
      <c r="I24" s="35">
        <f t="shared" si="20"/>
        <v>0.49</v>
      </c>
      <c r="J24" s="36">
        <f t="shared" si="4"/>
        <v>6005137696.1811771</v>
      </c>
      <c r="K24" s="34">
        <f t="shared" si="16"/>
        <v>37801532898.759132</v>
      </c>
      <c r="L24" s="37">
        <f t="shared" si="17"/>
        <v>37692641126.652519</v>
      </c>
      <c r="M24" s="34">
        <f t="shared" si="5"/>
        <v>2010183171.9428236</v>
      </c>
      <c r="N24" s="34">
        <f t="shared" si="6"/>
        <v>6250245357.2497959</v>
      </c>
      <c r="O24" s="34">
        <f t="shared" si="7"/>
        <v>8260428529.1926193</v>
      </c>
      <c r="P24" s="34"/>
      <c r="Q24" s="38">
        <f t="shared" si="8"/>
        <v>8219126386.5466566</v>
      </c>
      <c r="R24" s="39">
        <f t="shared" si="9"/>
        <v>821912638.65466571</v>
      </c>
      <c r="S24" s="34">
        <f t="shared" si="10"/>
        <v>7397213747.8919907</v>
      </c>
      <c r="T24" s="40">
        <v>9177190203</v>
      </c>
      <c r="U24" s="272">
        <f t="shared" si="11"/>
        <v>6.8310681663272103E-4</v>
      </c>
      <c r="V24" s="282">
        <f t="shared" si="12"/>
        <v>98.330573049797223</v>
      </c>
      <c r="W24" s="283">
        <f>((S24+'Malawi-only'!S24)/(T24*(U24+'Malawi-only'!U24))/12)</f>
        <v>22.110090773656285</v>
      </c>
      <c r="X24" s="284">
        <f>(R24+'Malawi-only'!R24)</f>
        <v>1659500998.9127383</v>
      </c>
      <c r="Y24" s="284">
        <f>(L24+'Malawi-only'!L24)</f>
        <v>42465236044.680099</v>
      </c>
      <c r="Z24" s="284">
        <f>(Q24+'Malawi-only'!Q24)</f>
        <v>9894303107.0628014</v>
      </c>
    </row>
    <row r="25" spans="1:26" ht="15.75" customHeight="1">
      <c r="A25" s="31" t="s">
        <v>58</v>
      </c>
      <c r="B25" s="32">
        <v>2041</v>
      </c>
      <c r="C25" s="271">
        <f t="shared" si="13"/>
        <v>4.7341321016366664E-3</v>
      </c>
      <c r="D25" s="271">
        <f t="shared" si="19"/>
        <v>4.7341321016366664E-3</v>
      </c>
      <c r="E25" s="34">
        <f t="shared" si="1"/>
        <v>0</v>
      </c>
      <c r="F25" s="34">
        <f t="shared" si="15"/>
        <v>2725.579955856409</v>
      </c>
      <c r="G25" s="34">
        <f t="shared" si="2"/>
        <v>12903255564.597273</v>
      </c>
      <c r="H25" s="34">
        <f t="shared" si="3"/>
        <v>12838739286.774286</v>
      </c>
      <c r="I25" s="35">
        <f t="shared" si="20"/>
        <v>0.54</v>
      </c>
      <c r="J25" s="36">
        <f t="shared" si="4"/>
        <v>6932919214.8581152</v>
      </c>
      <c r="K25" s="34">
        <f t="shared" si="16"/>
        <v>44734452113.617249</v>
      </c>
      <c r="L25" s="37">
        <f t="shared" si="17"/>
        <v>44603247561.339882</v>
      </c>
      <c r="M25" s="34">
        <f t="shared" si="5"/>
        <v>2389713447.4297695</v>
      </c>
      <c r="N25" s="34">
        <f t="shared" si="6"/>
        <v>5905820071.9161711</v>
      </c>
      <c r="O25" s="34">
        <f t="shared" si="7"/>
        <v>8295533519.3459406</v>
      </c>
      <c r="P25" s="34"/>
      <c r="Q25" s="38">
        <f t="shared" si="8"/>
        <v>8254055851.7492113</v>
      </c>
      <c r="R25" s="39">
        <f t="shared" si="9"/>
        <v>825405585.17492115</v>
      </c>
      <c r="S25" s="34">
        <f t="shared" si="10"/>
        <v>7428650266.5742903</v>
      </c>
      <c r="T25" s="40">
        <v>9232281575</v>
      </c>
      <c r="U25" s="272">
        <f t="shared" si="11"/>
        <v>6.8310681663272103E-4</v>
      </c>
      <c r="V25" s="282">
        <f t="shared" si="12"/>
        <v>98.159199037656705</v>
      </c>
      <c r="W25" s="283">
        <f>((S25+'Malawi-only'!S25)/(T25*(U25+'Malawi-only'!U25))/12)</f>
        <v>22.164714347384315</v>
      </c>
      <c r="X25" s="284">
        <f>(R25+'Malawi-only'!R25)</f>
        <v>1701457999.6161165</v>
      </c>
      <c r="Y25" s="284">
        <f>(L25+'Malawi-only'!L25)</f>
        <v>51084549127.660202</v>
      </c>
      <c r="Z25" s="284">
        <f>(Q25+'Malawi-only'!Q25)</f>
        <v>10006160680.631601</v>
      </c>
    </row>
    <row r="26" spans="1:26" ht="15.75" customHeight="1">
      <c r="A26" s="31" t="s">
        <v>59</v>
      </c>
      <c r="B26" s="32">
        <v>2042</v>
      </c>
      <c r="C26" s="271">
        <f t="shared" si="13"/>
        <v>4.2607188914729997E-3</v>
      </c>
      <c r="D26" s="271">
        <f t="shared" si="19"/>
        <v>4.2607188914729997E-3</v>
      </c>
      <c r="E26" s="34">
        <f t="shared" si="1"/>
        <v>0</v>
      </c>
      <c r="F26" s="34">
        <f t="shared" si="15"/>
        <v>3172.5750686168599</v>
      </c>
      <c r="G26" s="34">
        <f t="shared" si="2"/>
        <v>13517450529.472103</v>
      </c>
      <c r="H26" s="34">
        <f t="shared" si="3"/>
        <v>13449863276.824743</v>
      </c>
      <c r="I26" s="35">
        <f t="shared" si="20"/>
        <v>0.59000000000000008</v>
      </c>
      <c r="J26" s="36">
        <f t="shared" si="4"/>
        <v>7935419333.3266001</v>
      </c>
      <c r="K26" s="34">
        <f t="shared" si="16"/>
        <v>52669871446.943848</v>
      </c>
      <c r="L26" s="37">
        <f t="shared" si="17"/>
        <v>52512397561.219154</v>
      </c>
      <c r="M26" s="34">
        <f t="shared" si="5"/>
        <v>2827845895.3889484</v>
      </c>
      <c r="N26" s="34">
        <f t="shared" si="6"/>
        <v>5514443943.4981432</v>
      </c>
      <c r="O26" s="34">
        <f t="shared" si="7"/>
        <v>8342289838.8870916</v>
      </c>
      <c r="P26" s="34"/>
      <c r="Q26" s="38">
        <f t="shared" si="8"/>
        <v>8300578389.6926565</v>
      </c>
      <c r="R26" s="39">
        <f t="shared" si="9"/>
        <v>830057838.9692657</v>
      </c>
      <c r="S26" s="34">
        <f t="shared" si="10"/>
        <v>7470520550.7233906</v>
      </c>
      <c r="T26" s="40">
        <v>9286110371</v>
      </c>
      <c r="U26" s="272">
        <f t="shared" si="11"/>
        <v>6.8310681663272103E-4</v>
      </c>
      <c r="V26" s="282">
        <f t="shared" si="12"/>
        <v>98.140249650011654</v>
      </c>
      <c r="W26" s="283">
        <f>((S26+'Malawi-only'!S26)/(T26*(U26+'Malawi-only'!U26))/12)</f>
        <v>22.162764498920314</v>
      </c>
      <c r="X26" s="284">
        <f>(R26+'Malawi-only'!R26)</f>
        <v>1711925687.4637718</v>
      </c>
      <c r="Y26" s="284">
        <f>(L26+'Malawi-only'!L26)</f>
        <v>60948975462.463768</v>
      </c>
      <c r="Z26" s="284">
        <f>(Q26+'Malawi-only'!Q26)</f>
        <v>10064314086.681669</v>
      </c>
    </row>
    <row r="27" spans="1:26" ht="15.75" customHeight="1">
      <c r="A27" s="31" t="s">
        <v>60</v>
      </c>
      <c r="B27" s="32">
        <v>2043</v>
      </c>
      <c r="C27" s="271">
        <f t="shared" si="13"/>
        <v>3.8346470023257E-3</v>
      </c>
      <c r="D27" s="271">
        <f t="shared" si="19"/>
        <v>3.8346470023257E-3</v>
      </c>
      <c r="E27" s="34">
        <f t="shared" si="1"/>
        <v>0</v>
      </c>
      <c r="F27" s="34">
        <f t="shared" si="15"/>
        <v>3692.8773798700245</v>
      </c>
      <c r="G27" s="34">
        <f t="shared" si="2"/>
        <v>14160881174.674974</v>
      </c>
      <c r="H27" s="34">
        <f t="shared" si="3"/>
        <v>14090076768.8016</v>
      </c>
      <c r="I27" s="35">
        <f t="shared" si="20"/>
        <v>0.64000000000000012</v>
      </c>
      <c r="J27" s="36">
        <f t="shared" si="4"/>
        <v>9017649132.0330257</v>
      </c>
      <c r="K27" s="34">
        <f t="shared" si="16"/>
        <v>61687520578.976875</v>
      </c>
      <c r="L27" s="37">
        <f t="shared" si="17"/>
        <v>61499281669.905556</v>
      </c>
      <c r="M27" s="34">
        <f t="shared" si="5"/>
        <v>3329286005.3812943</v>
      </c>
      <c r="N27" s="34">
        <f t="shared" si="6"/>
        <v>5072427636.7685738</v>
      </c>
      <c r="O27" s="34">
        <f t="shared" si="7"/>
        <v>8401713642.149868</v>
      </c>
      <c r="P27" s="34"/>
      <c r="Q27" s="38">
        <f t="shared" si="8"/>
        <v>8359705073.9391184</v>
      </c>
      <c r="R27" s="39">
        <f t="shared" si="9"/>
        <v>835970507.39391184</v>
      </c>
      <c r="S27" s="34">
        <f t="shared" si="10"/>
        <v>7523734566.5452061</v>
      </c>
      <c r="T27" s="40">
        <v>9338661314</v>
      </c>
      <c r="U27" s="272">
        <f t="shared" si="11"/>
        <v>6.8310681663272103E-4</v>
      </c>
      <c r="V27" s="282">
        <f t="shared" si="12"/>
        <v>98.283129161627912</v>
      </c>
      <c r="W27" s="283">
        <f>((S27+'Malawi-only'!S27)/(T27*(U27+'Malawi-only'!U27))/12)</f>
        <v>22.197906224195137</v>
      </c>
      <c r="X27" s="284">
        <f>(R27+'Malawi-only'!R27)</f>
        <v>1725209927.9951777</v>
      </c>
      <c r="Y27" s="284">
        <f>(L27+'Malawi-only'!L27)</f>
        <v>72157260150.513718</v>
      </c>
      <c r="Z27" s="284">
        <f>(Q27+'Malawi-only'!Q27)</f>
        <v>10138183915.141649</v>
      </c>
    </row>
    <row r="28" spans="1:26" ht="15.75" customHeight="1">
      <c r="A28" s="31" t="s">
        <v>61</v>
      </c>
      <c r="B28" s="32">
        <v>2044</v>
      </c>
      <c r="C28" s="271">
        <f t="shared" si="13"/>
        <v>3.4511823020931301E-3</v>
      </c>
      <c r="D28" s="271">
        <f t="shared" si="19"/>
        <v>3.4511823020931301E-3</v>
      </c>
      <c r="E28" s="34">
        <f t="shared" si="1"/>
        <v>0</v>
      </c>
      <c r="F28" s="42">
        <v>4000</v>
      </c>
      <c r="G28" s="34">
        <f t="shared" si="2"/>
        <v>13804729208.37252</v>
      </c>
      <c r="H28" s="34">
        <f t="shared" si="3"/>
        <v>13735705562.330658</v>
      </c>
      <c r="I28" s="35">
        <f t="shared" si="20"/>
        <v>0.69000000000000017</v>
      </c>
      <c r="J28" s="36">
        <f t="shared" si="4"/>
        <v>9477636838.0081558</v>
      </c>
      <c r="K28" s="34">
        <f t="shared" si="16"/>
        <v>71165157416.985031</v>
      </c>
      <c r="L28" s="37">
        <f t="shared" si="17"/>
        <v>70941430048.65976</v>
      </c>
      <c r="M28" s="34">
        <f t="shared" si="5"/>
        <v>3899054457.8720121</v>
      </c>
      <c r="N28" s="34">
        <f t="shared" si="6"/>
        <v>4258068724.3225017</v>
      </c>
      <c r="O28" s="34">
        <f t="shared" si="7"/>
        <v>8157123182.1945133</v>
      </c>
      <c r="P28" s="34"/>
      <c r="Q28" s="38">
        <f t="shared" si="8"/>
        <v>8116337566.2835407</v>
      </c>
      <c r="R28" s="39">
        <f t="shared" si="9"/>
        <v>811633756.62835407</v>
      </c>
      <c r="S28" s="34">
        <f t="shared" si="10"/>
        <v>7304703809.6551867</v>
      </c>
      <c r="T28" s="40">
        <v>9389873693</v>
      </c>
      <c r="U28" s="272">
        <f t="shared" si="11"/>
        <v>6.8310681663272103E-4</v>
      </c>
      <c r="V28" s="282">
        <f t="shared" si="12"/>
        <v>94.901482172306544</v>
      </c>
      <c r="W28" s="283">
        <f>((S28+'Malawi-only'!S28)/(T28*(U28+'Malawi-only'!U28))/12)</f>
        <v>21.525848840160094</v>
      </c>
      <c r="X28" s="284">
        <f>(R28+'Malawi-only'!R28)</f>
        <v>1709934361.6380305</v>
      </c>
      <c r="Y28" s="284">
        <f>(L28+'Malawi-only'!L28)</f>
        <v>84107790860.727142</v>
      </c>
      <c r="Z28" s="284">
        <f>(Q28+'Malawi-only'!Q28)</f>
        <v>9912938776.3028927</v>
      </c>
    </row>
    <row r="29" spans="1:26" ht="15.75" customHeight="1">
      <c r="A29" s="31" t="s">
        <v>62</v>
      </c>
      <c r="B29" s="32">
        <v>2045</v>
      </c>
      <c r="C29" s="271">
        <f t="shared" si="13"/>
        <v>3.106064071883817E-3</v>
      </c>
      <c r="D29" s="271">
        <f t="shared" si="19"/>
        <v>3.106064071883817E-3</v>
      </c>
      <c r="E29" s="34">
        <f t="shared" si="1"/>
        <v>0</v>
      </c>
      <c r="F29" s="42">
        <v>4000</v>
      </c>
      <c r="G29" s="34">
        <f t="shared" si="2"/>
        <v>12424256287.535269</v>
      </c>
      <c r="H29" s="34">
        <f t="shared" si="3"/>
        <v>12362135006.097593</v>
      </c>
      <c r="I29" s="35">
        <f t="shared" si="20"/>
        <v>0.74000000000000021</v>
      </c>
      <c r="J29" s="36">
        <f t="shared" si="4"/>
        <v>9147979904.5122223</v>
      </c>
      <c r="K29" s="34">
        <f t="shared" si="16"/>
        <v>80313137321.497253</v>
      </c>
      <c r="L29" s="37">
        <f t="shared" si="17"/>
        <v>80049365248.195404</v>
      </c>
      <c r="M29" s="34">
        <f t="shared" si="5"/>
        <v>4497686665.0850286</v>
      </c>
      <c r="N29" s="34">
        <f t="shared" si="6"/>
        <v>3214155101.5853715</v>
      </c>
      <c r="O29" s="34">
        <f t="shared" si="7"/>
        <v>7711841766.6704006</v>
      </c>
      <c r="P29" s="34"/>
      <c r="Q29" s="38">
        <f t="shared" si="8"/>
        <v>7673282557.8370485</v>
      </c>
      <c r="R29" s="39">
        <f t="shared" si="9"/>
        <v>767328255.78370488</v>
      </c>
      <c r="S29" s="34">
        <f t="shared" si="10"/>
        <v>6905954302.0533438</v>
      </c>
      <c r="T29" s="40">
        <v>9439639668</v>
      </c>
      <c r="U29" s="272">
        <f t="shared" si="11"/>
        <v>6.8310681663272103E-4</v>
      </c>
      <c r="V29" s="282">
        <f t="shared" si="12"/>
        <v>89.247984758102334</v>
      </c>
      <c r="W29" s="283">
        <f>((S29+'Malawi-only'!S29)/(T29*(U29+'Malawi-only'!U29))/12)</f>
        <v>20.399940543635253</v>
      </c>
      <c r="X29" s="284">
        <f>(R29+'Malawi-only'!R29)</f>
        <v>1676522313.411577</v>
      </c>
      <c r="Y29" s="284">
        <f>(L29+'Malawi-only'!L29)</f>
        <v>96033330336.201614</v>
      </c>
      <c r="Z29" s="284">
        <f>(Q29+'Malawi-only'!Q29)</f>
        <v>9491670673.0927925</v>
      </c>
    </row>
    <row r="30" spans="1:26" ht="15.75" customHeight="1">
      <c r="A30" s="31" t="s">
        <v>63</v>
      </c>
      <c r="B30" s="32">
        <v>2046</v>
      </c>
      <c r="C30" s="271">
        <f t="shared" si="13"/>
        <v>2.7954576646954353E-3</v>
      </c>
      <c r="D30" s="271">
        <f t="shared" si="19"/>
        <v>2.7954576646954353E-3</v>
      </c>
      <c r="E30" s="34">
        <f t="shared" si="1"/>
        <v>0</v>
      </c>
      <c r="F30" s="42">
        <v>4000</v>
      </c>
      <c r="G30" s="34">
        <f t="shared" si="2"/>
        <v>11181830658.781742</v>
      </c>
      <c r="H30" s="34">
        <f t="shared" si="3"/>
        <v>11125921505.487833</v>
      </c>
      <c r="I30" s="35">
        <f t="shared" si="20"/>
        <v>0.79000000000000026</v>
      </c>
      <c r="J30" s="36">
        <f t="shared" si="4"/>
        <v>8789477989.3353901</v>
      </c>
      <c r="K30" s="34">
        <f t="shared" si="16"/>
        <v>89102615310.832642</v>
      </c>
      <c r="L30" s="37">
        <f t="shared" si="17"/>
        <v>88794423815.912033</v>
      </c>
      <c r="M30" s="34">
        <f t="shared" si="5"/>
        <v>5075129756.7355881</v>
      </c>
      <c r="N30" s="34">
        <f t="shared" si="6"/>
        <v>2336443516.152442</v>
      </c>
      <c r="O30" s="34">
        <f t="shared" si="7"/>
        <v>7411573272.8880301</v>
      </c>
      <c r="P30" s="34"/>
      <c r="Q30" s="38">
        <f t="shared" si="8"/>
        <v>7374515406.5235901</v>
      </c>
      <c r="R30" s="39">
        <f t="shared" si="9"/>
        <v>737451540.65235901</v>
      </c>
      <c r="S30" s="34">
        <f t="shared" si="10"/>
        <v>6637063865.8712311</v>
      </c>
      <c r="T30" s="40">
        <v>9487889604</v>
      </c>
      <c r="U30" s="272">
        <f t="shared" si="11"/>
        <v>6.8310681663272103E-4</v>
      </c>
      <c r="V30" s="282">
        <f t="shared" si="12"/>
        <v>85.336830507467951</v>
      </c>
      <c r="W30" s="283">
        <f>((S30+'Malawi-only'!S30)/(T30*(U30+'Malawi-only'!U30))/12)</f>
        <v>19.631325800245889</v>
      </c>
      <c r="X30" s="284">
        <f>(R30+'Malawi-only'!R30)</f>
        <v>1659523728.3493166</v>
      </c>
      <c r="Y30" s="284">
        <f>(L30+'Malawi-only'!L30)</f>
        <v>107928922374.91592</v>
      </c>
      <c r="Z30" s="284">
        <f>(Q30+'Malawi-only'!Q30)</f>
        <v>9218659781.9175053</v>
      </c>
    </row>
    <row r="31" spans="1:26" ht="15.75" customHeight="1">
      <c r="A31" s="31" t="s">
        <v>64</v>
      </c>
      <c r="B31" s="32">
        <v>2047</v>
      </c>
      <c r="C31" s="271">
        <f t="shared" si="13"/>
        <v>2.5159118982258917E-3</v>
      </c>
      <c r="D31" s="271">
        <f t="shared" si="19"/>
        <v>2.5159118982258917E-3</v>
      </c>
      <c r="E31" s="34">
        <f t="shared" si="1"/>
        <v>0</v>
      </c>
      <c r="F31" s="42">
        <v>4000</v>
      </c>
      <c r="G31" s="34">
        <f t="shared" si="2"/>
        <v>10063647592.903568</v>
      </c>
      <c r="H31" s="34">
        <f t="shared" si="3"/>
        <v>10013329354.939051</v>
      </c>
      <c r="I31" s="35">
        <f t="shared" si="20"/>
        <v>0.8400000000000003</v>
      </c>
      <c r="J31" s="36">
        <f t="shared" si="4"/>
        <v>8411196658.1488056</v>
      </c>
      <c r="K31" s="34">
        <f t="shared" si="16"/>
        <v>97513811968.981445</v>
      </c>
      <c r="L31" s="37">
        <f t="shared" si="17"/>
        <v>97157017663.823807</v>
      </c>
      <c r="M31" s="34">
        <f t="shared" si="5"/>
        <v>5629566469.9288225</v>
      </c>
      <c r="N31" s="34">
        <f t="shared" si="6"/>
        <v>1602132696.7902451</v>
      </c>
      <c r="O31" s="34">
        <f t="shared" si="7"/>
        <v>7231699166.7190676</v>
      </c>
      <c r="P31" s="34"/>
      <c r="Q31" s="38">
        <f t="shared" si="8"/>
        <v>7195540670.8854723</v>
      </c>
      <c r="R31" s="39">
        <f t="shared" si="9"/>
        <v>719554067.08854723</v>
      </c>
      <c r="S31" s="34">
        <f t="shared" si="10"/>
        <v>6475986603.7969246</v>
      </c>
      <c r="T31" s="40">
        <v>9534545977</v>
      </c>
      <c r="U31" s="272">
        <f t="shared" si="11"/>
        <v>6.8310681663272103E-4</v>
      </c>
      <c r="V31" s="282">
        <f t="shared" si="12"/>
        <v>82.858307737629318</v>
      </c>
      <c r="W31" s="283">
        <f>((S31+'Malawi-only'!S31)/(T31*(U31+'Malawi-only'!U31))/12)</f>
        <v>19.157816840035562</v>
      </c>
      <c r="X31" s="284">
        <f>(R31+'Malawi-only'!R31)</f>
        <v>1656651830.1724296</v>
      </c>
      <c r="Y31" s="284">
        <f>(L31+'Malawi-only'!L31)</f>
        <v>119800242470.64873</v>
      </c>
      <c r="Z31" s="284">
        <f>(Q31+'Malawi-only'!Q31)</f>
        <v>9069736197.0532379</v>
      </c>
    </row>
    <row r="32" spans="1:26" ht="15.75" customHeight="1">
      <c r="A32" s="31" t="s">
        <v>65</v>
      </c>
      <c r="B32" s="32">
        <v>2048</v>
      </c>
      <c r="C32" s="271">
        <f t="shared" si="13"/>
        <v>2.2643207084033024E-3</v>
      </c>
      <c r="D32" s="271">
        <f t="shared" si="19"/>
        <v>2.2643207084033024E-3</v>
      </c>
      <c r="E32" s="34">
        <f t="shared" si="1"/>
        <v>0</v>
      </c>
      <c r="F32" s="42">
        <v>4000</v>
      </c>
      <c r="G32" s="34">
        <f t="shared" si="2"/>
        <v>9057282833.6132088</v>
      </c>
      <c r="H32" s="34">
        <f t="shared" si="3"/>
        <v>9011996419.4451427</v>
      </c>
      <c r="I32" s="35">
        <f t="shared" si="20"/>
        <v>0.89000000000000035</v>
      </c>
      <c r="J32" s="36">
        <f t="shared" si="4"/>
        <v>8020676813.30618</v>
      </c>
      <c r="K32" s="34">
        <f t="shared" si="16"/>
        <v>105534488782.28763</v>
      </c>
      <c r="L32" s="37">
        <f t="shared" si="17"/>
        <v>105125105629.89143</v>
      </c>
      <c r="M32" s="34">
        <f t="shared" si="5"/>
        <v>6159754919.8864288</v>
      </c>
      <c r="N32" s="34">
        <f t="shared" si="6"/>
        <v>991319606.13896263</v>
      </c>
      <c r="O32" s="34">
        <f t="shared" si="7"/>
        <v>7151074526.0253916</v>
      </c>
      <c r="P32" s="34"/>
      <c r="Q32" s="38">
        <f t="shared" si="8"/>
        <v>7115319153.3952646</v>
      </c>
      <c r="R32" s="39">
        <f t="shared" si="9"/>
        <v>711531915.33952653</v>
      </c>
      <c r="S32" s="34">
        <f t="shared" si="10"/>
        <v>6403787238.0557384</v>
      </c>
      <c r="T32" s="40">
        <v>9579536043</v>
      </c>
      <c r="U32" s="272">
        <f t="shared" si="11"/>
        <v>6.8310681663272103E-4</v>
      </c>
      <c r="V32" s="282">
        <f t="shared" si="12"/>
        <v>81.549734855815061</v>
      </c>
      <c r="W32" s="283">
        <f>((S32+'Malawi-only'!S32)/(T32*(U32+'Malawi-only'!U32))/12)</f>
        <v>18.926751491028377</v>
      </c>
      <c r="X32" s="284">
        <f>(R32+'Malawi-only'!R32)</f>
        <v>1665976466.4390152</v>
      </c>
      <c r="Y32" s="284">
        <f>(L32+'Malawi-only'!L32)</f>
        <v>131662163822.08752</v>
      </c>
      <c r="Z32" s="284">
        <f>(Q32+'Malawi-only'!Q32)</f>
        <v>9024208255.5942421</v>
      </c>
    </row>
    <row r="33" spans="1:26" ht="15.75" customHeight="1">
      <c r="A33" s="31" t="s">
        <v>66</v>
      </c>
      <c r="B33" s="32">
        <v>2049</v>
      </c>
      <c r="C33" s="271">
        <f t="shared" si="13"/>
        <v>2.0378886375629723E-3</v>
      </c>
      <c r="D33" s="271">
        <f t="shared" si="19"/>
        <v>2.0378886375629723E-3</v>
      </c>
      <c r="E33" s="34">
        <f t="shared" si="1"/>
        <v>0</v>
      </c>
      <c r="F33" s="42">
        <v>4000</v>
      </c>
      <c r="G33" s="34">
        <f t="shared" si="2"/>
        <v>8151554550.2518892</v>
      </c>
      <c r="H33" s="34">
        <f t="shared" si="3"/>
        <v>8110796777.5006294</v>
      </c>
      <c r="I33" s="35">
        <f t="shared" si="20"/>
        <v>0.94000000000000039</v>
      </c>
      <c r="J33" s="36">
        <f t="shared" si="4"/>
        <v>7624148970.8505945</v>
      </c>
      <c r="K33" s="34">
        <f t="shared" si="16"/>
        <v>113158637753.13823</v>
      </c>
      <c r="L33" s="37">
        <f t="shared" si="17"/>
        <v>112692879973.44167</v>
      </c>
      <c r="M33" s="34">
        <f t="shared" si="5"/>
        <v>6664931696.9351168</v>
      </c>
      <c r="N33" s="34">
        <f t="shared" si="6"/>
        <v>486647806.65003461</v>
      </c>
      <c r="O33" s="34">
        <f t="shared" si="7"/>
        <v>7151579503.5851517</v>
      </c>
      <c r="P33" s="34"/>
      <c r="Q33" s="38">
        <f t="shared" si="8"/>
        <v>7115821606.0672255</v>
      </c>
      <c r="R33" s="39">
        <f t="shared" si="9"/>
        <v>711582160.60672259</v>
      </c>
      <c r="S33" s="34">
        <f t="shared" si="10"/>
        <v>6404239445.4605026</v>
      </c>
      <c r="T33" s="40">
        <v>9622824029</v>
      </c>
      <c r="U33" s="272">
        <f t="shared" si="11"/>
        <v>6.8310681663272103E-4</v>
      </c>
      <c r="V33" s="282">
        <f t="shared" si="12"/>
        <v>81.188618593158409</v>
      </c>
      <c r="W33" s="283">
        <f>((S33+'Malawi-only'!S33)/(T33*(U33+'Malawi-only'!U33))/12)</f>
        <v>18.848251287041666</v>
      </c>
      <c r="X33" s="284">
        <f>(R33+'Malawi-only'!R33)</f>
        <v>1668168106.7519512</v>
      </c>
      <c r="Y33" s="284">
        <f>(L33+'Malawi-only'!L33)</f>
        <v>142980056203.46558</v>
      </c>
      <c r="Z33" s="284">
        <f>(Q33+'Malawi-only'!Q33)</f>
        <v>9028993498.3576832</v>
      </c>
    </row>
    <row r="34" spans="1:26" ht="15.75" customHeight="1">
      <c r="A34" s="31" t="s">
        <v>67</v>
      </c>
      <c r="B34" s="32">
        <v>2050</v>
      </c>
      <c r="C34" s="271">
        <f t="shared" si="13"/>
        <v>1.834099773806675E-3</v>
      </c>
      <c r="D34" s="271">
        <f t="shared" si="19"/>
        <v>1.834099773806675E-3</v>
      </c>
      <c r="E34" s="34">
        <f t="shared" si="1"/>
        <v>0</v>
      </c>
      <c r="F34" s="42">
        <v>4000</v>
      </c>
      <c r="G34" s="34">
        <f t="shared" si="2"/>
        <v>7336399095.2267008</v>
      </c>
      <c r="H34" s="34">
        <f t="shared" si="3"/>
        <v>7299717099.7505674</v>
      </c>
      <c r="I34" s="35">
        <f t="shared" si="20"/>
        <v>0.99000000000000044</v>
      </c>
      <c r="J34" s="36">
        <f t="shared" si="4"/>
        <v>7226719928.7530651</v>
      </c>
      <c r="K34" s="34">
        <f t="shared" si="16"/>
        <v>120385357681.8913</v>
      </c>
      <c r="L34" s="37">
        <f t="shared" si="17"/>
        <v>119859640102.24364</v>
      </c>
      <c r="M34" s="34">
        <f t="shared" si="5"/>
        <v>7144728590.3162012</v>
      </c>
      <c r="N34" s="34">
        <f t="shared" si="6"/>
        <v>72997170.997502491</v>
      </c>
      <c r="O34" s="34">
        <f t="shared" si="7"/>
        <v>7217725761.3137035</v>
      </c>
      <c r="P34" s="34"/>
      <c r="Q34" s="38">
        <f t="shared" si="8"/>
        <v>7181637132.5071354</v>
      </c>
      <c r="R34" s="39">
        <f t="shared" si="9"/>
        <v>718163713.25071359</v>
      </c>
      <c r="S34" s="34">
        <f t="shared" si="10"/>
        <v>6463473419.256422</v>
      </c>
      <c r="T34" s="40">
        <v>9664378587</v>
      </c>
      <c r="U34" s="272">
        <f t="shared" si="11"/>
        <v>6.8310681663272103E-4</v>
      </c>
      <c r="V34" s="282">
        <f t="shared" si="12"/>
        <v>81.587226066371244</v>
      </c>
      <c r="W34" s="283">
        <f>((S34+'Malawi-only'!S34)/(T34*(U34+'Malawi-only'!U34))/12)</f>
        <v>18.960687915495917</v>
      </c>
      <c r="X34" s="284">
        <f>(R34+'Malawi-only'!R34)</f>
        <v>1691401781.0864239</v>
      </c>
      <c r="Y34" s="284">
        <f>(L34+'Malawi-only'!L34)</f>
        <v>153698882777.26874</v>
      </c>
      <c r="Z34" s="284">
        <f>(Q34+'Malawi-only'!Q34)</f>
        <v>9128113268.1785564</v>
      </c>
    </row>
    <row r="35" spans="1:26" ht="15.75" customHeight="1">
      <c r="A35" s="31" t="s">
        <v>68</v>
      </c>
      <c r="B35" s="32">
        <v>2051</v>
      </c>
      <c r="C35" s="271">
        <f t="shared" si="13"/>
        <v>1.6506897964260075E-3</v>
      </c>
      <c r="D35" s="271">
        <f t="shared" si="19"/>
        <v>1.6506897964260075E-3</v>
      </c>
      <c r="E35" s="34">
        <f t="shared" si="1"/>
        <v>0</v>
      </c>
      <c r="F35" s="42">
        <v>4000</v>
      </c>
      <c r="G35" s="34">
        <f t="shared" si="2"/>
        <v>6602759185.70403</v>
      </c>
      <c r="H35" s="34">
        <f t="shared" si="3"/>
        <v>6569745389.7755098</v>
      </c>
      <c r="I35" s="43">
        <v>1</v>
      </c>
      <c r="J35" s="36">
        <f t="shared" si="4"/>
        <v>6569745389.7755098</v>
      </c>
      <c r="K35" s="34">
        <f t="shared" si="16"/>
        <v>126955103071.66681</v>
      </c>
      <c r="L35" s="37">
        <f t="shared" si="17"/>
        <v>126366170799.27315</v>
      </c>
      <c r="M35" s="34">
        <f t="shared" si="5"/>
        <v>7599101182.4822464</v>
      </c>
      <c r="N35" s="34">
        <f t="shared" si="6"/>
        <v>0</v>
      </c>
      <c r="O35" s="34">
        <f t="shared" si="7"/>
        <v>7599101182.4822464</v>
      </c>
      <c r="P35" s="34"/>
      <c r="Q35" s="38">
        <f t="shared" si="8"/>
        <v>7561105676.5698347</v>
      </c>
      <c r="R35" s="39">
        <f t="shared" si="9"/>
        <v>756110567.65698349</v>
      </c>
      <c r="S35" s="34">
        <f t="shared" si="10"/>
        <v>6804995108.9128513</v>
      </c>
      <c r="T35" s="40">
        <v>9704192304</v>
      </c>
      <c r="U35" s="272">
        <f t="shared" si="11"/>
        <v>6.8310681663272103E-4</v>
      </c>
      <c r="V35" s="282">
        <f t="shared" si="12"/>
        <v>85.545773601490467</v>
      </c>
      <c r="W35" s="283">
        <f>((S35+'Malawi-only'!S35)/(T35*(U35+'Malawi-only'!U35))/12)</f>
        <v>19.989010499958475</v>
      </c>
      <c r="X35" s="284">
        <f>(R35+'Malawi-only'!R35)</f>
        <v>1823451040.4912877</v>
      </c>
      <c r="Y35" s="284">
        <f>(L35+'Malawi-only'!L35)</f>
        <v>163431412064.88455</v>
      </c>
      <c r="Z35" s="284">
        <f>(Q35+'Malawi-only'!Q35)</f>
        <v>9695786622.2384434</v>
      </c>
    </row>
    <row r="36" spans="1:26" ht="15.75" customHeight="1">
      <c r="A36" s="31" t="s">
        <v>69</v>
      </c>
      <c r="B36" s="32">
        <v>2052</v>
      </c>
      <c r="C36" s="271">
        <f t="shared" si="13"/>
        <v>1.4856208167834067E-3</v>
      </c>
      <c r="D36" s="271">
        <f t="shared" si="19"/>
        <v>1.4856208167834067E-3</v>
      </c>
      <c r="E36" s="34">
        <f t="shared" si="1"/>
        <v>0</v>
      </c>
      <c r="F36" s="42">
        <v>4000</v>
      </c>
      <c r="G36" s="34">
        <f t="shared" si="2"/>
        <v>5942483267.1336269</v>
      </c>
      <c r="H36" s="34">
        <f t="shared" si="3"/>
        <v>5912770850.7979584</v>
      </c>
      <c r="I36" s="43">
        <v>1</v>
      </c>
      <c r="J36" s="36">
        <f t="shared" si="4"/>
        <v>5912770850.7979584</v>
      </c>
      <c r="K36" s="34">
        <f t="shared" si="16"/>
        <v>132867873922.46477</v>
      </c>
      <c r="L36" s="37">
        <f t="shared" si="17"/>
        <v>132212802179.24608</v>
      </c>
      <c r="M36" s="34">
        <f t="shared" si="5"/>
        <v>8011615228.6739178</v>
      </c>
      <c r="N36" s="34">
        <f t="shared" si="6"/>
        <v>0</v>
      </c>
      <c r="O36" s="34">
        <f t="shared" si="7"/>
        <v>8011615228.6739178</v>
      </c>
      <c r="P36" s="34"/>
      <c r="Q36" s="38">
        <f t="shared" si="8"/>
        <v>7971557152.5305481</v>
      </c>
      <c r="R36" s="39">
        <f t="shared" si="9"/>
        <v>797155715.25305486</v>
      </c>
      <c r="S36" s="34">
        <f t="shared" si="10"/>
        <v>7174401437.2774935</v>
      </c>
      <c r="T36" s="40">
        <v>9742264515</v>
      </c>
      <c r="U36" s="272">
        <f t="shared" si="11"/>
        <v>6.8310681663272103E-4</v>
      </c>
      <c r="V36" s="282">
        <f t="shared" si="12"/>
        <v>89.837134584740511</v>
      </c>
      <c r="W36" s="283">
        <f>((S36+'Malawi-only'!S36)/(T36*(U36+'Malawi-only'!U36))/12)</f>
        <v>21.102561327015447</v>
      </c>
      <c r="X36" s="284">
        <f>(R36+'Malawi-only'!R36)</f>
        <v>1966249022.6323371</v>
      </c>
      <c r="Y36" s="284">
        <f>(L36+'Malawi-only'!L36)</f>
        <v>172178137214.95612</v>
      </c>
      <c r="Z36" s="284">
        <f>(Q36+'Malawi-only'!Q36)</f>
        <v>10309743767.289112</v>
      </c>
    </row>
    <row r="37" spans="1:26" ht="15.75" customHeight="1">
      <c r="A37" s="31" t="s">
        <v>70</v>
      </c>
      <c r="B37" s="32">
        <v>2053</v>
      </c>
      <c r="C37" s="271">
        <f t="shared" si="13"/>
        <v>1.3370587351050661E-3</v>
      </c>
      <c r="D37" s="271">
        <f t="shared" si="19"/>
        <v>1.3370587351050661E-3</v>
      </c>
      <c r="E37" s="34">
        <f t="shared" si="1"/>
        <v>0</v>
      </c>
      <c r="F37" s="42">
        <v>4000</v>
      </c>
      <c r="G37" s="34">
        <f t="shared" si="2"/>
        <v>5348234940.4202652</v>
      </c>
      <c r="H37" s="34">
        <f t="shared" si="3"/>
        <v>5321493765.7181635</v>
      </c>
      <c r="I37" s="43">
        <v>1</v>
      </c>
      <c r="J37" s="36">
        <f t="shared" si="4"/>
        <v>5321493765.7181635</v>
      </c>
      <c r="K37" s="34">
        <f t="shared" si="16"/>
        <v>138189367688.18292</v>
      </c>
      <c r="L37" s="37">
        <f t="shared" si="17"/>
        <v>137465528796.99176</v>
      </c>
      <c r="M37" s="34">
        <f t="shared" si="5"/>
        <v>8382291658.1642008</v>
      </c>
      <c r="N37" s="34">
        <f t="shared" si="6"/>
        <v>0</v>
      </c>
      <c r="O37" s="34">
        <f t="shared" si="7"/>
        <v>8382291658.1642008</v>
      </c>
      <c r="P37" s="34"/>
      <c r="Q37" s="38">
        <f t="shared" si="8"/>
        <v>8340380199.8733797</v>
      </c>
      <c r="R37" s="39">
        <f t="shared" si="9"/>
        <v>834038019.98733807</v>
      </c>
      <c r="S37" s="34">
        <f t="shared" si="10"/>
        <v>7506342179.8860416</v>
      </c>
      <c r="T37" s="40">
        <v>9778614614</v>
      </c>
      <c r="U37" s="272">
        <f t="shared" si="11"/>
        <v>6.8310681663272103E-4</v>
      </c>
      <c r="V37" s="282">
        <f t="shared" si="12"/>
        <v>93.644260069294262</v>
      </c>
      <c r="W37" s="283">
        <f>((S37+'Malawi-only'!S37)/(T37*(U37+'Malawi-only'!U37))/12)</f>
        <v>22.091044444713987</v>
      </c>
      <c r="X37" s="284">
        <f>(R37+'Malawi-only'!R37)</f>
        <v>2094604635.0161862</v>
      </c>
      <c r="Y37" s="284">
        <f>(L37+'Malawi-only'!L37)</f>
        <v>180037644916.84222</v>
      </c>
      <c r="Z37" s="284">
        <f>(Q37+'Malawi-only'!Q37)</f>
        <v>10861513429.931076</v>
      </c>
    </row>
    <row r="38" spans="1:26" ht="15.75" customHeight="1">
      <c r="A38" s="31" t="s">
        <v>71</v>
      </c>
      <c r="B38" s="32">
        <v>2054</v>
      </c>
      <c r="C38" s="271">
        <f t="shared" si="13"/>
        <v>1.2033528615945596E-3</v>
      </c>
      <c r="D38" s="271">
        <f t="shared" si="19"/>
        <v>1.2033528615945596E-3</v>
      </c>
      <c r="E38" s="34">
        <f t="shared" si="1"/>
        <v>0</v>
      </c>
      <c r="F38" s="42">
        <v>4000</v>
      </c>
      <c r="G38" s="34">
        <f t="shared" si="2"/>
        <v>4813411446.3782387</v>
      </c>
      <c r="H38" s="34">
        <f t="shared" si="3"/>
        <v>4789344389.146347</v>
      </c>
      <c r="I38" s="43">
        <v>1</v>
      </c>
      <c r="J38" s="36">
        <f t="shared" si="4"/>
        <v>4789344389.146347</v>
      </c>
      <c r="K38" s="34">
        <f t="shared" si="16"/>
        <v>142978712077.32928</v>
      </c>
      <c r="L38" s="37">
        <f t="shared" si="17"/>
        <v>142183745749.54507</v>
      </c>
      <c r="M38" s="34">
        <f t="shared" si="5"/>
        <v>8715314525.7292767</v>
      </c>
      <c r="N38" s="34">
        <f t="shared" si="6"/>
        <v>0</v>
      </c>
      <c r="O38" s="34">
        <f t="shared" si="7"/>
        <v>8715314525.7292767</v>
      </c>
      <c r="P38" s="34"/>
      <c r="Q38" s="38">
        <f t="shared" si="8"/>
        <v>8671737953.1006298</v>
      </c>
      <c r="R38" s="39">
        <f t="shared" si="9"/>
        <v>867173795.310063</v>
      </c>
      <c r="S38" s="34">
        <f t="shared" si="10"/>
        <v>7804564157.7905664</v>
      </c>
      <c r="T38" s="40">
        <v>9813251659</v>
      </c>
      <c r="U38" s="272">
        <f t="shared" si="11"/>
        <v>6.8310681663272103E-4</v>
      </c>
      <c r="V38" s="282">
        <f t="shared" si="12"/>
        <v>97.021023890011961</v>
      </c>
      <c r="W38" s="283">
        <f>((S38+'Malawi-only'!S38)/(T38*(U38+'Malawi-only'!U38))/12)</f>
        <v>22.968338130080557</v>
      </c>
      <c r="X38" s="284">
        <f>(R38+'Malawi-only'!R38)</f>
        <v>2209962195.9043269</v>
      </c>
      <c r="Y38" s="284">
        <f>(L38+'Malawi-only'!L38)</f>
        <v>187098663187.82809</v>
      </c>
      <c r="Z38" s="284">
        <f>(Q38+'Malawi-only'!Q38)</f>
        <v>11357314754.289158</v>
      </c>
    </row>
    <row r="39" spans="1:26" ht="15.75" customHeight="1">
      <c r="A39" s="31" t="s">
        <v>72</v>
      </c>
      <c r="B39" s="32">
        <v>2055</v>
      </c>
      <c r="C39" s="271">
        <f t="shared" si="13"/>
        <v>1.0830175754351036E-3</v>
      </c>
      <c r="D39" s="271">
        <f t="shared" si="19"/>
        <v>1.0830175754351036E-3</v>
      </c>
      <c r="E39" s="34">
        <f t="shared" si="1"/>
        <v>0</v>
      </c>
      <c r="F39" s="42">
        <v>4000</v>
      </c>
      <c r="G39" s="34">
        <f t="shared" si="2"/>
        <v>4332070301.7404137</v>
      </c>
      <c r="H39" s="34">
        <f t="shared" si="3"/>
        <v>4310409950.2317114</v>
      </c>
      <c r="I39" s="43">
        <v>1</v>
      </c>
      <c r="J39" s="36">
        <f t="shared" si="4"/>
        <v>4310409950.2317114</v>
      </c>
      <c r="K39" s="34">
        <f t="shared" si="16"/>
        <v>147289122027.561</v>
      </c>
      <c r="L39" s="37">
        <f t="shared" si="17"/>
        <v>146420908621.92691</v>
      </c>
      <c r="M39" s="34">
        <f t="shared" si="5"/>
        <v>9014449480.5211582</v>
      </c>
      <c r="N39" s="34">
        <f t="shared" si="6"/>
        <v>0</v>
      </c>
      <c r="O39" s="34">
        <f t="shared" si="7"/>
        <v>9014449480.5211582</v>
      </c>
      <c r="P39" s="34"/>
      <c r="Q39" s="38">
        <f t="shared" si="8"/>
        <v>8969377233.1185532</v>
      </c>
      <c r="R39" s="39">
        <f t="shared" si="9"/>
        <v>896937723.31185532</v>
      </c>
      <c r="S39" s="34">
        <f t="shared" si="10"/>
        <v>8072439509.8066978</v>
      </c>
      <c r="T39" s="40">
        <v>9846237570</v>
      </c>
      <c r="U39" s="272">
        <f t="shared" si="11"/>
        <v>6.8310681663272103E-4</v>
      </c>
      <c r="V39" s="282">
        <f t="shared" si="12"/>
        <v>100.01488132358544</v>
      </c>
      <c r="W39" s="283">
        <f>((S39+'Malawi-only'!S39)/(T39*(U39+'Malawi-only'!U39))/12)</f>
        <v>23.746678613338702</v>
      </c>
      <c r="X39" s="284">
        <f>(R39+'Malawi-only'!R39)</f>
        <v>2313621591.6914587</v>
      </c>
      <c r="Y39" s="284">
        <f>(L39+'Malawi-only'!L39)</f>
        <v>193441047240.33398</v>
      </c>
      <c r="Z39" s="284">
        <f>(Q39+'Malawi-only'!Q39)</f>
        <v>11802744969.87776</v>
      </c>
    </row>
    <row r="40" spans="1:26" ht="15.75" customHeight="1">
      <c r="A40" s="31" t="s">
        <v>73</v>
      </c>
      <c r="B40" s="32">
        <v>2056</v>
      </c>
      <c r="C40" s="271">
        <f t="shared" si="13"/>
        <v>9.7471581789159323E-4</v>
      </c>
      <c r="D40" s="271">
        <f t="shared" si="19"/>
        <v>9.7471581789159323E-4</v>
      </c>
      <c r="E40" s="34">
        <f t="shared" si="1"/>
        <v>0</v>
      </c>
      <c r="F40" s="42">
        <v>4000</v>
      </c>
      <c r="G40" s="34">
        <f t="shared" si="2"/>
        <v>3898863271.5663729</v>
      </c>
      <c r="H40" s="34">
        <f t="shared" si="3"/>
        <v>3879368955.2085409</v>
      </c>
      <c r="I40" s="43">
        <v>1</v>
      </c>
      <c r="J40" s="36">
        <f t="shared" si="4"/>
        <v>3879368955.2085409</v>
      </c>
      <c r="K40" s="34">
        <f t="shared" si="16"/>
        <v>151168490982.76953</v>
      </c>
      <c r="L40" s="37">
        <f t="shared" si="17"/>
        <v>150225127438.34686</v>
      </c>
      <c r="M40" s="34">
        <f t="shared" si="5"/>
        <v>9283085606.6301651</v>
      </c>
      <c r="N40" s="34">
        <f t="shared" si="6"/>
        <v>0</v>
      </c>
      <c r="O40" s="34">
        <f t="shared" si="7"/>
        <v>9283085606.6301651</v>
      </c>
      <c r="P40" s="34">
        <f>O40*0.2%</f>
        <v>18566171.21326033</v>
      </c>
      <c r="Q40" s="38">
        <f t="shared" si="8"/>
        <v>9218196838.2398205</v>
      </c>
      <c r="R40" s="39">
        <f t="shared" si="9"/>
        <v>921819683.82398212</v>
      </c>
      <c r="S40" s="34">
        <f t="shared" si="10"/>
        <v>8296377154.4158382</v>
      </c>
      <c r="T40" s="40">
        <v>9877680392</v>
      </c>
      <c r="U40" s="272">
        <f t="shared" si="11"/>
        <v>6.8310681663272103E-4</v>
      </c>
      <c r="V40" s="282">
        <f t="shared" si="12"/>
        <v>102.46219420917515</v>
      </c>
      <c r="W40" s="283">
        <f>((S40+'Malawi-only'!S40)/(T40*(U40+'Malawi-only'!U40))/12)</f>
        <v>24.387954661641089</v>
      </c>
      <c r="X40" s="284">
        <f>(R40+'Malawi-only'!R40)</f>
        <v>2401939214.6520042</v>
      </c>
      <c r="Y40" s="284">
        <f>(L40+'Malawi-only'!L40)</f>
        <v>199136666762.40366</v>
      </c>
      <c r="Z40" s="284">
        <f>(Q40+'Malawi-only'!Q40)</f>
        <v>12178435899.895864</v>
      </c>
    </row>
    <row r="41" spans="1:26" ht="15.75" customHeight="1">
      <c r="A41" s="31" t="s">
        <v>74</v>
      </c>
      <c r="B41" s="32">
        <v>2057</v>
      </c>
      <c r="C41" s="271">
        <f t="shared" si="13"/>
        <v>8.7724423610243394E-4</v>
      </c>
      <c r="D41" s="271">
        <f t="shared" si="19"/>
        <v>8.7724423610243394E-4</v>
      </c>
      <c r="E41" s="34">
        <f t="shared" si="1"/>
        <v>0</v>
      </c>
      <c r="F41" s="42">
        <v>4000</v>
      </c>
      <c r="G41" s="34">
        <f t="shared" si="2"/>
        <v>3508976944.4097357</v>
      </c>
      <c r="H41" s="34">
        <f t="shared" si="3"/>
        <v>3491432059.6876869</v>
      </c>
      <c r="I41" s="43">
        <v>1</v>
      </c>
      <c r="J41" s="36">
        <f t="shared" si="4"/>
        <v>3491432059.6876869</v>
      </c>
      <c r="K41" s="34">
        <f t="shared" si="16"/>
        <v>154659923042.45721</v>
      </c>
      <c r="L41" s="37">
        <f t="shared" si="17"/>
        <v>153639701218.28552</v>
      </c>
      <c r="M41" s="34">
        <f t="shared" si="5"/>
        <v>9524273079.5911903</v>
      </c>
      <c r="N41" s="34">
        <f t="shared" si="6"/>
        <v>0</v>
      </c>
      <c r="O41" s="34">
        <f t="shared" si="7"/>
        <v>9524273079.5911903</v>
      </c>
      <c r="P41" s="34">
        <f>O41*0.4%</f>
        <v>38097092.318364762</v>
      </c>
      <c r="Q41" s="38">
        <f t="shared" si="8"/>
        <v>9438745107.336462</v>
      </c>
      <c r="R41" s="39">
        <f t="shared" si="9"/>
        <v>943874510.73364627</v>
      </c>
      <c r="S41" s="34">
        <f t="shared" si="10"/>
        <v>8494870596.6028156</v>
      </c>
      <c r="T41" s="40">
        <v>9907637193</v>
      </c>
      <c r="U41" s="272">
        <f t="shared" si="11"/>
        <v>6.8310681663272103E-4</v>
      </c>
      <c r="V41" s="282">
        <f t="shared" si="12"/>
        <v>104.59641695000808</v>
      </c>
      <c r="W41" s="283">
        <f>((S41+'Malawi-only'!S41)/(T41*(U41+'Malawi-only'!U41))/12)</f>
        <v>24.948268177955963</v>
      </c>
      <c r="X41" s="284">
        <f>(R41+'Malawi-only'!R41)</f>
        <v>2480446855.0530243</v>
      </c>
      <c r="Y41" s="284">
        <f>(L41+'Malawi-only'!L41)</f>
        <v>204256163642.64331</v>
      </c>
      <c r="Z41" s="284">
        <f>(Q41+'Malawi-only'!Q41)</f>
        <v>12511889795.975218</v>
      </c>
    </row>
    <row r="42" spans="1:26" ht="15.75" customHeight="1">
      <c r="A42" s="31" t="s">
        <v>75</v>
      </c>
      <c r="B42" s="32">
        <v>2058</v>
      </c>
      <c r="C42" s="271">
        <f t="shared" si="13"/>
        <v>7.8951981249219053E-4</v>
      </c>
      <c r="D42" s="271">
        <f t="shared" si="19"/>
        <v>7.8951981249219053E-4</v>
      </c>
      <c r="E42" s="34">
        <f t="shared" si="1"/>
        <v>0</v>
      </c>
      <c r="F42" s="42">
        <v>4000</v>
      </c>
      <c r="G42" s="34">
        <f t="shared" si="2"/>
        <v>3158079249.9687619</v>
      </c>
      <c r="H42" s="34">
        <f t="shared" si="3"/>
        <v>3142288853.7189183</v>
      </c>
      <c r="I42" s="43">
        <v>1</v>
      </c>
      <c r="J42" s="36">
        <f t="shared" si="4"/>
        <v>3142288853.7189183</v>
      </c>
      <c r="K42" s="34">
        <f t="shared" si="16"/>
        <v>157802211896.17615</v>
      </c>
      <c r="L42" s="37">
        <f t="shared" si="17"/>
        <v>156703599076.96848</v>
      </c>
      <c r="M42" s="34">
        <f t="shared" si="5"/>
        <v>9740757057.2393017</v>
      </c>
      <c r="N42" s="34">
        <f t="shared" si="6"/>
        <v>0</v>
      </c>
      <c r="O42" s="34">
        <f t="shared" si="7"/>
        <v>9740757057.2393017</v>
      </c>
      <c r="P42" s="34">
        <f>O42*0.6%</f>
        <v>58444542.343435809</v>
      </c>
      <c r="Q42" s="38">
        <f t="shared" si="8"/>
        <v>9633900952.3213863</v>
      </c>
      <c r="R42" s="39">
        <f t="shared" si="9"/>
        <v>963390095.23213863</v>
      </c>
      <c r="S42" s="34">
        <f t="shared" si="10"/>
        <v>8670510857.0892487</v>
      </c>
      <c r="T42" s="40">
        <v>9936164379</v>
      </c>
      <c r="U42" s="272">
        <f t="shared" si="11"/>
        <v>6.8310681663272103E-4</v>
      </c>
      <c r="V42" s="282">
        <f t="shared" si="12"/>
        <v>106.45254618561087</v>
      </c>
      <c r="W42" s="283">
        <f>((S42+'Malawi-only'!S42)/(T42*(U42+'Malawi-only'!U42))/12)</f>
        <v>25.437110124119002</v>
      </c>
      <c r="X42" s="284">
        <f>(R42+'Malawi-only'!R42)</f>
        <v>2550330129.8926725</v>
      </c>
      <c r="Y42" s="284">
        <f>(L42+'Malawi-only'!L42)</f>
        <v>208858228762.22018</v>
      </c>
      <c r="Z42" s="284">
        <f>(Q42+'Malawi-only'!Q42)</f>
        <v>12807781021.642454</v>
      </c>
    </row>
    <row r="43" spans="1:26" ht="15.75" customHeight="1">
      <c r="A43" s="31" t="s">
        <v>76</v>
      </c>
      <c r="B43" s="32">
        <v>2059</v>
      </c>
      <c r="C43" s="271">
        <f t="shared" si="13"/>
        <v>7.1056783124297154E-4</v>
      </c>
      <c r="D43" s="271">
        <f t="shared" si="19"/>
        <v>7.1056783124297154E-4</v>
      </c>
      <c r="E43" s="34">
        <f t="shared" si="1"/>
        <v>0</v>
      </c>
      <c r="F43" s="42">
        <v>4000</v>
      </c>
      <c r="G43" s="34">
        <f t="shared" si="2"/>
        <v>2842271324.9718862</v>
      </c>
      <c r="H43" s="34">
        <f t="shared" si="3"/>
        <v>2828059968.3470268</v>
      </c>
      <c r="I43" s="43">
        <v>1</v>
      </c>
      <c r="J43" s="36">
        <f t="shared" si="4"/>
        <v>2828059968.3470268</v>
      </c>
      <c r="K43" s="34">
        <f t="shared" si="16"/>
        <v>160630271864.52316</v>
      </c>
      <c r="L43" s="37">
        <f t="shared" si="17"/>
        <v>159451893215.79285</v>
      </c>
      <c r="M43" s="34">
        <f t="shared" si="5"/>
        <v>9935008181.4798012</v>
      </c>
      <c r="N43" s="34">
        <f t="shared" si="6"/>
        <v>0</v>
      </c>
      <c r="O43" s="34">
        <f t="shared" si="7"/>
        <v>9935008181.4798012</v>
      </c>
      <c r="P43" s="34">
        <f>O43*0.8%</f>
        <v>79480065.451838404</v>
      </c>
      <c r="Q43" s="38">
        <f t="shared" si="8"/>
        <v>9806250475.4478245</v>
      </c>
      <c r="R43" s="39">
        <f t="shared" si="9"/>
        <v>980625047.54478252</v>
      </c>
      <c r="S43" s="34">
        <f t="shared" si="10"/>
        <v>8825625427.9030418</v>
      </c>
      <c r="T43" s="40">
        <v>9963337082</v>
      </c>
      <c r="U43" s="272">
        <f t="shared" si="11"/>
        <v>6.8310681663272103E-4</v>
      </c>
      <c r="V43" s="282">
        <f t="shared" si="12"/>
        <v>108.06145293659745</v>
      </c>
      <c r="W43" s="283">
        <f>((S43+'Malawi-only'!S43)/(T43*(U43+'Malawi-only'!U43))/12)</f>
        <v>25.862479382012538</v>
      </c>
      <c r="X43" s="284">
        <f>(R43+'Malawi-only'!R43)</f>
        <v>2612500017.74441</v>
      </c>
      <c r="Y43" s="284">
        <f>(L43+'Malawi-only'!L43)</f>
        <v>212995660416.20203</v>
      </c>
      <c r="Z43" s="284">
        <f>(Q43+'Malawi-only'!Q43)</f>
        <v>13070000415.84708</v>
      </c>
    </row>
    <row r="44" spans="1:26" ht="15.75" customHeight="1">
      <c r="A44" s="31" t="s">
        <v>77</v>
      </c>
      <c r="B44" s="32">
        <v>2060</v>
      </c>
      <c r="C44" s="271">
        <f t="shared" si="13"/>
        <v>6.3951104811867435E-4</v>
      </c>
      <c r="D44" s="271">
        <f t="shared" si="19"/>
        <v>6.3951104811867435E-4</v>
      </c>
      <c r="E44" s="34">
        <f t="shared" si="1"/>
        <v>0</v>
      </c>
      <c r="F44" s="42">
        <v>4000</v>
      </c>
      <c r="G44" s="34">
        <f t="shared" si="2"/>
        <v>2558044192.4746971</v>
      </c>
      <c r="H44" s="34">
        <f t="shared" si="3"/>
        <v>2545253971.5123234</v>
      </c>
      <c r="I44" s="43">
        <v>1</v>
      </c>
      <c r="J44" s="36">
        <f t="shared" si="4"/>
        <v>2545253971.5123234</v>
      </c>
      <c r="K44" s="34">
        <f t="shared" si="16"/>
        <v>163175525836.03549</v>
      </c>
      <c r="L44" s="37">
        <f t="shared" si="17"/>
        <v>161916148613.71152</v>
      </c>
      <c r="M44" s="34">
        <f t="shared" si="5"/>
        <v>10109250029.881266</v>
      </c>
      <c r="N44" s="34">
        <f t="shared" si="6"/>
        <v>0</v>
      </c>
      <c r="O44" s="34">
        <f t="shared" si="7"/>
        <v>10109250029.881266</v>
      </c>
      <c r="P44" s="34">
        <f>O44*1%</f>
        <v>101092500.29881266</v>
      </c>
      <c r="Q44" s="38">
        <f t="shared" si="8"/>
        <v>9958116741.9345398</v>
      </c>
      <c r="R44" s="39">
        <f t="shared" si="9"/>
        <v>995811674.19345403</v>
      </c>
      <c r="S44" s="34">
        <f t="shared" si="10"/>
        <v>8962305067.7410851</v>
      </c>
      <c r="T44" s="40">
        <v>9989232292</v>
      </c>
      <c r="U44" s="272">
        <f t="shared" si="11"/>
        <v>6.8310681663272103E-4</v>
      </c>
      <c r="V44" s="282">
        <f t="shared" si="12"/>
        <v>109.45049881045867</v>
      </c>
      <c r="W44" s="283">
        <f>((S44+'Malawi-only'!S44)/(T44*(U44+'Malawi-only'!U44))/12)</f>
        <v>26.231465298669463</v>
      </c>
      <c r="X44" s="284">
        <f>(R44+'Malawi-only'!R44)</f>
        <v>2667773900.0136433</v>
      </c>
      <c r="Y44" s="284">
        <f>(L44+'Malawi-only'!L44)</f>
        <v>216715956491.73331</v>
      </c>
      <c r="Z44" s="284">
        <f>(Q44+'Malawi-only'!Q44)</f>
        <v>13302041193.574919</v>
      </c>
    </row>
    <row r="45" spans="1:26" ht="15.75" customHeight="1">
      <c r="A45" s="31" t="s">
        <v>78</v>
      </c>
      <c r="B45" s="32">
        <v>2061</v>
      </c>
      <c r="C45" s="271">
        <f t="shared" si="13"/>
        <v>5.7555994330680692E-4</v>
      </c>
      <c r="D45" s="271">
        <f t="shared" si="19"/>
        <v>5.7555994330680692E-4</v>
      </c>
      <c r="E45" s="34">
        <f t="shared" si="1"/>
        <v>0</v>
      </c>
      <c r="F45" s="42">
        <v>4000</v>
      </c>
      <c r="G45" s="34">
        <f t="shared" si="2"/>
        <v>2302239773.2272277</v>
      </c>
      <c r="H45" s="34">
        <f t="shared" si="3"/>
        <v>2290728574.3610916</v>
      </c>
      <c r="I45" s="43">
        <v>1</v>
      </c>
      <c r="J45" s="36">
        <f t="shared" si="4"/>
        <v>2290728574.3610916</v>
      </c>
      <c r="K45" s="34">
        <f t="shared" si="16"/>
        <v>165466254410.39658</v>
      </c>
      <c r="L45" s="37">
        <f t="shared" si="17"/>
        <v>164124773749.47858</v>
      </c>
      <c r="M45" s="34">
        <f t="shared" si="5"/>
        <v>10265483822.10931</v>
      </c>
      <c r="N45" s="34">
        <f t="shared" si="6"/>
        <v>0</v>
      </c>
      <c r="O45" s="34">
        <f t="shared" si="7"/>
        <v>10265483822.10931</v>
      </c>
      <c r="P45" s="34">
        <f>O45*1.2%</f>
        <v>123185805.86531173</v>
      </c>
      <c r="Q45" s="38">
        <f t="shared" si="8"/>
        <v>10091586526.162777</v>
      </c>
      <c r="R45" s="39">
        <f t="shared" si="9"/>
        <v>1009158652.6162777</v>
      </c>
      <c r="S45" s="34">
        <f t="shared" si="10"/>
        <v>9082427873.5464993</v>
      </c>
      <c r="T45" s="40">
        <v>10013916213</v>
      </c>
      <c r="U45" s="272">
        <f t="shared" si="11"/>
        <v>6.8310681663272103E-4</v>
      </c>
      <c r="V45" s="282">
        <f t="shared" si="12"/>
        <v>110.64406909359273</v>
      </c>
      <c r="W45" s="283">
        <f>((S45+'Malawi-only'!S45)/(T45*(U45+'Malawi-only'!U45))/12)</f>
        <v>26.550383413966177</v>
      </c>
      <c r="X45" s="284">
        <f>(R45+'Malawi-only'!R45)</f>
        <v>2716885175.1186867</v>
      </c>
      <c r="Y45" s="284">
        <f>(L45+'Malawi-only'!L45)</f>
        <v>220061847162.09772</v>
      </c>
      <c r="Z45" s="284">
        <f>(Q45+'Malawi-only'!Q45)</f>
        <v>13507039571.167595</v>
      </c>
    </row>
    <row r="46" spans="1:26" ht="15.75" customHeight="1">
      <c r="A46" s="31" t="s">
        <v>79</v>
      </c>
      <c r="B46" s="32">
        <v>2062</v>
      </c>
      <c r="C46" s="271">
        <f t="shared" si="13"/>
        <v>5.1800394897612626E-4</v>
      </c>
      <c r="D46" s="271">
        <f t="shared" si="19"/>
        <v>5.1800394897612626E-4</v>
      </c>
      <c r="E46" s="34">
        <f t="shared" si="1"/>
        <v>0</v>
      </c>
      <c r="F46" s="42">
        <v>4000</v>
      </c>
      <c r="G46" s="34">
        <f t="shared" si="2"/>
        <v>2072015795.904505</v>
      </c>
      <c r="H46" s="34">
        <f t="shared" si="3"/>
        <v>2061655716.9249825</v>
      </c>
      <c r="I46" s="43">
        <v>1</v>
      </c>
      <c r="J46" s="36">
        <f t="shared" si="4"/>
        <v>2061655716.9249825</v>
      </c>
      <c r="K46" s="34">
        <f t="shared" si="16"/>
        <v>167527910127.32156</v>
      </c>
      <c r="L46" s="37">
        <f t="shared" si="17"/>
        <v>166103336251.67038</v>
      </c>
      <c r="M46" s="34">
        <f t="shared" si="5"/>
        <v>10405510655.716942</v>
      </c>
      <c r="N46" s="34">
        <f t="shared" si="6"/>
        <v>0</v>
      </c>
      <c r="O46" s="34">
        <f t="shared" si="7"/>
        <v>10405510655.716942</v>
      </c>
      <c r="P46" s="34">
        <f>O46*1.4%</f>
        <v>145677149.18003717</v>
      </c>
      <c r="Q46" s="38">
        <f t="shared" si="8"/>
        <v>10208534339.004221</v>
      </c>
      <c r="R46" s="39">
        <f t="shared" si="9"/>
        <v>1020853433.9004221</v>
      </c>
      <c r="S46" s="34">
        <f t="shared" si="10"/>
        <v>9187680905.1037979</v>
      </c>
      <c r="T46" s="40">
        <v>10037466600</v>
      </c>
      <c r="U46" s="272">
        <f t="shared" si="11"/>
        <v>6.8310681663272103E-4</v>
      </c>
      <c r="V46" s="282">
        <f t="shared" si="12"/>
        <v>111.66367709016754</v>
      </c>
      <c r="W46" s="283">
        <f>((S46+'Malawi-only'!S46)/(T46*(U46+'Malawi-only'!U46))/12)</f>
        <v>26.824807495590107</v>
      </c>
      <c r="X46" s="284">
        <f>(R46+'Malawi-only'!R46)</f>
        <v>2760491886.1299305</v>
      </c>
      <c r="Y46" s="284">
        <f>(L46+'Malawi-only'!L46)</f>
        <v>223071774072.72479</v>
      </c>
      <c r="Z46" s="284">
        <f>(Q46+'Malawi-only'!Q46)</f>
        <v>13687811243.463238</v>
      </c>
    </row>
    <row r="47" spans="1:26" ht="15.75" customHeight="1">
      <c r="A47" s="31" t="s">
        <v>80</v>
      </c>
      <c r="B47" s="32">
        <v>2063</v>
      </c>
      <c r="C47" s="271">
        <f t="shared" si="13"/>
        <v>4.6620355407851364E-4</v>
      </c>
      <c r="D47" s="271">
        <f t="shared" si="19"/>
        <v>4.6620355407851364E-4</v>
      </c>
      <c r="E47" s="34">
        <f t="shared" si="1"/>
        <v>0</v>
      </c>
      <c r="F47" s="42">
        <v>4000</v>
      </c>
      <c r="G47" s="34">
        <f t="shared" si="2"/>
        <v>1864814216.3140547</v>
      </c>
      <c r="H47" s="34">
        <f t="shared" si="3"/>
        <v>1855490145.2324843</v>
      </c>
      <c r="I47" s="43">
        <v>1</v>
      </c>
      <c r="J47" s="36">
        <f t="shared" si="4"/>
        <v>1855490145.2324843</v>
      </c>
      <c r="K47" s="34">
        <f t="shared" si="16"/>
        <v>169383400272.55405</v>
      </c>
      <c r="L47" s="37">
        <f t="shared" si="17"/>
        <v>167874846983.70441</v>
      </c>
      <c r="M47" s="34">
        <f t="shared" si="5"/>
        <v>10530951518.355902</v>
      </c>
      <c r="N47" s="34">
        <f t="shared" si="6"/>
        <v>0</v>
      </c>
      <c r="O47" s="34">
        <f t="shared" si="7"/>
        <v>10530951518.355902</v>
      </c>
      <c r="P47" s="34">
        <f>O47*1.6%</f>
        <v>168495224.29369444</v>
      </c>
      <c r="Q47" s="38">
        <f t="shared" si="8"/>
        <v>10310644012.591898</v>
      </c>
      <c r="R47" s="39">
        <f t="shared" si="9"/>
        <v>1031064401.2591898</v>
      </c>
      <c r="S47" s="34">
        <f t="shared" si="10"/>
        <v>9279579611.3327084</v>
      </c>
      <c r="T47" s="40">
        <v>10059950035</v>
      </c>
      <c r="U47" s="272">
        <f t="shared" si="11"/>
        <v>6.8310681663272103E-4</v>
      </c>
      <c r="V47" s="282">
        <f t="shared" si="12"/>
        <v>112.52852159827245</v>
      </c>
      <c r="W47" s="283">
        <f>((S47+'Malawi-only'!S47)/(T47*(U47+'Malawi-only'!U47))/12)</f>
        <v>27.059709337724854</v>
      </c>
      <c r="X47" s="284">
        <f>(R47+'Malawi-only'!R47)</f>
        <v>2799184463.0874534</v>
      </c>
      <c r="Y47" s="284">
        <f>(L47+'Malawi-only'!L47)</f>
        <v>225780321394.7756</v>
      </c>
      <c r="Z47" s="284">
        <f>(Q47+'Malawi-only'!Q47)</f>
        <v>13846884136.248425</v>
      </c>
    </row>
    <row r="48" spans="1:26" ht="15.75" customHeight="1">
      <c r="A48" s="31" t="s">
        <v>81</v>
      </c>
      <c r="B48" s="32">
        <v>2064</v>
      </c>
      <c r="C48" s="271">
        <f t="shared" si="13"/>
        <v>4.1958319867066229E-4</v>
      </c>
      <c r="D48" s="271">
        <f t="shared" si="19"/>
        <v>4.1958319867066229E-4</v>
      </c>
      <c r="E48" s="34">
        <f t="shared" si="1"/>
        <v>0</v>
      </c>
      <c r="F48" s="42">
        <v>4000</v>
      </c>
      <c r="G48" s="34">
        <f t="shared" si="2"/>
        <v>1678332794.6826491</v>
      </c>
      <c r="H48" s="34">
        <f t="shared" si="3"/>
        <v>1669941130.7092359</v>
      </c>
      <c r="I48" s="43">
        <v>1</v>
      </c>
      <c r="J48" s="36">
        <f t="shared" si="4"/>
        <v>1669941130.7092359</v>
      </c>
      <c r="K48" s="34">
        <f t="shared" si="16"/>
        <v>171053341403.26328</v>
      </c>
      <c r="L48" s="37">
        <f t="shared" si="17"/>
        <v>169460015720.35645</v>
      </c>
      <c r="M48" s="34">
        <f t="shared" si="5"/>
        <v>10643265298.766859</v>
      </c>
      <c r="N48" s="34">
        <f t="shared" si="6"/>
        <v>0</v>
      </c>
      <c r="O48" s="34">
        <f t="shared" si="7"/>
        <v>10643265298.766859</v>
      </c>
      <c r="P48" s="34">
        <f>O48*1.8%</f>
        <v>191578775.37780347</v>
      </c>
      <c r="Q48" s="38">
        <f t="shared" si="8"/>
        <v>10399428090.77211</v>
      </c>
      <c r="R48" s="39">
        <f t="shared" si="9"/>
        <v>1039942809.077211</v>
      </c>
      <c r="S48" s="34">
        <f t="shared" si="10"/>
        <v>9359485281.6948986</v>
      </c>
      <c r="T48" s="40">
        <v>10081402737</v>
      </c>
      <c r="U48" s="272">
        <f t="shared" si="11"/>
        <v>6.8310681663272103E-4</v>
      </c>
      <c r="V48" s="282">
        <f t="shared" si="12"/>
        <v>113.25597834047927</v>
      </c>
      <c r="W48" s="283">
        <f>((S48+'Malawi-only'!S48)/(T48*(U48+'Malawi-only'!U48))/12)</f>
        <v>27.259582345083199</v>
      </c>
      <c r="X48" s="284">
        <f>(R48+'Malawi-only'!R48)</f>
        <v>2833492670.8335505</v>
      </c>
      <c r="Y48" s="284">
        <f>(L48+'Malawi-only'!L48)</f>
        <v>228218603581.85162</v>
      </c>
      <c r="Z48" s="284">
        <f>(Q48+'Malawi-only'!Q48)</f>
        <v>13986527814.28479</v>
      </c>
    </row>
    <row r="49" spans="1:26" ht="15.75" customHeight="1">
      <c r="A49" s="31" t="s">
        <v>82</v>
      </c>
      <c r="B49" s="32">
        <v>2065</v>
      </c>
      <c r="C49" s="271">
        <f t="shared" si="13"/>
        <v>3.7762487880359604E-4</v>
      </c>
      <c r="D49" s="271">
        <f t="shared" si="19"/>
        <v>3.7762487880359604E-4</v>
      </c>
      <c r="E49" s="34">
        <f t="shared" si="1"/>
        <v>0</v>
      </c>
      <c r="F49" s="42">
        <v>4000</v>
      </c>
      <c r="G49" s="34">
        <f t="shared" si="2"/>
        <v>1510499515.2143841</v>
      </c>
      <c r="H49" s="34">
        <f t="shared" si="3"/>
        <v>1502947017.6383121</v>
      </c>
      <c r="I49" s="43">
        <v>1</v>
      </c>
      <c r="J49" s="36">
        <f t="shared" si="4"/>
        <v>1502947017.6383121</v>
      </c>
      <c r="K49" s="34">
        <f t="shared" si="16"/>
        <v>172556288420.90158</v>
      </c>
      <c r="L49" s="37">
        <f t="shared" si="17"/>
        <v>170877481256.62576</v>
      </c>
      <c r="M49" s="34">
        <f t="shared" si="5"/>
        <v>10743764996.670599</v>
      </c>
      <c r="N49" s="34">
        <f t="shared" si="6"/>
        <v>0</v>
      </c>
      <c r="O49" s="34">
        <f t="shared" si="7"/>
        <v>10743764996.670599</v>
      </c>
      <c r="P49" s="34">
        <f>O49*2%</f>
        <v>214875299.93341199</v>
      </c>
      <c r="Q49" s="38">
        <f t="shared" si="8"/>
        <v>10476245248.2535</v>
      </c>
      <c r="R49" s="39">
        <f t="shared" si="9"/>
        <v>1047624524.82535</v>
      </c>
      <c r="S49" s="34">
        <f t="shared" si="10"/>
        <v>9428620723.4281502</v>
      </c>
      <c r="T49" s="40">
        <v>10101849561</v>
      </c>
      <c r="U49" s="272">
        <f t="shared" si="11"/>
        <v>6.8310681663272103E-4</v>
      </c>
      <c r="V49" s="282">
        <f t="shared" si="12"/>
        <v>113.86163199716073</v>
      </c>
      <c r="W49" s="283">
        <f>((S49+'Malawi-only'!S49)/(T49*(U49+'Malawi-only'!U49))/12)</f>
        <v>27.428454077825549</v>
      </c>
      <c r="X49" s="284">
        <f>(R49+'Malawi-only'!R49)</f>
        <v>2863891843.8780327</v>
      </c>
      <c r="Y49" s="284">
        <f>(L49+'Malawi-only'!L49)</f>
        <v>230414614179.55035</v>
      </c>
      <c r="Z49" s="284">
        <f>(Q49+'Malawi-only'!Q49)</f>
        <v>14108779886.358866</v>
      </c>
    </row>
    <row r="50" spans="1:26" ht="15.75" customHeight="1">
      <c r="A50" s="31" t="s">
        <v>83</v>
      </c>
      <c r="B50" s="32">
        <v>2066</v>
      </c>
      <c r="C50" s="271">
        <f t="shared" si="13"/>
        <v>3.3986239092323646E-4</v>
      </c>
      <c r="D50" s="271">
        <f t="shared" si="19"/>
        <v>3.3986239092323646E-4</v>
      </c>
      <c r="E50" s="34">
        <f t="shared" si="1"/>
        <v>0</v>
      </c>
      <c r="F50" s="42">
        <v>4000</v>
      </c>
      <c r="G50" s="34">
        <f t="shared" si="2"/>
        <v>1359449563.6929457</v>
      </c>
      <c r="H50" s="34">
        <f t="shared" si="3"/>
        <v>1352652315.874481</v>
      </c>
      <c r="I50" s="43">
        <v>1</v>
      </c>
      <c r="J50" s="36">
        <f t="shared" si="4"/>
        <v>1352652315.874481</v>
      </c>
      <c r="K50" s="34">
        <f t="shared" si="16"/>
        <v>173908940736.77606</v>
      </c>
      <c r="L50" s="37">
        <f t="shared" si="17"/>
        <v>172144018505.71399</v>
      </c>
      <c r="M50" s="34">
        <f t="shared" si="5"/>
        <v>10833632311.670073</v>
      </c>
      <c r="N50" s="34">
        <f t="shared" si="6"/>
        <v>0</v>
      </c>
      <c r="O50" s="34">
        <f t="shared" si="7"/>
        <v>10833632311.670073</v>
      </c>
      <c r="P50" s="34">
        <f>O50*2.2%</f>
        <v>238339910.85674161</v>
      </c>
      <c r="Q50" s="38">
        <f t="shared" si="8"/>
        <v>10542315938.809265</v>
      </c>
      <c r="R50" s="39">
        <f t="shared" si="9"/>
        <v>1054231593.8809266</v>
      </c>
      <c r="S50" s="34">
        <f t="shared" si="10"/>
        <v>9488084344.928339</v>
      </c>
      <c r="T50" s="40">
        <v>10121317107</v>
      </c>
      <c r="U50" s="272">
        <f t="shared" si="11"/>
        <v>6.8310681663272103E-4</v>
      </c>
      <c r="V50" s="282">
        <f t="shared" si="12"/>
        <v>114.35933987267452</v>
      </c>
      <c r="W50" s="283">
        <f>((S50+'Malawi-only'!S50)/(T50*(U50+'Malawi-only'!U50))/12)</f>
        <v>27.569905591216976</v>
      </c>
      <c r="X50" s="284">
        <f>(R50+'Malawi-only'!R50)</f>
        <v>2890808481.4514065</v>
      </c>
      <c r="Y50" s="284">
        <f>(L50+'Malawi-only'!L50)</f>
        <v>232393539600.58414</v>
      </c>
      <c r="Z50" s="284">
        <f>(Q50+'Malawi-only'!Q50)</f>
        <v>14215469713.950226</v>
      </c>
    </row>
    <row r="51" spans="1:26" ht="15.75" customHeight="1">
      <c r="A51" s="31" t="s">
        <v>84</v>
      </c>
      <c r="B51" s="32">
        <v>2067</v>
      </c>
      <c r="C51" s="271">
        <f t="shared" si="13"/>
        <v>3.0587615183091282E-4</v>
      </c>
      <c r="D51" s="271">
        <f t="shared" si="19"/>
        <v>3.0587615183091282E-4</v>
      </c>
      <c r="E51" s="34">
        <f t="shared" si="1"/>
        <v>0</v>
      </c>
      <c r="F51" s="42">
        <v>4000</v>
      </c>
      <c r="G51" s="34">
        <f t="shared" si="2"/>
        <v>1223504607.3236513</v>
      </c>
      <c r="H51" s="34">
        <f t="shared" si="3"/>
        <v>1217387084.2870331</v>
      </c>
      <c r="I51" s="43">
        <v>1</v>
      </c>
      <c r="J51" s="36">
        <f t="shared" si="4"/>
        <v>1217387084.2870331</v>
      </c>
      <c r="K51" s="34">
        <f t="shared" si="16"/>
        <v>175126327821.06311</v>
      </c>
      <c r="L51" s="37">
        <f t="shared" si="17"/>
        <v>173274724887.20605</v>
      </c>
      <c r="M51" s="34">
        <f t="shared" si="5"/>
        <v>10913930773.262266</v>
      </c>
      <c r="N51" s="34">
        <f t="shared" si="6"/>
        <v>0</v>
      </c>
      <c r="O51" s="34">
        <f t="shared" si="7"/>
        <v>10913930773.262266</v>
      </c>
      <c r="P51" s="34">
        <f>O51*2.4%</f>
        <v>261934338.55829439</v>
      </c>
      <c r="Q51" s="38">
        <f t="shared" si="8"/>
        <v>10598736452.530453</v>
      </c>
      <c r="R51" s="39">
        <f t="shared" si="9"/>
        <v>1059873645.2530453</v>
      </c>
      <c r="S51" s="34">
        <f t="shared" si="10"/>
        <v>9538862807.2774067</v>
      </c>
      <c r="T51" s="40">
        <v>10139808361</v>
      </c>
      <c r="U51" s="272">
        <f t="shared" si="11"/>
        <v>6.8310681663272103E-4</v>
      </c>
      <c r="V51" s="282">
        <f t="shared" si="12"/>
        <v>114.76170459989733</v>
      </c>
      <c r="W51" s="283">
        <f>((S51+'Malawi-only'!S51)/(T51*(U51+'Malawi-only'!U51))/12)</f>
        <v>27.687188839352235</v>
      </c>
      <c r="X51" s="284">
        <f>(R51+'Malawi-only'!R51)</f>
        <v>2914625268.3961592</v>
      </c>
      <c r="Y51" s="284">
        <f>(L51+'Malawi-only'!L51)</f>
        <v>234178041385.08218</v>
      </c>
      <c r="Z51" s="284">
        <f>(Q51+'Malawi-only'!Q51)</f>
        <v>14308239698.816681</v>
      </c>
    </row>
    <row r="52" spans="1:26" ht="15.75" customHeight="1">
      <c r="A52" s="31" t="s">
        <v>85</v>
      </c>
      <c r="B52" s="32">
        <v>2068</v>
      </c>
      <c r="C52" s="271">
        <f t="shared" si="13"/>
        <v>2.7528853664782156E-4</v>
      </c>
      <c r="D52" s="271">
        <f t="shared" si="19"/>
        <v>2.7528853664782156E-4</v>
      </c>
      <c r="E52" s="34">
        <f t="shared" si="1"/>
        <v>0</v>
      </c>
      <c r="F52" s="42">
        <v>4000</v>
      </c>
      <c r="G52" s="34">
        <f t="shared" si="2"/>
        <v>1101154146.5912862</v>
      </c>
      <c r="H52" s="34">
        <f t="shared" si="3"/>
        <v>1095648375.8583298</v>
      </c>
      <c r="I52" s="43">
        <v>1</v>
      </c>
      <c r="J52" s="36">
        <f t="shared" si="4"/>
        <v>1095648375.8583298</v>
      </c>
      <c r="K52" s="34">
        <f t="shared" si="16"/>
        <v>176221976196.92145</v>
      </c>
      <c r="L52" s="37">
        <f t="shared" si="17"/>
        <v>174283188076.43286</v>
      </c>
      <c r="M52" s="34">
        <f t="shared" si="5"/>
        <v>10985617557.848864</v>
      </c>
      <c r="N52" s="34">
        <f t="shared" si="6"/>
        <v>0</v>
      </c>
      <c r="O52" s="34">
        <f t="shared" si="7"/>
        <v>10985617557.848864</v>
      </c>
      <c r="P52" s="34">
        <f>O52*2.6%</f>
        <v>285626056.50407046</v>
      </c>
      <c r="Q52" s="38">
        <f t="shared" si="8"/>
        <v>10646491543.83807</v>
      </c>
      <c r="R52" s="39">
        <f t="shared" si="9"/>
        <v>1064649154.3838071</v>
      </c>
      <c r="S52" s="34">
        <f t="shared" si="10"/>
        <v>9581842389.4542637</v>
      </c>
      <c r="T52" s="40">
        <v>10157301941</v>
      </c>
      <c r="U52" s="272">
        <f t="shared" si="11"/>
        <v>6.8310681663272103E-4</v>
      </c>
      <c r="V52" s="282">
        <f t="shared" si="12"/>
        <v>115.08024956978625</v>
      </c>
      <c r="W52" s="283">
        <f>((S52+'Malawi-only'!S52)/(T52*(U52+'Malawi-only'!U52))/12)</f>
        <v>27.783272217530641</v>
      </c>
      <c r="X52" s="284">
        <f>(R52+'Malawi-only'!R52)</f>
        <v>2935685580.8113046</v>
      </c>
      <c r="Y52" s="284">
        <f>(L52+'Malawi-only'!L52)</f>
        <v>235788510112.09647</v>
      </c>
      <c r="Z52" s="284">
        <f>(Q52+'Malawi-only'!Q52)</f>
        <v>14388564396.693066</v>
      </c>
    </row>
    <row r="53" spans="1:26" ht="15.75" customHeight="1">
      <c r="A53" s="31" t="s">
        <v>86</v>
      </c>
      <c r="B53" s="32">
        <v>2069</v>
      </c>
      <c r="C53" s="271">
        <f t="shared" si="13"/>
        <v>2.4775968298303938E-4</v>
      </c>
      <c r="D53" s="271">
        <f t="shared" si="19"/>
        <v>2.4775968298303938E-4</v>
      </c>
      <c r="E53" s="34">
        <f t="shared" si="1"/>
        <v>0</v>
      </c>
      <c r="F53" s="42">
        <v>4000</v>
      </c>
      <c r="G53" s="34">
        <f t="shared" si="2"/>
        <v>991038731.93215752</v>
      </c>
      <c r="H53" s="34">
        <f t="shared" si="3"/>
        <v>986083538.2724967</v>
      </c>
      <c r="I53" s="43">
        <v>1</v>
      </c>
      <c r="J53" s="36">
        <f t="shared" si="4"/>
        <v>986083538.2724967</v>
      </c>
      <c r="K53" s="34">
        <f t="shared" si="16"/>
        <v>177208059735.19394</v>
      </c>
      <c r="L53" s="37">
        <f t="shared" si="17"/>
        <v>175181636978.89801</v>
      </c>
      <c r="M53" s="34">
        <f t="shared" si="5"/>
        <v>11049554124.045843</v>
      </c>
      <c r="N53" s="34">
        <f t="shared" si="6"/>
        <v>0</v>
      </c>
      <c r="O53" s="34">
        <f t="shared" si="7"/>
        <v>11049554124.045843</v>
      </c>
      <c r="P53" s="34">
        <f>O53*2.8%</f>
        <v>309387515.47328359</v>
      </c>
      <c r="Q53" s="38">
        <f t="shared" si="8"/>
        <v>10686465775.529697</v>
      </c>
      <c r="R53" s="39">
        <f t="shared" si="9"/>
        <v>1068646577.5529698</v>
      </c>
      <c r="S53" s="34">
        <f t="shared" si="10"/>
        <v>9617819197.9767284</v>
      </c>
      <c r="T53" s="40">
        <v>10173782135</v>
      </c>
      <c r="U53" s="272">
        <f t="shared" si="11"/>
        <v>6.8310681663272103E-4</v>
      </c>
      <c r="V53" s="282">
        <f t="shared" si="12"/>
        <v>115.32522490532983</v>
      </c>
      <c r="W53" s="283">
        <f>((S53+'Malawi-only'!S53)/(T53*(U53+'Malawi-only'!U53))/12)</f>
        <v>27.86079649270593</v>
      </c>
      <c r="X53" s="284">
        <f>(R53+'Malawi-only'!R53)</f>
        <v>2954297529.3211923</v>
      </c>
      <c r="Y53" s="284">
        <f>(L53+'Malawi-only'!L53)</f>
        <v>237243293810.26212</v>
      </c>
      <c r="Z53" s="284">
        <f>(Q53+'Malawi-only'!Q53)</f>
        <v>14457767679.066143</v>
      </c>
    </row>
    <row r="54" spans="1:26" ht="15.75" customHeight="1">
      <c r="A54" s="31" t="s">
        <v>87</v>
      </c>
      <c r="B54" s="32">
        <v>2070</v>
      </c>
      <c r="C54" s="271">
        <f t="shared" si="13"/>
        <v>2.2298371468473544E-4</v>
      </c>
      <c r="D54" s="271">
        <f t="shared" si="19"/>
        <v>2.2298371468473544E-4</v>
      </c>
      <c r="E54" s="34">
        <f t="shared" si="1"/>
        <v>0</v>
      </c>
      <c r="F54" s="42">
        <v>4000</v>
      </c>
      <c r="G54" s="34">
        <f t="shared" si="2"/>
        <v>891934858.73894179</v>
      </c>
      <c r="H54" s="34">
        <f t="shared" si="3"/>
        <v>887475184.44524705</v>
      </c>
      <c r="I54" s="43">
        <v>1</v>
      </c>
      <c r="J54" s="36">
        <f t="shared" si="4"/>
        <v>887475184.44524705</v>
      </c>
      <c r="K54" s="34">
        <f t="shared" si="16"/>
        <v>178095534919.63919</v>
      </c>
      <c r="L54" s="37">
        <f t="shared" si="17"/>
        <v>175981077607.2616</v>
      </c>
      <c r="M54" s="34">
        <f t="shared" si="5"/>
        <v>11106515784.462133</v>
      </c>
      <c r="N54" s="34">
        <f t="shared" si="6"/>
        <v>0</v>
      </c>
      <c r="O54" s="34">
        <f t="shared" si="7"/>
        <v>11106515784.462133</v>
      </c>
      <c r="P54" s="34">
        <f>O54*3%</f>
        <v>333195473.53386396</v>
      </c>
      <c r="Q54" s="38">
        <f t="shared" si="8"/>
        <v>10719453709.373629</v>
      </c>
      <c r="R54" s="39">
        <f t="shared" si="9"/>
        <v>1071945370.9373629</v>
      </c>
      <c r="S54" s="34">
        <f t="shared" si="10"/>
        <v>9647508338.4362659</v>
      </c>
      <c r="T54" s="40">
        <v>10189241959</v>
      </c>
      <c r="U54" s="272">
        <f t="shared" si="11"/>
        <v>6.8310681663272103E-4</v>
      </c>
      <c r="V54" s="282">
        <f t="shared" si="12"/>
        <v>115.50570151043276</v>
      </c>
      <c r="W54" s="283">
        <f>((S54+'Malawi-only'!S54)/(T54*(U54+'Malawi-only'!U54))/12)</f>
        <v>27.92209974748981</v>
      </c>
      <c r="X54" s="284">
        <f>(R54+'Malawi-only'!R54)</f>
        <v>2970737587.4154401</v>
      </c>
      <c r="Y54" s="284">
        <f>(L54+'Malawi-only'!L54)</f>
        <v>238558903429.44894</v>
      </c>
      <c r="Z54" s="284">
        <f>(Q54+'Malawi-only'!Q54)</f>
        <v>14517038142.329782</v>
      </c>
    </row>
    <row r="55" spans="1:26" ht="15.75" customHeight="1">
      <c r="A55" s="31" t="s">
        <v>88</v>
      </c>
      <c r="B55" s="32">
        <v>2071</v>
      </c>
      <c r="C55" s="271">
        <f t="shared" si="13"/>
        <v>2.006853432162619E-4</v>
      </c>
      <c r="D55" s="271">
        <f t="shared" si="19"/>
        <v>2.006853432162619E-4</v>
      </c>
      <c r="E55" s="34">
        <f t="shared" si="1"/>
        <v>0</v>
      </c>
      <c r="F55" s="42">
        <v>4000</v>
      </c>
      <c r="G55" s="34">
        <f t="shared" si="2"/>
        <v>802741372.86504757</v>
      </c>
      <c r="H55" s="34">
        <f t="shared" si="3"/>
        <v>798727666.00072229</v>
      </c>
      <c r="I55" s="43">
        <v>1</v>
      </c>
      <c r="J55" s="36">
        <f t="shared" si="4"/>
        <v>798727666.00072229</v>
      </c>
      <c r="K55" s="34">
        <f t="shared" si="16"/>
        <v>178894262585.63992</v>
      </c>
      <c r="L55" s="37">
        <f t="shared" si="17"/>
        <v>176691415370.6257</v>
      </c>
      <c r="M55" s="34">
        <f t="shared" si="5"/>
        <v>11157200320.300385</v>
      </c>
      <c r="N55" s="34">
        <f t="shared" si="6"/>
        <v>0</v>
      </c>
      <c r="O55" s="34">
        <f t="shared" si="7"/>
        <v>11157200320.300385</v>
      </c>
      <c r="P55" s="34">
        <f>O55*3.2%</f>
        <v>357030410.24961233</v>
      </c>
      <c r="Q55" s="38">
        <f t="shared" si="8"/>
        <v>10746169060.500517</v>
      </c>
      <c r="R55" s="39">
        <f t="shared" si="9"/>
        <v>1074616906.0500517</v>
      </c>
      <c r="S55" s="34">
        <f t="shared" si="10"/>
        <v>9671552154.4504662</v>
      </c>
      <c r="T55" s="40">
        <v>10203681568</v>
      </c>
      <c r="U55" s="272">
        <f t="shared" si="11"/>
        <v>6.8310681663272103E-4</v>
      </c>
      <c r="V55" s="282">
        <f t="shared" si="12"/>
        <v>115.62970457845127</v>
      </c>
      <c r="W55" s="283">
        <f>((S55+'Malawi-only'!S55)/(T55*(U55+'Malawi-only'!U55))/12)</f>
        <v>27.969251596481683</v>
      </c>
      <c r="X55" s="284">
        <f>(R55+'Malawi-only'!R55)</f>
        <v>2985253847.4391165</v>
      </c>
      <c r="Y55" s="284">
        <f>(L55+'Malawi-only'!L55)</f>
        <v>239750197677.8761</v>
      </c>
      <c r="Z55" s="284">
        <f>(Q55+'Malawi-only'!Q55)</f>
        <v>14567442943.278646</v>
      </c>
    </row>
    <row r="56" spans="1:26" ht="15.75" customHeight="1">
      <c r="A56" s="31" t="s">
        <v>89</v>
      </c>
      <c r="B56" s="32">
        <v>2072</v>
      </c>
      <c r="C56" s="271">
        <f t="shared" si="13"/>
        <v>1.8061680889463571E-4</v>
      </c>
      <c r="D56" s="271">
        <f t="shared" si="19"/>
        <v>1.8061680889463571E-4</v>
      </c>
      <c r="E56" s="34">
        <f t="shared" si="1"/>
        <v>0</v>
      </c>
      <c r="F56" s="42">
        <v>4000</v>
      </c>
      <c r="G56" s="34">
        <f t="shared" si="2"/>
        <v>722467235.57854283</v>
      </c>
      <c r="H56" s="34">
        <f t="shared" si="3"/>
        <v>718854899.40065014</v>
      </c>
      <c r="I56" s="43">
        <v>1</v>
      </c>
      <c r="J56" s="36">
        <f t="shared" si="4"/>
        <v>718854899.40065014</v>
      </c>
      <c r="K56" s="34">
        <f t="shared" si="16"/>
        <v>179613117485.04059</v>
      </c>
      <c r="L56" s="37">
        <f t="shared" si="17"/>
        <v>177321565134.89136</v>
      </c>
      <c r="M56" s="34">
        <f t="shared" si="5"/>
        <v>11202235734.497669</v>
      </c>
      <c r="N56" s="34">
        <f t="shared" si="6"/>
        <v>0</v>
      </c>
      <c r="O56" s="34">
        <f t="shared" si="7"/>
        <v>11202235734.497669</v>
      </c>
      <c r="P56" s="34">
        <f>O56*3.4%</f>
        <v>380876014.97292078</v>
      </c>
      <c r="Q56" s="38">
        <f t="shared" si="8"/>
        <v>10767252920.927124</v>
      </c>
      <c r="R56" s="39">
        <f t="shared" si="9"/>
        <v>1076725292.0927124</v>
      </c>
      <c r="S56" s="34">
        <f t="shared" si="10"/>
        <v>9690527628.8344116</v>
      </c>
      <c r="T56" s="40">
        <v>10217055169</v>
      </c>
      <c r="U56" s="272">
        <f t="shared" si="11"/>
        <v>6.8310681663272103E-4</v>
      </c>
      <c r="V56" s="282">
        <f t="shared" si="12"/>
        <v>115.70491842833036</v>
      </c>
      <c r="W56" s="283">
        <f>((S56+'Malawi-only'!S56)/(T56*(U56+'Malawi-only'!U56))/12)</f>
        <v>28.004225484569389</v>
      </c>
      <c r="X56" s="284">
        <f>(R56+'Malawi-only'!R56)</f>
        <v>2998068942.4439497</v>
      </c>
      <c r="Y56" s="284">
        <f>(L56+'Malawi-only'!L56)</f>
        <v>240830549297.65454</v>
      </c>
      <c r="Z56" s="284">
        <f>(Q56+'Malawi-only'!Q56)</f>
        <v>14609940221.629599</v>
      </c>
    </row>
    <row r="57" spans="1:26" ht="15.75" customHeight="1">
      <c r="A57" s="31" t="s">
        <v>90</v>
      </c>
      <c r="B57" s="32">
        <v>2073</v>
      </c>
      <c r="C57" s="271">
        <f t="shared" si="13"/>
        <v>1.6255512800517215E-4</v>
      </c>
      <c r="D57" s="271">
        <f t="shared" si="19"/>
        <v>1.6255512800517215E-4</v>
      </c>
      <c r="E57" s="34">
        <f t="shared" si="1"/>
        <v>0</v>
      </c>
      <c r="F57" s="42">
        <v>4000</v>
      </c>
      <c r="G57" s="34">
        <f t="shared" si="2"/>
        <v>650220512.02068865</v>
      </c>
      <c r="H57" s="34">
        <f t="shared" si="3"/>
        <v>646969409.46058524</v>
      </c>
      <c r="I57" s="35">
        <f t="shared" ref="I57:I184" si="21">100%</f>
        <v>1</v>
      </c>
      <c r="J57" s="36">
        <f t="shared" si="4"/>
        <v>646969409.46058524</v>
      </c>
      <c r="K57" s="34">
        <f t="shared" si="16"/>
        <v>180260086894.50116</v>
      </c>
      <c r="L57" s="37">
        <f t="shared" si="17"/>
        <v>177879550277.07977</v>
      </c>
      <c r="M57" s="34">
        <f t="shared" si="5"/>
        <v>11242187229.552113</v>
      </c>
      <c r="N57" s="34">
        <f t="shared" si="6"/>
        <v>0</v>
      </c>
      <c r="O57" s="34">
        <f t="shared" si="7"/>
        <v>11242187229.552113</v>
      </c>
      <c r="P57" s="34">
        <f>O57*3.6%</f>
        <v>404718740.26387608</v>
      </c>
      <c r="Q57" s="38">
        <f t="shared" si="8"/>
        <v>10783281146.841795</v>
      </c>
      <c r="R57" s="39">
        <f t="shared" si="9"/>
        <v>1078328114.6841795</v>
      </c>
      <c r="S57" s="34">
        <f t="shared" si="10"/>
        <v>9704953032.1576157</v>
      </c>
      <c r="T57" s="40">
        <v>10229327824</v>
      </c>
      <c r="U57" s="272">
        <f t="shared" si="11"/>
        <v>6.8310681663272103E-4</v>
      </c>
      <c r="V57" s="282">
        <f t="shared" si="12"/>
        <v>115.73813393698497</v>
      </c>
      <c r="W57" s="283">
        <f>((S57+'Malawi-only'!S57)/(T57*(U57+'Malawi-only'!U57))/12)</f>
        <v>28.028766798096786</v>
      </c>
      <c r="X57" s="284">
        <f>(R57+'Malawi-only'!R57)</f>
        <v>3009382668.1910615</v>
      </c>
      <c r="Y57" s="284">
        <f>(L57+'Malawi-only'!L57)</f>
        <v>241811994643.47388</v>
      </c>
      <c r="Z57" s="284">
        <f>(Q57+'Malawi-only'!Q57)</f>
        <v>14645390253.855558</v>
      </c>
    </row>
    <row r="58" spans="1:26" ht="15.75" customHeight="1">
      <c r="A58" s="31" t="s">
        <v>91</v>
      </c>
      <c r="B58" s="32">
        <v>2074</v>
      </c>
      <c r="C58" s="271">
        <f t="shared" si="13"/>
        <v>1.4629961520465495E-4</v>
      </c>
      <c r="D58" s="271">
        <f t="shared" si="19"/>
        <v>1.4629961520465495E-4</v>
      </c>
      <c r="E58" s="34">
        <f t="shared" si="1"/>
        <v>0</v>
      </c>
      <c r="F58" s="42">
        <v>4000</v>
      </c>
      <c r="G58" s="34">
        <f t="shared" si="2"/>
        <v>585198460.81861985</v>
      </c>
      <c r="H58" s="34">
        <f t="shared" si="3"/>
        <v>582272468.51452672</v>
      </c>
      <c r="I58" s="35">
        <f t="shared" si="21"/>
        <v>1</v>
      </c>
      <c r="J58" s="36">
        <f t="shared" si="4"/>
        <v>582272468.51452672</v>
      </c>
      <c r="K58" s="34">
        <f t="shared" si="16"/>
        <v>180842359363.01569</v>
      </c>
      <c r="L58" s="37">
        <f t="shared" si="17"/>
        <v>178372591834.22153</v>
      </c>
      <c r="M58" s="34">
        <f t="shared" si="5"/>
        <v>11277563487.566856</v>
      </c>
      <c r="N58" s="34">
        <f t="shared" si="6"/>
        <v>0</v>
      </c>
      <c r="O58" s="34">
        <f t="shared" si="7"/>
        <v>11277563487.566856</v>
      </c>
      <c r="P58" s="34">
        <f>O58*3.8%</f>
        <v>428547412.5275405</v>
      </c>
      <c r="Q58" s="38">
        <f t="shared" si="8"/>
        <v>10794770994.66412</v>
      </c>
      <c r="R58" s="39">
        <f t="shared" si="9"/>
        <v>1079477099.4664121</v>
      </c>
      <c r="S58" s="34">
        <f t="shared" si="10"/>
        <v>9715293895.1977081</v>
      </c>
      <c r="T58" s="40">
        <v>10240485056</v>
      </c>
      <c r="U58" s="272">
        <f t="shared" si="11"/>
        <v>6.8310681663272103E-4</v>
      </c>
      <c r="V58" s="282">
        <f t="shared" si="12"/>
        <v>115.73522214313302</v>
      </c>
      <c r="W58" s="283">
        <f>((S58+'Malawi-only'!S58)/(T58*(U58+'Malawi-only'!U58))/12)</f>
        <v>28.044387745235952</v>
      </c>
      <c r="X58" s="284">
        <f>(R58+'Malawi-only'!R58)</f>
        <v>3019374336.0776925</v>
      </c>
      <c r="Y58" s="284">
        <f>(L58+'Malawi-only'!L58)</f>
        <v>242705368241.82657</v>
      </c>
      <c r="Z58" s="284">
        <f>(Q58+'Malawi-only'!Q58)</f>
        <v>14674565467.886681</v>
      </c>
    </row>
    <row r="59" spans="1:26" ht="15.75" customHeight="1">
      <c r="A59" s="31" t="s">
        <v>92</v>
      </c>
      <c r="B59" s="32">
        <v>2075</v>
      </c>
      <c r="C59" s="271">
        <f t="shared" si="13"/>
        <v>1.3166965368418946E-4</v>
      </c>
      <c r="D59" s="271">
        <f t="shared" si="19"/>
        <v>1.3166965368418946E-4</v>
      </c>
      <c r="E59" s="34">
        <f t="shared" si="1"/>
        <v>0</v>
      </c>
      <c r="F59" s="42">
        <v>4000</v>
      </c>
      <c r="G59" s="34">
        <f t="shared" si="2"/>
        <v>526678614.73675781</v>
      </c>
      <c r="H59" s="34">
        <f t="shared" si="3"/>
        <v>524045221.66307402</v>
      </c>
      <c r="I59" s="35">
        <f t="shared" si="21"/>
        <v>1</v>
      </c>
      <c r="J59" s="36">
        <f t="shared" si="4"/>
        <v>524045221.66307402</v>
      </c>
      <c r="K59" s="34">
        <f t="shared" si="16"/>
        <v>181366404584.67877</v>
      </c>
      <c r="L59" s="37">
        <f t="shared" si="17"/>
        <v>178807188737.35669</v>
      </c>
      <c r="M59" s="34">
        <f t="shared" si="5"/>
        <v>11308822322.289644</v>
      </c>
      <c r="N59" s="34">
        <f t="shared" si="6"/>
        <v>0</v>
      </c>
      <c r="O59" s="34">
        <f t="shared" si="7"/>
        <v>11308822322.289644</v>
      </c>
      <c r="P59" s="34">
        <f>O59*4%</f>
        <v>452352892.89158577</v>
      </c>
      <c r="Q59" s="38">
        <f t="shared" si="8"/>
        <v>10802187082.251068</v>
      </c>
      <c r="R59" s="39">
        <f t="shared" si="9"/>
        <v>1080218708.225107</v>
      </c>
      <c r="S59" s="34">
        <f t="shared" si="10"/>
        <v>9721968374.0259609</v>
      </c>
      <c r="T59" s="40">
        <v>10250496432</v>
      </c>
      <c r="U59" s="272">
        <f t="shared" si="11"/>
        <v>6.8310681663272103E-4</v>
      </c>
      <c r="V59" s="282">
        <f t="shared" si="12"/>
        <v>115.70162005495236</v>
      </c>
      <c r="W59" s="283">
        <f>((S59+'Malawi-only'!S59)/(T59*(U59+'Malawi-only'!U59))/12)</f>
        <v>28.052486189535045</v>
      </c>
      <c r="X59" s="284">
        <f>(R59+'Malawi-only'!R59)</f>
        <v>3028204884.6031623</v>
      </c>
      <c r="Y59" s="284">
        <f>(L59+'Malawi-only'!L59)</f>
        <v>243520423839.65735</v>
      </c>
      <c r="Z59" s="284">
        <f>(Q59+'Malawi-only'!Q59)</f>
        <v>14698159435.007179</v>
      </c>
    </row>
    <row r="60" spans="1:26" ht="15.75" customHeight="1">
      <c r="A60" s="31" t="s">
        <v>93</v>
      </c>
      <c r="B60" s="32">
        <v>2076</v>
      </c>
      <c r="C60" s="271">
        <f t="shared" si="13"/>
        <v>1.1850268831577052E-4</v>
      </c>
      <c r="D60" s="271">
        <f t="shared" si="19"/>
        <v>1.1850268831577052E-4</v>
      </c>
      <c r="E60" s="34">
        <f t="shared" si="1"/>
        <v>0</v>
      </c>
      <c r="F60" s="42">
        <v>4000</v>
      </c>
      <c r="G60" s="34">
        <f t="shared" si="2"/>
        <v>474010753.26308209</v>
      </c>
      <c r="H60" s="34">
        <f t="shared" si="3"/>
        <v>471640699.49676669</v>
      </c>
      <c r="I60" s="35">
        <f t="shared" si="21"/>
        <v>1</v>
      </c>
      <c r="J60" s="36">
        <f t="shared" si="4"/>
        <v>471640699.49676669</v>
      </c>
      <c r="K60" s="34">
        <f t="shared" si="16"/>
        <v>181838045284.17554</v>
      </c>
      <c r="L60" s="37">
        <f t="shared" ref="L60:L184" si="22">(L59+J60+P59)*(1-$L$3)</f>
        <v>179641316738.58017</v>
      </c>
      <c r="M60" s="34">
        <f t="shared" si="5"/>
        <v>11336375765.948414</v>
      </c>
      <c r="N60" s="34">
        <f t="shared" si="6"/>
        <v>0</v>
      </c>
      <c r="O60" s="34">
        <f t="shared" si="7"/>
        <v>11336375765.948414</v>
      </c>
      <c r="P60" s="34">
        <f>O60*4.5%</f>
        <v>510136909.46767861</v>
      </c>
      <c r="Q60" s="38">
        <f t="shared" si="8"/>
        <v>10772107662.198332</v>
      </c>
      <c r="R60" s="39">
        <f t="shared" si="9"/>
        <v>1077210766.2198331</v>
      </c>
      <c r="S60" s="34">
        <f t="shared" si="10"/>
        <v>9694896895.9784985</v>
      </c>
      <c r="T60" s="40">
        <v>10259351432</v>
      </c>
      <c r="U60" s="272">
        <f t="shared" si="11"/>
        <v>6.8310681663272103E-4</v>
      </c>
      <c r="V60" s="282">
        <f t="shared" si="12"/>
        <v>115.27985534858</v>
      </c>
      <c r="W60" s="283">
        <f>((S60+'Malawi-only'!S60)/(T60*(U60+'Malawi-only'!U60))/12)</f>
        <v>27.966411851805145</v>
      </c>
      <c r="X60" s="284">
        <f>(R60+'Malawi-only'!R60)</f>
        <v>3026511408.4749842</v>
      </c>
      <c r="Y60" s="284">
        <f>(L60+'Malawi-only'!L60)</f>
        <v>244718070016.19781</v>
      </c>
      <c r="Z60" s="284">
        <f>(Q60+'Malawi-only'!Q60)</f>
        <v>14670708946.708633</v>
      </c>
    </row>
    <row r="61" spans="1:26" ht="15.75" customHeight="1">
      <c r="A61" s="31" t="s">
        <v>94</v>
      </c>
      <c r="B61" s="32">
        <v>2077</v>
      </c>
      <c r="C61" s="271">
        <f t="shared" si="13"/>
        <v>1.0665241948419347E-4</v>
      </c>
      <c r="D61" s="271">
        <f t="shared" si="19"/>
        <v>1.0665241948419347E-4</v>
      </c>
      <c r="E61" s="34">
        <f t="shared" si="1"/>
        <v>0</v>
      </c>
      <c r="F61" s="42">
        <v>4000</v>
      </c>
      <c r="G61" s="34">
        <f t="shared" si="2"/>
        <v>426609677.9367739</v>
      </c>
      <c r="H61" s="34">
        <f t="shared" si="3"/>
        <v>424476629.54709005</v>
      </c>
      <c r="I61" s="35">
        <f t="shared" si="21"/>
        <v>1</v>
      </c>
      <c r="J61" s="36">
        <f t="shared" si="4"/>
        <v>424476629.54709005</v>
      </c>
      <c r="K61" s="34">
        <f t="shared" si="16"/>
        <v>182262521913.72263</v>
      </c>
      <c r="L61" s="37">
        <f t="shared" si="22"/>
        <v>180485642312.45615</v>
      </c>
      <c r="M61" s="34">
        <f t="shared" si="5"/>
        <v>11389259481.225983</v>
      </c>
      <c r="N61" s="34">
        <f t="shared" si="6"/>
        <v>0</v>
      </c>
      <c r="O61" s="34">
        <f t="shared" si="7"/>
        <v>11389259481.225983</v>
      </c>
      <c r="P61" s="34">
        <f>O61*5%</f>
        <v>569462974.0612992</v>
      </c>
      <c r="Q61" s="38">
        <f t="shared" si="8"/>
        <v>10765697524.62886</v>
      </c>
      <c r="R61" s="39">
        <f t="shared" si="9"/>
        <v>1076569752.4628861</v>
      </c>
      <c r="S61" s="34">
        <f t="shared" si="10"/>
        <v>9689127772.1659737</v>
      </c>
      <c r="T61" s="40">
        <v>10267045023</v>
      </c>
      <c r="U61" s="272">
        <f t="shared" si="11"/>
        <v>6.8310681663272103E-4</v>
      </c>
      <c r="V61" s="282">
        <f t="shared" si="12"/>
        <v>115.12492264548429</v>
      </c>
      <c r="W61" s="283">
        <f>((S61+'Malawi-only'!S61)/(T61*(U61+'Malawi-only'!U61))/12)</f>
        <v>27.933258087673334</v>
      </c>
      <c r="X61" s="284">
        <f>(R61+'Malawi-only'!R61)</f>
        <v>3026557245.2935638</v>
      </c>
      <c r="Y61" s="284">
        <f>(L61+'Malawi-only'!L61)</f>
        <v>245923919361.02502</v>
      </c>
      <c r="Z61" s="284">
        <f>(Q61+'Malawi-only'!Q61)</f>
        <v>14665672510.290216</v>
      </c>
    </row>
    <row r="62" spans="1:26" ht="15.75" customHeight="1">
      <c r="A62" s="31" t="s">
        <v>95</v>
      </c>
      <c r="B62" s="32">
        <v>2078</v>
      </c>
      <c r="C62" s="271">
        <f t="shared" si="13"/>
        <v>9.5987177535774128E-5</v>
      </c>
      <c r="D62" s="271">
        <f t="shared" si="19"/>
        <v>9.5987177535774128E-5</v>
      </c>
      <c r="E62" s="34">
        <f t="shared" si="1"/>
        <v>0</v>
      </c>
      <c r="F62" s="42">
        <v>4000</v>
      </c>
      <c r="G62" s="34">
        <f t="shared" si="2"/>
        <v>383948710.14309651</v>
      </c>
      <c r="H62" s="34">
        <f t="shared" si="3"/>
        <v>382028966.592381</v>
      </c>
      <c r="I62" s="35">
        <f t="shared" si="21"/>
        <v>1</v>
      </c>
      <c r="J62" s="36">
        <f t="shared" si="4"/>
        <v>382028966.592381</v>
      </c>
      <c r="K62" s="34">
        <f t="shared" si="16"/>
        <v>182644550880.315</v>
      </c>
      <c r="L62" s="37">
        <f t="shared" si="22"/>
        <v>181346415685.98328</v>
      </c>
      <c r="M62" s="34">
        <f t="shared" si="5"/>
        <v>11442789722.60972</v>
      </c>
      <c r="N62" s="34">
        <f t="shared" si="6"/>
        <v>0</v>
      </c>
      <c r="O62" s="34">
        <f t="shared" si="7"/>
        <v>11442789722.60972</v>
      </c>
      <c r="P62" s="34">
        <f>O62*5.5%</f>
        <v>629353434.74353456</v>
      </c>
      <c r="Q62" s="38">
        <f t="shared" si="8"/>
        <v>10759369106.426855</v>
      </c>
      <c r="R62" s="39">
        <f t="shared" si="9"/>
        <v>1075936910.6426857</v>
      </c>
      <c r="S62" s="34">
        <f t="shared" si="10"/>
        <v>9683432195.7841702</v>
      </c>
      <c r="T62" s="40">
        <v>10273556322</v>
      </c>
      <c r="U62" s="272">
        <f t="shared" si="11"/>
        <v>6.8310681663272103E-4</v>
      </c>
      <c r="V62" s="282">
        <f t="shared" si="12"/>
        <v>114.98432619027277</v>
      </c>
      <c r="W62" s="283">
        <f>((S62+'Malawi-only'!S62)/(T62*(U62+'Malawi-only'!U62))/12)</f>
        <v>27.903123572101993</v>
      </c>
      <c r="X62" s="284">
        <f>(R62+'Malawi-only'!R62)</f>
        <v>3026437148.3161116</v>
      </c>
      <c r="Y62" s="284">
        <f>(L62+'Malawi-only'!L62)</f>
        <v>247146738598.4097</v>
      </c>
      <c r="Z62" s="284">
        <f>(Q62+'Malawi-only'!Q62)</f>
        <v>14660369581.773706</v>
      </c>
    </row>
    <row r="63" spans="1:26" ht="15.75" customHeight="1">
      <c r="A63" s="31" t="s">
        <v>96</v>
      </c>
      <c r="B63" s="32">
        <v>2079</v>
      </c>
      <c r="C63" s="271">
        <f t="shared" si="13"/>
        <v>8.6388459782196718E-5</v>
      </c>
      <c r="D63" s="271">
        <f t="shared" si="19"/>
        <v>8.6388459782196718E-5</v>
      </c>
      <c r="E63" s="34">
        <f t="shared" si="1"/>
        <v>0</v>
      </c>
      <c r="F63" s="42">
        <v>4000</v>
      </c>
      <c r="G63" s="34">
        <f t="shared" si="2"/>
        <v>345553839.12878692</v>
      </c>
      <c r="H63" s="34">
        <f t="shared" si="3"/>
        <v>343826069.93314296</v>
      </c>
      <c r="I63" s="35">
        <f t="shared" si="21"/>
        <v>1</v>
      </c>
      <c r="J63" s="36">
        <f t="shared" si="4"/>
        <v>343826069.93314296</v>
      </c>
      <c r="K63" s="34">
        <f t="shared" si="16"/>
        <v>182988376950.24814</v>
      </c>
      <c r="L63" s="37">
        <f t="shared" si="22"/>
        <v>182228435393.06464</v>
      </c>
      <c r="M63" s="34">
        <f t="shared" si="5"/>
        <v>11497362754.491339</v>
      </c>
      <c r="N63" s="34">
        <f t="shared" si="6"/>
        <v>0</v>
      </c>
      <c r="O63" s="34">
        <f t="shared" si="7"/>
        <v>11497362754.491339</v>
      </c>
      <c r="P63" s="34">
        <f>O63*6%</f>
        <v>689841765.26948035</v>
      </c>
      <c r="Q63" s="38">
        <f t="shared" si="8"/>
        <v>10753483384.275749</v>
      </c>
      <c r="R63" s="39">
        <f t="shared" si="9"/>
        <v>1075348338.4275749</v>
      </c>
      <c r="S63" s="34">
        <f t="shared" si="10"/>
        <v>9678135045.848175</v>
      </c>
      <c r="T63" s="40">
        <v>10278887473</v>
      </c>
      <c r="U63" s="272">
        <f t="shared" si="11"/>
        <v>6.8310681663272103E-4</v>
      </c>
      <c r="V63" s="282">
        <f t="shared" si="12"/>
        <v>114.86182198798112</v>
      </c>
      <c r="W63" s="283">
        <f>((S63+'Malawi-only'!S63)/(T63*(U63+'Malawi-only'!U63))/12)</f>
        <v>27.876946268291022</v>
      </c>
      <c r="X63" s="284">
        <f>(R63+'Malawi-only'!R63)</f>
        <v>3026262770.4613352</v>
      </c>
      <c r="Y63" s="284">
        <f>(L63+'Malawi-only'!L63)</f>
        <v>248393644681.49835</v>
      </c>
      <c r="Z63" s="284">
        <f>(Q63+'Malawi-only'!Q63)</f>
        <v>14655312248.343269</v>
      </c>
    </row>
    <row r="64" spans="1:26" ht="15.75" customHeight="1">
      <c r="A64" s="31" t="s">
        <v>97</v>
      </c>
      <c r="B64" s="32">
        <v>2080</v>
      </c>
      <c r="C64" s="271">
        <f t="shared" si="13"/>
        <v>7.774961380397705E-5</v>
      </c>
      <c r="D64" s="271">
        <f t="shared" si="19"/>
        <v>7.774961380397705E-5</v>
      </c>
      <c r="E64" s="34">
        <f t="shared" si="1"/>
        <v>0</v>
      </c>
      <c r="F64" s="42">
        <v>4000</v>
      </c>
      <c r="G64" s="34">
        <f t="shared" si="2"/>
        <v>310998455.21590817</v>
      </c>
      <c r="H64" s="34">
        <f t="shared" si="3"/>
        <v>309443462.93982863</v>
      </c>
      <c r="I64" s="35">
        <f t="shared" si="21"/>
        <v>1</v>
      </c>
      <c r="J64" s="36">
        <f t="shared" si="4"/>
        <v>309443462.93982863</v>
      </c>
      <c r="K64" s="34">
        <f t="shared" si="16"/>
        <v>183297820413.18796</v>
      </c>
      <c r="L64" s="37">
        <f t="shared" si="22"/>
        <v>183136106760.96329</v>
      </c>
      <c r="M64" s="34">
        <f t="shared" si="5"/>
        <v>11553282803.920298</v>
      </c>
      <c r="N64" s="34">
        <f t="shared" si="6"/>
        <v>0</v>
      </c>
      <c r="O64" s="34">
        <f t="shared" si="7"/>
        <v>11553282803.920298</v>
      </c>
      <c r="P64" s="34">
        <f>O64*6.5%</f>
        <v>750963382.25481939</v>
      </c>
      <c r="Q64" s="38">
        <f t="shared" si="8"/>
        <v>10748307824.55715</v>
      </c>
      <c r="R64" s="39">
        <f t="shared" si="9"/>
        <v>1074830782.4557149</v>
      </c>
      <c r="S64" s="34">
        <f t="shared" si="10"/>
        <v>9673477042.1014347</v>
      </c>
      <c r="T64" s="40">
        <v>10283078029</v>
      </c>
      <c r="U64" s="272">
        <f t="shared" si="11"/>
        <v>6.8310681663272103E-4</v>
      </c>
      <c r="V64" s="282">
        <f t="shared" si="12"/>
        <v>114.7597540569965</v>
      </c>
      <c r="W64" s="283">
        <f>((S64+'Malawi-only'!S64)/(T64*(U64+'Malawi-only'!U64))/12)</f>
        <v>27.855343925999374</v>
      </c>
      <c r="X64" s="284">
        <f>(R64+'Malawi-only'!R64)</f>
        <v>3026128984.5567226</v>
      </c>
      <c r="Y64" s="284">
        <f>(L64+'Malawi-only'!L64)</f>
        <v>249671158342.22552</v>
      </c>
      <c r="Z64" s="284">
        <f>(Q64+'Malawi-only'!Q64)</f>
        <v>14650904228.759167</v>
      </c>
    </row>
    <row r="65" spans="1:26" ht="15.75" customHeight="1">
      <c r="A65" s="31" t="s">
        <v>98</v>
      </c>
      <c r="B65" s="32">
        <v>2081</v>
      </c>
      <c r="C65" s="271">
        <f t="shared" si="13"/>
        <v>6.9974652423579345E-5</v>
      </c>
      <c r="D65" s="271">
        <f t="shared" si="19"/>
        <v>6.9974652423579345E-5</v>
      </c>
      <c r="E65" s="34">
        <f t="shared" si="1"/>
        <v>0</v>
      </c>
      <c r="F65" s="42">
        <v>4000</v>
      </c>
      <c r="G65" s="34">
        <f t="shared" si="2"/>
        <v>279898609.6943174</v>
      </c>
      <c r="H65" s="34">
        <f t="shared" si="3"/>
        <v>278499116.64584583</v>
      </c>
      <c r="I65" s="35">
        <f t="shared" si="21"/>
        <v>1</v>
      </c>
      <c r="J65" s="36">
        <f t="shared" si="4"/>
        <v>278499116.64584583</v>
      </c>
      <c r="K65" s="34">
        <f t="shared" si="16"/>
        <v>183576319529.8338</v>
      </c>
      <c r="L65" s="37">
        <f t="shared" si="22"/>
        <v>184073486475.23404</v>
      </c>
      <c r="M65" s="34">
        <f t="shared" si="5"/>
        <v>11610829168.645073</v>
      </c>
      <c r="N65" s="34">
        <f t="shared" si="6"/>
        <v>0</v>
      </c>
      <c r="O65" s="34">
        <f t="shared" si="7"/>
        <v>11610829168.645073</v>
      </c>
      <c r="P65" s="34">
        <f>O65*7%</f>
        <v>812758041.80515516</v>
      </c>
      <c r="Q65" s="38">
        <f t="shared" si="8"/>
        <v>10744080771.205719</v>
      </c>
      <c r="R65" s="39">
        <f t="shared" si="9"/>
        <v>1074408077.1205719</v>
      </c>
      <c r="S65" s="34">
        <f t="shared" si="10"/>
        <v>9669672694.0851479</v>
      </c>
      <c r="T65" s="40">
        <v>10286161735</v>
      </c>
      <c r="U65" s="272">
        <f t="shared" si="11"/>
        <v>6.8310681663272103E-4</v>
      </c>
      <c r="V65" s="282">
        <f t="shared" si="12"/>
        <v>114.68023128782927</v>
      </c>
      <c r="W65" s="283">
        <f>((S65+'Malawi-only'!S65)/(T65*(U65+'Malawi-only'!U65))/12)</f>
        <v>27.838871721716117</v>
      </c>
      <c r="X65" s="284">
        <f>(R65+'Malawi-only'!R65)</f>
        <v>3026120333.509428</v>
      </c>
      <c r="Y65" s="284">
        <f>(L65+'Malawi-only'!L65)</f>
        <v>250985272083.96478</v>
      </c>
      <c r="Z65" s="284">
        <f>(Q65+'Malawi-only'!Q65)</f>
        <v>14647505283.983431</v>
      </c>
    </row>
    <row r="66" spans="1:26" ht="15.75" customHeight="1">
      <c r="A66" s="31" t="s">
        <v>99</v>
      </c>
      <c r="B66" s="32">
        <v>2082</v>
      </c>
      <c r="C66" s="271">
        <f t="shared" si="13"/>
        <v>6.2977187181221413E-5</v>
      </c>
      <c r="D66" s="271">
        <f t="shared" si="19"/>
        <v>6.2977187181221413E-5</v>
      </c>
      <c r="E66" s="34">
        <f t="shared" si="1"/>
        <v>0</v>
      </c>
      <c r="F66" s="42">
        <v>4000</v>
      </c>
      <c r="G66" s="34">
        <f t="shared" si="2"/>
        <v>251908748.72488567</v>
      </c>
      <c r="H66" s="34">
        <f t="shared" si="3"/>
        <v>250649204.98126125</v>
      </c>
      <c r="I66" s="35">
        <f t="shared" si="21"/>
        <v>1</v>
      </c>
      <c r="J66" s="36">
        <f t="shared" si="4"/>
        <v>250649204.98126125</v>
      </c>
      <c r="K66" s="34">
        <f t="shared" si="16"/>
        <v>183826968734.81506</v>
      </c>
      <c r="L66" s="37">
        <f t="shared" si="22"/>
        <v>185044325275.15945</v>
      </c>
      <c r="M66" s="34">
        <f t="shared" si="5"/>
        <v>11670259042.529839</v>
      </c>
      <c r="N66" s="34">
        <f t="shared" si="6"/>
        <v>0</v>
      </c>
      <c r="O66" s="34">
        <f t="shared" si="7"/>
        <v>11670259042.529839</v>
      </c>
      <c r="P66" s="34">
        <f>O66*7.5%</f>
        <v>875269428.18973792</v>
      </c>
      <c r="Q66" s="38">
        <f t="shared" si="8"/>
        <v>10741014666.2684</v>
      </c>
      <c r="R66" s="39">
        <f t="shared" si="9"/>
        <v>1074101466.6268401</v>
      </c>
      <c r="S66" s="34">
        <f t="shared" si="10"/>
        <v>9666913199.6415596</v>
      </c>
      <c r="T66" s="40">
        <v>10288205050</v>
      </c>
      <c r="U66" s="272">
        <f t="shared" si="11"/>
        <v>6.8310681663272103E-4</v>
      </c>
      <c r="V66" s="282">
        <f t="shared" si="12"/>
        <v>114.62473442154736</v>
      </c>
      <c r="W66" s="283">
        <f>((S66+'Malawi-only'!S66)/(T66*(U66+'Malawi-only'!U66))/12)</f>
        <v>27.82792754121644</v>
      </c>
      <c r="X66" s="284">
        <f>(R66+'Malawi-only'!R66)</f>
        <v>3026312195.9712877</v>
      </c>
      <c r="Y66" s="284">
        <f>(L66+'Malawi-only'!L66)</f>
        <v>252341513861.99976</v>
      </c>
      <c r="Z66" s="284">
        <f>(Q66+'Malawi-only'!Q66)</f>
        <v>14645436124.957294</v>
      </c>
    </row>
    <row r="67" spans="1:26" ht="15.75" customHeight="1">
      <c r="A67" s="31" t="s">
        <v>100</v>
      </c>
      <c r="B67" s="32">
        <v>2083</v>
      </c>
      <c r="C67" s="271">
        <f t="shared" si="13"/>
        <v>5.6679468463099276E-5</v>
      </c>
      <c r="D67" s="271">
        <f t="shared" si="19"/>
        <v>5.6679468463099276E-5</v>
      </c>
      <c r="E67" s="34">
        <f t="shared" si="1"/>
        <v>0</v>
      </c>
      <c r="F67" s="42">
        <v>4000</v>
      </c>
      <c r="G67" s="34">
        <f t="shared" si="2"/>
        <v>226717873.85239711</v>
      </c>
      <c r="H67" s="34">
        <f t="shared" si="3"/>
        <v>225584284.48313513</v>
      </c>
      <c r="I67" s="35">
        <f t="shared" si="21"/>
        <v>1</v>
      </c>
      <c r="J67" s="36">
        <f t="shared" si="4"/>
        <v>225584284.48313513</v>
      </c>
      <c r="K67" s="34">
        <f t="shared" si="16"/>
        <v>184052553019.29819</v>
      </c>
      <c r="L67" s="37">
        <f t="shared" si="22"/>
        <v>186052106398.33841</v>
      </c>
      <c r="M67" s="34">
        <f t="shared" si="5"/>
        <v>11731810222.445108</v>
      </c>
      <c r="N67" s="34">
        <f t="shared" si="6"/>
        <v>0</v>
      </c>
      <c r="O67" s="34">
        <f t="shared" si="7"/>
        <v>11731810222.445108</v>
      </c>
      <c r="P67" s="34">
        <f>O67*8%</f>
        <v>938544817.79560864</v>
      </c>
      <c r="Q67" s="38">
        <f t="shared" si="8"/>
        <v>10739299077.626253</v>
      </c>
      <c r="R67" s="39">
        <f t="shared" si="9"/>
        <v>1073929907.7626255</v>
      </c>
      <c r="S67" s="34">
        <f t="shared" si="10"/>
        <v>9665369169.8636284</v>
      </c>
      <c r="T67" s="40">
        <v>10289247323</v>
      </c>
      <c r="U67" s="272">
        <f t="shared" si="11"/>
        <v>6.8310681663272103E-4</v>
      </c>
      <c r="V67" s="282">
        <f t="shared" si="12"/>
        <v>114.59481687664078</v>
      </c>
      <c r="W67" s="283">
        <f>((S67+'Malawi-only'!S67)/(T67*(U67+'Malawi-only'!U67))/12)</f>
        <v>27.822922637618916</v>
      </c>
      <c r="X67" s="284">
        <f>(R67+'Malawi-only'!R67)</f>
        <v>3026771839.6695027</v>
      </c>
      <c r="Y67" s="284">
        <f>(L67+'Malawi-only'!L67)</f>
        <v>253745004406.63266</v>
      </c>
      <c r="Z67" s="284">
        <f>(Q67+'Malawi-only'!Q67)</f>
        <v>14644982941.440008</v>
      </c>
    </row>
    <row r="68" spans="1:26" ht="15.75" customHeight="1">
      <c r="A68" s="31" t="s">
        <v>101</v>
      </c>
      <c r="B68" s="32">
        <v>2084</v>
      </c>
      <c r="C68" s="271">
        <f t="shared" si="13"/>
        <v>5.101152161678935E-5</v>
      </c>
      <c r="D68" s="271">
        <f t="shared" si="19"/>
        <v>5.101152161678935E-5</v>
      </c>
      <c r="E68" s="34">
        <f t="shared" si="1"/>
        <v>0</v>
      </c>
      <c r="F68" s="42">
        <v>4000</v>
      </c>
      <c r="G68" s="34">
        <f t="shared" si="2"/>
        <v>204046086.46715742</v>
      </c>
      <c r="H68" s="34">
        <f t="shared" si="3"/>
        <v>203025856.03482163</v>
      </c>
      <c r="I68" s="35">
        <f t="shared" si="21"/>
        <v>1</v>
      </c>
      <c r="J68" s="36">
        <f t="shared" si="4"/>
        <v>203025856.03482163</v>
      </c>
      <c r="K68" s="34">
        <f t="shared" si="16"/>
        <v>184255578875.33301</v>
      </c>
      <c r="L68" s="37">
        <f t="shared" si="22"/>
        <v>187100080233.63278</v>
      </c>
      <c r="M68" s="34">
        <f t="shared" si="5"/>
        <v>11795703545.654655</v>
      </c>
      <c r="N68" s="34">
        <f t="shared" si="6"/>
        <v>0</v>
      </c>
      <c r="O68" s="34">
        <f t="shared" si="7"/>
        <v>11795703545.654655</v>
      </c>
      <c r="P68" s="34">
        <f>O68*8.5%</f>
        <v>1002634801.3806458</v>
      </c>
      <c r="Q68" s="38">
        <f t="shared" si="8"/>
        <v>10739103400.552639</v>
      </c>
      <c r="R68" s="39">
        <f t="shared" si="9"/>
        <v>1073910340.055264</v>
      </c>
      <c r="S68" s="34">
        <f t="shared" si="10"/>
        <v>9665193060.4973755</v>
      </c>
      <c r="T68" s="40">
        <v>10289315244</v>
      </c>
      <c r="U68" s="272">
        <f t="shared" si="11"/>
        <v>6.8310681663272103E-4</v>
      </c>
      <c r="V68" s="282">
        <f t="shared" si="12"/>
        <v>114.59197244360631</v>
      </c>
      <c r="W68" s="283">
        <f>((S68+'Malawi-only'!S68)/(T68*(U68+'Malawi-only'!U68))/12)</f>
        <v>27.824250016389342</v>
      </c>
      <c r="X68" s="284">
        <f>(R68+'Malawi-only'!R68)</f>
        <v>3027559361.468945</v>
      </c>
      <c r="Y68" s="284">
        <f>(L68+'Malawi-only'!L68)</f>
        <v>255200508869.91843</v>
      </c>
      <c r="Z68" s="284">
        <f>(Q68+'Malawi-only'!Q68)</f>
        <v>14646401443.380001</v>
      </c>
    </row>
    <row r="69" spans="1:26" ht="15.75" customHeight="1">
      <c r="A69" s="31" t="s">
        <v>102</v>
      </c>
      <c r="B69" s="32">
        <v>2085</v>
      </c>
      <c r="C69" s="271">
        <f t="shared" si="13"/>
        <v>4.5910369455110418E-5</v>
      </c>
      <c r="D69" s="271">
        <f t="shared" si="19"/>
        <v>4.5910369455110418E-5</v>
      </c>
      <c r="E69" s="34">
        <f t="shared" si="1"/>
        <v>0</v>
      </c>
      <c r="F69" s="42">
        <v>4000</v>
      </c>
      <c r="G69" s="34">
        <f t="shared" si="2"/>
        <v>183641477.82044169</v>
      </c>
      <c r="H69" s="34">
        <f t="shared" si="3"/>
        <v>182723270.43133947</v>
      </c>
      <c r="I69" s="35">
        <f t="shared" si="21"/>
        <v>1</v>
      </c>
      <c r="J69" s="36">
        <f t="shared" si="4"/>
        <v>182723270.43133947</v>
      </c>
      <c r="K69" s="34">
        <f t="shared" si="16"/>
        <v>184438302145.76434</v>
      </c>
      <c r="L69" s="37">
        <f t="shared" si="22"/>
        <v>188191295586.29205</v>
      </c>
      <c r="M69" s="34">
        <f t="shared" si="5"/>
        <v>11862145086.812319</v>
      </c>
      <c r="N69" s="34">
        <f t="shared" si="6"/>
        <v>0</v>
      </c>
      <c r="O69" s="34">
        <f t="shared" si="7"/>
        <v>11862145086.812319</v>
      </c>
      <c r="P69" s="34">
        <f>O69*9%</f>
        <v>1067593057.8131087</v>
      </c>
      <c r="Q69" s="38">
        <f t="shared" si="8"/>
        <v>10740579268.854214</v>
      </c>
      <c r="R69" s="39">
        <f t="shared" si="9"/>
        <v>1074057926.8854215</v>
      </c>
      <c r="S69" s="34">
        <f t="shared" si="10"/>
        <v>9666521341.968792</v>
      </c>
      <c r="T69" s="40">
        <v>10288456599</v>
      </c>
      <c r="U69" s="272">
        <f t="shared" si="11"/>
        <v>6.8310681663272103E-4</v>
      </c>
      <c r="V69" s="282">
        <f t="shared" si="12"/>
        <v>114.61728557789559</v>
      </c>
      <c r="W69" s="283">
        <f>((S69+'Malawi-only'!S69)/(T69*(U69+'Malawi-only'!U69))/12)</f>
        <v>27.832199949857426</v>
      </c>
      <c r="X69" s="284">
        <f>(R69+'Malawi-only'!R69)</f>
        <v>3028728526.4319992</v>
      </c>
      <c r="Y69" s="284">
        <f>(L69+'Malawi-only'!L69)</f>
        <v>256712483399.05057</v>
      </c>
      <c r="Z69" s="284">
        <f>(Q69+'Malawi-only'!Q69)</f>
        <v>14649920467.947369</v>
      </c>
    </row>
    <row r="70" spans="1:26" ht="15.75" customHeight="1">
      <c r="A70" s="31" t="s">
        <v>103</v>
      </c>
      <c r="B70" s="32">
        <v>2086</v>
      </c>
      <c r="C70" s="271">
        <f t="shared" si="13"/>
        <v>4.1319332509599378E-5</v>
      </c>
      <c r="D70" s="271">
        <f t="shared" si="19"/>
        <v>4.1319332509599378E-5</v>
      </c>
      <c r="E70" s="34">
        <f t="shared" si="1"/>
        <v>0</v>
      </c>
      <c r="F70" s="42">
        <v>4000</v>
      </c>
      <c r="G70" s="34">
        <f t="shared" si="2"/>
        <v>165277330.03839752</v>
      </c>
      <c r="H70" s="34">
        <f t="shared" si="3"/>
        <v>164450943.38820553</v>
      </c>
      <c r="I70" s="35">
        <f t="shared" si="21"/>
        <v>1</v>
      </c>
      <c r="J70" s="36">
        <f t="shared" si="4"/>
        <v>164450943.38820553</v>
      </c>
      <c r="K70" s="34">
        <f t="shared" si="16"/>
        <v>184602753089.15256</v>
      </c>
      <c r="L70" s="37">
        <f t="shared" si="22"/>
        <v>189328627917.69965</v>
      </c>
      <c r="M70" s="34">
        <f t="shared" si="5"/>
        <v>11931328140.170916</v>
      </c>
      <c r="N70" s="34">
        <f t="shared" si="6"/>
        <v>0</v>
      </c>
      <c r="O70" s="34">
        <f t="shared" si="7"/>
        <v>11931328140.170916</v>
      </c>
      <c r="P70" s="34">
        <f>O70*9.5%</f>
        <v>1133476173.316237</v>
      </c>
      <c r="Q70" s="38">
        <f t="shared" si="8"/>
        <v>10743862707.020405</v>
      </c>
      <c r="R70" s="39">
        <f t="shared" si="9"/>
        <v>1074386270.7020404</v>
      </c>
      <c r="S70" s="34">
        <f t="shared" si="10"/>
        <v>9669476436.3183651</v>
      </c>
      <c r="T70" s="40">
        <v>10286708360</v>
      </c>
      <c r="U70" s="272">
        <f t="shared" si="11"/>
        <v>6.8310681663272103E-4</v>
      </c>
      <c r="V70" s="282">
        <f t="shared" si="12"/>
        <v>114.67180984835484</v>
      </c>
      <c r="W70" s="283">
        <f>((S70+'Malawi-only'!S70)/(T70*(U70+'Malawi-only'!U70))/12)</f>
        <v>27.84705223486586</v>
      </c>
      <c r="X70" s="284">
        <f>(R70+'Malawi-only'!R70)</f>
        <v>3030327516.785531</v>
      </c>
      <c r="Y70" s="284">
        <f>(L70+'Malawi-only'!L70)</f>
        <v>258285117177.57175</v>
      </c>
      <c r="Z70" s="284">
        <f>(Q70+'Malawi-only'!Q70)</f>
        <v>14655745199.187386</v>
      </c>
    </row>
    <row r="71" spans="1:26" ht="15.75" customHeight="1">
      <c r="A71" s="31" t="s">
        <v>104</v>
      </c>
      <c r="B71" s="32">
        <v>2087</v>
      </c>
      <c r="C71" s="271">
        <f t="shared" si="13"/>
        <v>3.7187399258639443E-5</v>
      </c>
      <c r="D71" s="271">
        <f t="shared" si="19"/>
        <v>3.7187399258639443E-5</v>
      </c>
      <c r="E71" s="34">
        <f t="shared" si="1"/>
        <v>0</v>
      </c>
      <c r="F71" s="42">
        <v>4000</v>
      </c>
      <c r="G71" s="34">
        <f t="shared" si="2"/>
        <v>148749597.03455779</v>
      </c>
      <c r="H71" s="34">
        <f t="shared" si="3"/>
        <v>148005849.04938501</v>
      </c>
      <c r="I71" s="35">
        <f t="shared" si="21"/>
        <v>1</v>
      </c>
      <c r="J71" s="36">
        <f t="shared" si="4"/>
        <v>148005849.04938501</v>
      </c>
      <c r="K71" s="34">
        <f t="shared" si="16"/>
        <v>184750758938.20193</v>
      </c>
      <c r="L71" s="37">
        <f t="shared" si="22"/>
        <v>190514804885.09521</v>
      </c>
      <c r="M71" s="34">
        <f t="shared" si="5"/>
        <v>12003435009.982157</v>
      </c>
      <c r="N71" s="34">
        <f t="shared" si="6"/>
        <v>0</v>
      </c>
      <c r="O71" s="34">
        <f t="shared" si="7"/>
        <v>12003435009.982157</v>
      </c>
      <c r="P71" s="34">
        <f t="shared" ref="P71:P86" si="23">O71*$P$5</f>
        <v>1200343500.9982157</v>
      </c>
      <c r="Q71" s="38">
        <f t="shared" si="8"/>
        <v>10749076051.43902</v>
      </c>
      <c r="R71" s="39">
        <f t="shared" si="9"/>
        <v>1074907605.1439021</v>
      </c>
      <c r="S71" s="34">
        <f t="shared" si="10"/>
        <v>9674168446.2951183</v>
      </c>
      <c r="T71" s="40">
        <v>10284111374</v>
      </c>
      <c r="U71" s="272">
        <f t="shared" si="11"/>
        <v>6.8310681663272103E-4</v>
      </c>
      <c r="V71" s="282">
        <f t="shared" si="12"/>
        <v>114.75642456427791</v>
      </c>
      <c r="W71" s="283">
        <f>((S71+'Malawi-only'!S71)/(T71*(U71+'Malawi-only'!U71))/12)</f>
        <v>27.869041714351976</v>
      </c>
      <c r="X71" s="284">
        <f>(R71+'Malawi-only'!R71)</f>
        <v>3032399600.5351324</v>
      </c>
      <c r="Y71" s="284">
        <f>(L71+'Malawi-only'!L71)</f>
        <v>259922370420.1463</v>
      </c>
      <c r="Z71" s="284">
        <f>(Q71+'Malawi-only'!Q71)</f>
        <v>14664060042.221481</v>
      </c>
    </row>
    <row r="72" spans="1:26" ht="15.75" customHeight="1">
      <c r="A72" s="31" t="s">
        <v>105</v>
      </c>
      <c r="B72" s="32">
        <v>2088</v>
      </c>
      <c r="C72" s="271">
        <f t="shared" si="13"/>
        <v>3.3468659332775502E-5</v>
      </c>
      <c r="D72" s="271">
        <f t="shared" si="19"/>
        <v>3.3468659332775502E-5</v>
      </c>
      <c r="E72" s="34">
        <f t="shared" si="1"/>
        <v>0</v>
      </c>
      <c r="F72" s="42">
        <v>4000</v>
      </c>
      <c r="G72" s="34">
        <f t="shared" si="2"/>
        <v>133874637.331102</v>
      </c>
      <c r="H72" s="34">
        <f t="shared" si="3"/>
        <v>133205264.14444649</v>
      </c>
      <c r="I72" s="35">
        <f t="shared" si="21"/>
        <v>1</v>
      </c>
      <c r="J72" s="36">
        <f t="shared" si="4"/>
        <v>133205264.14444649</v>
      </c>
      <c r="K72" s="34">
        <f t="shared" si="16"/>
        <v>184883964202.34637</v>
      </c>
      <c r="L72" s="37">
        <f t="shared" si="22"/>
        <v>191752429473.41278</v>
      </c>
      <c r="M72" s="34">
        <f t="shared" si="5"/>
        <v>12078638629.715036</v>
      </c>
      <c r="N72" s="34">
        <f t="shared" si="6"/>
        <v>0</v>
      </c>
      <c r="O72" s="34">
        <f t="shared" si="7"/>
        <v>12078638629.715036</v>
      </c>
      <c r="P72" s="34">
        <f t="shared" si="23"/>
        <v>1207863862.9715037</v>
      </c>
      <c r="Q72" s="38">
        <f t="shared" si="8"/>
        <v>10816420892.909815</v>
      </c>
      <c r="R72" s="39">
        <f t="shared" si="9"/>
        <v>1081642089.2909815</v>
      </c>
      <c r="S72" s="34">
        <f t="shared" si="10"/>
        <v>9734778803.6188335</v>
      </c>
      <c r="T72" s="40">
        <v>10280704572</v>
      </c>
      <c r="U72" s="272">
        <f t="shared" si="11"/>
        <v>6.8310681663272103E-4</v>
      </c>
      <c r="V72" s="282">
        <f t="shared" si="12"/>
        <v>115.51365967011797</v>
      </c>
      <c r="W72" s="283">
        <f>((S72+'Malawi-only'!S72)/(T72*(U72+'Malawi-only'!U72))/12)</f>
        <v>28.054235429285125</v>
      </c>
      <c r="X72" s="284">
        <f>(R72+'Malawi-only'!R72)</f>
        <v>3051938944.7824144</v>
      </c>
      <c r="Y72" s="284">
        <f>(L72+'Malawi-only'!L72)</f>
        <v>261628008756.98578</v>
      </c>
      <c r="Z72" s="284">
        <f>(Q72+'Malawi-only'!Q72)</f>
        <v>14757014603.892681</v>
      </c>
    </row>
    <row r="73" spans="1:26" ht="15.75" customHeight="1">
      <c r="A73" s="31" t="s">
        <v>106</v>
      </c>
      <c r="B73" s="32">
        <v>2089</v>
      </c>
      <c r="C73" s="271">
        <f t="shared" si="13"/>
        <v>3.0121793399497954E-5</v>
      </c>
      <c r="D73" s="271">
        <f t="shared" si="19"/>
        <v>3.0121793399497954E-5</v>
      </c>
      <c r="E73" s="34">
        <f t="shared" si="1"/>
        <v>0</v>
      </c>
      <c r="F73" s="42">
        <v>4000</v>
      </c>
      <c r="G73" s="34">
        <f t="shared" si="2"/>
        <v>120487173.59799181</v>
      </c>
      <c r="H73" s="34">
        <f t="shared" si="3"/>
        <v>119884737.73000185</v>
      </c>
      <c r="I73" s="35">
        <f t="shared" si="21"/>
        <v>1</v>
      </c>
      <c r="J73" s="36">
        <f t="shared" si="4"/>
        <v>119884737.73000185</v>
      </c>
      <c r="K73" s="34">
        <f t="shared" si="16"/>
        <v>185003848940.07639</v>
      </c>
      <c r="L73" s="37">
        <f t="shared" si="22"/>
        <v>192983637985.07724</v>
      </c>
      <c r="M73" s="34">
        <f t="shared" si="5"/>
        <v>12157104028.61437</v>
      </c>
      <c r="N73" s="34">
        <f t="shared" si="6"/>
        <v>0</v>
      </c>
      <c r="O73" s="34">
        <f t="shared" si="7"/>
        <v>12157104028.61437</v>
      </c>
      <c r="P73" s="34">
        <f t="shared" si="23"/>
        <v>1215710402.8614371</v>
      </c>
      <c r="Q73" s="38">
        <f t="shared" si="8"/>
        <v>10886686657.624168</v>
      </c>
      <c r="R73" s="39">
        <f t="shared" si="9"/>
        <v>1088668665.7624168</v>
      </c>
      <c r="S73" s="34">
        <f t="shared" si="10"/>
        <v>9798017991.8617516</v>
      </c>
      <c r="T73" s="40">
        <v>10276518280</v>
      </c>
      <c r="U73" s="272">
        <f t="shared" si="11"/>
        <v>6.8310681663272103E-4</v>
      </c>
      <c r="V73" s="282">
        <f t="shared" si="12"/>
        <v>116.311422796412</v>
      </c>
      <c r="W73" s="283">
        <f>((S73+'Malawi-only'!S73)/(T73*(U73+'Malawi-only'!U73))/12)</f>
        <v>28.249150030748112</v>
      </c>
      <c r="X73" s="284">
        <f>(R73+'Malawi-only'!R73)</f>
        <v>3072251191.3379536</v>
      </c>
      <c r="Y73" s="284">
        <f>(L73+'Malawi-only'!L73)</f>
        <v>263323280205.82547</v>
      </c>
      <c r="Z73" s="284">
        <f>(Q73+'Malawi-only'!Q73)</f>
        <v>14853851708.775242</v>
      </c>
    </row>
    <row r="74" spans="1:26" ht="15.75" customHeight="1">
      <c r="A74" s="31" t="s">
        <v>107</v>
      </c>
      <c r="B74" s="32">
        <v>2090</v>
      </c>
      <c r="C74" s="271">
        <f t="shared" si="13"/>
        <v>2.7109614059548158E-5</v>
      </c>
      <c r="D74" s="271">
        <f t="shared" si="19"/>
        <v>2.7109614059548158E-5</v>
      </c>
      <c r="E74" s="34">
        <f t="shared" si="1"/>
        <v>0</v>
      </c>
      <c r="F74" s="42">
        <v>4000</v>
      </c>
      <c r="G74" s="34">
        <f t="shared" si="2"/>
        <v>108438456.23819263</v>
      </c>
      <c r="H74" s="34">
        <f t="shared" si="3"/>
        <v>107896263.95700167</v>
      </c>
      <c r="I74" s="35">
        <f t="shared" si="21"/>
        <v>1</v>
      </c>
      <c r="J74" s="36">
        <f t="shared" si="4"/>
        <v>107896263.95700167</v>
      </c>
      <c r="K74" s="34">
        <f t="shared" si="16"/>
        <v>185111745204.03339</v>
      </c>
      <c r="L74" s="37">
        <f t="shared" si="22"/>
        <v>194210091029.56976</v>
      </c>
      <c r="M74" s="34">
        <f t="shared" si="5"/>
        <v>12235162648.253897</v>
      </c>
      <c r="N74" s="34">
        <f t="shared" si="6"/>
        <v>0</v>
      </c>
      <c r="O74" s="34">
        <f t="shared" si="7"/>
        <v>12235162648.253897</v>
      </c>
      <c r="P74" s="34">
        <f t="shared" si="23"/>
        <v>1223516264.8253896</v>
      </c>
      <c r="Q74" s="38">
        <f t="shared" si="8"/>
        <v>10956588151.511364</v>
      </c>
      <c r="R74" s="39">
        <f t="shared" si="9"/>
        <v>1095658815.1511364</v>
      </c>
      <c r="S74" s="34">
        <f t="shared" si="10"/>
        <v>9860929336.3602276</v>
      </c>
      <c r="T74" s="40">
        <v>10271565070</v>
      </c>
      <c r="U74" s="272">
        <f t="shared" si="11"/>
        <v>6.8310681663272103E-4</v>
      </c>
      <c r="V74" s="282">
        <f t="shared" si="12"/>
        <v>117.11468637750677</v>
      </c>
      <c r="W74" s="283">
        <f>((S74+'Malawi-only'!S74)/(T74*(U74+'Malawi-only'!U74))/12)</f>
        <v>28.445291760025608</v>
      </c>
      <c r="X74" s="284">
        <f>(R74+'Malawi-only'!R74)</f>
        <v>3092414857.7462935</v>
      </c>
      <c r="Y74" s="284">
        <f>(L74+'Malawi-only'!L74)</f>
        <v>265010612201.25592</v>
      </c>
      <c r="Z74" s="284">
        <f>(Q74+'Malawi-only'!Q74)</f>
        <v>14950100236.701679</v>
      </c>
    </row>
    <row r="75" spans="1:26" ht="15.75" customHeight="1">
      <c r="A75" s="31" t="s">
        <v>108</v>
      </c>
      <c r="B75" s="32">
        <v>2091</v>
      </c>
      <c r="C75" s="271">
        <f t="shared" si="13"/>
        <v>2.4398652653593342E-5</v>
      </c>
      <c r="D75" s="271">
        <f t="shared" si="19"/>
        <v>2.4398652653593342E-5</v>
      </c>
      <c r="E75" s="34">
        <f t="shared" si="1"/>
        <v>0</v>
      </c>
      <c r="F75" s="42">
        <v>4000</v>
      </c>
      <c r="G75" s="34">
        <f t="shared" si="2"/>
        <v>97594610.614373371</v>
      </c>
      <c r="H75" s="34">
        <f t="shared" si="3"/>
        <v>97106637.5613015</v>
      </c>
      <c r="I75" s="35">
        <f t="shared" si="21"/>
        <v>1</v>
      </c>
      <c r="J75" s="36">
        <f t="shared" si="4"/>
        <v>97106637.5613015</v>
      </c>
      <c r="K75" s="34">
        <f t="shared" si="16"/>
        <v>185208851841.5947</v>
      </c>
      <c r="L75" s="37">
        <f t="shared" si="22"/>
        <v>195432948574.99048</v>
      </c>
      <c r="M75" s="34">
        <f t="shared" si="5"/>
        <v>12312919771.274723</v>
      </c>
      <c r="N75" s="34">
        <f t="shared" si="6"/>
        <v>0</v>
      </c>
      <c r="O75" s="34">
        <f t="shared" si="7"/>
        <v>12312919771.274723</v>
      </c>
      <c r="P75" s="34">
        <f t="shared" si="23"/>
        <v>1231291977.1274724</v>
      </c>
      <c r="Q75" s="38">
        <f t="shared" si="8"/>
        <v>11026219655.176516</v>
      </c>
      <c r="R75" s="39">
        <f t="shared" si="9"/>
        <v>1102621965.5176516</v>
      </c>
      <c r="S75" s="34">
        <f t="shared" si="10"/>
        <v>9923597689.6588631</v>
      </c>
      <c r="T75" s="40">
        <v>10265861714</v>
      </c>
      <c r="U75" s="272">
        <f t="shared" si="11"/>
        <v>6.8310681663272103E-4</v>
      </c>
      <c r="V75" s="282">
        <f t="shared" si="12"/>
        <v>117.92445406389169</v>
      </c>
      <c r="W75" s="283">
        <f>((S75+'Malawi-only'!S75)/(T75*(U75+'Malawi-only'!U75))/12)</f>
        <v>28.642915470147447</v>
      </c>
      <c r="X75" s="284">
        <f>(R75+'Malawi-only'!R75)</f>
        <v>3112461140.200717</v>
      </c>
      <c r="Y75" s="284">
        <f>(L75+'Malawi-only'!L75)</f>
        <v>266691733035.58362</v>
      </c>
      <c r="Z75" s="284">
        <f>(Q75+'Malawi-only'!Q75)</f>
        <v>15045898004.542646</v>
      </c>
    </row>
    <row r="76" spans="1:26" ht="15.75" customHeight="1">
      <c r="A76" s="31" t="s">
        <v>109</v>
      </c>
      <c r="B76" s="32">
        <v>2092</v>
      </c>
      <c r="C76" s="271">
        <f t="shared" si="13"/>
        <v>2.1958787388234009E-5</v>
      </c>
      <c r="D76" s="271">
        <f t="shared" si="19"/>
        <v>2.1958787388234009E-5</v>
      </c>
      <c r="E76" s="34">
        <f t="shared" si="1"/>
        <v>0</v>
      </c>
      <c r="F76" s="42">
        <v>4000</v>
      </c>
      <c r="G76" s="34">
        <f t="shared" si="2"/>
        <v>87835149.552936032</v>
      </c>
      <c r="H76" s="34">
        <f t="shared" si="3"/>
        <v>87395973.805171356</v>
      </c>
      <c r="I76" s="35">
        <f t="shared" si="21"/>
        <v>1</v>
      </c>
      <c r="J76" s="36">
        <f t="shared" si="4"/>
        <v>87395973.805171356</v>
      </c>
      <c r="K76" s="34">
        <f t="shared" si="16"/>
        <v>185296247815.39987</v>
      </c>
      <c r="L76" s="37">
        <f t="shared" si="22"/>
        <v>196653260707.66019</v>
      </c>
      <c r="M76" s="34">
        <f t="shared" si="5"/>
        <v>12390448939.654396</v>
      </c>
      <c r="N76" s="34">
        <f t="shared" si="6"/>
        <v>0</v>
      </c>
      <c r="O76" s="34">
        <f t="shared" si="7"/>
        <v>12390448939.654396</v>
      </c>
      <c r="P76" s="34">
        <f t="shared" si="23"/>
        <v>1239044893.9654396</v>
      </c>
      <c r="Q76" s="38">
        <f t="shared" si="8"/>
        <v>11095647025.460512</v>
      </c>
      <c r="R76" s="39">
        <f t="shared" si="9"/>
        <v>1109564702.5460513</v>
      </c>
      <c r="S76" s="34">
        <f t="shared" si="10"/>
        <v>9986082322.9144611</v>
      </c>
      <c r="T76" s="40">
        <v>10259408375</v>
      </c>
      <c r="U76" s="272">
        <f t="shared" si="11"/>
        <v>6.8310681663272103E-4</v>
      </c>
      <c r="V76" s="282">
        <f t="shared" si="12"/>
        <v>118.74161721784516</v>
      </c>
      <c r="W76" s="283">
        <f>((S76+'Malawi-only'!S76)/(T76*(U76+'Malawi-only'!U76))/12)</f>
        <v>28.842247625105831</v>
      </c>
      <c r="X76" s="284">
        <f>(R76+'Malawi-only'!R76)</f>
        <v>3132412757.6034694</v>
      </c>
      <c r="Y76" s="284">
        <f>(L76+'Malawi-only'!L76)</f>
        <v>268368206517.63055</v>
      </c>
      <c r="Z76" s="284">
        <f>(Q76+'Malawi-only'!Q76)</f>
        <v>15141343135.575348</v>
      </c>
    </row>
    <row r="77" spans="1:26" ht="15.75" customHeight="1">
      <c r="A77" s="31" t="s">
        <v>110</v>
      </c>
      <c r="B77" s="32">
        <v>2093</v>
      </c>
      <c r="C77" s="271">
        <f t="shared" si="13"/>
        <v>1.9762908649410608E-5</v>
      </c>
      <c r="D77" s="271">
        <f t="shared" si="19"/>
        <v>1.9762908649410608E-5</v>
      </c>
      <c r="E77" s="34">
        <f t="shared" si="1"/>
        <v>0</v>
      </c>
      <c r="F77" s="42">
        <v>4000</v>
      </c>
      <c r="G77" s="34">
        <f t="shared" si="2"/>
        <v>79051634.597642437</v>
      </c>
      <c r="H77" s="34">
        <f t="shared" si="3"/>
        <v>78656376.42465423</v>
      </c>
      <c r="I77" s="35">
        <f t="shared" si="21"/>
        <v>1</v>
      </c>
      <c r="J77" s="36">
        <f t="shared" si="4"/>
        <v>78656376.42465423</v>
      </c>
      <c r="K77" s="34">
        <f t="shared" si="16"/>
        <v>185374904191.82452</v>
      </c>
      <c r="L77" s="37">
        <f t="shared" si="22"/>
        <v>197871976497.06128</v>
      </c>
      <c r="M77" s="34">
        <f t="shared" si="5"/>
        <v>12467816728.865656</v>
      </c>
      <c r="N77" s="34">
        <f t="shared" si="6"/>
        <v>0</v>
      </c>
      <c r="O77" s="34">
        <f t="shared" si="7"/>
        <v>12467816728.865656</v>
      </c>
      <c r="P77" s="34">
        <f t="shared" si="23"/>
        <v>1246781672.8865657</v>
      </c>
      <c r="Q77" s="38">
        <f t="shared" si="8"/>
        <v>11164929880.699194</v>
      </c>
      <c r="R77" s="39">
        <f t="shared" si="9"/>
        <v>1116492988.0699193</v>
      </c>
      <c r="S77" s="34">
        <f t="shared" si="10"/>
        <v>10048436892.629274</v>
      </c>
      <c r="T77" s="40">
        <v>10252184759</v>
      </c>
      <c r="U77" s="272">
        <f t="shared" si="11"/>
        <v>6.8310681663272103E-4</v>
      </c>
      <c r="V77" s="282">
        <f t="shared" si="12"/>
        <v>119.56724428221283</v>
      </c>
      <c r="W77" s="283">
        <f>((S77+'Malawi-only'!S77)/(T77*(U77+'Malawi-only'!U77))/12)</f>
        <v>29.043556696329887</v>
      </c>
      <c r="X77" s="284">
        <f>(R77+'Malawi-only'!R77)</f>
        <v>3152290255.0085821</v>
      </c>
      <c r="Y77" s="284">
        <f>(L77+'Malawi-only'!L77)</f>
        <v>270041445524.78815</v>
      </c>
      <c r="Z77" s="284">
        <f>(Q77+'Malawi-only'!Q77)</f>
        <v>15236524414.576519</v>
      </c>
    </row>
    <row r="78" spans="1:26" ht="15.75" customHeight="1">
      <c r="A78" s="31" t="s">
        <v>111</v>
      </c>
      <c r="B78" s="32">
        <v>2094</v>
      </c>
      <c r="C78" s="271">
        <f t="shared" si="13"/>
        <v>1.7786617784469549E-5</v>
      </c>
      <c r="D78" s="271">
        <f t="shared" si="19"/>
        <v>1.7786617784469549E-5</v>
      </c>
      <c r="E78" s="34">
        <f t="shared" si="1"/>
        <v>0</v>
      </c>
      <c r="F78" s="42">
        <v>4000</v>
      </c>
      <c r="G78" s="34">
        <f t="shared" si="2"/>
        <v>71146471.137878194</v>
      </c>
      <c r="H78" s="34">
        <f t="shared" si="3"/>
        <v>70790738.782188803</v>
      </c>
      <c r="I78" s="35">
        <f t="shared" si="21"/>
        <v>1</v>
      </c>
      <c r="J78" s="36">
        <f t="shared" si="4"/>
        <v>70790738.782188803</v>
      </c>
      <c r="K78" s="34">
        <f t="shared" si="16"/>
        <v>185445694930.60672</v>
      </c>
      <c r="L78" s="37">
        <f t="shared" si="22"/>
        <v>199089954134.2757</v>
      </c>
      <c r="M78" s="34">
        <f t="shared" si="5"/>
        <v>12545083309.913685</v>
      </c>
      <c r="N78" s="34">
        <f t="shared" si="6"/>
        <v>0</v>
      </c>
      <c r="O78" s="34">
        <f t="shared" si="7"/>
        <v>12545083309.913685</v>
      </c>
      <c r="P78" s="34">
        <f t="shared" si="23"/>
        <v>1254508330.9913685</v>
      </c>
      <c r="Q78" s="38">
        <f t="shared" si="8"/>
        <v>11234122104.027704</v>
      </c>
      <c r="R78" s="39">
        <f t="shared" si="9"/>
        <v>1123412210.4027705</v>
      </c>
      <c r="S78" s="34">
        <f t="shared" si="10"/>
        <v>10110709893.624933</v>
      </c>
      <c r="T78" s="40">
        <v>10244185837</v>
      </c>
      <c r="U78" s="272">
        <f t="shared" si="11"/>
        <v>6.8310681663272103E-4</v>
      </c>
      <c r="V78" s="282">
        <f t="shared" si="12"/>
        <v>120.40217600382323</v>
      </c>
      <c r="W78" s="283">
        <f>((S78+'Malawi-only'!S78)/(T78*(U78+'Malawi-only'!U78))/12)</f>
        <v>29.247054947334686</v>
      </c>
      <c r="X78" s="284">
        <f>(R78+'Malawi-only'!R78)</f>
        <v>3172112187.0070133</v>
      </c>
      <c r="Y78" s="284">
        <f>(L78+'Malawi-only'!L78)</f>
        <v>271712727146.32098</v>
      </c>
      <c r="Z78" s="284">
        <f>(Q78+'Malawi-only'!Q78)</f>
        <v>15331522057.236191</v>
      </c>
    </row>
    <row r="79" spans="1:26" ht="15.75" customHeight="1">
      <c r="A79" s="31" t="s">
        <v>112</v>
      </c>
      <c r="B79" s="32">
        <v>2095</v>
      </c>
      <c r="C79" s="274">
        <f t="shared" si="13"/>
        <v>1.6007956006022593E-5</v>
      </c>
      <c r="D79" s="271">
        <f t="shared" si="19"/>
        <v>1.6007956006022593E-5</v>
      </c>
      <c r="E79" s="34">
        <f t="shared" si="1"/>
        <v>0</v>
      </c>
      <c r="F79" s="42">
        <v>4000</v>
      </c>
      <c r="G79" s="34">
        <f t="shared" si="2"/>
        <v>64031824.024090372</v>
      </c>
      <c r="H79" s="34">
        <f t="shared" si="3"/>
        <v>63711664.903969921</v>
      </c>
      <c r="I79" s="35">
        <f t="shared" si="21"/>
        <v>1</v>
      </c>
      <c r="J79" s="36">
        <f t="shared" si="4"/>
        <v>63711664.903969921</v>
      </c>
      <c r="K79" s="34">
        <f t="shared" si="16"/>
        <v>185509406595.51068</v>
      </c>
      <c r="L79" s="37">
        <f t="shared" si="22"/>
        <v>200307970043.10596</v>
      </c>
      <c r="M79" s="34">
        <f t="shared" si="5"/>
        <v>12622303092.113079</v>
      </c>
      <c r="N79" s="34">
        <f t="shared" si="6"/>
        <v>0</v>
      </c>
      <c r="O79" s="34">
        <f t="shared" si="7"/>
        <v>12622303092.113079</v>
      </c>
      <c r="P79" s="34">
        <f t="shared" si="23"/>
        <v>1262230309.211308</v>
      </c>
      <c r="Q79" s="38">
        <f t="shared" si="8"/>
        <v>11303272418.987263</v>
      </c>
      <c r="R79" s="39">
        <f t="shared" si="9"/>
        <v>1130327241.8987262</v>
      </c>
      <c r="S79" s="34">
        <f t="shared" si="10"/>
        <v>10172945177.088537</v>
      </c>
      <c r="T79" s="40">
        <v>10235403601</v>
      </c>
      <c r="U79" s="272">
        <f t="shared" si="11"/>
        <v>6.8310681663272103E-4</v>
      </c>
      <c r="V79" s="282">
        <f t="shared" si="12"/>
        <v>121.24724143495759</v>
      </c>
      <c r="W79" s="283">
        <f>((S79+'Malawi-only'!S79)/(T79*(U79+'Malawi-only'!U79))/12)</f>
        <v>29.452950990198701</v>
      </c>
      <c r="X79" s="284">
        <f>(R79+'Malawi-only'!R79)</f>
        <v>3191895317.3622093</v>
      </c>
      <c r="Y79" s="284">
        <f>(L79+'Malawi-only'!L79)</f>
        <v>273383206293.96191</v>
      </c>
      <c r="Z79" s="284">
        <f>(Q79+'Malawi-only'!Q79)</f>
        <v>15426408569.914228</v>
      </c>
    </row>
    <row r="80" spans="1:26" ht="15.75" customHeight="1">
      <c r="A80" s="31" t="s">
        <v>113</v>
      </c>
      <c r="B80" s="32">
        <v>2096</v>
      </c>
      <c r="C80" s="274">
        <f t="shared" si="13"/>
        <v>1.4407160405420335E-5</v>
      </c>
      <c r="D80" s="271">
        <f t="shared" si="19"/>
        <v>1.4407160405420335E-5</v>
      </c>
      <c r="E80" s="34">
        <f t="shared" si="1"/>
        <v>0</v>
      </c>
      <c r="F80" s="42">
        <v>4000</v>
      </c>
      <c r="G80" s="34">
        <f t="shared" si="2"/>
        <v>57628641.62168134</v>
      </c>
      <c r="H80" s="34">
        <f t="shared" si="3"/>
        <v>57340498.41357293</v>
      </c>
      <c r="I80" s="35">
        <f t="shared" si="21"/>
        <v>1</v>
      </c>
      <c r="J80" s="36">
        <f t="shared" si="4"/>
        <v>57340498.41357293</v>
      </c>
      <c r="K80" s="34">
        <f t="shared" si="16"/>
        <v>185566747093.92426</v>
      </c>
      <c r="L80" s="37">
        <f t="shared" si="22"/>
        <v>201526727080.30548</v>
      </c>
      <c r="M80" s="34">
        <f t="shared" si="5"/>
        <v>12699525300.732918</v>
      </c>
      <c r="N80" s="34">
        <f t="shared" si="6"/>
        <v>0</v>
      </c>
      <c r="O80" s="34">
        <f t="shared" si="7"/>
        <v>12699525300.732918</v>
      </c>
      <c r="P80" s="34">
        <f t="shared" si="23"/>
        <v>1269952530.0732918</v>
      </c>
      <c r="Q80" s="38">
        <f t="shared" si="8"/>
        <v>11372424906.806328</v>
      </c>
      <c r="R80" s="39">
        <f t="shared" si="9"/>
        <v>1137242490.6806328</v>
      </c>
      <c r="S80" s="34">
        <f t="shared" si="10"/>
        <v>10235182416.125694</v>
      </c>
      <c r="T80" s="40">
        <v>10225850874</v>
      </c>
      <c r="U80" s="272">
        <f t="shared" si="11"/>
        <v>6.8310681663272103E-4</v>
      </c>
      <c r="V80" s="282">
        <f t="shared" si="12"/>
        <v>122.10298106002635</v>
      </c>
      <c r="W80" s="283">
        <f>((S80+'Malawi-only'!S80)/(T80*(U80+'Malawi-only'!U80))/12)</f>
        <v>29.661382610417458</v>
      </c>
      <c r="X80" s="284">
        <f>(R80+'Malawi-only'!R80)</f>
        <v>3211654798.4663687</v>
      </c>
      <c r="Y80" s="284">
        <f>(L80+'Malawi-only'!L80)</f>
        <v>275053927951.74988</v>
      </c>
      <c r="Z80" s="284">
        <f>(Q80+'Malawi-only'!Q80)</f>
        <v>15521249522.3778</v>
      </c>
    </row>
    <row r="81" spans="1:26" ht="15.75" customHeight="1">
      <c r="A81" s="31" t="s">
        <v>114</v>
      </c>
      <c r="B81" s="32">
        <v>2097</v>
      </c>
      <c r="C81" s="274">
        <f t="shared" si="13"/>
        <v>1.2966444364878302E-5</v>
      </c>
      <c r="D81" s="271">
        <f t="shared" si="19"/>
        <v>1.2966444364878302E-5</v>
      </c>
      <c r="E81" s="34">
        <f t="shared" si="1"/>
        <v>0</v>
      </c>
      <c r="F81" s="42">
        <v>4000</v>
      </c>
      <c r="G81" s="34">
        <f t="shared" si="2"/>
        <v>51865777.45951321</v>
      </c>
      <c r="H81" s="34">
        <f t="shared" si="3"/>
        <v>51606448.572215647</v>
      </c>
      <c r="I81" s="35">
        <f t="shared" si="21"/>
        <v>1</v>
      </c>
      <c r="J81" s="36">
        <f t="shared" si="4"/>
        <v>51606448.572215647</v>
      </c>
      <c r="K81" s="34">
        <f t="shared" si="16"/>
        <v>185618353542.49646</v>
      </c>
      <c r="L81" s="37">
        <f t="shared" si="22"/>
        <v>202746861915.92154</v>
      </c>
      <c r="M81" s="34">
        <f t="shared" si="5"/>
        <v>12776794496.891367</v>
      </c>
      <c r="N81" s="34">
        <f t="shared" si="6"/>
        <v>0</v>
      </c>
      <c r="O81" s="34">
        <f t="shared" si="7"/>
        <v>12776794496.891367</v>
      </c>
      <c r="P81" s="34">
        <f t="shared" si="23"/>
        <v>1277679449.6891367</v>
      </c>
      <c r="Q81" s="38">
        <f t="shared" si="8"/>
        <v>11441619471.966219</v>
      </c>
      <c r="R81" s="39">
        <f t="shared" si="9"/>
        <v>1144161947.1966219</v>
      </c>
      <c r="S81" s="34">
        <f t="shared" si="10"/>
        <v>10297457524.769596</v>
      </c>
      <c r="T81" s="40">
        <v>10215549310</v>
      </c>
      <c r="U81" s="272">
        <f t="shared" si="11"/>
        <v>6.8310681663272103E-4</v>
      </c>
      <c r="V81" s="282">
        <f t="shared" si="12"/>
        <v>122.96978666953301</v>
      </c>
      <c r="W81" s="283">
        <f>((S81+'Malawi-only'!S81)/(T81*(U81+'Malawi-only'!U81))/12)</f>
        <v>29.872450814538968</v>
      </c>
      <c r="X81" s="284">
        <f>(R81+'Malawi-only'!R81)</f>
        <v>3231404332.854619</v>
      </c>
      <c r="Y81" s="284">
        <f>(L81+'Malawi-only'!L81)</f>
        <v>276725838201.06891</v>
      </c>
      <c r="Z81" s="284">
        <f>(Q81+'Malawi-only'!Q81)</f>
        <v>15616104243.282213</v>
      </c>
    </row>
    <row r="82" spans="1:26" ht="15.75" customHeight="1">
      <c r="A82" s="31" t="s">
        <v>115</v>
      </c>
      <c r="B82" s="32">
        <v>2098</v>
      </c>
      <c r="C82" s="274">
        <f t="shared" si="13"/>
        <v>1.1669799928390472E-5</v>
      </c>
      <c r="D82" s="271">
        <f t="shared" si="19"/>
        <v>1.1669799928390472E-5</v>
      </c>
      <c r="E82" s="34">
        <f t="shared" si="1"/>
        <v>0</v>
      </c>
      <c r="F82" s="42">
        <v>4000</v>
      </c>
      <c r="G82" s="34">
        <f t="shared" si="2"/>
        <v>46679199.713561885</v>
      </c>
      <c r="H82" s="34">
        <f t="shared" si="3"/>
        <v>46445803.714994073</v>
      </c>
      <c r="I82" s="35">
        <f t="shared" si="21"/>
        <v>1</v>
      </c>
      <c r="J82" s="36">
        <f t="shared" si="4"/>
        <v>46445803.714994073</v>
      </c>
      <c r="K82" s="34">
        <f t="shared" si="16"/>
        <v>185664799346.21146</v>
      </c>
      <c r="L82" s="37">
        <f t="shared" si="22"/>
        <v>203968951675.74103</v>
      </c>
      <c r="M82" s="34">
        <f t="shared" si="5"/>
        <v>12854151045.469425</v>
      </c>
      <c r="N82" s="34">
        <f t="shared" si="6"/>
        <v>0</v>
      </c>
      <c r="O82" s="34">
        <f t="shared" si="7"/>
        <v>12854151045.469425</v>
      </c>
      <c r="P82" s="34">
        <f t="shared" si="23"/>
        <v>1285415104.5469425</v>
      </c>
      <c r="Q82" s="38">
        <f t="shared" si="8"/>
        <v>11510892261.217871</v>
      </c>
      <c r="R82" s="39">
        <f t="shared" si="9"/>
        <v>1151089226.1217871</v>
      </c>
      <c r="S82" s="34">
        <f t="shared" si="10"/>
        <v>10359803035.096085</v>
      </c>
      <c r="T82" s="40">
        <v>10204489862</v>
      </c>
      <c r="U82" s="272">
        <f t="shared" si="11"/>
        <v>6.8310681663272103E-4</v>
      </c>
      <c r="V82" s="282">
        <f t="shared" si="12"/>
        <v>123.84838131489123</v>
      </c>
      <c r="W82" s="283">
        <f>((S82+'Malawi-only'!S82)/(T82*(U82+'Malawi-only'!U82))/12)</f>
        <v>30.086336490274263</v>
      </c>
      <c r="X82" s="284">
        <f>(R82+'Malawi-only'!R82)</f>
        <v>3251156318.5699654</v>
      </c>
      <c r="Y82" s="284">
        <f>(L82+'Malawi-only'!L82)</f>
        <v>278399794143.37048</v>
      </c>
      <c r="Z82" s="284">
        <f>(Q82+'Malawi-only'!Q82)</f>
        <v>15711026446.114227</v>
      </c>
    </row>
    <row r="83" spans="1:26" ht="15.75" customHeight="1">
      <c r="A83" s="31" t="s">
        <v>116</v>
      </c>
      <c r="B83" s="32">
        <v>2099</v>
      </c>
      <c r="C83" s="274">
        <f t="shared" si="13"/>
        <v>1.0502819935551425E-5</v>
      </c>
      <c r="D83" s="271">
        <f t="shared" si="19"/>
        <v>1.0502819935551425E-5</v>
      </c>
      <c r="E83" s="34">
        <f t="shared" si="1"/>
        <v>0</v>
      </c>
      <c r="F83" s="42">
        <v>4000</v>
      </c>
      <c r="G83" s="34">
        <f t="shared" si="2"/>
        <v>42011279.742205702</v>
      </c>
      <c r="H83" s="34">
        <f t="shared" si="3"/>
        <v>41801223.343494676</v>
      </c>
      <c r="I83" s="35">
        <f t="shared" si="21"/>
        <v>1</v>
      </c>
      <c r="J83" s="36">
        <f t="shared" si="4"/>
        <v>41801223.343494676</v>
      </c>
      <c r="K83" s="34">
        <f t="shared" si="16"/>
        <v>185706600569.55496</v>
      </c>
      <c r="L83" s="37">
        <f t="shared" si="22"/>
        <v>205193519919.62967</v>
      </c>
      <c r="M83" s="34">
        <f t="shared" si="5"/>
        <v>12931631536.241982</v>
      </c>
      <c r="N83" s="34">
        <f t="shared" si="6"/>
        <v>0</v>
      </c>
      <c r="O83" s="34">
        <f t="shared" si="7"/>
        <v>12931631536.241982</v>
      </c>
      <c r="P83" s="34">
        <f t="shared" si="23"/>
        <v>1293163153.6241982</v>
      </c>
      <c r="Q83" s="38">
        <f t="shared" si="8"/>
        <v>11580276040.704693</v>
      </c>
      <c r="R83" s="39">
        <f t="shared" si="9"/>
        <v>1158027604.0704694</v>
      </c>
      <c r="S83" s="34">
        <f t="shared" si="10"/>
        <v>10422248436.634224</v>
      </c>
      <c r="T83" s="40">
        <v>10192689066</v>
      </c>
      <c r="U83" s="272">
        <f t="shared" si="11"/>
        <v>6.8310681663272103E-4</v>
      </c>
      <c r="V83" s="282">
        <f t="shared" si="12"/>
        <v>124.73914993431192</v>
      </c>
      <c r="W83" s="283">
        <f>((S83+'Malawi-only'!S83)/(T83*(U83+'Malawi-only'!U83))/12)</f>
        <v>30.30313786078257</v>
      </c>
      <c r="X83" s="284">
        <f>(R83+'Malawi-only'!R83)</f>
        <v>3270921979.9939299</v>
      </c>
      <c r="Y83" s="284">
        <f>(L83+'Malawi-only'!L83)</f>
        <v>280076572830.81213</v>
      </c>
      <c r="Z83" s="284">
        <f>(Q83+'Malawi-only'!Q83)</f>
        <v>15806064792.551615</v>
      </c>
    </row>
    <row r="84" spans="1:26" ht="15.75" customHeight="1">
      <c r="A84" s="31" t="s">
        <v>117</v>
      </c>
      <c r="B84" s="32">
        <v>2100</v>
      </c>
      <c r="C84" s="274">
        <f t="shared" si="13"/>
        <v>9.4525379419962819E-6</v>
      </c>
      <c r="D84" s="271">
        <f t="shared" si="19"/>
        <v>9.4525379419962819E-6</v>
      </c>
      <c r="E84" s="34">
        <f t="shared" si="1"/>
        <v>0</v>
      </c>
      <c r="F84" s="42">
        <v>4000</v>
      </c>
      <c r="G84" s="34">
        <f t="shared" si="2"/>
        <v>37810151.767985128</v>
      </c>
      <c r="H84" s="34">
        <f t="shared" si="3"/>
        <v>37621101.0091452</v>
      </c>
      <c r="I84" s="35">
        <f t="shared" si="21"/>
        <v>1</v>
      </c>
      <c r="J84" s="36">
        <f t="shared" si="4"/>
        <v>37621101.0091452</v>
      </c>
      <c r="K84" s="34">
        <f t="shared" si="16"/>
        <v>185744221670.56412</v>
      </c>
      <c r="L84" s="37">
        <f t="shared" si="22"/>
        <v>206421042022.1759</v>
      </c>
      <c r="M84" s="34">
        <f t="shared" si="5"/>
        <v>13009269162.90452</v>
      </c>
      <c r="N84" s="34">
        <f t="shared" si="6"/>
        <v>0</v>
      </c>
      <c r="O84" s="34">
        <f t="shared" si="7"/>
        <v>13009269162.90452</v>
      </c>
      <c r="P84" s="34">
        <f t="shared" si="23"/>
        <v>1300926916.290452</v>
      </c>
      <c r="Q84" s="38">
        <f t="shared" si="8"/>
        <v>11649800535.380997</v>
      </c>
      <c r="R84" s="39">
        <f t="shared" si="9"/>
        <v>1164980053.5380998</v>
      </c>
      <c r="S84" s="34">
        <f t="shared" si="10"/>
        <v>10484820481.842897</v>
      </c>
      <c r="T84" s="40">
        <v>10180160751</v>
      </c>
      <c r="U84" s="272">
        <f t="shared" si="11"/>
        <v>6.8310681663272103E-4</v>
      </c>
      <c r="V84" s="282">
        <f t="shared" si="12"/>
        <v>125.64247937519146</v>
      </c>
      <c r="W84" s="283">
        <f>((S84+'Malawi-only'!S84)/(T84*(U84+'Malawi-only'!U84))/12)</f>
        <v>30.522953136643128</v>
      </c>
      <c r="X84" s="284">
        <f>(R84+'Malawi-only'!R84)</f>
        <v>3290711485.5963545</v>
      </c>
      <c r="Y84" s="284">
        <f>(L84+'Malawi-only'!L84)</f>
        <v>281756879304.02136</v>
      </c>
      <c r="Z84" s="284">
        <f>(Q84+'Malawi-only'!Q84)</f>
        <v>15901263399.497507</v>
      </c>
    </row>
    <row r="85" spans="1:26" ht="15.75" customHeight="1">
      <c r="A85" s="31" t="s">
        <v>118</v>
      </c>
      <c r="B85" s="32">
        <v>2101</v>
      </c>
      <c r="C85" s="274">
        <f t="shared" si="13"/>
        <v>8.5072841477966532E-6</v>
      </c>
      <c r="D85" s="271">
        <f t="shared" si="19"/>
        <v>8.5072841477966532E-6</v>
      </c>
      <c r="E85" s="34">
        <f t="shared" si="1"/>
        <v>0</v>
      </c>
      <c r="F85" s="42">
        <v>4000</v>
      </c>
      <c r="G85" s="34">
        <f t="shared" si="2"/>
        <v>34029136.591186613</v>
      </c>
      <c r="H85" s="34">
        <f t="shared" si="3"/>
        <v>33858990.908230677</v>
      </c>
      <c r="I85" s="35">
        <f t="shared" si="21"/>
        <v>1</v>
      </c>
      <c r="J85" s="36">
        <f t="shared" si="4"/>
        <v>33858990.908230677</v>
      </c>
      <c r="K85" s="34">
        <f t="shared" si="16"/>
        <v>185778080661.47235</v>
      </c>
      <c r="L85" s="37">
        <f t="shared" si="22"/>
        <v>207651950015.40994</v>
      </c>
      <c r="M85" s="34">
        <f t="shared" si="5"/>
        <v>13087094064.205952</v>
      </c>
      <c r="N85" s="34">
        <f t="shared" si="6"/>
        <v>0</v>
      </c>
      <c r="O85" s="34">
        <f t="shared" si="7"/>
        <v>13087094064.205952</v>
      </c>
      <c r="P85" s="34">
        <f t="shared" si="23"/>
        <v>1308709406.4205952</v>
      </c>
      <c r="Q85" s="38">
        <f t="shared" si="8"/>
        <v>11719492734.496429</v>
      </c>
      <c r="R85" s="39">
        <f t="shared" si="9"/>
        <v>1171949273.4496429</v>
      </c>
      <c r="S85" s="34">
        <f t="shared" si="10"/>
        <v>10547543461.046787</v>
      </c>
      <c r="T85" s="40">
        <f t="shared" ref="T85:T184" si="24">T84*99.9%</f>
        <v>10169980590.249001</v>
      </c>
      <c r="U85" s="272">
        <f t="shared" si="11"/>
        <v>6.8310681663272103E-4</v>
      </c>
      <c r="V85" s="282">
        <f t="shared" si="12"/>
        <v>126.52062666390673</v>
      </c>
      <c r="W85" s="283">
        <f>((S85+'Malawi-only'!S85)/(T85*(U85+'Malawi-only'!U85))/12)</f>
        <v>30.736616934051245</v>
      </c>
      <c r="X85" s="284">
        <f>(R85+'Malawi-only'!R85)</f>
        <v>3310534053.9124374</v>
      </c>
      <c r="Y85" s="284">
        <f>(L85+'Malawi-only'!L85)</f>
        <v>283441353826.27356</v>
      </c>
      <c r="Z85" s="284">
        <f>(Q85+'Malawi-only'!Q85)</f>
        <v>15996662295.422018</v>
      </c>
    </row>
    <row r="86" spans="1:26" ht="15.75" customHeight="1">
      <c r="A86" s="31" t="s">
        <v>119</v>
      </c>
      <c r="B86" s="32">
        <v>2102</v>
      </c>
      <c r="C86" s="274">
        <f t="shared" si="13"/>
        <v>7.6565557330169889E-6</v>
      </c>
      <c r="D86" s="271">
        <f t="shared" si="19"/>
        <v>7.6565557330169889E-6</v>
      </c>
      <c r="E86" s="34">
        <f t="shared" si="1"/>
        <v>0</v>
      </c>
      <c r="F86" s="42">
        <v>4000</v>
      </c>
      <c r="G86" s="34">
        <f t="shared" si="2"/>
        <v>30626222.932067957</v>
      </c>
      <c r="H86" s="34">
        <f t="shared" si="3"/>
        <v>30473091.817407615</v>
      </c>
      <c r="I86" s="35">
        <f t="shared" si="21"/>
        <v>1</v>
      </c>
      <c r="J86" s="36">
        <f t="shared" si="4"/>
        <v>30473091.817407615</v>
      </c>
      <c r="K86" s="34">
        <f t="shared" si="16"/>
        <v>185808553753.28976</v>
      </c>
      <c r="L86" s="37">
        <f t="shared" si="22"/>
        <v>208886636947.39114</v>
      </c>
      <c r="M86" s="34">
        <f t="shared" si="5"/>
        <v>13165133630.97699</v>
      </c>
      <c r="N86" s="34">
        <f t="shared" si="6"/>
        <v>0</v>
      </c>
      <c r="O86" s="34">
        <f t="shared" si="7"/>
        <v>13165133630.97699</v>
      </c>
      <c r="P86" s="34">
        <f t="shared" si="23"/>
        <v>1316513363.0976992</v>
      </c>
      <c r="Q86" s="38">
        <f t="shared" si="8"/>
        <v>11789377166.539894</v>
      </c>
      <c r="R86" s="39">
        <f t="shared" si="9"/>
        <v>1178937716.6539896</v>
      </c>
      <c r="S86" s="34">
        <f t="shared" si="10"/>
        <v>10610439449.885904</v>
      </c>
      <c r="T86" s="40">
        <f t="shared" si="24"/>
        <v>10159810609.658752</v>
      </c>
      <c r="U86" s="272">
        <f t="shared" si="11"/>
        <v>6.8310681663272103E-4</v>
      </c>
      <c r="V86" s="282">
        <f t="shared" si="12"/>
        <v>127.4024834856902</v>
      </c>
      <c r="W86" s="283">
        <f>((S86+'Malawi-only'!S86)/(T86*(U86+'Malawi-only'!U86))/12)</f>
        <v>30.951151348553186</v>
      </c>
      <c r="X86" s="284">
        <f>(R86+'Malawi-only'!R86)</f>
        <v>3330398048.9243097</v>
      </c>
      <c r="Y86" s="284">
        <f>(L86+'Malawi-only'!L86)</f>
        <v>285130578394.44409</v>
      </c>
      <c r="Z86" s="284">
        <f>(Q86+'Malawi-only'!Q86)</f>
        <v>16092297831.080536</v>
      </c>
    </row>
    <row r="87" spans="1:26" ht="15.75" customHeight="1">
      <c r="A87" s="31" t="s">
        <v>120</v>
      </c>
      <c r="B87" s="32">
        <v>2103</v>
      </c>
      <c r="C87" s="274">
        <f t="shared" si="13"/>
        <v>6.8909001597152903E-6</v>
      </c>
      <c r="D87" s="271">
        <f t="shared" si="19"/>
        <v>6.8909001597152903E-6</v>
      </c>
      <c r="E87" s="34">
        <f t="shared" si="1"/>
        <v>0</v>
      </c>
      <c r="F87" s="42">
        <v>4000</v>
      </c>
      <c r="G87" s="34">
        <f t="shared" si="2"/>
        <v>27563600.638861161</v>
      </c>
      <c r="H87" s="34">
        <f t="shared" si="3"/>
        <v>27425782.635666855</v>
      </c>
      <c r="I87" s="35">
        <f t="shared" si="21"/>
        <v>1</v>
      </c>
      <c r="J87" s="36">
        <f t="shared" si="4"/>
        <v>27425782.635666855</v>
      </c>
      <c r="K87" s="34">
        <f t="shared" si="16"/>
        <v>185835979535.92545</v>
      </c>
      <c r="L87" s="37">
        <f t="shared" si="22"/>
        <v>210125460805.07797</v>
      </c>
      <c r="M87" s="34">
        <f t="shared" si="5"/>
        <v>13243412782.464598</v>
      </c>
      <c r="N87" s="34">
        <f t="shared" si="6"/>
        <v>0</v>
      </c>
      <c r="O87" s="34">
        <f t="shared" si="7"/>
        <v>13243412782.464598</v>
      </c>
      <c r="P87" s="34">
        <f>O87*6%</f>
        <v>794604766.94787586</v>
      </c>
      <c r="Q87" s="38">
        <f t="shared" si="8"/>
        <v>12386563975.439138</v>
      </c>
      <c r="R87" s="39">
        <f t="shared" si="9"/>
        <v>1238656397.5439138</v>
      </c>
      <c r="S87" s="34">
        <f t="shared" si="10"/>
        <v>11147907577.895226</v>
      </c>
      <c r="T87" s="40">
        <f t="shared" si="24"/>
        <v>10149650799.049095</v>
      </c>
      <c r="U87" s="272">
        <f t="shared" si="11"/>
        <v>6.8310681663272103E-4</v>
      </c>
      <c r="V87" s="282">
        <f t="shared" si="12"/>
        <v>133.99000207404049</v>
      </c>
      <c r="W87" s="283">
        <f>((S87+'Malawi-only'!S87)/(T87*(U87+'Malawi-only'!U87))/12)</f>
        <v>32.318272750447775</v>
      </c>
      <c r="X87" s="284">
        <f>(R87+'Malawi-only'!R87)</f>
        <v>3403019848.780911</v>
      </c>
      <c r="Y87" s="284">
        <f>(L87+'Malawi-only'!L87)</f>
        <v>286825082599.05695</v>
      </c>
      <c r="Z87" s="284">
        <f>(Q87+'Malawi-only'!Q87)</f>
        <v>16715290877.913132</v>
      </c>
    </row>
    <row r="88" spans="1:26" ht="15.75" customHeight="1">
      <c r="A88" s="31" t="s">
        <v>121</v>
      </c>
      <c r="B88" s="32">
        <v>2104</v>
      </c>
      <c r="C88" s="274">
        <f t="shared" si="13"/>
        <v>6.2018101437437615E-6</v>
      </c>
      <c r="D88" s="271">
        <f t="shared" si="19"/>
        <v>6.2018101437437615E-6</v>
      </c>
      <c r="E88" s="34">
        <f t="shared" si="1"/>
        <v>0</v>
      </c>
      <c r="F88" s="42">
        <v>4000</v>
      </c>
      <c r="G88" s="34">
        <f t="shared" si="2"/>
        <v>24807240.574975044</v>
      </c>
      <c r="H88" s="34">
        <f t="shared" si="3"/>
        <v>24683204.372100167</v>
      </c>
      <c r="I88" s="35">
        <f t="shared" si="21"/>
        <v>1</v>
      </c>
      <c r="J88" s="36">
        <f t="shared" si="4"/>
        <v>24683204.372100167</v>
      </c>
      <c r="K88" s="34">
        <f t="shared" si="16"/>
        <v>185860662740.29755</v>
      </c>
      <c r="L88" s="37">
        <f t="shared" si="22"/>
        <v>210839276402.00977</v>
      </c>
      <c r="M88" s="34">
        <f t="shared" si="5"/>
        <v>13321954215.041943</v>
      </c>
      <c r="N88" s="34">
        <f t="shared" si="6"/>
        <v>0</v>
      </c>
      <c r="O88" s="34">
        <f t="shared" si="7"/>
        <v>13321954215.041943</v>
      </c>
      <c r="P88" s="34">
        <f>O88*6.5%</f>
        <v>865927023.97772634</v>
      </c>
      <c r="Q88" s="38">
        <f t="shared" si="8"/>
        <v>12393747055.108896</v>
      </c>
      <c r="R88" s="39">
        <f t="shared" si="9"/>
        <v>1239374705.5108898</v>
      </c>
      <c r="S88" s="34">
        <f t="shared" si="10"/>
        <v>11154372349.598007</v>
      </c>
      <c r="T88" s="40">
        <f t="shared" si="24"/>
        <v>10139501148.250048</v>
      </c>
      <c r="U88" s="272">
        <f t="shared" si="11"/>
        <v>6.8310681663272103E-4</v>
      </c>
      <c r="V88" s="282">
        <f t="shared" si="12"/>
        <v>134.20190598534037</v>
      </c>
      <c r="W88" s="283">
        <f>((S88+'Malawi-only'!S88)/(T88*(U88+'Malawi-only'!U88))/12)</f>
        <v>32.397768803919469</v>
      </c>
      <c r="X88" s="284">
        <f>(R88+'Malawi-only'!R88)</f>
        <v>3416673714.2441988</v>
      </c>
      <c r="Y88" s="284">
        <f>(L88+'Malawi-only'!L88)</f>
        <v>287995877255.48059</v>
      </c>
      <c r="Z88" s="284">
        <f>(Q88+'Malawi-only'!Q88)</f>
        <v>16748345072.575514</v>
      </c>
    </row>
    <row r="89" spans="1:26" ht="15.75" customHeight="1">
      <c r="A89" s="31" t="s">
        <v>122</v>
      </c>
      <c r="B89" s="32">
        <v>2105</v>
      </c>
      <c r="C89" s="274">
        <f t="shared" si="13"/>
        <v>5.5816291293693853E-6</v>
      </c>
      <c r="D89" s="271">
        <f t="shared" si="19"/>
        <v>5.5816291293693853E-6</v>
      </c>
      <c r="E89" s="34">
        <f t="shared" si="1"/>
        <v>0</v>
      </c>
      <c r="F89" s="42">
        <v>4000</v>
      </c>
      <c r="G89" s="34">
        <f t="shared" si="2"/>
        <v>22326516.517477542</v>
      </c>
      <c r="H89" s="34">
        <f t="shared" si="3"/>
        <v>22214883.934890155</v>
      </c>
      <c r="I89" s="35">
        <f t="shared" si="21"/>
        <v>1</v>
      </c>
      <c r="J89" s="36">
        <f t="shared" si="4"/>
        <v>22214883.934890155</v>
      </c>
      <c r="K89" s="34">
        <f t="shared" si="16"/>
        <v>185882877624.23242</v>
      </c>
      <c r="L89" s="37">
        <f t="shared" si="22"/>
        <v>211621554600.76743</v>
      </c>
      <c r="M89" s="34">
        <f t="shared" si="5"/>
        <v>13367210123.887419</v>
      </c>
      <c r="N89" s="34">
        <f t="shared" si="6"/>
        <v>0</v>
      </c>
      <c r="O89" s="34">
        <f t="shared" si="7"/>
        <v>13367210123.887419</v>
      </c>
      <c r="P89" s="34">
        <f>O89*7%</f>
        <v>935704708.67211938</v>
      </c>
      <c r="Q89" s="38">
        <f t="shared" si="8"/>
        <v>12369347888.139223</v>
      </c>
      <c r="R89" s="39">
        <f t="shared" si="9"/>
        <v>1236934788.8139224</v>
      </c>
      <c r="S89" s="34">
        <f t="shared" si="10"/>
        <v>11132413099.3253</v>
      </c>
      <c r="T89" s="40">
        <f t="shared" si="24"/>
        <v>10129361647.101799</v>
      </c>
      <c r="U89" s="272">
        <f t="shared" si="11"/>
        <v>6.8310681663272103E-4</v>
      </c>
      <c r="V89" s="282">
        <f t="shared" si="12"/>
        <v>134.07177883408292</v>
      </c>
      <c r="W89" s="283">
        <f>((S89+'Malawi-only'!S89)/(T89*(U89+'Malawi-only'!U89))/12)</f>
        <v>32.408337936876343</v>
      </c>
      <c r="X89" s="284">
        <f>(R89+'Malawi-only'!R89)</f>
        <v>3427206222.0516973</v>
      </c>
      <c r="Y89" s="284">
        <f>(L89+'Malawi-only'!L89)</f>
        <v>289236575195.60229</v>
      </c>
      <c r="Z89" s="284">
        <f>(Q89+'Malawi-only'!Q89)</f>
        <v>16749890754.614773</v>
      </c>
    </row>
    <row r="90" spans="1:26" ht="15.75" customHeight="1">
      <c r="A90" s="31" t="s">
        <v>123</v>
      </c>
      <c r="B90" s="32">
        <v>2106</v>
      </c>
      <c r="C90" s="274">
        <f t="shared" si="13"/>
        <v>5.0234662164324473E-6</v>
      </c>
      <c r="D90" s="271">
        <f t="shared" si="19"/>
        <v>5.0234662164324473E-6</v>
      </c>
      <c r="E90" s="34">
        <f t="shared" si="1"/>
        <v>0</v>
      </c>
      <c r="F90" s="42">
        <v>4000</v>
      </c>
      <c r="G90" s="34">
        <f t="shared" si="2"/>
        <v>20093864.86572979</v>
      </c>
      <c r="H90" s="34">
        <f t="shared" si="3"/>
        <v>19993395.54140114</v>
      </c>
      <c r="I90" s="35">
        <f t="shared" si="21"/>
        <v>1</v>
      </c>
      <c r="J90" s="36">
        <f t="shared" si="4"/>
        <v>19993395.54140114</v>
      </c>
      <c r="K90" s="34">
        <f t="shared" si="16"/>
        <v>185902871019.77383</v>
      </c>
      <c r="L90" s="37">
        <f t="shared" si="22"/>
        <v>212470964078.62848</v>
      </c>
      <c r="M90" s="34">
        <f t="shared" si="5"/>
        <v>13416806561.688654</v>
      </c>
      <c r="N90" s="34">
        <f t="shared" si="6"/>
        <v>0</v>
      </c>
      <c r="O90" s="34">
        <f t="shared" si="7"/>
        <v>13416806561.688654</v>
      </c>
      <c r="P90" s="34">
        <f>O90*7.5%</f>
        <v>1006260492.126649</v>
      </c>
      <c r="Q90" s="38">
        <f t="shared" si="8"/>
        <v>12348493339.214193</v>
      </c>
      <c r="R90" s="39">
        <f t="shared" si="9"/>
        <v>1234849333.9214194</v>
      </c>
      <c r="S90" s="34">
        <f t="shared" si="10"/>
        <v>11113644005.292774</v>
      </c>
      <c r="T90" s="40">
        <f t="shared" si="24"/>
        <v>10119232285.454699</v>
      </c>
      <c r="U90" s="272">
        <f t="shared" si="11"/>
        <v>6.8310681663272103E-4</v>
      </c>
      <c r="V90" s="282">
        <f t="shared" si="12"/>
        <v>133.97971539049311</v>
      </c>
      <c r="W90" s="283">
        <f>((S90+'Malawi-only'!S90)/(T90*(U90+'Malawi-only'!U90))/12)</f>
        <v>32.42676339173552</v>
      </c>
      <c r="X90" s="284">
        <f>(R90+'Malawi-only'!R90)</f>
        <v>3438134088.804204</v>
      </c>
      <c r="Y90" s="284">
        <f>(L90+'Malawi-only'!L90)</f>
        <v>290545974445.82843</v>
      </c>
      <c r="Z90" s="284">
        <f>(Q90+'Malawi-only'!Q90)</f>
        <v>16755062848.979763</v>
      </c>
    </row>
    <row r="91" spans="1:26" ht="15.75" customHeight="1">
      <c r="A91" s="31" t="s">
        <v>124</v>
      </c>
      <c r="B91" s="32">
        <v>2107</v>
      </c>
      <c r="C91" s="274">
        <f t="shared" si="13"/>
        <v>4.521119594789203E-6</v>
      </c>
      <c r="D91" s="271">
        <f t="shared" si="19"/>
        <v>4.521119594789203E-6</v>
      </c>
      <c r="E91" s="34">
        <f t="shared" si="1"/>
        <v>0</v>
      </c>
      <c r="F91" s="42">
        <v>4000</v>
      </c>
      <c r="G91" s="34">
        <f t="shared" si="2"/>
        <v>18084478.379156813</v>
      </c>
      <c r="H91" s="34">
        <f t="shared" si="3"/>
        <v>17994055.987261027</v>
      </c>
      <c r="I91" s="35">
        <f t="shared" si="21"/>
        <v>1</v>
      </c>
      <c r="J91" s="36">
        <f t="shared" si="4"/>
        <v>17994055.987261027</v>
      </c>
      <c r="K91" s="34">
        <f t="shared" si="16"/>
        <v>185920865075.76111</v>
      </c>
      <c r="L91" s="37">
        <f t="shared" si="22"/>
        <v>213388471017.42905</v>
      </c>
      <c r="M91" s="34">
        <f t="shared" si="5"/>
        <v>13470659122.585045</v>
      </c>
      <c r="N91" s="34">
        <f t="shared" si="6"/>
        <v>0</v>
      </c>
      <c r="O91" s="34">
        <f t="shared" si="7"/>
        <v>13470659122.585045</v>
      </c>
      <c r="P91" s="34">
        <f>O91*8%</f>
        <v>1077652729.8068037</v>
      </c>
      <c r="Q91" s="38">
        <f t="shared" si="8"/>
        <v>12331041360.814348</v>
      </c>
      <c r="R91" s="39">
        <f t="shared" si="9"/>
        <v>1233104136.081435</v>
      </c>
      <c r="S91" s="34">
        <f t="shared" si="10"/>
        <v>11097937224.732914</v>
      </c>
      <c r="T91" s="40">
        <f t="shared" si="24"/>
        <v>10109113053.169245</v>
      </c>
      <c r="U91" s="272">
        <f t="shared" si="11"/>
        <v>6.8310681663272103E-4</v>
      </c>
      <c r="V91" s="282">
        <f t="shared" si="12"/>
        <v>133.92428774397422</v>
      </c>
      <c r="W91" s="283">
        <f>((S91+'Malawi-only'!S91)/(T91*(U91+'Malawi-only'!U91))/12)</f>
        <v>32.452766102616472</v>
      </c>
      <c r="X91" s="284">
        <f>(R91+'Malawi-only'!R91)</f>
        <v>3449446781.6287689</v>
      </c>
      <c r="Y91" s="284">
        <f>(L91+'Malawi-only'!L91)</f>
        <v>291925159188.10999</v>
      </c>
      <c r="Z91" s="284">
        <f>(Q91+'Malawi-only'!Q91)</f>
        <v>16763726651.909016</v>
      </c>
    </row>
    <row r="92" spans="1:26" ht="15.75" customHeight="1">
      <c r="A92" s="31" t="s">
        <v>125</v>
      </c>
      <c r="B92" s="32">
        <v>2108</v>
      </c>
      <c r="C92" s="274">
        <f t="shared" si="13"/>
        <v>4.0690076353102828E-6</v>
      </c>
      <c r="D92" s="271">
        <f t="shared" si="19"/>
        <v>4.0690076353102828E-6</v>
      </c>
      <c r="E92" s="34">
        <f t="shared" si="1"/>
        <v>0</v>
      </c>
      <c r="F92" s="42">
        <v>4000</v>
      </c>
      <c r="G92" s="34">
        <f t="shared" si="2"/>
        <v>16276030.541241132</v>
      </c>
      <c r="H92" s="34">
        <f t="shared" si="3"/>
        <v>16194650.388534926</v>
      </c>
      <c r="I92" s="35">
        <f t="shared" si="21"/>
        <v>1</v>
      </c>
      <c r="J92" s="36">
        <f t="shared" si="4"/>
        <v>16194650.388534926</v>
      </c>
      <c r="K92" s="34">
        <f t="shared" si="16"/>
        <v>185937059726.14966</v>
      </c>
      <c r="L92" s="37">
        <f t="shared" si="22"/>
        <v>214375077238.4256</v>
      </c>
      <c r="M92" s="34">
        <f t="shared" si="5"/>
        <v>13528829062.505001</v>
      </c>
      <c r="N92" s="34">
        <f t="shared" si="6"/>
        <v>0</v>
      </c>
      <c r="O92" s="34">
        <f t="shared" si="7"/>
        <v>13528829062.505001</v>
      </c>
      <c r="P92" s="34">
        <f>O92*8.5%</f>
        <v>1149950470.3129251</v>
      </c>
      <c r="Q92" s="38">
        <f t="shared" si="8"/>
        <v>12316984199.231115</v>
      </c>
      <c r="R92" s="39">
        <f t="shared" si="9"/>
        <v>1231698419.9231117</v>
      </c>
      <c r="S92" s="34">
        <f t="shared" si="10"/>
        <v>11085285779.308004</v>
      </c>
      <c r="T92" s="40">
        <f t="shared" si="24"/>
        <v>10099003940.116077</v>
      </c>
      <c r="U92" s="272">
        <f t="shared" si="11"/>
        <v>6.8310681663272103E-4</v>
      </c>
      <c r="V92" s="282">
        <f t="shared" si="12"/>
        <v>133.90552202781129</v>
      </c>
      <c r="W92" s="283">
        <f>((S92+'Malawi-only'!S92)/(T92*(U92+'Malawi-only'!U92))/12)</f>
        <v>32.486359947743956</v>
      </c>
      <c r="X92" s="284">
        <f>(R92+'Malawi-only'!R92)</f>
        <v>3461146874.8650913</v>
      </c>
      <c r="Y92" s="284">
        <f>(L92+'Malawi-only'!L92)</f>
        <v>293375239038.90411</v>
      </c>
      <c r="Z92" s="284">
        <f>(Q92+'Malawi-only'!Q92)</f>
        <v>16775881109.115074</v>
      </c>
    </row>
    <row r="93" spans="1:26" ht="15.75" customHeight="1">
      <c r="A93" s="31" t="s">
        <v>126</v>
      </c>
      <c r="B93" s="32">
        <v>2109</v>
      </c>
      <c r="C93" s="274">
        <f t="shared" si="13"/>
        <v>3.6621068717792547E-6</v>
      </c>
      <c r="D93" s="271">
        <f t="shared" si="19"/>
        <v>3.6621068717792547E-6</v>
      </c>
      <c r="E93" s="34">
        <f t="shared" si="1"/>
        <v>0</v>
      </c>
      <c r="F93" s="42">
        <v>4000</v>
      </c>
      <c r="G93" s="34">
        <f t="shared" si="2"/>
        <v>14648427.487117019</v>
      </c>
      <c r="H93" s="34">
        <f t="shared" si="3"/>
        <v>14575185.349681433</v>
      </c>
      <c r="I93" s="35">
        <f t="shared" si="21"/>
        <v>1</v>
      </c>
      <c r="J93" s="36">
        <f t="shared" si="4"/>
        <v>14575185.349681433</v>
      </c>
      <c r="K93" s="34">
        <f t="shared" si="16"/>
        <v>185951634911.49933</v>
      </c>
      <c r="L93" s="37">
        <f t="shared" si="22"/>
        <v>215431833092.64117</v>
      </c>
      <c r="M93" s="34">
        <f t="shared" si="5"/>
        <v>13591379896.916182</v>
      </c>
      <c r="N93" s="34">
        <f t="shared" si="6"/>
        <v>0</v>
      </c>
      <c r="O93" s="34">
        <f t="shared" si="7"/>
        <v>13591379896.916182</v>
      </c>
      <c r="P93" s="34">
        <f>O93*9%</f>
        <v>1223224190.7224562</v>
      </c>
      <c r="Q93" s="38">
        <f t="shared" si="8"/>
        <v>12306314927.662756</v>
      </c>
      <c r="R93" s="39">
        <f t="shared" si="9"/>
        <v>1230631492.7662756</v>
      </c>
      <c r="S93" s="34">
        <f t="shared" si="10"/>
        <v>11075683434.896481</v>
      </c>
      <c r="T93" s="40">
        <f t="shared" si="24"/>
        <v>10088904936.175962</v>
      </c>
      <c r="U93" s="272">
        <f t="shared" si="11"/>
        <v>6.8310681663272103E-4</v>
      </c>
      <c r="V93" s="282">
        <f t="shared" si="12"/>
        <v>133.92345325798053</v>
      </c>
      <c r="W93" s="283">
        <f>((S93+'Malawi-only'!S93)/(T93*(U93+'Malawi-only'!U93))/12)</f>
        <v>32.527559925496405</v>
      </c>
      <c r="X93" s="284">
        <f>(R93+'Malawi-only'!R93)</f>
        <v>3473236735.8530893</v>
      </c>
      <c r="Y93" s="284">
        <f>(L93+'Malawi-only'!L93)</f>
        <v>294897362969.26404</v>
      </c>
      <c r="Z93" s="284">
        <f>(Q93+'Malawi-only'!Q93)</f>
        <v>16791525413.836384</v>
      </c>
    </row>
    <row r="94" spans="1:26" ht="15.75" customHeight="1">
      <c r="A94" s="31" t="s">
        <v>127</v>
      </c>
      <c r="B94" s="32">
        <v>2110</v>
      </c>
      <c r="C94" s="274">
        <f t="shared" si="13"/>
        <v>3.2958961846013292E-6</v>
      </c>
      <c r="D94" s="271">
        <f t="shared" si="19"/>
        <v>3.2958961846013292E-6</v>
      </c>
      <c r="E94" s="34">
        <f t="shared" si="1"/>
        <v>0</v>
      </c>
      <c r="F94" s="42">
        <v>4000</v>
      </c>
      <c r="G94" s="34">
        <f t="shared" si="2"/>
        <v>13183584.738405317</v>
      </c>
      <c r="H94" s="34">
        <f t="shared" si="3"/>
        <v>13117666.81471329</v>
      </c>
      <c r="I94" s="35">
        <f t="shared" si="21"/>
        <v>1</v>
      </c>
      <c r="J94" s="36">
        <f t="shared" si="4"/>
        <v>13117666.81471329</v>
      </c>
      <c r="K94" s="34">
        <f t="shared" si="16"/>
        <v>185964752578.31406</v>
      </c>
      <c r="L94" s="37">
        <f t="shared" si="22"/>
        <v>216559840862.70328</v>
      </c>
      <c r="M94" s="34">
        <f t="shared" si="5"/>
        <v>13658378218.07345</v>
      </c>
      <c r="N94" s="34">
        <f t="shared" si="6"/>
        <v>0</v>
      </c>
      <c r="O94" s="34">
        <f t="shared" si="7"/>
        <v>13658378218.07345</v>
      </c>
      <c r="P94" s="34">
        <f>O94*9.5%</f>
        <v>1297545930.7169778</v>
      </c>
      <c r="Q94" s="38">
        <f t="shared" si="8"/>
        <v>12299028125.919689</v>
      </c>
      <c r="R94" s="39">
        <f t="shared" si="9"/>
        <v>1229902812.591969</v>
      </c>
      <c r="S94" s="34">
        <f t="shared" si="10"/>
        <v>11069125313.327721</v>
      </c>
      <c r="T94" s="40">
        <f t="shared" si="24"/>
        <v>10078816031.239788</v>
      </c>
      <c r="U94" s="272">
        <f t="shared" si="11"/>
        <v>6.8310681663272103E-4</v>
      </c>
      <c r="V94" s="282">
        <f t="shared" si="12"/>
        <v>133.97813278200968</v>
      </c>
      <c r="W94" s="283">
        <f>((S94+'Malawi-only'!S94)/(T94*(U94+'Malawi-only'!U94))/12)</f>
        <v>32.576383726963257</v>
      </c>
      <c r="X94" s="284">
        <f>(R94+'Malawi-only'!R94)</f>
        <v>3485718622.135119</v>
      </c>
      <c r="Y94" s="284">
        <f>(L94+'Malawi-only'!L94)</f>
        <v>296492723633.49951</v>
      </c>
      <c r="Z94" s="284">
        <f>(Q94+'Malawi-only'!Q94)</f>
        <v>16810659745.005989</v>
      </c>
    </row>
    <row r="95" spans="1:26" ht="15.75" customHeight="1">
      <c r="A95" s="31" t="s">
        <v>128</v>
      </c>
      <c r="B95" s="32">
        <v>2111</v>
      </c>
      <c r="C95" s="274">
        <f t="shared" si="13"/>
        <v>2.9663065661411963E-6</v>
      </c>
      <c r="D95" s="271">
        <f t="shared" si="19"/>
        <v>2.9663065661411963E-6</v>
      </c>
      <c r="E95" s="34">
        <f t="shared" si="1"/>
        <v>0</v>
      </c>
      <c r="F95" s="42">
        <v>4000</v>
      </c>
      <c r="G95" s="34">
        <f t="shared" si="2"/>
        <v>11865226.264564784</v>
      </c>
      <c r="H95" s="34">
        <f t="shared" si="3"/>
        <v>11805900.133241961</v>
      </c>
      <c r="I95" s="35">
        <f t="shared" si="21"/>
        <v>1</v>
      </c>
      <c r="J95" s="36">
        <f t="shared" si="4"/>
        <v>11805900.133241961</v>
      </c>
      <c r="K95" s="34">
        <f t="shared" si="16"/>
        <v>185976558478.4473</v>
      </c>
      <c r="L95" s="37">
        <f t="shared" si="22"/>
        <v>217760258097.20673</v>
      </c>
      <c r="M95" s="34">
        <f t="shared" si="5"/>
        <v>13729893910.695387</v>
      </c>
      <c r="N95" s="34">
        <f t="shared" si="6"/>
        <v>0</v>
      </c>
      <c r="O95" s="34">
        <f t="shared" si="7"/>
        <v>13729893910.695387</v>
      </c>
      <c r="P95" s="34">
        <f t="shared" ref="P95:P184" si="25">O95*$P$5</f>
        <v>1372989391.0695388</v>
      </c>
      <c r="Q95" s="38">
        <f t="shared" si="8"/>
        <v>12295119997.027719</v>
      </c>
      <c r="R95" s="39">
        <f t="shared" si="9"/>
        <v>1229511999.7027719</v>
      </c>
      <c r="S95" s="34">
        <f t="shared" si="10"/>
        <v>11065607997.324947</v>
      </c>
      <c r="T95" s="40">
        <f t="shared" si="24"/>
        <v>10068737215.208549</v>
      </c>
      <c r="U95" s="272">
        <f t="shared" si="11"/>
        <v>6.8310681663272103E-4</v>
      </c>
      <c r="V95" s="282">
        <f t="shared" si="12"/>
        <v>134.0696296322111</v>
      </c>
      <c r="W95" s="283">
        <f>((S95+'Malawi-only'!S95)/(T95*(U95+'Malawi-only'!U95))/12)</f>
        <v>32.632852070551877</v>
      </c>
      <c r="X95" s="284">
        <f>(R95+'Malawi-only'!R95)</f>
        <v>3498594719.4263344</v>
      </c>
      <c r="Y95" s="284">
        <f>(L95+'Malawi-only'!L95)</f>
        <v>298162561537.73425</v>
      </c>
      <c r="Z95" s="284">
        <f>(Q95+'Malawi-only'!Q95)</f>
        <v>16833285436.474844</v>
      </c>
    </row>
    <row r="96" spans="1:26" ht="15.75" customHeight="1">
      <c r="A96" s="31" t="s">
        <v>129</v>
      </c>
      <c r="B96" s="32">
        <v>2112</v>
      </c>
      <c r="C96" s="274">
        <f t="shared" si="13"/>
        <v>2.6696759095270766E-6</v>
      </c>
      <c r="D96" s="271">
        <f t="shared" si="19"/>
        <v>2.6696759095270766E-6</v>
      </c>
      <c r="E96" s="34">
        <f t="shared" si="1"/>
        <v>0</v>
      </c>
      <c r="F96" s="42">
        <v>4000</v>
      </c>
      <c r="G96" s="34">
        <f t="shared" si="2"/>
        <v>10678703.638108307</v>
      </c>
      <c r="H96" s="34">
        <f t="shared" si="3"/>
        <v>10625310.119917765</v>
      </c>
      <c r="I96" s="35">
        <f t="shared" si="21"/>
        <v>1</v>
      </c>
      <c r="J96" s="36">
        <f t="shared" si="4"/>
        <v>10625310.119917765</v>
      </c>
      <c r="K96" s="34">
        <f t="shared" si="16"/>
        <v>185987183788.5672</v>
      </c>
      <c r="L96" s="37">
        <f t="shared" si="22"/>
        <v>219034300861.99698</v>
      </c>
      <c r="M96" s="34">
        <f t="shared" si="5"/>
        <v>13806000363.362906</v>
      </c>
      <c r="N96" s="34">
        <f t="shared" si="6"/>
        <v>0</v>
      </c>
      <c r="O96" s="34">
        <f t="shared" si="7"/>
        <v>13806000363.362906</v>
      </c>
      <c r="P96" s="34">
        <f t="shared" si="25"/>
        <v>1380600036.3362906</v>
      </c>
      <c r="Q96" s="38">
        <f t="shared" si="8"/>
        <v>12363273325.391481</v>
      </c>
      <c r="R96" s="39">
        <f t="shared" si="9"/>
        <v>1236327332.5391481</v>
      </c>
      <c r="S96" s="34">
        <f t="shared" si="10"/>
        <v>11126945992.852333</v>
      </c>
      <c r="T96" s="40">
        <f t="shared" si="24"/>
        <v>10058668477.993341</v>
      </c>
      <c r="U96" s="272">
        <f t="shared" si="11"/>
        <v>6.8310681663272103E-4</v>
      </c>
      <c r="V96" s="282">
        <f t="shared" si="12"/>
        <v>134.94774144966334</v>
      </c>
      <c r="W96" s="283">
        <f>((S96+'Malawi-only'!S96)/(T96*(U96+'Malawi-only'!U96))/12)</f>
        <v>32.848418364295931</v>
      </c>
      <c r="X96" s="284">
        <f>(R96+'Malawi-only'!R96)</f>
        <v>3518735661.1116066</v>
      </c>
      <c r="Y96" s="284">
        <f>(L96+'Malawi-only'!L96)</f>
        <v>299908169042.01843</v>
      </c>
      <c r="Z96" s="284">
        <f>(Q96+'Malawi-only'!Q96)</f>
        <v>16928089982.5364</v>
      </c>
    </row>
    <row r="97" spans="1:26" ht="15.75" customHeight="1">
      <c r="A97" s="31" t="s">
        <v>130</v>
      </c>
      <c r="B97" s="32">
        <v>2113</v>
      </c>
      <c r="C97" s="274">
        <f t="shared" si="13"/>
        <v>2.402708318574369E-6</v>
      </c>
      <c r="D97" s="271">
        <f t="shared" si="19"/>
        <v>2.402708318574369E-6</v>
      </c>
      <c r="E97" s="34">
        <f t="shared" si="1"/>
        <v>0</v>
      </c>
      <c r="F97" s="42">
        <v>4000</v>
      </c>
      <c r="G97" s="34">
        <f t="shared" si="2"/>
        <v>9610833.2742974758</v>
      </c>
      <c r="H97" s="34">
        <f t="shared" si="3"/>
        <v>9562779.1079259887</v>
      </c>
      <c r="I97" s="35">
        <f t="shared" si="21"/>
        <v>1</v>
      </c>
      <c r="J97" s="36">
        <f t="shared" si="4"/>
        <v>9562779.1079259887</v>
      </c>
      <c r="K97" s="34">
        <f t="shared" si="16"/>
        <v>185996746567.67514</v>
      </c>
      <c r="L97" s="37">
        <f t="shared" si="22"/>
        <v>220314251445.60251</v>
      </c>
      <c r="M97" s="34">
        <f t="shared" si="5"/>
        <v>13886774674.650608</v>
      </c>
      <c r="N97" s="34">
        <f t="shared" si="6"/>
        <v>0</v>
      </c>
      <c r="O97" s="34">
        <f t="shared" si="7"/>
        <v>13886774674.650608</v>
      </c>
      <c r="P97" s="34">
        <f t="shared" si="25"/>
        <v>1388677467.4650609</v>
      </c>
      <c r="Q97" s="38">
        <f t="shared" si="8"/>
        <v>12435606721.149618</v>
      </c>
      <c r="R97" s="39">
        <f t="shared" si="9"/>
        <v>1243560672.1149619</v>
      </c>
      <c r="S97" s="34">
        <f t="shared" si="10"/>
        <v>11192046049.034657</v>
      </c>
      <c r="T97" s="40">
        <f t="shared" si="24"/>
        <v>10048609809.515348</v>
      </c>
      <c r="U97" s="272">
        <f t="shared" si="11"/>
        <v>6.8310681663272103E-4</v>
      </c>
      <c r="V97" s="282">
        <f t="shared" si="12"/>
        <v>135.87314890166076</v>
      </c>
      <c r="W97" s="283">
        <f>((S97+'Malawi-only'!S97)/(T97*(U97+'Malawi-only'!U97))/12)</f>
        <v>33.073757781918751</v>
      </c>
      <c r="X97" s="284">
        <f>(R97+'Malawi-only'!R97)</f>
        <v>3539355473.9950943</v>
      </c>
      <c r="Y97" s="284">
        <f>(L97+'Malawi-only'!L97)</f>
        <v>301661898741.56219</v>
      </c>
      <c r="Z97" s="284">
        <f>(Q97+'Malawi-only'!Q97)</f>
        <v>17027196324.909883</v>
      </c>
    </row>
    <row r="98" spans="1:26" ht="15.75" customHeight="1">
      <c r="A98" s="31" t="s">
        <v>131</v>
      </c>
      <c r="B98" s="32">
        <v>2114</v>
      </c>
      <c r="C98" s="274">
        <f t="shared" si="13"/>
        <v>2.1624374867169321E-6</v>
      </c>
      <c r="D98" s="271">
        <f t="shared" si="19"/>
        <v>2.1624374867169321E-6</v>
      </c>
      <c r="E98" s="34">
        <f t="shared" si="1"/>
        <v>0</v>
      </c>
      <c r="F98" s="42">
        <v>4000</v>
      </c>
      <c r="G98" s="34">
        <f t="shared" si="2"/>
        <v>8649749.9468677286</v>
      </c>
      <c r="H98" s="34">
        <f t="shared" si="3"/>
        <v>8606501.1971333902</v>
      </c>
      <c r="I98" s="35">
        <f t="shared" si="21"/>
        <v>1</v>
      </c>
      <c r="J98" s="36">
        <f t="shared" si="4"/>
        <v>8606501.1971333902</v>
      </c>
      <c r="K98" s="34">
        <f t="shared" si="16"/>
        <v>186005353068.87228</v>
      </c>
      <c r="L98" s="37">
        <f t="shared" si="22"/>
        <v>221600679646.55759</v>
      </c>
      <c r="M98" s="34">
        <f t="shared" si="5"/>
        <v>13967923541.651199</v>
      </c>
      <c r="N98" s="34">
        <f t="shared" si="6"/>
        <v>0</v>
      </c>
      <c r="O98" s="34">
        <f t="shared" si="7"/>
        <v>13967923541.651199</v>
      </c>
      <c r="P98" s="34">
        <f t="shared" si="25"/>
        <v>1396792354.1651201</v>
      </c>
      <c r="Q98" s="38">
        <f t="shared" si="8"/>
        <v>12508275531.548649</v>
      </c>
      <c r="R98" s="39">
        <f t="shared" si="9"/>
        <v>1250827553.154865</v>
      </c>
      <c r="S98" s="34">
        <f t="shared" si="10"/>
        <v>11257447978.393784</v>
      </c>
      <c r="T98" s="40">
        <f t="shared" si="24"/>
        <v>10038561199.705833</v>
      </c>
      <c r="U98" s="272">
        <f t="shared" si="11"/>
        <v>6.8310681663272103E-4</v>
      </c>
      <c r="V98" s="282">
        <f t="shared" si="12"/>
        <v>136.80394225812748</v>
      </c>
      <c r="W98" s="283">
        <f>((S98+'Malawi-only'!S98)/(T98*(U98+'Malawi-only'!U98))/12)</f>
        <v>33.300410679501006</v>
      </c>
      <c r="X98" s="284">
        <f>(R98+'Malawi-only'!R98)</f>
        <v>3560071688.6218252</v>
      </c>
      <c r="Y98" s="284">
        <f>(L98+'Malawi-only'!L98)</f>
        <v>303424385362.33392</v>
      </c>
      <c r="Z98" s="284">
        <f>(Q98+'Malawi-only'!Q98)</f>
        <v>17126763802.482571</v>
      </c>
    </row>
    <row r="99" spans="1:26" ht="15.75" customHeight="1">
      <c r="A99" s="31" t="s">
        <v>132</v>
      </c>
      <c r="B99" s="32">
        <v>2115</v>
      </c>
      <c r="C99" s="274">
        <f t="shared" si="13"/>
        <v>1.9461937380452388E-6</v>
      </c>
      <c r="D99" s="271">
        <f t="shared" si="19"/>
        <v>1.9461937380452388E-6</v>
      </c>
      <c r="E99" s="34">
        <f t="shared" si="1"/>
        <v>0</v>
      </c>
      <c r="F99" s="42">
        <v>4000</v>
      </c>
      <c r="G99" s="34">
        <f t="shared" si="2"/>
        <v>7784774.9521809556</v>
      </c>
      <c r="H99" s="34">
        <f t="shared" si="3"/>
        <v>7745851.0774200512</v>
      </c>
      <c r="I99" s="35">
        <f t="shared" si="21"/>
        <v>1</v>
      </c>
      <c r="J99" s="36">
        <f t="shared" si="4"/>
        <v>7745851.0774200512</v>
      </c>
      <c r="K99" s="34">
        <f t="shared" si="16"/>
        <v>186013098919.94971</v>
      </c>
      <c r="L99" s="37">
        <f t="shared" si="22"/>
        <v>222893715242.87427</v>
      </c>
      <c r="M99" s="34">
        <f t="shared" si="5"/>
        <v>14049483089.591751</v>
      </c>
      <c r="N99" s="34">
        <f t="shared" si="6"/>
        <v>0</v>
      </c>
      <c r="O99" s="34">
        <f t="shared" si="7"/>
        <v>14049483089.591751</v>
      </c>
      <c r="P99" s="34">
        <f t="shared" si="25"/>
        <v>1404948308.9591751</v>
      </c>
      <c r="Q99" s="38">
        <f t="shared" si="8"/>
        <v>12581312106.729414</v>
      </c>
      <c r="R99" s="39">
        <f t="shared" si="9"/>
        <v>1258131210.6729414</v>
      </c>
      <c r="S99" s="34">
        <f t="shared" si="10"/>
        <v>11323180896.056473</v>
      </c>
      <c r="T99" s="40">
        <f t="shared" si="24"/>
        <v>10028522638.506128</v>
      </c>
      <c r="U99" s="272">
        <f t="shared" si="11"/>
        <v>6.8310681663272103E-4</v>
      </c>
      <c r="V99" s="282">
        <f t="shared" si="12"/>
        <v>137.74048921659391</v>
      </c>
      <c r="W99" s="283">
        <f>((S99+'Malawi-only'!S99)/(T99*(U99+'Malawi-only'!U99))/12)</f>
        <v>33.528456422280151</v>
      </c>
      <c r="X99" s="284">
        <f>(R99+'Malawi-only'!R99)</f>
        <v>3580889383.1236849</v>
      </c>
      <c r="Y99" s="284">
        <f>(L99+'Malawi-only'!L99)</f>
        <v>305195818778.03613</v>
      </c>
      <c r="Z99" s="284">
        <f>(Q99+'Malawi-only'!Q99)</f>
        <v>17226828451.630901</v>
      </c>
    </row>
    <row r="100" spans="1:26" ht="15.75" customHeight="1">
      <c r="A100" s="31" t="s">
        <v>133</v>
      </c>
      <c r="B100" s="32">
        <v>2116</v>
      </c>
      <c r="C100" s="274">
        <f t="shared" si="13"/>
        <v>1.751574364240715E-6</v>
      </c>
      <c r="D100" s="271">
        <f t="shared" si="19"/>
        <v>1.751574364240715E-6</v>
      </c>
      <c r="E100" s="34">
        <f t="shared" si="1"/>
        <v>0</v>
      </c>
      <c r="F100" s="42">
        <v>4000</v>
      </c>
      <c r="G100" s="34">
        <f t="shared" si="2"/>
        <v>7006297.4569628602</v>
      </c>
      <c r="H100" s="34">
        <f t="shared" si="3"/>
        <v>6971265.9696780462</v>
      </c>
      <c r="I100" s="35">
        <f t="shared" si="21"/>
        <v>1</v>
      </c>
      <c r="J100" s="36">
        <f t="shared" si="4"/>
        <v>6971265.9696780462</v>
      </c>
      <c r="K100" s="34">
        <f t="shared" si="16"/>
        <v>186020070185.91937</v>
      </c>
      <c r="L100" s="37">
        <f t="shared" si="22"/>
        <v>224193482000.39423</v>
      </c>
      <c r="M100" s="34">
        <f t="shared" si="5"/>
        <v>14131461546.398228</v>
      </c>
      <c r="N100" s="34">
        <f t="shared" si="6"/>
        <v>0</v>
      </c>
      <c r="O100" s="34">
        <f t="shared" si="7"/>
        <v>14131461546.398228</v>
      </c>
      <c r="P100" s="34">
        <f t="shared" si="25"/>
        <v>1413146154.639823</v>
      </c>
      <c r="Q100" s="38">
        <f t="shared" si="8"/>
        <v>12654723814.799612</v>
      </c>
      <c r="R100" s="39">
        <f t="shared" si="9"/>
        <v>1265472381.4799612</v>
      </c>
      <c r="S100" s="34">
        <f t="shared" si="10"/>
        <v>11389251433.319651</v>
      </c>
      <c r="T100" s="40">
        <f t="shared" si="24"/>
        <v>10018494115.867622</v>
      </c>
      <c r="U100" s="272">
        <f t="shared" si="11"/>
        <v>6.8310681663272103E-4</v>
      </c>
      <c r="V100" s="282">
        <f t="shared" si="12"/>
        <v>138.68288514040907</v>
      </c>
      <c r="W100" s="283">
        <f>((S100+'Malawi-only'!S100)/(T100*(U100+'Malawi-only'!U100))/12)</f>
        <v>33.757919050200954</v>
      </c>
      <c r="X100" s="284">
        <f>(R100+'Malawi-only'!R100)</f>
        <v>3601811000.2688379</v>
      </c>
      <c r="Y100" s="284">
        <f>(L100+'Malawi-only'!L100)</f>
        <v>306976378511.26538</v>
      </c>
      <c r="Z100" s="284">
        <f>(Q100+'Malawi-only'!Q100)</f>
        <v>17327401052.377365</v>
      </c>
    </row>
    <row r="101" spans="1:26" ht="15.75" customHeight="1">
      <c r="A101" s="31" t="s">
        <v>134</v>
      </c>
      <c r="B101" s="32">
        <v>2117</v>
      </c>
      <c r="C101" s="274">
        <f t="shared" si="13"/>
        <v>1.5764169278166435E-6</v>
      </c>
      <c r="D101" s="271">
        <f t="shared" si="19"/>
        <v>1.5764169278166435E-6</v>
      </c>
      <c r="E101" s="34">
        <f t="shared" si="1"/>
        <v>0</v>
      </c>
      <c r="F101" s="42">
        <v>4000</v>
      </c>
      <c r="G101" s="34">
        <f t="shared" si="2"/>
        <v>6305667.7112665735</v>
      </c>
      <c r="H101" s="34">
        <f t="shared" si="3"/>
        <v>6274139.372710241</v>
      </c>
      <c r="I101" s="35">
        <f t="shared" si="21"/>
        <v>1</v>
      </c>
      <c r="J101" s="36">
        <f t="shared" si="4"/>
        <v>6274139.372710241</v>
      </c>
      <c r="K101" s="34">
        <f t="shared" si="16"/>
        <v>186026344325.29208</v>
      </c>
      <c r="L101" s="37">
        <f t="shared" si="22"/>
        <v>225500095843.25958</v>
      </c>
      <c r="M101" s="34">
        <f t="shared" si="5"/>
        <v>14213866758.824993</v>
      </c>
      <c r="N101" s="34">
        <f t="shared" si="6"/>
        <v>0</v>
      </c>
      <c r="O101" s="34">
        <f t="shared" si="7"/>
        <v>14213866758.824993</v>
      </c>
      <c r="P101" s="34">
        <f t="shared" si="25"/>
        <v>1421386675.8824995</v>
      </c>
      <c r="Q101" s="38">
        <f t="shared" si="8"/>
        <v>12728517682.527781</v>
      </c>
      <c r="R101" s="39">
        <f t="shared" si="9"/>
        <v>1272851768.2527781</v>
      </c>
      <c r="S101" s="34">
        <f t="shared" si="10"/>
        <v>11455665914.275002</v>
      </c>
      <c r="T101" s="40">
        <f t="shared" si="24"/>
        <v>10008475621.751757</v>
      </c>
      <c r="U101" s="272">
        <f t="shared" si="11"/>
        <v>6.8310681663272103E-4</v>
      </c>
      <c r="V101" s="282">
        <f t="shared" si="12"/>
        <v>139.6312219992902</v>
      </c>
      <c r="W101" s="283">
        <f>((S101+'Malawi-only'!S101)/(T101*(U101+'Malawi-only'!U101))/12)</f>
        <v>33.988821632402242</v>
      </c>
      <c r="X101" s="284">
        <f>(R101+'Malawi-only'!R101)</f>
        <v>3622838825.5206571</v>
      </c>
      <c r="Y101" s="284">
        <f>(L101+'Malawi-only'!L101)</f>
        <v>308766232347.5675</v>
      </c>
      <c r="Z101" s="284">
        <f>(Q101+'Malawi-only'!Q101)</f>
        <v>17428491797.063538</v>
      </c>
    </row>
    <row r="102" spans="1:26" ht="15.75" customHeight="1">
      <c r="A102" s="31" t="s">
        <v>135</v>
      </c>
      <c r="B102" s="32">
        <v>2118</v>
      </c>
      <c r="C102" s="274">
        <f t="shared" si="13"/>
        <v>1.4187752350349792E-6</v>
      </c>
      <c r="D102" s="271">
        <f t="shared" si="19"/>
        <v>1.4187752350349792E-6</v>
      </c>
      <c r="E102" s="34">
        <f t="shared" si="1"/>
        <v>0</v>
      </c>
      <c r="F102" s="42">
        <v>4000</v>
      </c>
      <c r="G102" s="34">
        <f t="shared" si="2"/>
        <v>5675100.9401399167</v>
      </c>
      <c r="H102" s="34">
        <f t="shared" si="3"/>
        <v>5646725.4354392169</v>
      </c>
      <c r="I102" s="35">
        <f t="shared" si="21"/>
        <v>1</v>
      </c>
      <c r="J102" s="36">
        <f t="shared" si="4"/>
        <v>5646725.4354392169</v>
      </c>
      <c r="K102" s="34">
        <f t="shared" si="16"/>
        <v>186031991050.72751</v>
      </c>
      <c r="L102" s="37">
        <f t="shared" si="22"/>
        <v>226813665679.95523</v>
      </c>
      <c r="M102" s="34">
        <f t="shared" si="5"/>
        <v>14296706076.462658</v>
      </c>
      <c r="N102" s="34">
        <f t="shared" si="6"/>
        <v>0</v>
      </c>
      <c r="O102" s="34">
        <f t="shared" si="7"/>
        <v>14296706076.462658</v>
      </c>
      <c r="P102" s="34">
        <f t="shared" si="25"/>
        <v>1429670607.646266</v>
      </c>
      <c r="Q102" s="38">
        <f t="shared" si="8"/>
        <v>12802700291.472309</v>
      </c>
      <c r="R102" s="39">
        <f t="shared" si="9"/>
        <v>1280270029.1472309</v>
      </c>
      <c r="S102" s="34">
        <f t="shared" si="10"/>
        <v>11522430262.325079</v>
      </c>
      <c r="T102" s="40">
        <f t="shared" si="24"/>
        <v>9998467146.1300068</v>
      </c>
      <c r="U102" s="272">
        <f t="shared" si="11"/>
        <v>6.8310681663272103E-4</v>
      </c>
      <c r="V102" s="282">
        <f t="shared" si="12"/>
        <v>140.58558721083537</v>
      </c>
      <c r="W102" s="283">
        <f>((S102+'Malawi-only'!S102)/(T102*(U102+'Malawi-only'!U102))/12)</f>
        <v>34.221186062779296</v>
      </c>
      <c r="X102" s="284">
        <f>(R102+'Malawi-only'!R102)</f>
        <v>3643974989.242795</v>
      </c>
      <c r="Y102" s="284">
        <f>(L102+'Malawi-only'!L102)</f>
        <v>310565537560.76062</v>
      </c>
      <c r="Z102" s="284">
        <f>(Q102+'Malawi-only'!Q102)</f>
        <v>17530110211.663437</v>
      </c>
    </row>
    <row r="103" spans="1:26" ht="15.75" customHeight="1">
      <c r="A103" s="31" t="s">
        <v>136</v>
      </c>
      <c r="B103" s="32">
        <v>2119</v>
      </c>
      <c r="C103" s="274">
        <f t="shared" si="13"/>
        <v>1.2768977115314813E-6</v>
      </c>
      <c r="D103" s="271">
        <f t="shared" si="19"/>
        <v>1.2768977115314813E-6</v>
      </c>
      <c r="E103" s="34">
        <f t="shared" si="1"/>
        <v>0</v>
      </c>
      <c r="F103" s="42">
        <v>4000</v>
      </c>
      <c r="G103" s="34">
        <f t="shared" si="2"/>
        <v>5107590.846125925</v>
      </c>
      <c r="H103" s="34">
        <f t="shared" si="3"/>
        <v>5082052.8918952951</v>
      </c>
      <c r="I103" s="35">
        <f t="shared" si="21"/>
        <v>1</v>
      </c>
      <c r="J103" s="36">
        <f t="shared" si="4"/>
        <v>5082052.8918952951</v>
      </c>
      <c r="K103" s="34">
        <f t="shared" si="16"/>
        <v>186037073103.61942</v>
      </c>
      <c r="L103" s="37">
        <f t="shared" si="22"/>
        <v>228134294131.32318</v>
      </c>
      <c r="M103" s="34">
        <f t="shared" si="5"/>
        <v>14379986404.109161</v>
      </c>
      <c r="N103" s="34">
        <f t="shared" si="6"/>
        <v>0</v>
      </c>
      <c r="O103" s="34">
        <f t="shared" si="7"/>
        <v>14379986404.109161</v>
      </c>
      <c r="P103" s="34">
        <f t="shared" si="25"/>
        <v>1437998640.4109163</v>
      </c>
      <c r="Q103" s="38">
        <f t="shared" si="8"/>
        <v>12877277824.879755</v>
      </c>
      <c r="R103" s="39">
        <f t="shared" si="9"/>
        <v>1287727782.4879756</v>
      </c>
      <c r="S103" s="34">
        <f t="shared" si="10"/>
        <v>11589550042.391779</v>
      </c>
      <c r="T103" s="40">
        <f t="shared" si="24"/>
        <v>9988468678.9838772</v>
      </c>
      <c r="U103" s="272">
        <f t="shared" si="11"/>
        <v>6.8310681663272103E-4</v>
      </c>
      <c r="V103" s="282">
        <f t="shared" si="12"/>
        <v>141.5460641323748</v>
      </c>
      <c r="W103" s="283">
        <f>((S103+'Malawi-only'!S103)/(T103*(U103+'Malawi-only'!U103))/12)</f>
        <v>34.455033185967928</v>
      </c>
      <c r="X103" s="284">
        <f>(R103+'Malawi-only'!R103)</f>
        <v>3665221482.7235565</v>
      </c>
      <c r="Y103" s="284">
        <f>(L103+'Malawi-only'!L103)</f>
        <v>312374442000.36023</v>
      </c>
      <c r="Z103" s="284">
        <f>(Q103+'Malawi-only'!Q103)</f>
        <v>17632265225.350918</v>
      </c>
    </row>
    <row r="104" spans="1:26" ht="15.75" customHeight="1">
      <c r="A104" s="31" t="s">
        <v>137</v>
      </c>
      <c r="B104" s="32">
        <v>2120</v>
      </c>
      <c r="C104" s="274">
        <f t="shared" si="13"/>
        <v>1.1492079403783331E-6</v>
      </c>
      <c r="D104" s="271">
        <f t="shared" si="19"/>
        <v>1.1492079403783331E-6</v>
      </c>
      <c r="E104" s="34">
        <f t="shared" si="1"/>
        <v>0</v>
      </c>
      <c r="F104" s="42">
        <v>4000</v>
      </c>
      <c r="G104" s="34">
        <f t="shared" si="2"/>
        <v>4596831.7615133328</v>
      </c>
      <c r="H104" s="34">
        <f t="shared" si="3"/>
        <v>4573847.6027057664</v>
      </c>
      <c r="I104" s="35">
        <f t="shared" si="21"/>
        <v>1</v>
      </c>
      <c r="J104" s="36">
        <f t="shared" si="4"/>
        <v>4573847.6027057664</v>
      </c>
      <c r="K104" s="34">
        <f t="shared" si="16"/>
        <v>186041646951.22211</v>
      </c>
      <c r="L104" s="37">
        <f t="shared" si="22"/>
        <v>229462078186.02713</v>
      </c>
      <c r="M104" s="34">
        <f t="shared" si="5"/>
        <v>14463714247.92589</v>
      </c>
      <c r="N104" s="34">
        <f t="shared" si="6"/>
        <v>0</v>
      </c>
      <c r="O104" s="34">
        <f t="shared" si="7"/>
        <v>14463714247.92589</v>
      </c>
      <c r="P104" s="34">
        <f t="shared" si="25"/>
        <v>1446371424.7925892</v>
      </c>
      <c r="Q104" s="38">
        <f t="shared" si="8"/>
        <v>12952256109.017633</v>
      </c>
      <c r="R104" s="39">
        <f t="shared" si="9"/>
        <v>1295225610.9017634</v>
      </c>
      <c r="S104" s="34">
        <f t="shared" si="10"/>
        <v>11657030498.11587</v>
      </c>
      <c r="T104" s="40">
        <f t="shared" si="24"/>
        <v>9978480210.3048935</v>
      </c>
      <c r="U104" s="272">
        <f t="shared" si="11"/>
        <v>6.8310681663272103E-4</v>
      </c>
      <c r="V104" s="282">
        <f t="shared" si="12"/>
        <v>142.51273249461056</v>
      </c>
      <c r="W104" s="283">
        <f>((S104+'Malawi-only'!S104)/(T104*(U104+'Malawi-only'!U104))/12)</f>
        <v>34.690382908939618</v>
      </c>
      <c r="X104" s="284">
        <f>(R104+'Malawi-only'!R104)</f>
        <v>3686580172.5118713</v>
      </c>
      <c r="Y104" s="284">
        <f>(L104+'Malawi-only'!L104)</f>
        <v>314193085070.56873</v>
      </c>
      <c r="Z104" s="284">
        <f>(Q104+'Malawi-only'!Q104)</f>
        <v>17734965232.23785</v>
      </c>
    </row>
    <row r="105" spans="1:26" ht="15.75" customHeight="1">
      <c r="A105" s="31" t="s">
        <v>138</v>
      </c>
      <c r="B105" s="32">
        <v>2121</v>
      </c>
      <c r="C105" s="274">
        <f t="shared" si="13"/>
        <v>1.0342871463404998E-6</v>
      </c>
      <c r="D105" s="271">
        <f t="shared" si="19"/>
        <v>1.0342871463404998E-6</v>
      </c>
      <c r="E105" s="34">
        <f t="shared" si="1"/>
        <v>0</v>
      </c>
      <c r="F105" s="42">
        <v>4000</v>
      </c>
      <c r="G105" s="34">
        <f t="shared" si="2"/>
        <v>4137148.5853619995</v>
      </c>
      <c r="H105" s="34">
        <f t="shared" si="3"/>
        <v>4116462.8424351895</v>
      </c>
      <c r="I105" s="35">
        <f t="shared" si="21"/>
        <v>1</v>
      </c>
      <c r="J105" s="36">
        <f t="shared" si="4"/>
        <v>4116462.8424351895</v>
      </c>
      <c r="K105" s="34">
        <f t="shared" si="16"/>
        <v>186045763414.06454</v>
      </c>
      <c r="L105" s="37">
        <f t="shared" si="22"/>
        <v>230797109790.62537</v>
      </c>
      <c r="M105" s="34">
        <f t="shared" si="5"/>
        <v>14547895756.99412</v>
      </c>
      <c r="N105" s="34">
        <f t="shared" si="6"/>
        <v>0</v>
      </c>
      <c r="O105" s="34">
        <f t="shared" si="7"/>
        <v>14547895756.99412</v>
      </c>
      <c r="P105" s="34">
        <f t="shared" si="25"/>
        <v>1454789575.6994121</v>
      </c>
      <c r="Q105" s="38">
        <f t="shared" si="8"/>
        <v>13027640650.388235</v>
      </c>
      <c r="R105" s="39">
        <f t="shared" si="9"/>
        <v>1302764065.0388236</v>
      </c>
      <c r="S105" s="34">
        <f t="shared" si="10"/>
        <v>11724876585.349411</v>
      </c>
      <c r="T105" s="40">
        <f t="shared" si="24"/>
        <v>9968501730.0945892</v>
      </c>
      <c r="U105" s="272">
        <f t="shared" si="11"/>
        <v>6.8310681663272103E-4</v>
      </c>
      <c r="V105" s="282">
        <f t="shared" si="12"/>
        <v>143.48566879255628</v>
      </c>
      <c r="W105" s="283">
        <f>((S105+'Malawi-only'!S105)/(T105*(U105+'Malawi-only'!U105))/12)</f>
        <v>34.927254301601735</v>
      </c>
      <c r="X105" s="284">
        <f>(R105+'Malawi-only'!R105)</f>
        <v>3708052813.3227153</v>
      </c>
      <c r="Y105" s="284">
        <f>(L105+'Malawi-only'!L105)</f>
        <v>316021598611.57947</v>
      </c>
      <c r="Z105" s="284">
        <f>(Q105+'Malawi-only'!Q105)</f>
        <v>17838218146.956017</v>
      </c>
    </row>
    <row r="106" spans="1:26" ht="15.75" customHeight="1">
      <c r="A106" s="31" t="s">
        <v>139</v>
      </c>
      <c r="B106" s="32">
        <v>2122</v>
      </c>
      <c r="C106" s="274">
        <f t="shared" si="13"/>
        <v>9.3085843170644987E-7</v>
      </c>
      <c r="D106" s="271">
        <f t="shared" si="19"/>
        <v>9.3085843170644987E-7</v>
      </c>
      <c r="E106" s="34">
        <f t="shared" si="1"/>
        <v>0</v>
      </c>
      <c r="F106" s="42">
        <v>4000</v>
      </c>
      <c r="G106" s="34">
        <f t="shared" si="2"/>
        <v>3723433.7268257998</v>
      </c>
      <c r="H106" s="34">
        <f t="shared" si="3"/>
        <v>3704816.5581916706</v>
      </c>
      <c r="I106" s="35">
        <f t="shared" si="21"/>
        <v>1</v>
      </c>
      <c r="J106" s="36">
        <f t="shared" si="4"/>
        <v>3704816.5581916706</v>
      </c>
      <c r="K106" s="34">
        <f t="shared" si="16"/>
        <v>186049468230.62274</v>
      </c>
      <c r="L106" s="37">
        <f t="shared" si="22"/>
        <v>232139476380.79153</v>
      </c>
      <c r="M106" s="34">
        <f t="shared" si="5"/>
        <v>14632536760.725647</v>
      </c>
      <c r="N106" s="34">
        <f t="shared" si="6"/>
        <v>0</v>
      </c>
      <c r="O106" s="34">
        <f t="shared" si="7"/>
        <v>14632536760.725647</v>
      </c>
      <c r="P106" s="34">
        <f t="shared" si="25"/>
        <v>1463253676.0725648</v>
      </c>
      <c r="Q106" s="38">
        <f t="shared" si="8"/>
        <v>13103436669.229816</v>
      </c>
      <c r="R106" s="39">
        <f t="shared" si="9"/>
        <v>1310343666.9229817</v>
      </c>
      <c r="S106" s="34">
        <f t="shared" si="10"/>
        <v>11793093002.306835</v>
      </c>
      <c r="T106" s="40">
        <f t="shared" si="24"/>
        <v>9958533228.3644962</v>
      </c>
      <c r="U106" s="272">
        <f t="shared" si="11"/>
        <v>6.8310681663272103E-4</v>
      </c>
      <c r="V106" s="282">
        <f t="shared" si="12"/>
        <v>144.46494663794985</v>
      </c>
      <c r="W106" s="283">
        <f>((S106+'Malawi-only'!S106)/(T106*(U106+'Malawi-only'!U106))/12)</f>
        <v>35.165665687480676</v>
      </c>
      <c r="X106" s="284">
        <f>(R106+'Malawi-only'!R106)</f>
        <v>3729641059.6544933</v>
      </c>
      <c r="Y106" s="284">
        <f>(L106+'Malawi-only'!L106)</f>
        <v>317860107692.96179</v>
      </c>
      <c r="Z106" s="284">
        <f>(Q106+'Malawi-only'!Q106)</f>
        <v>17942031454.692841</v>
      </c>
    </row>
    <row r="107" spans="1:26" ht="15.75" customHeight="1">
      <c r="A107" s="31" t="s">
        <v>140</v>
      </c>
      <c r="B107" s="32">
        <v>2123</v>
      </c>
      <c r="C107" s="274">
        <f t="shared" si="13"/>
        <v>8.3777258853580491E-7</v>
      </c>
      <c r="D107" s="271">
        <f t="shared" si="19"/>
        <v>8.3777258853580491E-7</v>
      </c>
      <c r="E107" s="34">
        <f t="shared" si="1"/>
        <v>0</v>
      </c>
      <c r="F107" s="42">
        <v>4000</v>
      </c>
      <c r="G107" s="34">
        <f t="shared" si="2"/>
        <v>3351090.3541432195</v>
      </c>
      <c r="H107" s="34">
        <f t="shared" si="3"/>
        <v>3334334.9023725037</v>
      </c>
      <c r="I107" s="35">
        <f t="shared" si="21"/>
        <v>1</v>
      </c>
      <c r="J107" s="36">
        <f t="shared" si="4"/>
        <v>3334334.9023725037</v>
      </c>
      <c r="K107" s="34">
        <f t="shared" si="16"/>
        <v>186052802565.52512</v>
      </c>
      <c r="L107" s="37">
        <f t="shared" si="22"/>
        <v>233489261359.57062</v>
      </c>
      <c r="M107" s="34">
        <f t="shared" si="5"/>
        <v>14717642802.542183</v>
      </c>
      <c r="N107" s="34">
        <f t="shared" si="6"/>
        <v>0</v>
      </c>
      <c r="O107" s="34">
        <f t="shared" si="7"/>
        <v>14717642802.542183</v>
      </c>
      <c r="P107" s="34">
        <f t="shared" si="25"/>
        <v>1471764280.2542183</v>
      </c>
      <c r="Q107" s="38">
        <f t="shared" si="8"/>
        <v>13179649129.676523</v>
      </c>
      <c r="R107" s="39">
        <f t="shared" si="9"/>
        <v>1317964912.9676523</v>
      </c>
      <c r="S107" s="34">
        <f t="shared" si="10"/>
        <v>11861684216.70887</v>
      </c>
      <c r="T107" s="40">
        <f t="shared" si="24"/>
        <v>9948574695.1361332</v>
      </c>
      <c r="U107" s="272">
        <f t="shared" si="11"/>
        <v>6.8310681663272103E-4</v>
      </c>
      <c r="V107" s="282">
        <f t="shared" si="12"/>
        <v>145.45063707695863</v>
      </c>
      <c r="W107" s="283">
        <f>((S107+'Malawi-only'!S107)/(T107*(U107+'Malawi-only'!U107))/12)</f>
        <v>35.405634725470982</v>
      </c>
      <c r="X107" s="284">
        <f>(R107+'Malawi-only'!R107)</f>
        <v>3751346476.2471876</v>
      </c>
      <c r="Y107" s="284">
        <f>(L107+'Malawi-only'!L107)</f>
        <v>319708731327.92346</v>
      </c>
      <c r="Z107" s="284">
        <f>(Q107+'Malawi-only'!Q107)</f>
        <v>18046412256.235596</v>
      </c>
    </row>
    <row r="108" spans="1:26" ht="15.75" customHeight="1">
      <c r="A108" s="31" t="s">
        <v>141</v>
      </c>
      <c r="B108" s="32">
        <v>2124</v>
      </c>
      <c r="C108" s="274">
        <f t="shared" si="13"/>
        <v>7.5399532968222447E-7</v>
      </c>
      <c r="D108" s="271">
        <f t="shared" si="19"/>
        <v>7.5399532968222447E-7</v>
      </c>
      <c r="E108" s="34">
        <f t="shared" si="1"/>
        <v>0</v>
      </c>
      <c r="F108" s="42">
        <v>4000</v>
      </c>
      <c r="G108" s="34">
        <f t="shared" si="2"/>
        <v>3015981.3187288977</v>
      </c>
      <c r="H108" s="34">
        <f t="shared" si="3"/>
        <v>3000901.4121352532</v>
      </c>
      <c r="I108" s="35">
        <f t="shared" si="21"/>
        <v>1</v>
      </c>
      <c r="J108" s="36">
        <f t="shared" si="4"/>
        <v>3000901.4121352532</v>
      </c>
      <c r="K108" s="34">
        <f t="shared" si="16"/>
        <v>186055803466.93726</v>
      </c>
      <c r="L108" s="37">
        <f t="shared" si="22"/>
        <v>234846544527.96637</v>
      </c>
      <c r="M108" s="34">
        <f t="shared" si="5"/>
        <v>14803219170.196777</v>
      </c>
      <c r="N108" s="34">
        <f t="shared" si="6"/>
        <v>0</v>
      </c>
      <c r="O108" s="34">
        <f t="shared" si="7"/>
        <v>14803219170.196777</v>
      </c>
      <c r="P108" s="34">
        <f t="shared" si="25"/>
        <v>1480321917.0196779</v>
      </c>
      <c r="Q108" s="38">
        <f t="shared" si="8"/>
        <v>13256282766.911213</v>
      </c>
      <c r="R108" s="39">
        <f t="shared" si="9"/>
        <v>1325628276.6911213</v>
      </c>
      <c r="S108" s="34">
        <f t="shared" si="10"/>
        <v>11930654490.220091</v>
      </c>
      <c r="T108" s="40">
        <f t="shared" si="24"/>
        <v>9938626120.4409981</v>
      </c>
      <c r="U108" s="272">
        <f t="shared" si="11"/>
        <v>6.8310681663272103E-4</v>
      </c>
      <c r="V108" s="282">
        <f t="shared" si="12"/>
        <v>146.44280887661785</v>
      </c>
      <c r="W108" s="283">
        <f>((S108+'Malawi-only'!S108)/(T108*(U108+'Malawi-only'!U108))/12)</f>
        <v>35.647178483536187</v>
      </c>
      <c r="X108" s="284">
        <f>(R108+'Malawi-only'!R108)</f>
        <v>3773170547.497242</v>
      </c>
      <c r="Y108" s="284">
        <f>(L108+'Malawi-only'!L108)</f>
        <v>321567583116.36194</v>
      </c>
      <c r="Z108" s="284">
        <f>(Q108+'Malawi-only'!Q108)</f>
        <v>18151367308.523453</v>
      </c>
    </row>
    <row r="109" spans="1:26" ht="15.75" customHeight="1">
      <c r="A109" s="31" t="s">
        <v>142</v>
      </c>
      <c r="B109" s="32">
        <v>2125</v>
      </c>
      <c r="C109" s="274">
        <f t="shared" si="13"/>
        <v>6.7859579671400203E-7</v>
      </c>
      <c r="D109" s="271">
        <f t="shared" si="19"/>
        <v>6.7859579671400203E-7</v>
      </c>
      <c r="E109" s="34">
        <f t="shared" si="1"/>
        <v>0</v>
      </c>
      <c r="F109" s="42">
        <v>4000</v>
      </c>
      <c r="G109" s="34">
        <f t="shared" si="2"/>
        <v>2714383.1868560081</v>
      </c>
      <c r="H109" s="34">
        <f t="shared" si="3"/>
        <v>2700811.2709217281</v>
      </c>
      <c r="I109" s="35">
        <f t="shared" si="21"/>
        <v>1</v>
      </c>
      <c r="J109" s="36">
        <f t="shared" si="4"/>
        <v>2700811.2709217281</v>
      </c>
      <c r="K109" s="34">
        <f t="shared" si="16"/>
        <v>186058504278.20819</v>
      </c>
      <c r="L109" s="37">
        <f t="shared" si="22"/>
        <v>236211402472.62888</v>
      </c>
      <c r="M109" s="34">
        <f t="shared" si="5"/>
        <v>14889270923.073067</v>
      </c>
      <c r="N109" s="34">
        <f t="shared" si="6"/>
        <v>0</v>
      </c>
      <c r="O109" s="34">
        <f t="shared" si="7"/>
        <v>14889270923.073067</v>
      </c>
      <c r="P109" s="34">
        <f t="shared" si="25"/>
        <v>1488927092.3073068</v>
      </c>
      <c r="Q109" s="38">
        <f t="shared" si="8"/>
        <v>13333342111.611931</v>
      </c>
      <c r="R109" s="39">
        <f t="shared" si="9"/>
        <v>1333334211.1611931</v>
      </c>
      <c r="S109" s="34">
        <f t="shared" si="10"/>
        <v>12000007900.450737</v>
      </c>
      <c r="T109" s="40">
        <f t="shared" si="24"/>
        <v>9928687494.3205585</v>
      </c>
      <c r="U109" s="272">
        <f t="shared" si="11"/>
        <v>6.8310681663272103E-4</v>
      </c>
      <c r="V109" s="282">
        <f t="shared" si="12"/>
        <v>147.44152878310214</v>
      </c>
      <c r="W109" s="283">
        <f>((S109+'Malawi-only'!S109)/(T109*(U109+'Malawi-only'!U109))/12)</f>
        <v>35.890313505159256</v>
      </c>
      <c r="X109" s="284">
        <f>(R109+'Malawi-only'!R109)</f>
        <v>3795114685.933485</v>
      </c>
      <c r="Y109" s="284">
        <f>(L109+'Malawi-only'!L109)</f>
        <v>323436771823.82794</v>
      </c>
      <c r="Z109" s="284">
        <f>(Q109+'Malawi-only'!Q109)</f>
        <v>18256903061.156513</v>
      </c>
    </row>
    <row r="110" spans="1:26" ht="15.75" customHeight="1">
      <c r="A110" s="31" t="s">
        <v>143</v>
      </c>
      <c r="B110" s="32">
        <v>2126</v>
      </c>
      <c r="C110" s="274">
        <f t="shared" si="13"/>
        <v>6.1073621704260186E-7</v>
      </c>
      <c r="D110" s="271">
        <f t="shared" si="19"/>
        <v>6.1073621704260186E-7</v>
      </c>
      <c r="E110" s="34">
        <f t="shared" si="1"/>
        <v>0</v>
      </c>
      <c r="F110" s="42">
        <v>4000</v>
      </c>
      <c r="G110" s="34">
        <f t="shared" si="2"/>
        <v>2442944.8681704076</v>
      </c>
      <c r="H110" s="34">
        <f t="shared" si="3"/>
        <v>2430730.1438295557</v>
      </c>
      <c r="I110" s="35">
        <f t="shared" si="21"/>
        <v>1</v>
      </c>
      <c r="J110" s="36">
        <f t="shared" si="4"/>
        <v>2430730.1438295557</v>
      </c>
      <c r="K110" s="34">
        <f t="shared" si="16"/>
        <v>186060935008.35202</v>
      </c>
      <c r="L110" s="37">
        <f t="shared" si="22"/>
        <v>237583908914.9325</v>
      </c>
      <c r="M110" s="34">
        <f t="shared" si="5"/>
        <v>14975802916.764669</v>
      </c>
      <c r="N110" s="34">
        <f t="shared" si="6"/>
        <v>0</v>
      </c>
      <c r="O110" s="34">
        <f t="shared" si="7"/>
        <v>14975802916.764669</v>
      </c>
      <c r="P110" s="34">
        <f t="shared" si="25"/>
        <v>1497580291.6764669</v>
      </c>
      <c r="Q110" s="38">
        <f t="shared" si="8"/>
        <v>13410831511.962763</v>
      </c>
      <c r="R110" s="39">
        <f t="shared" si="9"/>
        <v>1341083151.1962764</v>
      </c>
      <c r="S110" s="34">
        <f t="shared" si="10"/>
        <v>12069748360.766487</v>
      </c>
      <c r="T110" s="40">
        <f t="shared" si="24"/>
        <v>9918758806.8262386</v>
      </c>
      <c r="U110" s="272">
        <f t="shared" si="11"/>
        <v>6.8310681663272103E-4</v>
      </c>
      <c r="V110" s="282">
        <f t="shared" si="12"/>
        <v>148.44686175462382</v>
      </c>
      <c r="W110" s="283">
        <f>((S110+'Malawi-only'!S110)/(T110*(U110+'Malawi-only'!U110))/12)</f>
        <v>36.13505586926167</v>
      </c>
      <c r="X110" s="284">
        <f>(R110+'Malawi-only'!R110)</f>
        <v>3817180239.8480368</v>
      </c>
      <c r="Y110" s="284">
        <f>(L110+'Malawi-only'!L110)</f>
        <v>325316401902.81042</v>
      </c>
      <c r="Z110" s="284">
        <f>(Q110+'Malawi-only'!Q110)</f>
        <v>18363025689.266285</v>
      </c>
    </row>
    <row r="111" spans="1:26" ht="15.75" customHeight="1">
      <c r="A111" s="31" t="s">
        <v>144</v>
      </c>
      <c r="B111" s="32">
        <v>2127</v>
      </c>
      <c r="C111" s="274">
        <f t="shared" si="13"/>
        <v>5.4966259533834165E-7</v>
      </c>
      <c r="D111" s="271">
        <f t="shared" si="19"/>
        <v>5.4966259533834165E-7</v>
      </c>
      <c r="E111" s="34">
        <f t="shared" si="1"/>
        <v>0</v>
      </c>
      <c r="F111" s="42">
        <v>4000</v>
      </c>
      <c r="G111" s="34">
        <f t="shared" si="2"/>
        <v>2198650.3813533667</v>
      </c>
      <c r="H111" s="34">
        <f t="shared" si="3"/>
        <v>2187657.1294465996</v>
      </c>
      <c r="I111" s="35">
        <f t="shared" si="21"/>
        <v>1</v>
      </c>
      <c r="J111" s="36">
        <f t="shared" si="4"/>
        <v>2187657.1294465996</v>
      </c>
      <c r="K111" s="34">
        <f t="shared" si="16"/>
        <v>186063122665.48148</v>
      </c>
      <c r="L111" s="37">
        <f t="shared" si="22"/>
        <v>238964135025.30655</v>
      </c>
      <c r="M111" s="34">
        <f t="shared" si="5"/>
        <v>15062819825.20672</v>
      </c>
      <c r="N111" s="34">
        <f t="shared" si="6"/>
        <v>0</v>
      </c>
      <c r="O111" s="34">
        <f t="shared" si="7"/>
        <v>15062819825.20672</v>
      </c>
      <c r="P111" s="34">
        <f t="shared" si="25"/>
        <v>1506281982.5206721</v>
      </c>
      <c r="Q111" s="38">
        <f t="shared" si="8"/>
        <v>13488755153.472618</v>
      </c>
      <c r="R111" s="39">
        <f t="shared" si="9"/>
        <v>1348875515.3472619</v>
      </c>
      <c r="S111" s="34">
        <f t="shared" si="10"/>
        <v>12139879638.125357</v>
      </c>
      <c r="T111" s="40">
        <f t="shared" si="24"/>
        <v>9908840048.019413</v>
      </c>
      <c r="U111" s="272">
        <f t="shared" si="11"/>
        <v>6.8310681663272103E-4</v>
      </c>
      <c r="V111" s="282">
        <f t="shared" si="12"/>
        <v>149.45887117147262</v>
      </c>
      <c r="W111" s="283">
        <f>((S111+'Malawi-only'!S111)/(T111*(U111+'Malawi-only'!U111))/12)</f>
        <v>36.381421244238524</v>
      </c>
      <c r="X111" s="284">
        <f>(R111+'Malawi-only'!R111)</f>
        <v>3839368500.1666975</v>
      </c>
      <c r="Y111" s="284">
        <f>(L111+'Malawi-only'!L111)</f>
        <v>327206573962.11298</v>
      </c>
      <c r="Z111" s="284">
        <f>(Q111+'Malawi-only'!Q111)</f>
        <v>18469741123.111488</v>
      </c>
    </row>
    <row r="112" spans="1:26" ht="15.75" customHeight="1">
      <c r="A112" s="31" t="s">
        <v>145</v>
      </c>
      <c r="B112" s="32">
        <v>2128</v>
      </c>
      <c r="C112" s="274">
        <f t="shared" si="13"/>
        <v>4.946963358045075E-7</v>
      </c>
      <c r="D112" s="271">
        <f t="shared" si="19"/>
        <v>4.946963358045075E-7</v>
      </c>
      <c r="E112" s="34">
        <f t="shared" si="1"/>
        <v>0</v>
      </c>
      <c r="F112" s="42">
        <v>4000</v>
      </c>
      <c r="G112" s="34">
        <f t="shared" si="2"/>
        <v>1978785.3432180297</v>
      </c>
      <c r="H112" s="34">
        <f t="shared" si="3"/>
        <v>1968891.4165019395</v>
      </c>
      <c r="I112" s="35">
        <f t="shared" si="21"/>
        <v>1</v>
      </c>
      <c r="J112" s="36">
        <f t="shared" si="4"/>
        <v>1968891.4165019395</v>
      </c>
      <c r="K112" s="34">
        <f t="shared" si="16"/>
        <v>186065091556.89798</v>
      </c>
      <c r="L112" s="37">
        <f t="shared" si="22"/>
        <v>240352149706.2941</v>
      </c>
      <c r="M112" s="34">
        <f t="shared" si="5"/>
        <v>15150326160.604435</v>
      </c>
      <c r="N112" s="34">
        <f t="shared" si="6"/>
        <v>0</v>
      </c>
      <c r="O112" s="34">
        <f t="shared" si="7"/>
        <v>15150326160.604435</v>
      </c>
      <c r="P112" s="34">
        <f t="shared" si="25"/>
        <v>1515032616.0604436</v>
      </c>
      <c r="Q112" s="38">
        <f t="shared" si="8"/>
        <v>13567117076.821272</v>
      </c>
      <c r="R112" s="39">
        <f t="shared" si="9"/>
        <v>1356711707.6821272</v>
      </c>
      <c r="S112" s="34">
        <f t="shared" si="10"/>
        <v>12210405369.139145</v>
      </c>
      <c r="T112" s="40">
        <f t="shared" si="24"/>
        <v>9898931207.9713955</v>
      </c>
      <c r="U112" s="272">
        <f t="shared" si="11"/>
        <v>6.8310681663272103E-4</v>
      </c>
      <c r="V112" s="282">
        <f t="shared" si="12"/>
        <v>150.47761902546486</v>
      </c>
      <c r="W112" s="283">
        <f>((S112+'Malawi-only'!S112)/(T112*(U112+'Malawi-only'!U112))/12)</f>
        <v>36.62942493669334</v>
      </c>
      <c r="X112" s="284">
        <f>(R112+'Malawi-only'!R112)</f>
        <v>3861680706.6348782</v>
      </c>
      <c r="Y112" s="284">
        <f>(L112+'Malawi-only'!L112)</f>
        <v>329107385189.51349</v>
      </c>
      <c r="Z112" s="284">
        <f>(Q112+'Malawi-only'!Q112)</f>
        <v>18577055074.726776</v>
      </c>
    </row>
    <row r="113" spans="1:26" ht="15.75" customHeight="1">
      <c r="A113" s="31" t="s">
        <v>146</v>
      </c>
      <c r="B113" s="32">
        <v>2129</v>
      </c>
      <c r="C113" s="274">
        <f t="shared" si="13"/>
        <v>4.4522670222405676E-7</v>
      </c>
      <c r="D113" s="271">
        <f t="shared" si="19"/>
        <v>4.4522670222405676E-7</v>
      </c>
      <c r="E113" s="34">
        <f t="shared" si="1"/>
        <v>0</v>
      </c>
      <c r="F113" s="42">
        <v>4000</v>
      </c>
      <c r="G113" s="34">
        <f t="shared" si="2"/>
        <v>1780906.808896227</v>
      </c>
      <c r="H113" s="34">
        <f t="shared" si="3"/>
        <v>1772002.2748517459</v>
      </c>
      <c r="I113" s="35">
        <f t="shared" si="21"/>
        <v>1</v>
      </c>
      <c r="J113" s="36">
        <f t="shared" si="4"/>
        <v>1772002.2748517459</v>
      </c>
      <c r="K113" s="34">
        <f t="shared" si="16"/>
        <v>186066863559.17282</v>
      </c>
      <c r="L113" s="37">
        <f t="shared" si="22"/>
        <v>241748019847.4671</v>
      </c>
      <c r="M113" s="34">
        <f t="shared" si="5"/>
        <v>15238326291.379045</v>
      </c>
      <c r="N113" s="34">
        <f t="shared" si="6"/>
        <v>0</v>
      </c>
      <c r="O113" s="34">
        <f t="shared" si="7"/>
        <v>15238326291.379045</v>
      </c>
      <c r="P113" s="34">
        <f t="shared" si="25"/>
        <v>1523832629.1379046</v>
      </c>
      <c r="Q113" s="38">
        <f t="shared" si="8"/>
        <v>13645921193.929935</v>
      </c>
      <c r="R113" s="39">
        <f t="shared" si="9"/>
        <v>1364592119.3929937</v>
      </c>
      <c r="S113" s="34">
        <f t="shared" si="10"/>
        <v>12281329074.536942</v>
      </c>
      <c r="T113" s="40">
        <f t="shared" si="24"/>
        <v>9889032276.7634258</v>
      </c>
      <c r="U113" s="272">
        <f t="shared" si="11"/>
        <v>6.8310681663272103E-4</v>
      </c>
      <c r="V113" s="282">
        <f t="shared" si="12"/>
        <v>151.50316609084322</v>
      </c>
      <c r="W113" s="283">
        <f>((S113+'Malawi-only'!S113)/(T113*(U113+'Malawi-only'!U113))/12)</f>
        <v>36.879081935398055</v>
      </c>
      <c r="X113" s="284">
        <f>(R113+'Malawi-only'!R113)</f>
        <v>3884118053.3875618</v>
      </c>
      <c r="Y113" s="284">
        <f>(L113+'Malawi-only'!L113)</f>
        <v>331018929732.37976</v>
      </c>
      <c r="Z113" s="284">
        <f>(Q113+'Malawi-only'!Q113)</f>
        <v>18684973061.919071</v>
      </c>
    </row>
    <row r="114" spans="1:26" ht="15.75" customHeight="1">
      <c r="A114" s="31" t="s">
        <v>147</v>
      </c>
      <c r="B114" s="32">
        <v>2130</v>
      </c>
      <c r="C114" s="274">
        <f t="shared" si="13"/>
        <v>4.0070403200165108E-7</v>
      </c>
      <c r="D114" s="271">
        <f t="shared" si="19"/>
        <v>4.0070403200165108E-7</v>
      </c>
      <c r="E114" s="34">
        <f t="shared" si="1"/>
        <v>0</v>
      </c>
      <c r="F114" s="42">
        <v>4000</v>
      </c>
      <c r="G114" s="34">
        <f t="shared" si="2"/>
        <v>1602816.1280066043</v>
      </c>
      <c r="H114" s="34">
        <f t="shared" si="3"/>
        <v>1594802.0473665711</v>
      </c>
      <c r="I114" s="35">
        <f t="shared" si="21"/>
        <v>1</v>
      </c>
      <c r="J114" s="36">
        <f t="shared" si="4"/>
        <v>1594802.0473665711</v>
      </c>
      <c r="K114" s="34">
        <f t="shared" si="16"/>
        <v>186068458361.22018</v>
      </c>
      <c r="L114" s="37">
        <f t="shared" si="22"/>
        <v>243151810555.01306</v>
      </c>
      <c r="M114" s="34">
        <f t="shared" si="5"/>
        <v>15326824458.329414</v>
      </c>
      <c r="N114" s="34">
        <f t="shared" si="6"/>
        <v>0</v>
      </c>
      <c r="O114" s="34">
        <f t="shared" si="7"/>
        <v>15326824458.329414</v>
      </c>
      <c r="P114" s="34">
        <f t="shared" si="25"/>
        <v>1532682445.8329415</v>
      </c>
      <c r="Q114" s="38">
        <f t="shared" si="8"/>
        <v>13725171302.43399</v>
      </c>
      <c r="R114" s="39">
        <f t="shared" si="9"/>
        <v>1372517130.2433991</v>
      </c>
      <c r="S114" s="34">
        <f t="shared" si="10"/>
        <v>12352654172.190592</v>
      </c>
      <c r="T114" s="40">
        <f t="shared" si="24"/>
        <v>9879143244.4866638</v>
      </c>
      <c r="U114" s="272">
        <f t="shared" si="11"/>
        <v>6.8310681663272103E-4</v>
      </c>
      <c r="V114" s="282">
        <f t="shared" si="12"/>
        <v>152.53557207846737</v>
      </c>
      <c r="W114" s="283">
        <f>((S114+'Malawi-only'!S114)/(T114*(U114+'Malawi-only'!U114))/12)</f>
        <v>37.130406950951844</v>
      </c>
      <c r="X114" s="284">
        <f>(R114+'Malawi-only'!R114)</f>
        <v>3906681693.9648747</v>
      </c>
      <c r="Y114" s="284">
        <f>(L114+'Malawi-only'!L114)</f>
        <v>332941299040.44666</v>
      </c>
      <c r="Z114" s="284">
        <f>(Q114+'Malawi-only'!Q114)</f>
        <v>18793500429.876942</v>
      </c>
    </row>
    <row r="115" spans="1:26" ht="15.75" customHeight="1">
      <c r="A115" s="31" t="s">
        <v>148</v>
      </c>
      <c r="B115" s="32">
        <v>2131</v>
      </c>
      <c r="C115" s="274">
        <f t="shared" si="13"/>
        <v>3.6063362880148597E-7</v>
      </c>
      <c r="D115" s="271">
        <f t="shared" si="19"/>
        <v>3.6063362880148597E-7</v>
      </c>
      <c r="E115" s="34">
        <f t="shared" si="1"/>
        <v>0</v>
      </c>
      <c r="F115" s="42">
        <v>4000</v>
      </c>
      <c r="G115" s="34">
        <f t="shared" si="2"/>
        <v>1442534.515205944</v>
      </c>
      <c r="H115" s="34">
        <f t="shared" si="3"/>
        <v>1435321.8426299142</v>
      </c>
      <c r="I115" s="35">
        <f t="shared" si="21"/>
        <v>1</v>
      </c>
      <c r="J115" s="36">
        <f t="shared" si="4"/>
        <v>1435321.8426299142</v>
      </c>
      <c r="K115" s="34">
        <f t="shared" si="16"/>
        <v>186069893683.06281</v>
      </c>
      <c r="L115" s="37">
        <f t="shared" si="22"/>
        <v>244563585358.52731</v>
      </c>
      <c r="M115" s="34">
        <f t="shared" si="5"/>
        <v>15415824789.187828</v>
      </c>
      <c r="N115" s="34">
        <f t="shared" si="6"/>
        <v>0</v>
      </c>
      <c r="O115" s="34">
        <f t="shared" si="7"/>
        <v>15415824789.187828</v>
      </c>
      <c r="P115" s="34">
        <f t="shared" si="25"/>
        <v>1541582478.9187829</v>
      </c>
      <c r="Q115" s="38">
        <f t="shared" si="8"/>
        <v>13804871098.717699</v>
      </c>
      <c r="R115" s="39">
        <f t="shared" si="9"/>
        <v>1380487109.8717699</v>
      </c>
      <c r="S115" s="34">
        <f t="shared" si="10"/>
        <v>12424383988.845928</v>
      </c>
      <c r="T115" s="40">
        <f t="shared" si="24"/>
        <v>9869264101.242178</v>
      </c>
      <c r="U115" s="272">
        <f t="shared" si="11"/>
        <v>6.8310681663272103E-4</v>
      </c>
      <c r="V115" s="282">
        <f t="shared" si="12"/>
        <v>153.57489577495249</v>
      </c>
      <c r="W115" s="283">
        <f>((S115+'Malawi-only'!S115)/(T115*(U115+'Malawi-only'!U115))/12)</f>
        <v>37.383414451565258</v>
      </c>
      <c r="X115" s="284">
        <f>(R115+'Malawi-only'!R115)</f>
        <v>3929372745.828742</v>
      </c>
      <c r="Y115" s="284">
        <f>(L115+'Malawi-only'!L115)</f>
        <v>334874582174.54077</v>
      </c>
      <c r="Z115" s="284">
        <f>(Q115+'Malawi-only'!Q115)</f>
        <v>18902642370.631645</v>
      </c>
    </row>
    <row r="116" spans="1:26" ht="15.75" customHeight="1">
      <c r="A116" s="31" t="s">
        <v>149</v>
      </c>
      <c r="B116" s="32">
        <v>2132</v>
      </c>
      <c r="C116" s="274">
        <f t="shared" si="13"/>
        <v>3.2457026592133739E-7</v>
      </c>
      <c r="D116" s="271">
        <f t="shared" si="19"/>
        <v>3.2457026592133739E-7</v>
      </c>
      <c r="E116" s="34">
        <f t="shared" si="1"/>
        <v>0</v>
      </c>
      <c r="F116" s="42">
        <v>4000</v>
      </c>
      <c r="G116" s="34">
        <f t="shared" si="2"/>
        <v>1298281.0636853497</v>
      </c>
      <c r="H116" s="34">
        <f t="shared" si="3"/>
        <v>1291789.658366923</v>
      </c>
      <c r="I116" s="35">
        <f t="shared" si="21"/>
        <v>1</v>
      </c>
      <c r="J116" s="36">
        <f t="shared" si="4"/>
        <v>1291789.658366923</v>
      </c>
      <c r="K116" s="34">
        <f t="shared" si="16"/>
        <v>186071185472.72116</v>
      </c>
      <c r="L116" s="37">
        <f t="shared" si="22"/>
        <v>245983406397.29092</v>
      </c>
      <c r="M116" s="34">
        <f t="shared" si="5"/>
        <v>15505331311.730631</v>
      </c>
      <c r="N116" s="34">
        <f t="shared" si="6"/>
        <v>0</v>
      </c>
      <c r="O116" s="34">
        <f t="shared" si="7"/>
        <v>15505331311.730631</v>
      </c>
      <c r="P116" s="34">
        <f t="shared" si="25"/>
        <v>1550533131.1730633</v>
      </c>
      <c r="Q116" s="38">
        <f t="shared" si="8"/>
        <v>13885024189.654779</v>
      </c>
      <c r="R116" s="39">
        <f t="shared" si="9"/>
        <v>1388502418.9654779</v>
      </c>
      <c r="S116" s="34">
        <f t="shared" si="10"/>
        <v>12496521770.689301</v>
      </c>
      <c r="T116" s="40">
        <f t="shared" si="24"/>
        <v>9859394837.1409378</v>
      </c>
      <c r="U116" s="272">
        <f t="shared" si="11"/>
        <v>6.8310681663272103E-4</v>
      </c>
      <c r="V116" s="282">
        <f t="shared" si="12"/>
        <v>154.62119516824933</v>
      </c>
      <c r="W116" s="283">
        <f>((S116+'Malawi-only'!S116)/(T116*(U116+'Malawi-only'!U116))/12)</f>
        <v>37.638118695354258</v>
      </c>
      <c r="X116" s="284">
        <f>(R116+'Malawi-only'!R116)</f>
        <v>3952192294.4305382</v>
      </c>
      <c r="Y116" s="284">
        <f>(L116+'Malawi-only'!L116)</f>
        <v>336818866084.65851</v>
      </c>
      <c r="Z116" s="284">
        <f>(Q116+'Malawi-only'!Q116)</f>
        <v>19012403940.5849</v>
      </c>
    </row>
    <row r="117" spans="1:26" ht="15.75" customHeight="1">
      <c r="A117" s="31" t="s">
        <v>150</v>
      </c>
      <c r="B117" s="32">
        <v>2133</v>
      </c>
      <c r="C117" s="274">
        <f t="shared" si="13"/>
        <v>2.9211323932920368E-7</v>
      </c>
      <c r="D117" s="271">
        <f t="shared" si="19"/>
        <v>2.9211323932920368E-7</v>
      </c>
      <c r="E117" s="34">
        <f t="shared" si="1"/>
        <v>0</v>
      </c>
      <c r="F117" s="42">
        <v>4000</v>
      </c>
      <c r="G117" s="34">
        <f t="shared" si="2"/>
        <v>1168452.9573168147</v>
      </c>
      <c r="H117" s="34">
        <f t="shared" si="3"/>
        <v>1162610.6925302306</v>
      </c>
      <c r="I117" s="35">
        <f t="shared" si="21"/>
        <v>1</v>
      </c>
      <c r="J117" s="36">
        <f t="shared" si="4"/>
        <v>1162610.6925302306</v>
      </c>
      <c r="K117" s="34">
        <f t="shared" si="16"/>
        <v>186072348083.4137</v>
      </c>
      <c r="L117" s="37">
        <f t="shared" si="22"/>
        <v>247411334588.08698</v>
      </c>
      <c r="M117" s="34">
        <f t="shared" si="5"/>
        <v>15595347965.588243</v>
      </c>
      <c r="N117" s="34">
        <f t="shared" si="6"/>
        <v>0</v>
      </c>
      <c r="O117" s="34">
        <f t="shared" si="7"/>
        <v>15595347965.588243</v>
      </c>
      <c r="P117" s="34">
        <f t="shared" si="25"/>
        <v>1559534796.5588245</v>
      </c>
      <c r="Q117" s="38">
        <f t="shared" si="8"/>
        <v>13965634103.184271</v>
      </c>
      <c r="R117" s="39">
        <f t="shared" si="9"/>
        <v>1396563410.3184271</v>
      </c>
      <c r="S117" s="34">
        <f t="shared" si="10"/>
        <v>12569070692.865845</v>
      </c>
      <c r="T117" s="40">
        <f t="shared" si="24"/>
        <v>9849535442.3037987</v>
      </c>
      <c r="U117" s="272">
        <f t="shared" si="11"/>
        <v>6.8310681663272103E-4</v>
      </c>
      <c r="V117" s="282">
        <f t="shared" si="12"/>
        <v>155.67452756101059</v>
      </c>
      <c r="W117" s="283">
        <f>((S117+'Malawi-only'!S117)/(T117*(U117+'Malawi-only'!U117))/12)</f>
        <v>37.894533759490137</v>
      </c>
      <c r="X117" s="284">
        <f>(R117+'Malawi-only'!R117)</f>
        <v>3975141396.8746209</v>
      </c>
      <c r="Y117" s="284">
        <f>(L117+'Malawi-only'!L117)</f>
        <v>338774235860.46313</v>
      </c>
      <c r="Z117" s="284">
        <f>(Q117+'Malawi-only'!Q117)</f>
        <v>19122790076.296658</v>
      </c>
    </row>
    <row r="118" spans="1:26" ht="15.75" customHeight="1">
      <c r="A118" s="31" t="s">
        <v>151</v>
      </c>
      <c r="B118" s="32">
        <v>2134</v>
      </c>
      <c r="C118" s="274">
        <f t="shared" si="13"/>
        <v>2.6290191539628332E-7</v>
      </c>
      <c r="D118" s="271">
        <f t="shared" si="19"/>
        <v>2.6290191539628332E-7</v>
      </c>
      <c r="E118" s="34">
        <f t="shared" si="1"/>
        <v>0</v>
      </c>
      <c r="F118" s="42">
        <v>4000</v>
      </c>
      <c r="G118" s="34">
        <f t="shared" si="2"/>
        <v>1051607.6615851333</v>
      </c>
      <c r="H118" s="34">
        <f t="shared" si="3"/>
        <v>1046349.6232772076</v>
      </c>
      <c r="I118" s="35">
        <f t="shared" si="21"/>
        <v>1</v>
      </c>
      <c r="J118" s="36">
        <f t="shared" si="4"/>
        <v>1046349.6232772076</v>
      </c>
      <c r="K118" s="34">
        <f t="shared" si="16"/>
        <v>186073394433.03699</v>
      </c>
      <c r="L118" s="37">
        <f t="shared" si="22"/>
        <v>248847429776.40198</v>
      </c>
      <c r="M118" s="34">
        <f t="shared" si="5"/>
        <v>15685878612.884714</v>
      </c>
      <c r="N118" s="34">
        <f t="shared" si="6"/>
        <v>0</v>
      </c>
      <c r="O118" s="34">
        <f t="shared" si="7"/>
        <v>15685878612.884714</v>
      </c>
      <c r="P118" s="34">
        <f t="shared" si="25"/>
        <v>1568587861.2884715</v>
      </c>
      <c r="Q118" s="38">
        <f t="shared" si="8"/>
        <v>14046704297.838263</v>
      </c>
      <c r="R118" s="39">
        <f t="shared" si="9"/>
        <v>1404670429.7838264</v>
      </c>
      <c r="S118" s="34">
        <f t="shared" si="10"/>
        <v>12642033868.054436</v>
      </c>
      <c r="T118" s="40">
        <f t="shared" si="24"/>
        <v>9839685906.861496</v>
      </c>
      <c r="U118" s="272">
        <f t="shared" si="11"/>
        <v>6.8310681663272103E-4</v>
      </c>
      <c r="V118" s="282">
        <f t="shared" si="12"/>
        <v>156.73494967295576</v>
      </c>
      <c r="W118" s="283">
        <f>((S118+'Malawi-only'!S118)/(T118*(U118+'Malawi-only'!U118))/12)</f>
        <v>38.1526735665175</v>
      </c>
      <c r="X118" s="284">
        <f>(R118+'Malawi-only'!R118)</f>
        <v>3998221085.2182131</v>
      </c>
      <c r="Y118" s="284">
        <f>(L118+'Malawi-only'!L118)</f>
        <v>340740774956.96143</v>
      </c>
      <c r="Z118" s="284">
        <f>(Q118+'Malawi-only'!Q118)</f>
        <v>19233805608.707035</v>
      </c>
    </row>
    <row r="119" spans="1:26" ht="15.75" customHeight="1">
      <c r="A119" s="31" t="s">
        <v>152</v>
      </c>
      <c r="B119" s="32">
        <v>2135</v>
      </c>
      <c r="C119" s="274">
        <f t="shared" si="13"/>
        <v>2.3661172385665501E-7</v>
      </c>
      <c r="D119" s="271">
        <f t="shared" si="19"/>
        <v>2.3661172385665501E-7</v>
      </c>
      <c r="E119" s="34">
        <f t="shared" si="1"/>
        <v>0</v>
      </c>
      <c r="F119" s="42">
        <v>4000</v>
      </c>
      <c r="G119" s="34">
        <f t="shared" si="2"/>
        <v>946446.89542662003</v>
      </c>
      <c r="H119" s="34">
        <f t="shared" si="3"/>
        <v>941714.66094948689</v>
      </c>
      <c r="I119" s="35">
        <f t="shared" si="21"/>
        <v>1</v>
      </c>
      <c r="J119" s="36">
        <f t="shared" si="4"/>
        <v>941714.66094948689</v>
      </c>
      <c r="K119" s="34">
        <f t="shared" si="16"/>
        <v>186074336147.69794</v>
      </c>
      <c r="L119" s="37">
        <f t="shared" si="22"/>
        <v>250291750872.67526</v>
      </c>
      <c r="M119" s="34">
        <f t="shared" si="5"/>
        <v>15776927047.823885</v>
      </c>
      <c r="N119" s="34">
        <f t="shared" si="6"/>
        <v>0</v>
      </c>
      <c r="O119" s="34">
        <f t="shared" si="7"/>
        <v>15776927047.823885</v>
      </c>
      <c r="P119" s="34">
        <f t="shared" si="25"/>
        <v>1577692704.7823887</v>
      </c>
      <c r="Q119" s="38">
        <f t="shared" si="8"/>
        <v>14128238171.326288</v>
      </c>
      <c r="R119" s="39">
        <f t="shared" si="9"/>
        <v>1412823817.1326289</v>
      </c>
      <c r="S119" s="34">
        <f t="shared" si="10"/>
        <v>12715414354.193659</v>
      </c>
      <c r="T119" s="40">
        <f t="shared" si="24"/>
        <v>9829846220.9546356</v>
      </c>
      <c r="U119" s="272">
        <f t="shared" si="11"/>
        <v>6.8310681663272103E-4</v>
      </c>
      <c r="V119" s="282">
        <f t="shared" si="12"/>
        <v>157.80251773332625</v>
      </c>
      <c r="W119" s="283">
        <f>((S119+'Malawi-only'!S119)/(T119*(U119+'Malawi-only'!U119))/12)</f>
        <v>38.412551908121138</v>
      </c>
      <c r="X119" s="284">
        <f>(R119+'Malawi-only'!R119)</f>
        <v>4021432369.4439826</v>
      </c>
      <c r="Y119" s="284">
        <f>(L119+'Malawi-only'!L119)</f>
        <v>342718565397.84216</v>
      </c>
      <c r="Z119" s="284">
        <f>(Q119+'Malawi-only'!Q119)</f>
        <v>19345455275.948997</v>
      </c>
    </row>
    <row r="120" spans="1:26" ht="15.75" customHeight="1">
      <c r="A120" s="31" t="s">
        <v>153</v>
      </c>
      <c r="B120" s="32">
        <v>2136</v>
      </c>
      <c r="C120" s="274">
        <f t="shared" si="13"/>
        <v>2.1295055147098952E-7</v>
      </c>
      <c r="D120" s="271">
        <f t="shared" si="19"/>
        <v>2.1295055147098952E-7</v>
      </c>
      <c r="E120" s="34">
        <f t="shared" si="1"/>
        <v>0</v>
      </c>
      <c r="F120" s="42">
        <v>4000</v>
      </c>
      <c r="G120" s="34">
        <f t="shared" si="2"/>
        <v>851802.20588395803</v>
      </c>
      <c r="H120" s="34">
        <f t="shared" si="3"/>
        <v>847543.19485453819</v>
      </c>
      <c r="I120" s="35">
        <f t="shared" si="21"/>
        <v>1</v>
      </c>
      <c r="J120" s="36">
        <f t="shared" si="4"/>
        <v>847543.19485453819</v>
      </c>
      <c r="K120" s="34">
        <f t="shared" si="16"/>
        <v>186075183690.89279</v>
      </c>
      <c r="L120" s="37">
        <f t="shared" si="22"/>
        <v>251744355975.09219</v>
      </c>
      <c r="M120" s="34">
        <f t="shared" si="5"/>
        <v>15868497005.327612</v>
      </c>
      <c r="N120" s="34">
        <f t="shared" si="6"/>
        <v>0</v>
      </c>
      <c r="O120" s="34">
        <f t="shared" si="7"/>
        <v>15868497005.327612</v>
      </c>
      <c r="P120" s="34">
        <f t="shared" si="25"/>
        <v>1586849700.5327613</v>
      </c>
      <c r="Q120" s="38">
        <f t="shared" si="8"/>
        <v>14210239068.270878</v>
      </c>
      <c r="R120" s="39">
        <f t="shared" si="9"/>
        <v>1421023906.8270879</v>
      </c>
      <c r="S120" s="34">
        <f t="shared" si="10"/>
        <v>12789215161.44379</v>
      </c>
      <c r="T120" s="40">
        <f t="shared" si="24"/>
        <v>9820016374.7336826</v>
      </c>
      <c r="U120" s="272">
        <f t="shared" si="11"/>
        <v>6.8310681663272103E-4</v>
      </c>
      <c r="V120" s="282">
        <f t="shared" si="12"/>
        <v>158.87728756441453</v>
      </c>
      <c r="W120" s="283">
        <f>((S120+'Malawi-only'!S120)/(T120*(U120+'Malawi-only'!U120))/12)</f>
        <v>38.674182466595269</v>
      </c>
      <c r="X120" s="284">
        <f>(R120+'Malawi-only'!R120)</f>
        <v>4044776240.1380839</v>
      </c>
      <c r="Y120" s="284">
        <f>(L120+'Malawi-only'!L120)</f>
        <v>344707687958.71216</v>
      </c>
      <c r="Z120" s="284">
        <f>(Q120+'Malawi-only'!Q120)</f>
        <v>19457743734.892868</v>
      </c>
    </row>
    <row r="121" spans="1:26" ht="15.75" customHeight="1">
      <c r="A121" s="31" t="s">
        <v>154</v>
      </c>
      <c r="B121" s="32">
        <v>2137</v>
      </c>
      <c r="C121" s="274">
        <f t="shared" si="13"/>
        <v>1.9165549632389058E-7</v>
      </c>
      <c r="D121" s="271">
        <f t="shared" si="19"/>
        <v>1.9165549632389058E-7</v>
      </c>
      <c r="E121" s="34">
        <f t="shared" si="1"/>
        <v>0</v>
      </c>
      <c r="F121" s="42">
        <v>4000</v>
      </c>
      <c r="G121" s="34">
        <f t="shared" si="2"/>
        <v>766621.98529556231</v>
      </c>
      <c r="H121" s="34">
        <f t="shared" si="3"/>
        <v>762788.87536908453</v>
      </c>
      <c r="I121" s="35">
        <f t="shared" si="21"/>
        <v>1</v>
      </c>
      <c r="J121" s="36">
        <f t="shared" si="4"/>
        <v>762788.87536908453</v>
      </c>
      <c r="K121" s="34">
        <f t="shared" si="16"/>
        <v>186075946479.76816</v>
      </c>
      <c r="L121" s="37">
        <f t="shared" si="22"/>
        <v>253205302480.2681</v>
      </c>
      <c r="M121" s="34">
        <f t="shared" si="5"/>
        <v>15960592168.820845</v>
      </c>
      <c r="N121" s="34">
        <f t="shared" si="6"/>
        <v>0</v>
      </c>
      <c r="O121" s="34">
        <f t="shared" si="7"/>
        <v>15960592168.820845</v>
      </c>
      <c r="P121" s="34">
        <f t="shared" si="25"/>
        <v>1596059216.8820846</v>
      </c>
      <c r="Q121" s="38">
        <f t="shared" si="8"/>
        <v>14292710287.179068</v>
      </c>
      <c r="R121" s="39">
        <f t="shared" si="9"/>
        <v>1429271028.717907</v>
      </c>
      <c r="S121" s="34">
        <f t="shared" si="10"/>
        <v>12863439258.461161</v>
      </c>
      <c r="T121" s="40">
        <f t="shared" si="24"/>
        <v>9810196358.3589497</v>
      </c>
      <c r="U121" s="272">
        <f t="shared" si="11"/>
        <v>6.8310681663272103E-4</v>
      </c>
      <c r="V121" s="282">
        <f t="shared" si="12"/>
        <v>159.95931465705291</v>
      </c>
      <c r="W121" s="283">
        <f>((S121+'Malawi-only'!S121)/(T121*(U121+'Malawi-only'!U121))/12)</f>
        <v>38.937578834242856</v>
      </c>
      <c r="X121" s="284">
        <f>(R121+'Malawi-only'!R121)</f>
        <v>4068253670.9031205</v>
      </c>
      <c r="Y121" s="284">
        <f>(L121+'Malawi-only'!L121)</f>
        <v>346708222332.24133</v>
      </c>
      <c r="Z121" s="284">
        <f>(Q121+'Malawi-only'!Q121)</f>
        <v>19570675571.549496</v>
      </c>
    </row>
    <row r="122" spans="1:26" ht="15.75" customHeight="1">
      <c r="A122" s="31" t="s">
        <v>155</v>
      </c>
      <c r="B122" s="32">
        <v>2138</v>
      </c>
      <c r="C122" s="274">
        <f t="shared" si="13"/>
        <v>1.7248994669150152E-7</v>
      </c>
      <c r="D122" s="271">
        <f t="shared" si="19"/>
        <v>1.7248994669150152E-7</v>
      </c>
      <c r="E122" s="34">
        <f t="shared" si="1"/>
        <v>0</v>
      </c>
      <c r="F122" s="42">
        <v>4000</v>
      </c>
      <c r="G122" s="34">
        <f t="shared" si="2"/>
        <v>689959.78676600603</v>
      </c>
      <c r="H122" s="34">
        <f t="shared" si="3"/>
        <v>686509.98783217603</v>
      </c>
      <c r="I122" s="35">
        <f t="shared" si="21"/>
        <v>1</v>
      </c>
      <c r="J122" s="36">
        <f t="shared" si="4"/>
        <v>686509.98783217603</v>
      </c>
      <c r="K122" s="34">
        <f t="shared" si="16"/>
        <v>186076632989.75598</v>
      </c>
      <c r="L122" s="37">
        <f t="shared" si="22"/>
        <v>254674647183.03445</v>
      </c>
      <c r="M122" s="34">
        <f t="shared" si="5"/>
        <v>16053216177.248997</v>
      </c>
      <c r="N122" s="34">
        <f t="shared" si="6"/>
        <v>0</v>
      </c>
      <c r="O122" s="34">
        <f t="shared" si="7"/>
        <v>16053216177.248997</v>
      </c>
      <c r="P122" s="34">
        <f t="shared" si="25"/>
        <v>1605321617.7248998</v>
      </c>
      <c r="Q122" s="38">
        <f t="shared" si="8"/>
        <v>14375655086.726477</v>
      </c>
      <c r="R122" s="39">
        <f t="shared" si="9"/>
        <v>1437565508.6726477</v>
      </c>
      <c r="S122" s="34">
        <f t="shared" si="10"/>
        <v>12938089578.053829</v>
      </c>
      <c r="T122" s="40">
        <f t="shared" si="24"/>
        <v>9800386162.0005913</v>
      </c>
      <c r="U122" s="272">
        <f t="shared" si="11"/>
        <v>6.8310681663272103E-4</v>
      </c>
      <c r="V122" s="282">
        <f t="shared" si="12"/>
        <v>161.04865423886147</v>
      </c>
      <c r="W122" s="283">
        <f>((S122+'Malawi-only'!S122)/(T122*(U122+'Malawi-only'!U122))/12)</f>
        <v>39.20275453091093</v>
      </c>
      <c r="X122" s="284">
        <f>(R122+'Malawi-only'!R122)</f>
        <v>4091865620.5325603</v>
      </c>
      <c r="Y122" s="284">
        <f>(L122+'Malawi-only'!L122)</f>
        <v>348720247277.02734</v>
      </c>
      <c r="Z122" s="284">
        <f>(Q122+'Malawi-only'!Q122)</f>
        <v>19684255310.446304</v>
      </c>
    </row>
    <row r="123" spans="1:26" ht="15.75" customHeight="1">
      <c r="A123" s="31" t="s">
        <v>156</v>
      </c>
      <c r="B123" s="32">
        <v>2139</v>
      </c>
      <c r="C123" s="274">
        <f t="shared" si="13"/>
        <v>1.5524095202235136E-7</v>
      </c>
      <c r="D123" s="271">
        <f t="shared" si="19"/>
        <v>1.5524095202235136E-7</v>
      </c>
      <c r="E123" s="34">
        <f t="shared" si="1"/>
        <v>0</v>
      </c>
      <c r="F123" s="42">
        <v>4000</v>
      </c>
      <c r="G123" s="34">
        <f t="shared" si="2"/>
        <v>620963.80808940553</v>
      </c>
      <c r="H123" s="34">
        <f t="shared" si="3"/>
        <v>617858.98904895852</v>
      </c>
      <c r="I123" s="35">
        <f t="shared" si="21"/>
        <v>1</v>
      </c>
      <c r="J123" s="36">
        <f t="shared" si="4"/>
        <v>617858.98904895852</v>
      </c>
      <c r="K123" s="34">
        <f t="shared" si="16"/>
        <v>186077250848.74503</v>
      </c>
      <c r="L123" s="37">
        <f t="shared" si="22"/>
        <v>256152446366.41855</v>
      </c>
      <c r="M123" s="34">
        <f t="shared" si="5"/>
        <v>16146372631.404385</v>
      </c>
      <c r="N123" s="34">
        <f t="shared" si="6"/>
        <v>0</v>
      </c>
      <c r="O123" s="34">
        <f t="shared" si="7"/>
        <v>16146372631.404385</v>
      </c>
      <c r="P123" s="34">
        <f t="shared" si="25"/>
        <v>1614637263.1404386</v>
      </c>
      <c r="Q123" s="38">
        <f t="shared" si="8"/>
        <v>14459076691.422626</v>
      </c>
      <c r="R123" s="39">
        <f t="shared" si="9"/>
        <v>1445907669.1422627</v>
      </c>
      <c r="S123" s="34">
        <f t="shared" si="10"/>
        <v>13013169022.280363</v>
      </c>
      <c r="T123" s="40">
        <f t="shared" si="24"/>
        <v>9790585775.8385925</v>
      </c>
      <c r="U123" s="272">
        <f t="shared" si="11"/>
        <v>6.8310681663272103E-4</v>
      </c>
      <c r="V123" s="282">
        <f t="shared" si="12"/>
        <v>162.14536133597289</v>
      </c>
      <c r="W123" s="283">
        <f>((S123+'Malawi-only'!S123)/(T123*(U123+'Malawi-only'!U123))/12)</f>
        <v>39.469723019846683</v>
      </c>
      <c r="X123" s="284">
        <f>(R123+'Malawi-only'!R123)</f>
        <v>4115613034.9704714</v>
      </c>
      <c r="Y123" s="284">
        <f>(L123+'Malawi-only'!L123)</f>
        <v>350743840751.80865</v>
      </c>
      <c r="Z123" s="284">
        <f>(Q123+'Malawi-only'!Q123)</f>
        <v>19798487423.079044</v>
      </c>
    </row>
    <row r="124" spans="1:26" ht="15.75" customHeight="1">
      <c r="A124" s="31" t="s">
        <v>157</v>
      </c>
      <c r="B124" s="32">
        <v>2140</v>
      </c>
      <c r="C124" s="274">
        <f t="shared" si="13"/>
        <v>1.3971685682011624E-7</v>
      </c>
      <c r="D124" s="271">
        <f t="shared" si="19"/>
        <v>1.3971685682011624E-7</v>
      </c>
      <c r="E124" s="34">
        <f t="shared" si="1"/>
        <v>0</v>
      </c>
      <c r="F124" s="42">
        <v>4000</v>
      </c>
      <c r="G124" s="34">
        <f t="shared" si="2"/>
        <v>558867.42728046491</v>
      </c>
      <c r="H124" s="34">
        <f t="shared" si="3"/>
        <v>556073.09014406253</v>
      </c>
      <c r="I124" s="35">
        <f t="shared" si="21"/>
        <v>1</v>
      </c>
      <c r="J124" s="36">
        <f t="shared" si="4"/>
        <v>556073.09014406253</v>
      </c>
      <c r="K124" s="34">
        <f t="shared" si="16"/>
        <v>186077806921.83517</v>
      </c>
      <c r="L124" s="37">
        <f t="shared" si="22"/>
        <v>257638755882.79782</v>
      </c>
      <c r="M124" s="34">
        <f t="shared" si="5"/>
        <v>16240065099.630936</v>
      </c>
      <c r="N124" s="34">
        <f t="shared" si="6"/>
        <v>0</v>
      </c>
      <c r="O124" s="34">
        <f t="shared" si="7"/>
        <v>16240065099.630936</v>
      </c>
      <c r="P124" s="34">
        <f t="shared" si="25"/>
        <v>1624006509.9630938</v>
      </c>
      <c r="Q124" s="38">
        <f t="shared" si="8"/>
        <v>14542978296.719503</v>
      </c>
      <c r="R124" s="39">
        <f t="shared" si="9"/>
        <v>1454297829.6719503</v>
      </c>
      <c r="S124" s="34">
        <f t="shared" si="10"/>
        <v>13088680467.047554</v>
      </c>
      <c r="T124" s="40">
        <f t="shared" si="24"/>
        <v>9780795190.0627556</v>
      </c>
      <c r="U124" s="272">
        <f t="shared" si="11"/>
        <v>6.8310681663272103E-4</v>
      </c>
      <c r="V124" s="282">
        <f t="shared" si="12"/>
        <v>163.24949082888384</v>
      </c>
      <c r="W124" s="283">
        <f>((S124+'Malawi-only'!S124)/(T124*(U124+'Malawi-only'!U124))/12)</f>
        <v>39.738497722041423</v>
      </c>
      <c r="X124" s="284">
        <f>(R124+'Malawi-only'!R124)</f>
        <v>4139496849.0780544</v>
      </c>
      <c r="Y124" s="284">
        <f>(L124+'Malawi-only'!L124)</f>
        <v>352779080036.49365</v>
      </c>
      <c r="Z124" s="284">
        <f>(Q124+'Malawi-only'!Q124)</f>
        <v>19913376335.531712</v>
      </c>
    </row>
    <row r="125" spans="1:26" ht="15.75" customHeight="1">
      <c r="A125" s="31" t="s">
        <v>158</v>
      </c>
      <c r="B125" s="32">
        <v>2141</v>
      </c>
      <c r="C125" s="274">
        <f t="shared" si="13"/>
        <v>1.2574517113810462E-7</v>
      </c>
      <c r="D125" s="271">
        <f t="shared" si="19"/>
        <v>1.2574517113810462E-7</v>
      </c>
      <c r="E125" s="34">
        <f t="shared" si="1"/>
        <v>0</v>
      </c>
      <c r="F125" s="42">
        <v>4000</v>
      </c>
      <c r="G125" s="34">
        <f t="shared" si="2"/>
        <v>502980.68455241853</v>
      </c>
      <c r="H125" s="34">
        <f t="shared" si="3"/>
        <v>500465.78112965642</v>
      </c>
      <c r="I125" s="35">
        <f t="shared" si="21"/>
        <v>1</v>
      </c>
      <c r="J125" s="36">
        <f t="shared" si="4"/>
        <v>500465.78112965642</v>
      </c>
      <c r="K125" s="34">
        <f t="shared" si="16"/>
        <v>186078307387.6163</v>
      </c>
      <c r="L125" s="37">
        <f t="shared" si="22"/>
        <v>259133631227.11279</v>
      </c>
      <c r="M125" s="34">
        <f t="shared" si="5"/>
        <v>16334297122.969381</v>
      </c>
      <c r="N125" s="34">
        <f t="shared" si="6"/>
        <v>0</v>
      </c>
      <c r="O125" s="34">
        <f t="shared" si="7"/>
        <v>16334297122.969381</v>
      </c>
      <c r="P125" s="34">
        <f t="shared" si="25"/>
        <v>1633429712.2969382</v>
      </c>
      <c r="Q125" s="38">
        <f t="shared" si="8"/>
        <v>14627363073.619081</v>
      </c>
      <c r="R125" s="39">
        <f t="shared" si="9"/>
        <v>1462736307.3619082</v>
      </c>
      <c r="S125" s="34">
        <f t="shared" si="10"/>
        <v>13164626766.257174</v>
      </c>
      <c r="T125" s="40">
        <f t="shared" si="24"/>
        <v>9771014394.872694</v>
      </c>
      <c r="U125" s="272">
        <f t="shared" si="11"/>
        <v>6.8310681663272103E-4</v>
      </c>
      <c r="V125" s="282">
        <f t="shared" si="12"/>
        <v>164.36109750301486</v>
      </c>
      <c r="W125" s="283">
        <f>((S125+'Malawi-only'!S125)/(T125*(U125+'Malawi-only'!U125))/12)</f>
        <v>40.009092029212347</v>
      </c>
      <c r="X125" s="284">
        <f>(R125+'Malawi-only'!R125)</f>
        <v>4163517988.226326</v>
      </c>
      <c r="Y125" s="284">
        <f>(L125+'Malawi-only'!L125)</f>
        <v>354826041841.32428</v>
      </c>
      <c r="Z125" s="284">
        <f>(Q125+'Malawi-only'!Q125)</f>
        <v>20028926435.347916</v>
      </c>
    </row>
    <row r="126" spans="1:26" ht="15.75" customHeight="1">
      <c r="A126" s="31" t="s">
        <v>159</v>
      </c>
      <c r="B126" s="32">
        <v>2142</v>
      </c>
      <c r="C126" s="274">
        <f t="shared" si="13"/>
        <v>1.1317065402429417E-7</v>
      </c>
      <c r="D126" s="271">
        <f t="shared" si="19"/>
        <v>1.1317065402429417E-7</v>
      </c>
      <c r="E126" s="34">
        <f t="shared" si="1"/>
        <v>0</v>
      </c>
      <c r="F126" s="42">
        <v>4000</v>
      </c>
      <c r="G126" s="34">
        <f t="shared" si="2"/>
        <v>452682.61609717668</v>
      </c>
      <c r="H126" s="34">
        <f t="shared" si="3"/>
        <v>450419.20301669079</v>
      </c>
      <c r="I126" s="35">
        <f t="shared" si="21"/>
        <v>1</v>
      </c>
      <c r="J126" s="36">
        <f t="shared" si="4"/>
        <v>450419.20301669079</v>
      </c>
      <c r="K126" s="34">
        <f t="shared" si="16"/>
        <v>186078757806.81931</v>
      </c>
      <c r="L126" s="37">
        <f t="shared" si="22"/>
        <v>260637127602.93344</v>
      </c>
      <c r="M126" s="34">
        <f t="shared" si="5"/>
        <v>16429072219.79895</v>
      </c>
      <c r="N126" s="34">
        <f t="shared" si="6"/>
        <v>0</v>
      </c>
      <c r="O126" s="34">
        <f t="shared" si="7"/>
        <v>16429072219.79895</v>
      </c>
      <c r="P126" s="34">
        <f t="shared" si="25"/>
        <v>1642907221.9798951</v>
      </c>
      <c r="Q126" s="38">
        <f t="shared" si="8"/>
        <v>14712234172.82996</v>
      </c>
      <c r="R126" s="39">
        <f t="shared" si="9"/>
        <v>1471223417.2829962</v>
      </c>
      <c r="S126" s="34">
        <f t="shared" si="10"/>
        <v>13241010755.546963</v>
      </c>
      <c r="T126" s="40">
        <f t="shared" si="24"/>
        <v>9761243380.4778233</v>
      </c>
      <c r="U126" s="272">
        <f t="shared" si="11"/>
        <v>6.8310681663272103E-4</v>
      </c>
      <c r="V126" s="282">
        <f t="shared" si="12"/>
        <v>165.48023609450664</v>
      </c>
      <c r="W126" s="283">
        <f>((S126+'Malawi-only'!S126)/(T126*(U126+'Malawi-only'!U126))/12)</f>
        <v>40.281519315557901</v>
      </c>
      <c r="X126" s="284">
        <f>(R126+'Malawi-only'!R126)</f>
        <v>4187677369.7323322</v>
      </c>
      <c r="Y126" s="284">
        <f>(L126+'Malawi-only'!L126)</f>
        <v>356884802405.36304</v>
      </c>
      <c r="Z126" s="284">
        <f>(Q126+'Malawi-only'!Q126)</f>
        <v>20145142077.72863</v>
      </c>
    </row>
    <row r="127" spans="1:26" ht="15.75" customHeight="1">
      <c r="A127" s="31" t="s">
        <v>160</v>
      </c>
      <c r="B127" s="32">
        <v>2143</v>
      </c>
      <c r="C127" s="274">
        <f t="shared" si="13"/>
        <v>1.0185358862186476E-7</v>
      </c>
      <c r="D127" s="271">
        <f t="shared" si="19"/>
        <v>1.0185358862186476E-7</v>
      </c>
      <c r="E127" s="34">
        <f t="shared" si="1"/>
        <v>0</v>
      </c>
      <c r="F127" s="42">
        <v>4000</v>
      </c>
      <c r="G127" s="34">
        <f t="shared" si="2"/>
        <v>407414.354487459</v>
      </c>
      <c r="H127" s="34">
        <f t="shared" si="3"/>
        <v>405377.28271502169</v>
      </c>
      <c r="I127" s="35">
        <f t="shared" si="21"/>
        <v>1</v>
      </c>
      <c r="J127" s="36">
        <f t="shared" si="4"/>
        <v>405377.28271502169</v>
      </c>
      <c r="K127" s="34">
        <f t="shared" si="16"/>
        <v>186079163184.10202</v>
      </c>
      <c r="L127" s="37">
        <f t="shared" si="22"/>
        <v>262149299982.09497</v>
      </c>
      <c r="M127" s="34">
        <f t="shared" si="5"/>
        <v>16524393890.02598</v>
      </c>
      <c r="N127" s="34">
        <f t="shared" si="6"/>
        <v>0</v>
      </c>
      <c r="O127" s="34">
        <f t="shared" si="7"/>
        <v>16524393890.02598</v>
      </c>
      <c r="P127" s="34">
        <f t="shared" si="25"/>
        <v>1652439389.002598</v>
      </c>
      <c r="Q127" s="38">
        <f t="shared" si="8"/>
        <v>14797594728.518265</v>
      </c>
      <c r="R127" s="39">
        <f t="shared" si="9"/>
        <v>1479759472.8518267</v>
      </c>
      <c r="S127" s="34">
        <f t="shared" si="10"/>
        <v>13317835255.666439</v>
      </c>
      <c r="T127" s="40">
        <f t="shared" si="24"/>
        <v>9751482137.0973473</v>
      </c>
      <c r="U127" s="272">
        <f t="shared" si="11"/>
        <v>6.8310681663272103E-4</v>
      </c>
      <c r="V127" s="282">
        <f t="shared" si="12"/>
        <v>166.60696133172505</v>
      </c>
      <c r="W127" s="283">
        <f>((S127+'Malawi-only'!S127)/(T127*(U127+'Malawi-only'!U127))/12)</f>
        <v>40.555792948408317</v>
      </c>
      <c r="X127" s="284">
        <f>(R127+'Malawi-only'!R127)</f>
        <v>4211975904.1545773</v>
      </c>
      <c r="Y127" s="284">
        <f>(L127+'Malawi-only'!L127)</f>
        <v>358955437585.37238</v>
      </c>
      <c r="Z127" s="284">
        <f>(Q127+'Malawi-only'!Q127)</f>
        <v>20262027591.123764</v>
      </c>
    </row>
    <row r="128" spans="1:26" ht="15.75" customHeight="1">
      <c r="A128" s="31" t="s">
        <v>161</v>
      </c>
      <c r="B128" s="32">
        <v>2144</v>
      </c>
      <c r="C128" s="274">
        <f t="shared" si="13"/>
        <v>9.1668229759678288E-8</v>
      </c>
      <c r="D128" s="271">
        <f t="shared" si="19"/>
        <v>9.1668229759678288E-8</v>
      </c>
      <c r="E128" s="34">
        <f t="shared" si="1"/>
        <v>0</v>
      </c>
      <c r="F128" s="42">
        <v>4000</v>
      </c>
      <c r="G128" s="34">
        <f t="shared" si="2"/>
        <v>366672.91903871315</v>
      </c>
      <c r="H128" s="34">
        <f t="shared" si="3"/>
        <v>364839.55444351956</v>
      </c>
      <c r="I128" s="35">
        <f t="shared" si="21"/>
        <v>1</v>
      </c>
      <c r="J128" s="36">
        <f t="shared" si="4"/>
        <v>364839.55444351956</v>
      </c>
      <c r="K128" s="34">
        <f t="shared" si="16"/>
        <v>186079528023.65646</v>
      </c>
      <c r="L128" s="37">
        <f t="shared" si="22"/>
        <v>263670203158.54669</v>
      </c>
      <c r="M128" s="34">
        <f t="shared" si="5"/>
        <v>16620265618.86482</v>
      </c>
      <c r="N128" s="34">
        <f t="shared" si="6"/>
        <v>0</v>
      </c>
      <c r="O128" s="34">
        <f t="shared" si="7"/>
        <v>16620265618.86482</v>
      </c>
      <c r="P128" s="34">
        <f t="shared" si="25"/>
        <v>1662026561.8864822</v>
      </c>
      <c r="Q128" s="38">
        <f t="shared" si="8"/>
        <v>14883447861.693447</v>
      </c>
      <c r="R128" s="39">
        <f t="shared" si="9"/>
        <v>1488344786.1693449</v>
      </c>
      <c r="S128" s="34">
        <f t="shared" si="10"/>
        <v>13395103075.524101</v>
      </c>
      <c r="T128" s="40">
        <f t="shared" si="24"/>
        <v>9741730654.9602509</v>
      </c>
      <c r="U128" s="272">
        <f t="shared" si="11"/>
        <v>6.8310681663272103E-4</v>
      </c>
      <c r="V128" s="282">
        <f t="shared" si="12"/>
        <v>167.74132797290227</v>
      </c>
      <c r="W128" s="283">
        <f>((S128+'Malawi-only'!S128)/(T128*(U128+'Malawi-only'!U128))/12)</f>
        <v>40.831926297881417</v>
      </c>
      <c r="X128" s="284">
        <f>(R128+'Malawi-only'!R128)</f>
        <v>4236414496.4617419</v>
      </c>
      <c r="Y128" s="284">
        <f>(L128+'Malawi-only'!L128)</f>
        <v>361038022936.04761</v>
      </c>
      <c r="Z128" s="284">
        <f>(Q128+'Malawi-only'!Q128)</f>
        <v>20379587282.27824</v>
      </c>
    </row>
    <row r="129" spans="1:26" ht="15.75" customHeight="1">
      <c r="A129" s="31" t="s">
        <v>162</v>
      </c>
      <c r="B129" s="32">
        <v>2145</v>
      </c>
      <c r="C129" s="274">
        <f t="shared" si="13"/>
        <v>8.2501406783710467E-8</v>
      </c>
      <c r="D129" s="271">
        <f t="shared" si="19"/>
        <v>8.2501406783710467E-8</v>
      </c>
      <c r="E129" s="34">
        <f t="shared" si="1"/>
        <v>0</v>
      </c>
      <c r="F129" s="42">
        <v>4000</v>
      </c>
      <c r="G129" s="34">
        <f t="shared" si="2"/>
        <v>330005.62713484187</v>
      </c>
      <c r="H129" s="34">
        <f t="shared" si="3"/>
        <v>328355.59899916768</v>
      </c>
      <c r="I129" s="35">
        <f t="shared" si="21"/>
        <v>1</v>
      </c>
      <c r="J129" s="36">
        <f t="shared" si="4"/>
        <v>328355.59899916768</v>
      </c>
      <c r="K129" s="34">
        <f t="shared" si="16"/>
        <v>186079856379.25546</v>
      </c>
      <c r="L129" s="37">
        <f t="shared" si="22"/>
        <v>265199891796.99417</v>
      </c>
      <c r="M129" s="34">
        <f t="shared" si="5"/>
        <v>16716690880.25186</v>
      </c>
      <c r="N129" s="34">
        <f t="shared" si="6"/>
        <v>0</v>
      </c>
      <c r="O129" s="34">
        <f t="shared" si="7"/>
        <v>16716690880.25186</v>
      </c>
      <c r="P129" s="34">
        <f t="shared" si="25"/>
        <v>1671669088.0251861</v>
      </c>
      <c r="Q129" s="38">
        <f t="shared" si="8"/>
        <v>14969796683.265539</v>
      </c>
      <c r="R129" s="39">
        <f t="shared" si="9"/>
        <v>1496979668.3265541</v>
      </c>
      <c r="S129" s="34">
        <f t="shared" si="10"/>
        <v>13472817014.938986</v>
      </c>
      <c r="T129" s="40">
        <f t="shared" si="24"/>
        <v>9731988924.3052921</v>
      </c>
      <c r="U129" s="272">
        <f t="shared" si="11"/>
        <v>6.8310681663272103E-4</v>
      </c>
      <c r="V129" s="282">
        <f t="shared" si="12"/>
        <v>168.88339084029903</v>
      </c>
      <c r="W129" s="283">
        <f>((S129+'Malawi-only'!S129)/(T129*(U129+'Malawi-only'!U129))/12)</f>
        <v>41.109932745642638</v>
      </c>
      <c r="X129" s="284">
        <f>(R129+'Malawi-only'!R129)</f>
        <v>4260994047.0873957</v>
      </c>
      <c r="Y129" s="284">
        <f>(L129+'Malawi-only'!L129)</f>
        <v>363132633782.47113</v>
      </c>
      <c r="Z129" s="284">
        <f>(Q129+'Malawi-only'!Q129)</f>
        <v>20497825440.787224</v>
      </c>
    </row>
    <row r="130" spans="1:26" ht="15.75" customHeight="1">
      <c r="A130" s="31" t="s">
        <v>163</v>
      </c>
      <c r="B130" s="32">
        <v>2146</v>
      </c>
      <c r="C130" s="274">
        <f t="shared" si="13"/>
        <v>7.4251266105339419E-8</v>
      </c>
      <c r="D130" s="271">
        <f t="shared" si="19"/>
        <v>7.4251266105339419E-8</v>
      </c>
      <c r="E130" s="34">
        <f t="shared" si="1"/>
        <v>0</v>
      </c>
      <c r="F130" s="42">
        <v>4000</v>
      </c>
      <c r="G130" s="34">
        <f t="shared" si="2"/>
        <v>297005.06442135765</v>
      </c>
      <c r="H130" s="34">
        <f t="shared" si="3"/>
        <v>295520.03909925086</v>
      </c>
      <c r="I130" s="35">
        <f t="shared" si="21"/>
        <v>1</v>
      </c>
      <c r="J130" s="36">
        <f t="shared" si="4"/>
        <v>295520.03909925086</v>
      </c>
      <c r="K130" s="34">
        <f t="shared" si="16"/>
        <v>186080151899.29456</v>
      </c>
      <c r="L130" s="37">
        <f t="shared" si="22"/>
        <v>266738420476.85593</v>
      </c>
      <c r="M130" s="34">
        <f t="shared" si="5"/>
        <v>16813673139.92943</v>
      </c>
      <c r="N130" s="34">
        <f t="shared" si="6"/>
        <v>0</v>
      </c>
      <c r="O130" s="34">
        <f t="shared" si="7"/>
        <v>16813673139.92943</v>
      </c>
      <c r="P130" s="34">
        <f t="shared" si="25"/>
        <v>1681367313.992943</v>
      </c>
      <c r="Q130" s="38">
        <f t="shared" si="8"/>
        <v>15056644296.806805</v>
      </c>
      <c r="R130" s="39">
        <f t="shared" si="9"/>
        <v>1505664429.6806805</v>
      </c>
      <c r="S130" s="34">
        <f t="shared" si="10"/>
        <v>13550979867.126123</v>
      </c>
      <c r="T130" s="40">
        <f t="shared" si="24"/>
        <v>9722256935.3809872</v>
      </c>
      <c r="U130" s="272">
        <f t="shared" si="11"/>
        <v>6.8310681663272103E-4</v>
      </c>
      <c r="V130" s="282">
        <f t="shared" si="12"/>
        <v>170.03320485123376</v>
      </c>
      <c r="W130" s="283">
        <f>((S130+'Malawi-only'!S130)/(T130*(U130+'Malawi-only'!U130))/12)</f>
        <v>41.389825692858444</v>
      </c>
      <c r="X130" s="284">
        <f>(R130+'Malawi-only'!R130)</f>
        <v>4285715452.8821096</v>
      </c>
      <c r="Y130" s="284">
        <f>(L130+'Malawi-only'!L130)</f>
        <v>365239345285.56543</v>
      </c>
      <c r="Z130" s="284">
        <f>(Q130+'Malawi-only'!Q130)</f>
        <v>20616746343.209663</v>
      </c>
    </row>
    <row r="131" spans="1:26" ht="15.75" customHeight="1">
      <c r="A131" s="31" t="s">
        <v>164</v>
      </c>
      <c r="B131" s="32">
        <v>2147</v>
      </c>
      <c r="C131" s="274">
        <f t="shared" si="13"/>
        <v>6.6826139494805473E-8</v>
      </c>
      <c r="D131" s="271">
        <f t="shared" si="19"/>
        <v>6.6826139494805473E-8</v>
      </c>
      <c r="E131" s="34">
        <f t="shared" si="1"/>
        <v>0</v>
      </c>
      <c r="F131" s="42">
        <v>4000</v>
      </c>
      <c r="G131" s="34">
        <f t="shared" si="2"/>
        <v>267304.55797922192</v>
      </c>
      <c r="H131" s="34">
        <f t="shared" si="3"/>
        <v>265968.0351893258</v>
      </c>
      <c r="I131" s="35">
        <f t="shared" si="21"/>
        <v>1</v>
      </c>
      <c r="J131" s="36">
        <f t="shared" si="4"/>
        <v>265968.0351893258</v>
      </c>
      <c r="K131" s="34">
        <f t="shared" si="16"/>
        <v>186080417867.32974</v>
      </c>
      <c r="L131" s="37">
        <f t="shared" si="22"/>
        <v>268285843732.00464</v>
      </c>
      <c r="M131" s="34">
        <f t="shared" si="5"/>
        <v>16911215858.232666</v>
      </c>
      <c r="N131" s="34">
        <f t="shared" si="6"/>
        <v>0</v>
      </c>
      <c r="O131" s="34">
        <f t="shared" si="7"/>
        <v>16911215858.232666</v>
      </c>
      <c r="P131" s="34">
        <f t="shared" si="25"/>
        <v>1691121585.8232667</v>
      </c>
      <c r="Q131" s="38">
        <f t="shared" si="8"/>
        <v>15143993801.047352</v>
      </c>
      <c r="R131" s="39">
        <f t="shared" si="9"/>
        <v>1514399380.1047354</v>
      </c>
      <c r="S131" s="34">
        <f t="shared" si="10"/>
        <v>13629594420.942616</v>
      </c>
      <c r="T131" s="40">
        <f t="shared" si="24"/>
        <v>9712534678.4456081</v>
      </c>
      <c r="U131" s="272">
        <f t="shared" si="11"/>
        <v>6.8310681663272103E-4</v>
      </c>
      <c r="V131" s="282">
        <f t="shared" si="12"/>
        <v>171.19082504629156</v>
      </c>
      <c r="W131" s="283">
        <f>((S131+'Malawi-only'!S131)/(T131*(U131+'Malawi-only'!U131))/12)</f>
        <v>41.671618567423494</v>
      </c>
      <c r="X131" s="284">
        <f>(R131+'Malawi-only'!R131)</f>
        <v>4310579607.9732542</v>
      </c>
      <c r="Y131" s="284">
        <f>(L131+'Malawi-only'!L131)</f>
        <v>367358232501.24774</v>
      </c>
      <c r="Z131" s="284">
        <f>(Q131+'Malawi-only'!Q131)</f>
        <v>20736354256.784389</v>
      </c>
    </row>
    <row r="132" spans="1:26" ht="15.75" customHeight="1">
      <c r="A132" s="31" t="s">
        <v>165</v>
      </c>
      <c r="B132" s="32">
        <v>2148</v>
      </c>
      <c r="C132" s="274">
        <f t="shared" si="13"/>
        <v>6.014352554532493E-8</v>
      </c>
      <c r="D132" s="271">
        <f t="shared" si="19"/>
        <v>6.014352554532493E-8</v>
      </c>
      <c r="E132" s="34">
        <f t="shared" si="1"/>
        <v>0</v>
      </c>
      <c r="F132" s="42">
        <v>4000</v>
      </c>
      <c r="G132" s="34">
        <f t="shared" si="2"/>
        <v>240574.10218129971</v>
      </c>
      <c r="H132" s="34">
        <f t="shared" si="3"/>
        <v>239371.2316703932</v>
      </c>
      <c r="I132" s="35">
        <f t="shared" si="21"/>
        <v>1</v>
      </c>
      <c r="J132" s="36">
        <f t="shared" si="4"/>
        <v>239371.2316703932</v>
      </c>
      <c r="K132" s="34">
        <f t="shared" si="16"/>
        <v>186080657238.5614</v>
      </c>
      <c r="L132" s="37">
        <f t="shared" si="22"/>
        <v>269842216086.71506</v>
      </c>
      <c r="M132" s="34">
        <f t="shared" si="5"/>
        <v>17009322492.609093</v>
      </c>
      <c r="N132" s="34">
        <f t="shared" si="6"/>
        <v>0</v>
      </c>
      <c r="O132" s="34">
        <f t="shared" si="7"/>
        <v>17009322492.609093</v>
      </c>
      <c r="P132" s="34">
        <f t="shared" si="25"/>
        <v>1700932249.2609093</v>
      </c>
      <c r="Q132" s="38">
        <f t="shared" si="8"/>
        <v>15231848292.131441</v>
      </c>
      <c r="R132" s="39">
        <f t="shared" si="9"/>
        <v>1523184829.2131443</v>
      </c>
      <c r="S132" s="34">
        <f t="shared" si="10"/>
        <v>13708663462.918297</v>
      </c>
      <c r="T132" s="40">
        <f t="shared" si="24"/>
        <v>9702822143.7671642</v>
      </c>
      <c r="U132" s="272">
        <f t="shared" si="11"/>
        <v>6.8310681663272103E-4</v>
      </c>
      <c r="V132" s="282">
        <f t="shared" si="12"/>
        <v>172.3563066149934</v>
      </c>
      <c r="W132" s="283">
        <f>((S132+'Malawi-only'!S132)/(T132*(U132+'Malawi-only'!U132))/12)</f>
        <v>41.955324830534018</v>
      </c>
      <c r="X132" s="284">
        <f>(R132+'Malawi-only'!R132)</f>
        <v>4335587404.5417175</v>
      </c>
      <c r="Y132" s="284">
        <f>(L132+'Malawi-only'!L132)</f>
        <v>369489370433.91699</v>
      </c>
      <c r="Z132" s="284">
        <f>(Q132+'Malawi-only'!Q132)</f>
        <v>20856653442.788586</v>
      </c>
    </row>
    <row r="133" spans="1:26" ht="15.75" customHeight="1">
      <c r="A133" s="31" t="s">
        <v>166</v>
      </c>
      <c r="B133" s="32">
        <v>2149</v>
      </c>
      <c r="C133" s="274">
        <f t="shared" si="13"/>
        <v>5.4129172990792441E-8</v>
      </c>
      <c r="D133" s="271">
        <f t="shared" si="19"/>
        <v>5.4129172990792441E-8</v>
      </c>
      <c r="E133" s="34">
        <f t="shared" si="1"/>
        <v>0</v>
      </c>
      <c r="F133" s="42">
        <v>4000</v>
      </c>
      <c r="G133" s="34">
        <f t="shared" si="2"/>
        <v>216516.69196316978</v>
      </c>
      <c r="H133" s="34">
        <f t="shared" si="3"/>
        <v>215434.10850335393</v>
      </c>
      <c r="I133" s="35">
        <f t="shared" si="21"/>
        <v>1</v>
      </c>
      <c r="J133" s="36">
        <f t="shared" si="4"/>
        <v>215434.10850335393</v>
      </c>
      <c r="K133" s="34">
        <f t="shared" si="16"/>
        <v>186080872672.66989</v>
      </c>
      <c r="L133" s="37">
        <f t="shared" si="22"/>
        <v>271407592088.1994</v>
      </c>
      <c r="M133" s="34">
        <f t="shared" si="5"/>
        <v>17107996499.897734</v>
      </c>
      <c r="N133" s="34">
        <f t="shared" si="6"/>
        <v>0</v>
      </c>
      <c r="O133" s="34">
        <f t="shared" si="7"/>
        <v>17107996499.897734</v>
      </c>
      <c r="P133" s="34">
        <f t="shared" si="25"/>
        <v>1710799649.9897735</v>
      </c>
      <c r="Q133" s="38">
        <f t="shared" si="8"/>
        <v>15320210865.658421</v>
      </c>
      <c r="R133" s="39">
        <f t="shared" si="9"/>
        <v>1532021086.5658422</v>
      </c>
      <c r="S133" s="34">
        <f t="shared" si="10"/>
        <v>13788189779.092579</v>
      </c>
      <c r="T133" s="40">
        <f t="shared" si="24"/>
        <v>9693119321.6233978</v>
      </c>
      <c r="U133" s="272">
        <f t="shared" si="11"/>
        <v>6.8310681663272103E-4</v>
      </c>
      <c r="V133" s="282">
        <f t="shared" si="12"/>
        <v>173.52970491917992</v>
      </c>
      <c r="W133" s="283">
        <f>((S133+'Malawi-only'!S133)/(T133*(U133+'Malawi-only'!U133))/12)</f>
        <v>42.240957982672406</v>
      </c>
      <c r="X133" s="284">
        <f>(R133+'Malawi-only'!R133)</f>
        <v>4360739733.5238857</v>
      </c>
      <c r="Y133" s="284">
        <f>(L133+'Malawi-only'!L133)</f>
        <v>371632834084.84149</v>
      </c>
      <c r="Z133" s="284">
        <f>(Q133+'Malawi-only'!Q133)</f>
        <v>20977648159.574509</v>
      </c>
    </row>
    <row r="134" spans="1:26" ht="15.75" customHeight="1">
      <c r="A134" s="31" t="s">
        <v>167</v>
      </c>
      <c r="B134" s="32">
        <v>2150</v>
      </c>
      <c r="C134" s="274">
        <f t="shared" si="13"/>
        <v>4.87162556917132E-8</v>
      </c>
      <c r="D134" s="271">
        <f t="shared" si="19"/>
        <v>4.87162556917132E-8</v>
      </c>
      <c r="E134" s="34">
        <f t="shared" si="1"/>
        <v>0</v>
      </c>
      <c r="F134" s="42">
        <v>4000</v>
      </c>
      <c r="G134" s="34">
        <f t="shared" si="2"/>
        <v>194865.02276685281</v>
      </c>
      <c r="H134" s="34">
        <f t="shared" si="3"/>
        <v>193890.69765301855</v>
      </c>
      <c r="I134" s="35">
        <f t="shared" si="21"/>
        <v>1</v>
      </c>
      <c r="J134" s="36">
        <f t="shared" si="4"/>
        <v>193890.69765301855</v>
      </c>
      <c r="K134" s="34">
        <f t="shared" si="16"/>
        <v>186081066563.36755</v>
      </c>
      <c r="L134" s="37">
        <f t="shared" si="22"/>
        <v>272982026336.07242</v>
      </c>
      <c r="M134" s="34">
        <f t="shared" si="5"/>
        <v>17207241338.391842</v>
      </c>
      <c r="N134" s="34">
        <f t="shared" si="6"/>
        <v>0</v>
      </c>
      <c r="O134" s="34">
        <f t="shared" si="7"/>
        <v>17207241338.391842</v>
      </c>
      <c r="P134" s="34">
        <f t="shared" si="25"/>
        <v>1720724133.8391843</v>
      </c>
      <c r="Q134" s="38">
        <f t="shared" si="8"/>
        <v>15409084618.529894</v>
      </c>
      <c r="R134" s="39">
        <f t="shared" si="9"/>
        <v>1540908461.8529894</v>
      </c>
      <c r="S134" s="34">
        <f t="shared" si="10"/>
        <v>13868176156.676905</v>
      </c>
      <c r="T134" s="40">
        <f t="shared" si="24"/>
        <v>9683426202.301775</v>
      </c>
      <c r="U134" s="272">
        <f t="shared" si="11"/>
        <v>6.8310681663272103E-4</v>
      </c>
      <c r="V134" s="282">
        <f t="shared" si="12"/>
        <v>174.71107551433681</v>
      </c>
      <c r="W134" s="283">
        <f>((S134+'Malawi-only'!S134)/(T134*(U134+'Malawi-only'!U134))/12)</f>
        <v>42.528531569062061</v>
      </c>
      <c r="X134" s="284">
        <f>(R134+'Malawi-only'!R134)</f>
        <v>4386037485.2463675</v>
      </c>
      <c r="Y134" s="284">
        <f>(L134+'Malawi-only'!L134)</f>
        <v>373788698495.95837</v>
      </c>
      <c r="Z134" s="284">
        <f>(Q134+'Malawi-only'!Q134)</f>
        <v>21099342665.31665</v>
      </c>
    </row>
    <row r="135" spans="1:26" ht="15.75" customHeight="1">
      <c r="A135" s="31" t="s">
        <v>168</v>
      </c>
      <c r="B135" s="32">
        <v>2151</v>
      </c>
      <c r="C135" s="274">
        <f t="shared" si="13"/>
        <v>4.3844630122541879E-8</v>
      </c>
      <c r="D135" s="271">
        <f t="shared" si="19"/>
        <v>4.3844630122541879E-8</v>
      </c>
      <c r="E135" s="34">
        <f t="shared" si="1"/>
        <v>0</v>
      </c>
      <c r="F135" s="42">
        <v>4000</v>
      </c>
      <c r="G135" s="34">
        <f t="shared" si="2"/>
        <v>175378.52049016752</v>
      </c>
      <c r="H135" s="34">
        <f t="shared" si="3"/>
        <v>174501.62788771669</v>
      </c>
      <c r="I135" s="35">
        <f t="shared" si="21"/>
        <v>1</v>
      </c>
      <c r="J135" s="36">
        <f t="shared" si="4"/>
        <v>174501.62788771669</v>
      </c>
      <c r="K135" s="34">
        <f t="shared" si="16"/>
        <v>186081241064.99545</v>
      </c>
      <c r="L135" s="37">
        <f t="shared" si="22"/>
        <v>274565573509.05374</v>
      </c>
      <c r="M135" s="34">
        <f t="shared" si="5"/>
        <v>17307060469.706989</v>
      </c>
      <c r="N135" s="34">
        <f t="shared" si="6"/>
        <v>0</v>
      </c>
      <c r="O135" s="34">
        <f t="shared" si="7"/>
        <v>17307060469.706989</v>
      </c>
      <c r="P135" s="34">
        <f t="shared" si="25"/>
        <v>1730706046.9706991</v>
      </c>
      <c r="Q135" s="38">
        <f t="shared" si="8"/>
        <v>15498472650.622608</v>
      </c>
      <c r="R135" s="39">
        <f t="shared" si="9"/>
        <v>1549847265.0622609</v>
      </c>
      <c r="S135" s="34">
        <f t="shared" si="10"/>
        <v>13948625385.560347</v>
      </c>
      <c r="T135" s="40">
        <f t="shared" si="24"/>
        <v>9673742776.099474</v>
      </c>
      <c r="U135" s="272">
        <f t="shared" si="11"/>
        <v>6.8310681663272103E-4</v>
      </c>
      <c r="V135" s="282">
        <f t="shared" si="12"/>
        <v>175.9004741690693</v>
      </c>
      <c r="W135" s="283">
        <f>((S135+'Malawi-only'!S135)/(T135*(U135+'Malawi-only'!U135))/12)</f>
        <v>42.818059184645307</v>
      </c>
      <c r="X135" s="284">
        <f>(R135+'Malawi-only'!R135)</f>
        <v>4411481550.0001993</v>
      </c>
      <c r="Y135" s="284">
        <f>(L135+'Malawi-only'!L135)</f>
        <v>375957038789.54553</v>
      </c>
      <c r="Z135" s="284">
        <f>(Q135+'Malawi-only'!Q135)</f>
        <v>21221741220.498486</v>
      </c>
    </row>
    <row r="136" spans="1:26" ht="15.75" customHeight="1">
      <c r="A136" s="31" t="s">
        <v>169</v>
      </c>
      <c r="B136" s="32">
        <v>2152</v>
      </c>
      <c r="C136" s="274">
        <f t="shared" si="13"/>
        <v>3.9460167110287694E-8</v>
      </c>
      <c r="D136" s="271">
        <f t="shared" si="19"/>
        <v>3.9460167110287694E-8</v>
      </c>
      <c r="E136" s="34">
        <f t="shared" si="1"/>
        <v>0</v>
      </c>
      <c r="F136" s="42">
        <v>4000</v>
      </c>
      <c r="G136" s="34">
        <f t="shared" si="2"/>
        <v>157840.66844115077</v>
      </c>
      <c r="H136" s="34">
        <f t="shared" si="3"/>
        <v>157051.46509894502</v>
      </c>
      <c r="I136" s="35">
        <f t="shared" si="21"/>
        <v>1</v>
      </c>
      <c r="J136" s="36">
        <f t="shared" si="4"/>
        <v>157051.46509894502</v>
      </c>
      <c r="K136" s="34">
        <f t="shared" si="16"/>
        <v>186081398116.46054</v>
      </c>
      <c r="L136" s="37">
        <f t="shared" si="22"/>
        <v>276158288389.18579</v>
      </c>
      <c r="M136" s="34">
        <f t="shared" si="5"/>
        <v>17407457360.474007</v>
      </c>
      <c r="N136" s="34">
        <f t="shared" si="6"/>
        <v>0</v>
      </c>
      <c r="O136" s="34">
        <f t="shared" si="7"/>
        <v>17407457360.474007</v>
      </c>
      <c r="P136" s="34">
        <f t="shared" si="25"/>
        <v>1740745736.0474007</v>
      </c>
      <c r="Q136" s="38">
        <f t="shared" si="8"/>
        <v>15588378066.304472</v>
      </c>
      <c r="R136" s="39">
        <f t="shared" si="9"/>
        <v>1558837806.6304474</v>
      </c>
      <c r="S136" s="34">
        <f t="shared" si="10"/>
        <v>14029540259.674025</v>
      </c>
      <c r="T136" s="40">
        <f t="shared" si="24"/>
        <v>9664069033.3233757</v>
      </c>
      <c r="U136" s="272">
        <f t="shared" si="11"/>
        <v>6.8310681663272103E-4</v>
      </c>
      <c r="V136" s="282">
        <f t="shared" si="12"/>
        <v>177.09795688290899</v>
      </c>
      <c r="W136" s="283">
        <f>((S136+'Malawi-only'!S136)/(T136*(U136+'Malawi-only'!U136))/12)</f>
        <v>43.109554478631985</v>
      </c>
      <c r="X136" s="284">
        <f>(R136+'Malawi-only'!R136)</f>
        <v>4437072818.5606155</v>
      </c>
      <c r="Y136" s="284">
        <f>(L136+'Malawi-only'!L136)</f>
        <v>378137930204.18005</v>
      </c>
      <c r="Z136" s="284">
        <f>(Q136+'Malawi-only'!Q136)</f>
        <v>21344848090.16481</v>
      </c>
    </row>
    <row r="137" spans="1:26" ht="15.75" customHeight="1">
      <c r="A137" s="31" t="s">
        <v>170</v>
      </c>
      <c r="B137" s="32">
        <v>2153</v>
      </c>
      <c r="C137" s="274">
        <f t="shared" si="13"/>
        <v>3.5514150399258923E-8</v>
      </c>
      <c r="D137" s="271">
        <f t="shared" si="19"/>
        <v>3.5514150399258923E-8</v>
      </c>
      <c r="E137" s="34">
        <f t="shared" si="1"/>
        <v>0</v>
      </c>
      <c r="F137" s="42">
        <v>4000</v>
      </c>
      <c r="G137" s="34">
        <f t="shared" si="2"/>
        <v>142056.60159703568</v>
      </c>
      <c r="H137" s="34">
        <f t="shared" si="3"/>
        <v>141346.3185890505</v>
      </c>
      <c r="I137" s="35">
        <f t="shared" si="21"/>
        <v>1</v>
      </c>
      <c r="J137" s="36">
        <f t="shared" si="4"/>
        <v>141346.3185890505</v>
      </c>
      <c r="K137" s="34">
        <f t="shared" si="16"/>
        <v>186081539462.77914</v>
      </c>
      <c r="L137" s="37">
        <f t="shared" si="22"/>
        <v>277760225883.81604</v>
      </c>
      <c r="M137" s="34">
        <f t="shared" si="5"/>
        <v>17508435483.874378</v>
      </c>
      <c r="N137" s="34">
        <f t="shared" si="6"/>
        <v>0</v>
      </c>
      <c r="O137" s="34">
        <f t="shared" si="7"/>
        <v>17508435483.874378</v>
      </c>
      <c r="P137" s="34">
        <f t="shared" si="25"/>
        <v>1750843548.3874378</v>
      </c>
      <c r="Q137" s="38">
        <f t="shared" si="8"/>
        <v>15678803975.809505</v>
      </c>
      <c r="R137" s="39">
        <f t="shared" si="9"/>
        <v>1567880397.5809507</v>
      </c>
      <c r="S137" s="34">
        <f t="shared" si="10"/>
        <v>14110923578.228554</v>
      </c>
      <c r="T137" s="40">
        <f t="shared" si="24"/>
        <v>9654404964.2900543</v>
      </c>
      <c r="U137" s="272">
        <f t="shared" si="11"/>
        <v>6.8310681663272103E-4</v>
      </c>
      <c r="V137" s="282">
        <f t="shared" si="12"/>
        <v>178.30357990262144</v>
      </c>
      <c r="W137" s="283">
        <f>((S137+'Malawi-only'!S137)/(T137*(U137+'Malawi-only'!U137))/12)</f>
        <v>43.403031158661804</v>
      </c>
      <c r="X137" s="284">
        <f>(R137+'Malawi-only'!R137)</f>
        <v>4462812182.6578274</v>
      </c>
      <c r="Y137" s="284">
        <f>(L137+'Malawi-only'!L137)</f>
        <v>380331448127.35596</v>
      </c>
      <c r="Z137" s="284">
        <f>(Q137+'Malawi-only'!Q137)</f>
        <v>21468667545.963257</v>
      </c>
    </row>
    <row r="138" spans="1:26" ht="15.75" customHeight="1">
      <c r="A138" s="31" t="s">
        <v>171</v>
      </c>
      <c r="B138" s="32">
        <v>2154</v>
      </c>
      <c r="C138" s="274">
        <f t="shared" si="13"/>
        <v>3.1962735359333033E-8</v>
      </c>
      <c r="D138" s="271">
        <f t="shared" si="19"/>
        <v>3.1962735359333033E-8</v>
      </c>
      <c r="E138" s="34">
        <f t="shared" si="1"/>
        <v>0</v>
      </c>
      <c r="F138" s="42">
        <v>4000</v>
      </c>
      <c r="G138" s="34">
        <f t="shared" si="2"/>
        <v>127850.94143733213</v>
      </c>
      <c r="H138" s="34">
        <f t="shared" si="3"/>
        <v>127211.68673014548</v>
      </c>
      <c r="I138" s="35">
        <f t="shared" si="21"/>
        <v>1</v>
      </c>
      <c r="J138" s="36">
        <f t="shared" si="4"/>
        <v>127211.68673014548</v>
      </c>
      <c r="K138" s="34">
        <f t="shared" si="16"/>
        <v>186081666674.46588</v>
      </c>
      <c r="L138" s="37">
        <f t="shared" si="22"/>
        <v>279371441045.5683</v>
      </c>
      <c r="M138" s="34">
        <f t="shared" si="5"/>
        <v>17609998321.033936</v>
      </c>
      <c r="N138" s="34">
        <f t="shared" si="6"/>
        <v>0</v>
      </c>
      <c r="O138" s="34">
        <f t="shared" si="7"/>
        <v>17609998321.033936</v>
      </c>
      <c r="P138" s="34">
        <f t="shared" si="25"/>
        <v>1760999832.1033936</v>
      </c>
      <c r="Q138" s="38">
        <f t="shared" si="8"/>
        <v>15769753496.485889</v>
      </c>
      <c r="R138" s="39">
        <f t="shared" si="9"/>
        <v>1576975349.6485891</v>
      </c>
      <c r="S138" s="34">
        <f t="shared" si="10"/>
        <v>14192778146.837299</v>
      </c>
      <c r="T138" s="40">
        <f t="shared" si="24"/>
        <v>9644750559.3257656</v>
      </c>
      <c r="U138" s="272">
        <f t="shared" si="11"/>
        <v>6.8310681663272103E-4</v>
      </c>
      <c r="V138" s="282">
        <f t="shared" si="12"/>
        <v>179.51739973716462</v>
      </c>
      <c r="W138" s="283">
        <f>((S138+'Malawi-only'!S138)/(T138*(U138+'Malawi-only'!U138))/12)</f>
        <v>43.698502994619247</v>
      </c>
      <c r="X138" s="284">
        <f>(R138+'Malawi-only'!R138)</f>
        <v>4488700535.4037418</v>
      </c>
      <c r="Y138" s="284">
        <f>(L138+'Malawi-only'!L138)</f>
        <v>382537668125.0968</v>
      </c>
      <c r="Z138" s="284">
        <f>(Q138+'Malawi-only'!Q138)</f>
        <v>21593203867.996193</v>
      </c>
    </row>
    <row r="139" spans="1:26" ht="15.75" customHeight="1">
      <c r="A139" s="31" t="s">
        <v>172</v>
      </c>
      <c r="B139" s="32">
        <v>2155</v>
      </c>
      <c r="C139" s="274">
        <f t="shared" si="13"/>
        <v>2.8766461823399731E-8</v>
      </c>
      <c r="D139" s="271">
        <f t="shared" si="19"/>
        <v>2.8766461823399731E-8</v>
      </c>
      <c r="E139" s="34">
        <f t="shared" si="1"/>
        <v>0</v>
      </c>
      <c r="F139" s="42">
        <v>4000</v>
      </c>
      <c r="G139" s="34">
        <f t="shared" si="2"/>
        <v>115065.84729359893</v>
      </c>
      <c r="H139" s="34">
        <f t="shared" si="3"/>
        <v>114490.51805713093</v>
      </c>
      <c r="I139" s="35">
        <f t="shared" si="21"/>
        <v>1</v>
      </c>
      <c r="J139" s="36">
        <f t="shared" si="4"/>
        <v>114490.51805713093</v>
      </c>
      <c r="K139" s="34">
        <f t="shared" si="16"/>
        <v>186081781164.98395</v>
      </c>
      <c r="L139" s="37">
        <f t="shared" si="22"/>
        <v>280991989090.50568</v>
      </c>
      <c r="M139" s="34">
        <f t="shared" si="5"/>
        <v>17712149362.289028</v>
      </c>
      <c r="N139" s="34">
        <f t="shared" si="6"/>
        <v>0</v>
      </c>
      <c r="O139" s="34">
        <f t="shared" si="7"/>
        <v>17712149362.289028</v>
      </c>
      <c r="P139" s="34">
        <f t="shared" si="25"/>
        <v>1771214936.2289028</v>
      </c>
      <c r="Q139" s="38">
        <f t="shared" si="8"/>
        <v>15861229753.929825</v>
      </c>
      <c r="R139" s="39">
        <f t="shared" si="9"/>
        <v>1586122975.3929825</v>
      </c>
      <c r="S139" s="34">
        <f t="shared" si="10"/>
        <v>14275106778.536842</v>
      </c>
      <c r="T139" s="40">
        <f t="shared" si="24"/>
        <v>9635105808.7664413</v>
      </c>
      <c r="U139" s="272">
        <f t="shared" si="11"/>
        <v>6.8310681663272103E-4</v>
      </c>
      <c r="V139" s="282">
        <f t="shared" si="12"/>
        <v>180.73947317143327</v>
      </c>
      <c r="W139" s="283">
        <f>((S139+'Malawi-only'!S139)/(T139*(U139+'Malawi-only'!U139))/12)</f>
        <v>43.995983822135685</v>
      </c>
      <c r="X139" s="284">
        <f>(R139+'Malawi-only'!R139)</f>
        <v>4514738771.6790352</v>
      </c>
      <c r="Y139" s="284">
        <f>(L139+'Malawi-only'!L139)</f>
        <v>384756665968.86499</v>
      </c>
      <c r="Z139" s="284">
        <f>(Q139+'Malawi-only'!Q139)</f>
        <v>21718461346.50193</v>
      </c>
    </row>
    <row r="140" spans="1:26" ht="15.75" customHeight="1">
      <c r="A140" s="31" t="s">
        <v>173</v>
      </c>
      <c r="B140" s="32">
        <v>2156</v>
      </c>
      <c r="C140" s="274">
        <f t="shared" si="13"/>
        <v>2.588981564105976E-8</v>
      </c>
      <c r="D140" s="271">
        <f t="shared" si="19"/>
        <v>2.588981564105976E-8</v>
      </c>
      <c r="E140" s="34">
        <f t="shared" si="1"/>
        <v>0</v>
      </c>
      <c r="F140" s="42">
        <v>4000</v>
      </c>
      <c r="G140" s="34">
        <f t="shared" si="2"/>
        <v>103559.26256423905</v>
      </c>
      <c r="H140" s="34">
        <f t="shared" si="3"/>
        <v>103041.46625141785</v>
      </c>
      <c r="I140" s="35">
        <f t="shared" si="21"/>
        <v>1</v>
      </c>
      <c r="J140" s="36">
        <f t="shared" si="4"/>
        <v>103041.46625141785</v>
      </c>
      <c r="K140" s="34">
        <f t="shared" si="16"/>
        <v>186081884206.4502</v>
      </c>
      <c r="L140" s="37">
        <f t="shared" si="22"/>
        <v>282621925414.66675</v>
      </c>
      <c r="M140" s="34">
        <f t="shared" si="5"/>
        <v>17814892108.338058</v>
      </c>
      <c r="N140" s="34">
        <f t="shared" si="6"/>
        <v>0</v>
      </c>
      <c r="O140" s="34">
        <f t="shared" si="7"/>
        <v>17814892108.338058</v>
      </c>
      <c r="P140" s="34">
        <f t="shared" si="25"/>
        <v>1781489210.833806</v>
      </c>
      <c r="Q140" s="38">
        <f t="shared" si="8"/>
        <v>15953235883.016731</v>
      </c>
      <c r="R140" s="39">
        <f t="shared" si="9"/>
        <v>1595323588.3016732</v>
      </c>
      <c r="S140" s="34">
        <f t="shared" si="10"/>
        <v>14357912294.715057</v>
      </c>
      <c r="T140" s="40">
        <f t="shared" si="24"/>
        <v>9625470702.9576759</v>
      </c>
      <c r="U140" s="272">
        <f t="shared" si="11"/>
        <v>6.8310681663272103E-4</v>
      </c>
      <c r="V140" s="282">
        <f t="shared" si="12"/>
        <v>181.96985727891183</v>
      </c>
      <c r="W140" s="283">
        <f>((S140+'Malawi-only'!S140)/(T140*(U140+'Malawi-only'!U140))/12)</f>
        <v>44.295487545810282</v>
      </c>
      <c r="X140" s="284">
        <f>(R140+'Malawi-only'!R140)</f>
        <v>4540927788.4845657</v>
      </c>
      <c r="Y140" s="284">
        <f>(L140+'Malawi-only'!L140)</f>
        <v>386988517660.04016</v>
      </c>
      <c r="Z140" s="284">
        <f>(Q140+'Malawi-only'!Q140)</f>
        <v>21844444283.382515</v>
      </c>
    </row>
    <row r="141" spans="1:26" ht="15.75" customHeight="1">
      <c r="A141" s="31" t="s">
        <v>174</v>
      </c>
      <c r="B141" s="32">
        <v>2157</v>
      </c>
      <c r="C141" s="274">
        <f t="shared" si="13"/>
        <v>2.3300834076953785E-8</v>
      </c>
      <c r="D141" s="271">
        <f t="shared" si="19"/>
        <v>2.3300834076953785E-8</v>
      </c>
      <c r="E141" s="34">
        <f t="shared" si="1"/>
        <v>0</v>
      </c>
      <c r="F141" s="42">
        <v>4000</v>
      </c>
      <c r="G141" s="34">
        <f t="shared" si="2"/>
        <v>93203.336307815145</v>
      </c>
      <c r="H141" s="34">
        <f t="shared" si="3"/>
        <v>92737.319626276076</v>
      </c>
      <c r="I141" s="35">
        <f t="shared" si="21"/>
        <v>1</v>
      </c>
      <c r="J141" s="36">
        <f t="shared" si="4"/>
        <v>92737.319626276076</v>
      </c>
      <c r="K141" s="34">
        <f t="shared" si="16"/>
        <v>186081976943.76984</v>
      </c>
      <c r="L141" s="37">
        <f t="shared" si="22"/>
        <v>284261305609.13879</v>
      </c>
      <c r="M141" s="34">
        <f t="shared" si="5"/>
        <v>17918230071.289871</v>
      </c>
      <c r="N141" s="34">
        <f t="shared" si="6"/>
        <v>0</v>
      </c>
      <c r="O141" s="34">
        <f t="shared" si="7"/>
        <v>17918230071.289871</v>
      </c>
      <c r="P141" s="34">
        <f t="shared" si="25"/>
        <v>1791823007.1289873</v>
      </c>
      <c r="Q141" s="38">
        <f t="shared" si="8"/>
        <v>16045775028.84008</v>
      </c>
      <c r="R141" s="39">
        <f t="shared" si="9"/>
        <v>1604577502.8840082</v>
      </c>
      <c r="S141" s="34">
        <f t="shared" si="10"/>
        <v>14441197525.956072</v>
      </c>
      <c r="T141" s="40">
        <f t="shared" si="24"/>
        <v>9615845232.2547188</v>
      </c>
      <c r="U141" s="272">
        <f t="shared" si="11"/>
        <v>6.8310681663272103E-4</v>
      </c>
      <c r="V141" s="282">
        <f t="shared" si="12"/>
        <v>183.20860943334557</v>
      </c>
      <c r="W141" s="283">
        <f>((S141+'Malawi-only'!S141)/(T141*(U141+'Malawi-only'!U141))/12)</f>
        <v>44.597028142178083</v>
      </c>
      <c r="X141" s="284">
        <f>(R141+'Malawi-only'!R141)</f>
        <v>4567268485.2607088</v>
      </c>
      <c r="Y141" s="284">
        <f>(L141+'Malawi-only'!L141)</f>
        <v>389233299452.21063</v>
      </c>
      <c r="Z141" s="284">
        <f>(Q141+'Malawi-only'!Q141)</f>
        <v>21971156993.593483</v>
      </c>
    </row>
    <row r="142" spans="1:26" ht="15.75" customHeight="1">
      <c r="A142" s="31" t="s">
        <v>175</v>
      </c>
      <c r="B142" s="32">
        <v>2158</v>
      </c>
      <c r="C142" s="274">
        <f t="shared" si="13"/>
        <v>2.0970750669258406E-8</v>
      </c>
      <c r="D142" s="271">
        <f t="shared" si="19"/>
        <v>2.0970750669258406E-8</v>
      </c>
      <c r="E142" s="34">
        <f t="shared" si="1"/>
        <v>0</v>
      </c>
      <c r="F142" s="42">
        <v>4000</v>
      </c>
      <c r="G142" s="34">
        <f t="shared" si="2"/>
        <v>83883.002677033626</v>
      </c>
      <c r="H142" s="34">
        <f t="shared" si="3"/>
        <v>83463.587663648461</v>
      </c>
      <c r="I142" s="35">
        <f t="shared" si="21"/>
        <v>1</v>
      </c>
      <c r="J142" s="36">
        <f t="shared" si="4"/>
        <v>83463.587663648461</v>
      </c>
      <c r="K142" s="34">
        <f t="shared" si="16"/>
        <v>186082060407.35751</v>
      </c>
      <c r="L142" s="37">
        <f t="shared" si="22"/>
        <v>285910185473.81549</v>
      </c>
      <c r="M142" s="34">
        <f t="shared" si="5"/>
        <v>18022166775.6194</v>
      </c>
      <c r="N142" s="34">
        <f t="shared" si="6"/>
        <v>0</v>
      </c>
      <c r="O142" s="34">
        <f t="shared" si="7"/>
        <v>18022166775.6194</v>
      </c>
      <c r="P142" s="34">
        <f t="shared" si="25"/>
        <v>1802216677.5619402</v>
      </c>
      <c r="Q142" s="38">
        <f t="shared" si="8"/>
        <v>16138850347.567173</v>
      </c>
      <c r="R142" s="39">
        <f t="shared" si="9"/>
        <v>1613885034.7567174</v>
      </c>
      <c r="S142" s="34">
        <f t="shared" si="10"/>
        <v>14524965312.810455</v>
      </c>
      <c r="T142" s="40">
        <f t="shared" si="24"/>
        <v>9606229387.0224648</v>
      </c>
      <c r="U142" s="272">
        <f t="shared" si="11"/>
        <v>6.8310681663272103E-4</v>
      </c>
      <c r="V142" s="282">
        <f t="shared" si="12"/>
        <v>184.45578731952955</v>
      </c>
      <c r="W142" s="283">
        <f>((S142+'Malawi-only'!S142)/(T142*(U142+'Malawi-only'!U142))/12)</f>
        <v>44.900619662450588</v>
      </c>
      <c r="X142" s="284">
        <f>(R142+'Malawi-only'!R142)</f>
        <v>4593761764.1778431</v>
      </c>
      <c r="Y142" s="284">
        <f>(L142+'Malawi-only'!L142)</f>
        <v>391491087871.49829</v>
      </c>
      <c r="Z142" s="284">
        <f>(Q142+'Malawi-only'!Q142)</f>
        <v>22098603806.409424</v>
      </c>
    </row>
    <row r="143" spans="1:26" ht="15.75" customHeight="1">
      <c r="A143" s="31" t="s">
        <v>176</v>
      </c>
      <c r="B143" s="32">
        <v>2159</v>
      </c>
      <c r="C143" s="274">
        <f t="shared" si="13"/>
        <v>1.8873675602332567E-8</v>
      </c>
      <c r="D143" s="271">
        <f t="shared" si="19"/>
        <v>1.8873675602332567E-8</v>
      </c>
      <c r="E143" s="34">
        <f t="shared" si="1"/>
        <v>0</v>
      </c>
      <c r="F143" s="42">
        <v>4000</v>
      </c>
      <c r="G143" s="34">
        <f t="shared" si="2"/>
        <v>75494.702409330261</v>
      </c>
      <c r="H143" s="34">
        <f t="shared" si="3"/>
        <v>75117.22889728361</v>
      </c>
      <c r="I143" s="35">
        <f t="shared" si="21"/>
        <v>1</v>
      </c>
      <c r="J143" s="36">
        <f t="shared" si="4"/>
        <v>75117.22889728361</v>
      </c>
      <c r="K143" s="34">
        <f t="shared" si="16"/>
        <v>186082135524.58643</v>
      </c>
      <c r="L143" s="37">
        <f t="shared" si="22"/>
        <v>287568621029.97205</v>
      </c>
      <c r="M143" s="34">
        <f t="shared" si="5"/>
        <v>18126705759.039902</v>
      </c>
      <c r="N143" s="34">
        <f t="shared" si="6"/>
        <v>0</v>
      </c>
      <c r="O143" s="34">
        <f t="shared" si="7"/>
        <v>18126705759.039902</v>
      </c>
      <c r="P143" s="34">
        <f t="shared" si="25"/>
        <v>1812670575.9039903</v>
      </c>
      <c r="Q143" s="38">
        <f t="shared" si="8"/>
        <v>16232465007.220232</v>
      </c>
      <c r="R143" s="39">
        <f t="shared" si="9"/>
        <v>1623246500.7220232</v>
      </c>
      <c r="S143" s="34">
        <f t="shared" si="10"/>
        <v>14609218506.498209</v>
      </c>
      <c r="T143" s="40">
        <f t="shared" si="24"/>
        <v>9596623157.6354427</v>
      </c>
      <c r="U143" s="272">
        <f t="shared" si="11"/>
        <v>6.8310681663272103E-4</v>
      </c>
      <c r="V143" s="282">
        <f t="shared" si="12"/>
        <v>185.71144894330408</v>
      </c>
      <c r="W143" s="283">
        <f>((S143+'Malawi-only'!S143)/(T143*(U143+'Malawi-only'!U143))/12)</f>
        <v>45.206276235051924</v>
      </c>
      <c r="X143" s="284">
        <f>(R143+'Malawi-only'!R143)</f>
        <v>4620408530.4008837</v>
      </c>
      <c r="Y143" s="284">
        <f>(L143+'Malawi-only'!L143)</f>
        <v>393761959735.11542</v>
      </c>
      <c r="Z143" s="284">
        <f>(Q143+'Malawi-only'!Q143)</f>
        <v>22226789066.577953</v>
      </c>
    </row>
    <row r="144" spans="1:26" ht="15.75" customHeight="1">
      <c r="A144" s="31" t="s">
        <v>177</v>
      </c>
      <c r="B144" s="32">
        <v>2160</v>
      </c>
      <c r="C144" s="274">
        <f t="shared" si="13"/>
        <v>1.6986308042099311E-8</v>
      </c>
      <c r="D144" s="271">
        <f t="shared" si="19"/>
        <v>1.6986308042099311E-8</v>
      </c>
      <c r="E144" s="34">
        <f t="shared" si="1"/>
        <v>0</v>
      </c>
      <c r="F144" s="42">
        <v>4000</v>
      </c>
      <c r="G144" s="34">
        <f t="shared" si="2"/>
        <v>67945.23216839724</v>
      </c>
      <c r="H144" s="34">
        <f t="shared" si="3"/>
        <v>67605.506007555261</v>
      </c>
      <c r="I144" s="35">
        <f t="shared" si="21"/>
        <v>1</v>
      </c>
      <c r="J144" s="36">
        <f t="shared" si="4"/>
        <v>67605.506007555261</v>
      </c>
      <c r="K144" s="34">
        <f t="shared" si="16"/>
        <v>186082203130.09244</v>
      </c>
      <c r="L144" s="37">
        <f t="shared" si="22"/>
        <v>289236668531.77637</v>
      </c>
      <c r="M144" s="34">
        <f t="shared" si="5"/>
        <v>18231850573.300228</v>
      </c>
      <c r="N144" s="34">
        <f t="shared" si="6"/>
        <v>0</v>
      </c>
      <c r="O144" s="34">
        <f t="shared" si="7"/>
        <v>18231850573.300228</v>
      </c>
      <c r="P144" s="34">
        <f t="shared" si="25"/>
        <v>1823185057.3300228</v>
      </c>
      <c r="Q144" s="38">
        <f t="shared" si="8"/>
        <v>16326622188.390354</v>
      </c>
      <c r="R144" s="39">
        <f t="shared" si="9"/>
        <v>1632662218.8390355</v>
      </c>
      <c r="S144" s="34">
        <f t="shared" si="10"/>
        <v>14693959969.551319</v>
      </c>
      <c r="T144" s="40">
        <f t="shared" si="24"/>
        <v>9587026534.477808</v>
      </c>
      <c r="U144" s="272">
        <f t="shared" si="11"/>
        <v>6.8310681663272103E-4</v>
      </c>
      <c r="V144" s="282">
        <f t="shared" si="12"/>
        <v>186.97565264083786</v>
      </c>
      <c r="W144" s="283">
        <f>((S144+'Malawi-only'!S144)/(T144*(U144+'Malawi-only'!U144))/12)</f>
        <v>45.514012067971485</v>
      </c>
      <c r="X144" s="284">
        <f>(R144+'Malawi-only'!R144)</f>
        <v>4647209692.3304873</v>
      </c>
      <c r="Y144" s="284">
        <f>(L144+'Malawi-only'!L144)</f>
        <v>396045992168.33124</v>
      </c>
      <c r="Z144" s="284">
        <f>(Q144+'Malawi-only'!Q144)</f>
        <v>22355717135.373257</v>
      </c>
    </row>
    <row r="145" spans="1:26" ht="15.75" customHeight="1">
      <c r="A145" s="31" t="s">
        <v>178</v>
      </c>
      <c r="B145" s="32">
        <v>2161</v>
      </c>
      <c r="C145" s="274">
        <f t="shared" si="13"/>
        <v>1.5287677237889379E-8</v>
      </c>
      <c r="D145" s="271">
        <f t="shared" si="19"/>
        <v>1.5287677237889379E-8</v>
      </c>
      <c r="E145" s="34">
        <f t="shared" si="1"/>
        <v>0</v>
      </c>
      <c r="F145" s="42">
        <v>4000</v>
      </c>
      <c r="G145" s="34">
        <f t="shared" si="2"/>
        <v>61150.708951557514</v>
      </c>
      <c r="H145" s="34">
        <f t="shared" si="3"/>
        <v>60844.955406799723</v>
      </c>
      <c r="I145" s="35">
        <f t="shared" si="21"/>
        <v>1</v>
      </c>
      <c r="J145" s="36">
        <f t="shared" si="4"/>
        <v>60844.955406799723</v>
      </c>
      <c r="K145" s="34">
        <f t="shared" si="16"/>
        <v>186082263975.04785</v>
      </c>
      <c r="L145" s="37">
        <f t="shared" si="22"/>
        <v>290914384476.84473</v>
      </c>
      <c r="M145" s="34">
        <f t="shared" si="5"/>
        <v>18337604784.914619</v>
      </c>
      <c r="N145" s="34">
        <f t="shared" si="6"/>
        <v>0</v>
      </c>
      <c r="O145" s="34">
        <f t="shared" si="7"/>
        <v>18337604784.914619</v>
      </c>
      <c r="P145" s="34">
        <f t="shared" si="25"/>
        <v>1833760478.491462</v>
      </c>
      <c r="Q145" s="38">
        <f t="shared" si="8"/>
        <v>16421325084.891041</v>
      </c>
      <c r="R145" s="39">
        <f t="shared" si="9"/>
        <v>1642132508.4891043</v>
      </c>
      <c r="S145" s="34">
        <f t="shared" si="10"/>
        <v>14779192576.401936</v>
      </c>
      <c r="T145" s="40">
        <f t="shared" si="24"/>
        <v>9577439507.9433308</v>
      </c>
      <c r="U145" s="272">
        <f t="shared" si="11"/>
        <v>6.8310681663272103E-4</v>
      </c>
      <c r="V145" s="282">
        <f t="shared" si="12"/>
        <v>188.24845708727022</v>
      </c>
      <c r="W145" s="283">
        <f>((S145+'Malawi-only'!S145)/(T145*(U145+'Malawi-only'!U145))/12)</f>
        <v>45.823841450951221</v>
      </c>
      <c r="X145" s="284">
        <f>(R145+'Malawi-only'!R145)</f>
        <v>4674166161.8232594</v>
      </c>
      <c r="Y145" s="284">
        <f>(L145+'Malawi-only'!L145)</f>
        <v>398343262620.00922</v>
      </c>
      <c r="Z145" s="284">
        <f>(Q145+'Malawi-only'!Q145)</f>
        <v>22485392391.559353</v>
      </c>
    </row>
    <row r="146" spans="1:26" ht="15.75" customHeight="1">
      <c r="A146" s="31" t="s">
        <v>179</v>
      </c>
      <c r="B146" s="32">
        <v>2162</v>
      </c>
      <c r="C146" s="274">
        <f t="shared" si="13"/>
        <v>1.3758909514100442E-8</v>
      </c>
      <c r="D146" s="271">
        <f t="shared" si="19"/>
        <v>1.3758909514100442E-8</v>
      </c>
      <c r="E146" s="34">
        <f t="shared" si="1"/>
        <v>0</v>
      </c>
      <c r="F146" s="42">
        <v>4000</v>
      </c>
      <c r="G146" s="34">
        <f t="shared" si="2"/>
        <v>55035.638056401767</v>
      </c>
      <c r="H146" s="34">
        <f t="shared" si="3"/>
        <v>54760.45986611976</v>
      </c>
      <c r="I146" s="35">
        <f t="shared" si="21"/>
        <v>1</v>
      </c>
      <c r="J146" s="36">
        <f t="shared" si="4"/>
        <v>54760.45986611976</v>
      </c>
      <c r="K146" s="34">
        <f t="shared" si="16"/>
        <v>186082318735.50772</v>
      </c>
      <c r="L146" s="37">
        <f t="shared" si="22"/>
        <v>292601825615.93811</v>
      </c>
      <c r="M146" s="34">
        <f t="shared" si="5"/>
        <v>18443971975.831955</v>
      </c>
      <c r="N146" s="34">
        <f t="shared" si="6"/>
        <v>0</v>
      </c>
      <c r="O146" s="34">
        <f t="shared" si="7"/>
        <v>18443971975.831955</v>
      </c>
      <c r="P146" s="34">
        <f t="shared" si="25"/>
        <v>1844397197.5831957</v>
      </c>
      <c r="Q146" s="38">
        <f t="shared" si="8"/>
        <v>16516576904.357517</v>
      </c>
      <c r="R146" s="39">
        <f t="shared" si="9"/>
        <v>1651657690.4357519</v>
      </c>
      <c r="S146" s="34">
        <f t="shared" si="10"/>
        <v>14864919213.921764</v>
      </c>
      <c r="T146" s="40">
        <f t="shared" si="24"/>
        <v>9567862068.4353886</v>
      </c>
      <c r="U146" s="272">
        <f t="shared" si="11"/>
        <v>6.8310681663272103E-4</v>
      </c>
      <c r="V146" s="282">
        <f t="shared" si="12"/>
        <v>189.52992130477969</v>
      </c>
      <c r="W146" s="283">
        <f>((S146+'Malawi-only'!S146)/(T146*(U146+'Malawi-only'!U146))/12)</f>
        <v>46.135778757525088</v>
      </c>
      <c r="X146" s="284">
        <f>(R146+'Malawi-only'!R146)</f>
        <v>4701278854.3931122</v>
      </c>
      <c r="Y146" s="284">
        <f>(L146+'Malawi-only'!L146)</f>
        <v>400653848876.85974</v>
      </c>
      <c r="Z146" s="284">
        <f>(Q146+'Malawi-only'!Q146)</f>
        <v>22615819232.27224</v>
      </c>
    </row>
    <row r="147" spans="1:26" ht="15.75" customHeight="1">
      <c r="A147" s="31" t="s">
        <v>180</v>
      </c>
      <c r="B147" s="32">
        <v>2163</v>
      </c>
      <c r="C147" s="274">
        <f t="shared" si="13"/>
        <v>1.2383018562690397E-8</v>
      </c>
      <c r="D147" s="271">
        <f t="shared" si="19"/>
        <v>1.2383018562690397E-8</v>
      </c>
      <c r="E147" s="34">
        <f t="shared" si="1"/>
        <v>0</v>
      </c>
      <c r="F147" s="42">
        <v>4000</v>
      </c>
      <c r="G147" s="34">
        <f t="shared" si="2"/>
        <v>49532.074250761594</v>
      </c>
      <c r="H147" s="34">
        <f t="shared" si="3"/>
        <v>49284.413879507789</v>
      </c>
      <c r="I147" s="35">
        <f t="shared" si="21"/>
        <v>1</v>
      </c>
      <c r="J147" s="36">
        <f t="shared" si="4"/>
        <v>49284.413879507789</v>
      </c>
      <c r="K147" s="34">
        <f t="shared" si="16"/>
        <v>186082368019.9216</v>
      </c>
      <c r="L147" s="37">
        <f t="shared" si="22"/>
        <v>294299048961.88623</v>
      </c>
      <c r="M147" s="34">
        <f t="shared" si="5"/>
        <v>18550955744.050476</v>
      </c>
      <c r="N147" s="34">
        <f t="shared" si="6"/>
        <v>0</v>
      </c>
      <c r="O147" s="34">
        <f t="shared" si="7"/>
        <v>18550955744.050476</v>
      </c>
      <c r="P147" s="34">
        <f t="shared" si="25"/>
        <v>1855095574.4050477</v>
      </c>
      <c r="Q147" s="38">
        <f t="shared" si="8"/>
        <v>16612380868.797201</v>
      </c>
      <c r="R147" s="39">
        <f t="shared" si="9"/>
        <v>1661238086.8797202</v>
      </c>
      <c r="S147" s="34">
        <f t="shared" si="10"/>
        <v>14951142781.91748</v>
      </c>
      <c r="T147" s="40">
        <f t="shared" si="24"/>
        <v>9558294206.3669548</v>
      </c>
      <c r="U147" s="272">
        <f t="shared" si="11"/>
        <v>6.8310681663272103E-4</v>
      </c>
      <c r="V147" s="282">
        <f t="shared" si="12"/>
        <v>190.82010467013541</v>
      </c>
      <c r="W147" s="283">
        <f>((S147+'Malawi-only'!S147)/(T147*(U147+'Malawi-only'!U147))/12)</f>
        <v>46.449838446925099</v>
      </c>
      <c r="X147" s="284">
        <f>(R147+'Malawi-only'!R147)</f>
        <v>4728548689.3956442</v>
      </c>
      <c r="Y147" s="284">
        <f>(L147+'Malawi-only'!L147)</f>
        <v>402977829076.53735</v>
      </c>
      <c r="Z147" s="284">
        <f>(Q147+'Malawi-only'!Q147)</f>
        <v>22747002073.829048</v>
      </c>
    </row>
    <row r="148" spans="1:26" ht="15.75" customHeight="1">
      <c r="A148" s="31" t="s">
        <v>181</v>
      </c>
      <c r="B148" s="32">
        <v>2164</v>
      </c>
      <c r="C148" s="274">
        <f t="shared" si="13"/>
        <v>1.1144716706421357E-8</v>
      </c>
      <c r="D148" s="271">
        <f t="shared" si="19"/>
        <v>1.1144716706421357E-8</v>
      </c>
      <c r="E148" s="34">
        <f t="shared" si="1"/>
        <v>0</v>
      </c>
      <c r="F148" s="42">
        <v>4000</v>
      </c>
      <c r="G148" s="34">
        <f t="shared" si="2"/>
        <v>44578.866825685429</v>
      </c>
      <c r="H148" s="34">
        <f t="shared" si="3"/>
        <v>44355.972491557004</v>
      </c>
      <c r="I148" s="35">
        <f t="shared" si="21"/>
        <v>1</v>
      </c>
      <c r="J148" s="36">
        <f t="shared" si="4"/>
        <v>44355.972491557004</v>
      </c>
      <c r="K148" s="34">
        <f t="shared" si="16"/>
        <v>186082412375.8941</v>
      </c>
      <c r="L148" s="37">
        <f t="shared" si="22"/>
        <v>296006111797.81763</v>
      </c>
      <c r="M148" s="34">
        <f t="shared" si="5"/>
        <v>18658559704.183586</v>
      </c>
      <c r="N148" s="34">
        <f t="shared" si="6"/>
        <v>0</v>
      </c>
      <c r="O148" s="34">
        <f t="shared" si="7"/>
        <v>18658559704.183586</v>
      </c>
      <c r="P148" s="34">
        <f t="shared" si="25"/>
        <v>1865855970.4183588</v>
      </c>
      <c r="Q148" s="38">
        <f t="shared" si="8"/>
        <v>16708740215.096401</v>
      </c>
      <c r="R148" s="39">
        <f t="shared" si="9"/>
        <v>1670874021.5096402</v>
      </c>
      <c r="S148" s="34">
        <f t="shared" si="10"/>
        <v>15037866193.586761</v>
      </c>
      <c r="T148" s="40">
        <f t="shared" si="24"/>
        <v>9548735912.1605892</v>
      </c>
      <c r="U148" s="272">
        <f t="shared" si="11"/>
        <v>6.8310681663272103E-4</v>
      </c>
      <c r="V148" s="282">
        <f t="shared" si="12"/>
        <v>192.1190669217867</v>
      </c>
      <c r="W148" s="283">
        <f>((S148+'Malawi-only'!S148)/(T148*(U148+'Malawi-only'!U148))/12)</f>
        <v>46.766035065868259</v>
      </c>
      <c r="X148" s="284">
        <f>(R148+'Malawi-only'!R148)</f>
        <v>4755976590.1972809</v>
      </c>
      <c r="Y148" s="284">
        <f>(L148+'Malawi-only'!L148)</f>
        <v>405315281719.70032</v>
      </c>
      <c r="Z148" s="284">
        <f>(Q148+'Malawi-only'!Q148)</f>
        <v>22878945352.471684</v>
      </c>
    </row>
    <row r="149" spans="1:26" ht="15.75" customHeight="1">
      <c r="A149" s="31" t="s">
        <v>182</v>
      </c>
      <c r="B149" s="32">
        <v>2165</v>
      </c>
      <c r="C149" s="274">
        <f t="shared" si="13"/>
        <v>1.0030245035779222E-8</v>
      </c>
      <c r="D149" s="271">
        <f t="shared" si="19"/>
        <v>1.0030245035779222E-8</v>
      </c>
      <c r="E149" s="34">
        <f t="shared" si="1"/>
        <v>0</v>
      </c>
      <c r="F149" s="42">
        <v>4000</v>
      </c>
      <c r="G149" s="34">
        <f t="shared" si="2"/>
        <v>40120.980143116889</v>
      </c>
      <c r="H149" s="34">
        <f t="shared" si="3"/>
        <v>39920.375242401307</v>
      </c>
      <c r="I149" s="35">
        <f t="shared" si="21"/>
        <v>1</v>
      </c>
      <c r="J149" s="36">
        <f t="shared" si="4"/>
        <v>39920.375242401307</v>
      </c>
      <c r="K149" s="34">
        <f t="shared" si="16"/>
        <v>186082452296.26935</v>
      </c>
      <c r="L149" s="37">
        <f t="shared" si="22"/>
        <v>297723071684.76691</v>
      </c>
      <c r="M149" s="34">
        <f t="shared" si="5"/>
        <v>18766787487.981636</v>
      </c>
      <c r="N149" s="34">
        <f t="shared" si="6"/>
        <v>0</v>
      </c>
      <c r="O149" s="34">
        <f t="shared" si="7"/>
        <v>18766787487.981636</v>
      </c>
      <c r="P149" s="34">
        <f t="shared" si="25"/>
        <v>1876678748.7981637</v>
      </c>
      <c r="Q149" s="38">
        <f t="shared" si="8"/>
        <v>16805658195.487555</v>
      </c>
      <c r="R149" s="39">
        <f t="shared" si="9"/>
        <v>1680565819.5487556</v>
      </c>
      <c r="S149" s="34">
        <f t="shared" si="10"/>
        <v>15125092375.938799</v>
      </c>
      <c r="T149" s="40">
        <f t="shared" si="24"/>
        <v>9539187176.2484303</v>
      </c>
      <c r="U149" s="272">
        <f t="shared" si="11"/>
        <v>6.8310681663272103E-4</v>
      </c>
      <c r="V149" s="282">
        <f t="shared" si="12"/>
        <v>193.42686816653659</v>
      </c>
      <c r="W149" s="283">
        <f>((S149+'Malawi-only'!S149)/(T149*(U149+'Malawi-only'!U149))/12)</f>
        <v>47.084383250236137</v>
      </c>
      <c r="X149" s="284">
        <f>(R149+'Malawi-only'!R149)</f>
        <v>4783563484.3307133</v>
      </c>
      <c r="Y149" s="284">
        <f>(L149+'Malawi-only'!L149)</f>
        <v>407666285681.13818</v>
      </c>
      <c r="Z149" s="284">
        <f>(Q149+'Malawi-only'!Q149)</f>
        <v>23011653525.051468</v>
      </c>
    </row>
    <row r="150" spans="1:26" ht="15.75" customHeight="1">
      <c r="A150" s="31" t="s">
        <v>183</v>
      </c>
      <c r="B150" s="32">
        <v>2166</v>
      </c>
      <c r="C150" s="274">
        <f t="shared" si="13"/>
        <v>9.0272205322013003E-9</v>
      </c>
      <c r="D150" s="271">
        <f t="shared" si="19"/>
        <v>9.0272205322013003E-9</v>
      </c>
      <c r="E150" s="34">
        <f t="shared" si="1"/>
        <v>0</v>
      </c>
      <c r="F150" s="42">
        <v>4000</v>
      </c>
      <c r="G150" s="34">
        <f t="shared" si="2"/>
        <v>36108.882128805206</v>
      </c>
      <c r="H150" s="34">
        <f t="shared" si="3"/>
        <v>35928.33771816118</v>
      </c>
      <c r="I150" s="35">
        <f t="shared" si="21"/>
        <v>1</v>
      </c>
      <c r="J150" s="36">
        <f t="shared" si="4"/>
        <v>35928.33771816118</v>
      </c>
      <c r="K150" s="34">
        <f t="shared" si="16"/>
        <v>186082488224.60706</v>
      </c>
      <c r="L150" s="37">
        <f t="shared" si="22"/>
        <v>299449986468.72186</v>
      </c>
      <c r="M150" s="34">
        <f t="shared" si="5"/>
        <v>18875642744.81422</v>
      </c>
      <c r="N150" s="34">
        <f t="shared" si="6"/>
        <v>0</v>
      </c>
      <c r="O150" s="34">
        <f t="shared" si="7"/>
        <v>18875642744.81422</v>
      </c>
      <c r="P150" s="34">
        <f t="shared" si="25"/>
        <v>1887564274.4814222</v>
      </c>
      <c r="Q150" s="38">
        <f t="shared" si="8"/>
        <v>16903138077.981134</v>
      </c>
      <c r="R150" s="39">
        <f t="shared" si="9"/>
        <v>1690313807.7981136</v>
      </c>
      <c r="S150" s="34">
        <f t="shared" si="10"/>
        <v>15212824270.183022</v>
      </c>
      <c r="T150" s="40">
        <f t="shared" si="24"/>
        <v>9529647989.0721836</v>
      </c>
      <c r="U150" s="272">
        <f t="shared" si="11"/>
        <v>6.8310681663272103E-4</v>
      </c>
      <c r="V150" s="282">
        <f t="shared" si="12"/>
        <v>194.74356888584441</v>
      </c>
      <c r="W150" s="283">
        <f>((S150+'Malawi-only'!S150)/(T150*(U150+'Malawi-only'!U150))/12)</f>
        <v>47.404897726658696</v>
      </c>
      <c r="X150" s="284">
        <f>(R150+'Malawi-only'!R150)</f>
        <v>4811310303.6380033</v>
      </c>
      <c r="Y150" s="284">
        <f>(L150+'Malawi-only'!L150)</f>
        <v>410030920220.06104</v>
      </c>
      <c r="Z150" s="284">
        <f>(Q150+'Malawi-only'!Q150)</f>
        <v>23145131069.660915</v>
      </c>
    </row>
    <row r="151" spans="1:26" ht="15.75" customHeight="1">
      <c r="A151" s="31" t="s">
        <v>184</v>
      </c>
      <c r="B151" s="32">
        <v>2167</v>
      </c>
      <c r="C151" s="274">
        <f t="shared" si="13"/>
        <v>8.1244984789811708E-9</v>
      </c>
      <c r="D151" s="271">
        <f t="shared" si="19"/>
        <v>8.1244984789811708E-9</v>
      </c>
      <c r="E151" s="34">
        <f t="shared" si="1"/>
        <v>0</v>
      </c>
      <c r="F151" s="42">
        <v>4000</v>
      </c>
      <c r="G151" s="34">
        <f t="shared" si="2"/>
        <v>32497.993915924686</v>
      </c>
      <c r="H151" s="34">
        <f t="shared" si="3"/>
        <v>32335.503946345063</v>
      </c>
      <c r="I151" s="35">
        <f t="shared" si="21"/>
        <v>1</v>
      </c>
      <c r="J151" s="36">
        <f t="shared" si="4"/>
        <v>32335.503946345063</v>
      </c>
      <c r="K151" s="34">
        <f t="shared" si="16"/>
        <v>186082520560.11099</v>
      </c>
      <c r="L151" s="37">
        <f t="shared" si="22"/>
        <v>301186914287.16797</v>
      </c>
      <c r="M151" s="34">
        <f t="shared" si="5"/>
        <v>18985129142.116966</v>
      </c>
      <c r="N151" s="34">
        <f t="shared" si="6"/>
        <v>0</v>
      </c>
      <c r="O151" s="34">
        <f t="shared" si="7"/>
        <v>18985129142.116966</v>
      </c>
      <c r="P151" s="34">
        <f t="shared" si="25"/>
        <v>1898512914.2116966</v>
      </c>
      <c r="Q151" s="38">
        <f t="shared" si="8"/>
        <v>17001183146.765743</v>
      </c>
      <c r="R151" s="39">
        <f t="shared" si="9"/>
        <v>1700118314.6765745</v>
      </c>
      <c r="S151" s="34">
        <f t="shared" si="10"/>
        <v>15301064832.089169</v>
      </c>
      <c r="T151" s="40">
        <f t="shared" si="24"/>
        <v>9520118341.0831127</v>
      </c>
      <c r="U151" s="272">
        <f t="shared" si="11"/>
        <v>6.8310681663272103E-4</v>
      </c>
      <c r="V151" s="282">
        <f t="shared" si="12"/>
        <v>196.06922994179422</v>
      </c>
      <c r="W151" s="283">
        <f>((S151+'Malawi-only'!S151)/(T151*(U151+'Malawi-only'!U151))/12)</f>
        <v>47.727593314011834</v>
      </c>
      <c r="X151" s="284">
        <f>(R151+'Malawi-only'!R151)</f>
        <v>4839217984.4026527</v>
      </c>
      <c r="Y151" s="284">
        <f>(L151+'Malawi-only'!L151)</f>
        <v>412409264989.63715</v>
      </c>
      <c r="Z151" s="284">
        <f>(Q151+'Malawi-only'!Q151)</f>
        <v>23279382486.217899</v>
      </c>
    </row>
    <row r="152" spans="1:26" ht="15.75" customHeight="1">
      <c r="A152" s="31" t="s">
        <v>185</v>
      </c>
      <c r="B152" s="32">
        <v>2168</v>
      </c>
      <c r="C152" s="274">
        <f t="shared" si="13"/>
        <v>7.3120486310830537E-9</v>
      </c>
      <c r="D152" s="271">
        <f t="shared" si="19"/>
        <v>7.3120486310830537E-9</v>
      </c>
      <c r="E152" s="34">
        <f t="shared" si="1"/>
        <v>0</v>
      </c>
      <c r="F152" s="42">
        <v>4000</v>
      </c>
      <c r="G152" s="34">
        <f t="shared" si="2"/>
        <v>29248.194524332215</v>
      </c>
      <c r="H152" s="34">
        <f t="shared" si="3"/>
        <v>29101.953551710554</v>
      </c>
      <c r="I152" s="35">
        <f t="shared" si="21"/>
        <v>1</v>
      </c>
      <c r="J152" s="36">
        <f t="shared" si="4"/>
        <v>29101.953551710554</v>
      </c>
      <c r="K152" s="34">
        <f t="shared" si="16"/>
        <v>186082549662.06454</v>
      </c>
      <c r="L152" s="37">
        <f t="shared" si="22"/>
        <v>302933913575.18152</v>
      </c>
      <c r="M152" s="34">
        <f t="shared" si="5"/>
        <v>19095250365.80645</v>
      </c>
      <c r="N152" s="34">
        <f t="shared" si="6"/>
        <v>0</v>
      </c>
      <c r="O152" s="34">
        <f t="shared" si="7"/>
        <v>19095250365.80645</v>
      </c>
      <c r="P152" s="34">
        <f t="shared" si="25"/>
        <v>1909525036.5806451</v>
      </c>
      <c r="Q152" s="38">
        <f t="shared" si="8"/>
        <v>17099796702.579674</v>
      </c>
      <c r="R152" s="39">
        <f t="shared" si="9"/>
        <v>1709979670.2579675</v>
      </c>
      <c r="S152" s="34">
        <f t="shared" si="10"/>
        <v>15389817032.321707</v>
      </c>
      <c r="T152" s="40">
        <f t="shared" si="24"/>
        <v>9510598222.7420311</v>
      </c>
      <c r="U152" s="272">
        <f t="shared" si="11"/>
        <v>6.8310681663272103E-4</v>
      </c>
      <c r="V152" s="282">
        <f t="shared" si="12"/>
        <v>197.4039125827658</v>
      </c>
      <c r="W152" s="283">
        <f>((S152+'Malawi-only'!S152)/(T152*(U152+'Malawi-only'!U152))/12)</f>
        <v>48.052484924838211</v>
      </c>
      <c r="X152" s="284">
        <f>(R152+'Malawi-only'!R152)</f>
        <v>4867287467.4717054</v>
      </c>
      <c r="Y152" s="284">
        <f>(L152+'Malawi-only'!L152)</f>
        <v>414801400045.85425</v>
      </c>
      <c r="Z152" s="284">
        <f>(Q152+'Malawi-only'!Q152)</f>
        <v>23414412297.007149</v>
      </c>
    </row>
    <row r="153" spans="1:26" ht="15.75" customHeight="1">
      <c r="A153" s="31" t="s">
        <v>186</v>
      </c>
      <c r="B153" s="32">
        <v>2169</v>
      </c>
      <c r="C153" s="274">
        <f t="shared" si="13"/>
        <v>6.5808437679747482E-9</v>
      </c>
      <c r="D153" s="271">
        <f t="shared" si="19"/>
        <v>6.5808437679747482E-9</v>
      </c>
      <c r="E153" s="34">
        <f t="shared" si="1"/>
        <v>0</v>
      </c>
      <c r="F153" s="42">
        <v>4000</v>
      </c>
      <c r="G153" s="34">
        <f t="shared" si="2"/>
        <v>26323.375071898994</v>
      </c>
      <c r="H153" s="34">
        <f t="shared" si="3"/>
        <v>26191.7581965395</v>
      </c>
      <c r="I153" s="35">
        <f t="shared" si="21"/>
        <v>1</v>
      </c>
      <c r="J153" s="36">
        <f t="shared" si="4"/>
        <v>26191.7581965395</v>
      </c>
      <c r="K153" s="34">
        <f t="shared" si="16"/>
        <v>186082575853.82275</v>
      </c>
      <c r="L153" s="37">
        <f t="shared" si="22"/>
        <v>304691043071.11859</v>
      </c>
      <c r="M153" s="34">
        <f t="shared" si="5"/>
        <v>19206010120.666508</v>
      </c>
      <c r="N153" s="34">
        <f t="shared" si="6"/>
        <v>0</v>
      </c>
      <c r="O153" s="34">
        <f t="shared" si="7"/>
        <v>19206010120.666508</v>
      </c>
      <c r="P153" s="34">
        <f t="shared" si="25"/>
        <v>1920601012.0666509</v>
      </c>
      <c r="Q153" s="38">
        <f t="shared" si="8"/>
        <v>17198982063.056858</v>
      </c>
      <c r="R153" s="39">
        <f t="shared" si="9"/>
        <v>1719898206.305686</v>
      </c>
      <c r="S153" s="34">
        <f t="shared" si="10"/>
        <v>15479083856.751171</v>
      </c>
      <c r="T153" s="40">
        <f t="shared" si="24"/>
        <v>9501087624.5192909</v>
      </c>
      <c r="U153" s="272">
        <f t="shared" si="11"/>
        <v>6.8310681663272103E-4</v>
      </c>
      <c r="V153" s="282">
        <f t="shared" si="12"/>
        <v>198.74767844883866</v>
      </c>
      <c r="W153" s="283">
        <f>((S153+'Malawi-only'!S153)/(T153*(U153+'Malawi-only'!U153))/12)</f>
        <v>48.379587566698838</v>
      </c>
      <c r="X153" s="284">
        <f>(R153+'Malawi-only'!R153)</f>
        <v>4895519698.3689375</v>
      </c>
      <c r="Y153" s="284">
        <f>(L153+'Malawi-only'!L153)</f>
        <v>417207405855.77612</v>
      </c>
      <c r="Z153" s="284">
        <f>(Q153+'Malawi-only'!Q153)</f>
        <v>23550225047.183361</v>
      </c>
    </row>
    <row r="154" spans="1:26" ht="15.75" customHeight="1">
      <c r="A154" s="31" t="s">
        <v>187</v>
      </c>
      <c r="B154" s="32">
        <v>2170</v>
      </c>
      <c r="C154" s="274">
        <f t="shared" si="13"/>
        <v>5.9227593911772731E-9</v>
      </c>
      <c r="D154" s="271">
        <f t="shared" si="19"/>
        <v>5.9227593911772731E-9</v>
      </c>
      <c r="E154" s="34">
        <f t="shared" si="1"/>
        <v>0</v>
      </c>
      <c r="F154" s="42">
        <v>4000</v>
      </c>
      <c r="G154" s="34">
        <f t="shared" si="2"/>
        <v>23691.037564709091</v>
      </c>
      <c r="H154" s="34">
        <f t="shared" si="3"/>
        <v>23572.582376885544</v>
      </c>
      <c r="I154" s="35">
        <f t="shared" si="21"/>
        <v>1</v>
      </c>
      <c r="J154" s="36">
        <f t="shared" si="4"/>
        <v>23572.582376885544</v>
      </c>
      <c r="K154" s="34">
        <f t="shared" si="16"/>
        <v>186082599426.40512</v>
      </c>
      <c r="L154" s="37">
        <f t="shared" si="22"/>
        <v>306458361821.93976</v>
      </c>
      <c r="M154" s="34">
        <f t="shared" si="5"/>
        <v>19317412130.70892</v>
      </c>
      <c r="N154" s="34">
        <f t="shared" si="6"/>
        <v>0</v>
      </c>
      <c r="O154" s="34">
        <f t="shared" si="7"/>
        <v>19317412130.70892</v>
      </c>
      <c r="P154" s="34">
        <f t="shared" si="25"/>
        <v>1931741213.0708921</v>
      </c>
      <c r="Q154" s="38">
        <f t="shared" si="8"/>
        <v>17298742563.049835</v>
      </c>
      <c r="R154" s="39">
        <f t="shared" si="9"/>
        <v>1729874256.3049836</v>
      </c>
      <c r="S154" s="34">
        <f t="shared" si="10"/>
        <v>15568868306.744852</v>
      </c>
      <c r="T154" s="40">
        <f t="shared" si="24"/>
        <v>9491586536.8947735</v>
      </c>
      <c r="U154" s="272">
        <f t="shared" si="11"/>
        <v>6.8310681663272103E-4</v>
      </c>
      <c r="V154" s="282">
        <f t="shared" si="12"/>
        <v>200.10058957695836</v>
      </c>
      <c r="W154" s="283">
        <f>((S154+'Malawi-only'!S154)/(T154*(U154+'Malawi-only'!U154))/12)</f>
        <v>48.708916343463557</v>
      </c>
      <c r="X154" s="284">
        <f>(R154+'Malawi-only'!R154)</f>
        <v>4923915627.4000311</v>
      </c>
      <c r="Y154" s="284">
        <f>(L154+'Malawi-only'!L154)</f>
        <v>419627363305.2533</v>
      </c>
      <c r="Z154" s="284">
        <f>(Q154+'Malawi-only'!Q154)</f>
        <v>23686825305.239929</v>
      </c>
    </row>
    <row r="155" spans="1:26" ht="15.75" customHeight="1">
      <c r="A155" s="31" t="s">
        <v>188</v>
      </c>
      <c r="B155" s="32">
        <v>2171</v>
      </c>
      <c r="C155" s="274">
        <f t="shared" si="13"/>
        <v>5.3304834520595456E-9</v>
      </c>
      <c r="D155" s="271">
        <f t="shared" si="19"/>
        <v>5.3304834520595456E-9</v>
      </c>
      <c r="E155" s="34">
        <f t="shared" si="1"/>
        <v>0</v>
      </c>
      <c r="F155" s="42">
        <v>4000</v>
      </c>
      <c r="G155" s="34">
        <f t="shared" si="2"/>
        <v>21321.93380823818</v>
      </c>
      <c r="H155" s="34">
        <f t="shared" si="3"/>
        <v>21215.32413919699</v>
      </c>
      <c r="I155" s="35">
        <f t="shared" si="21"/>
        <v>1</v>
      </c>
      <c r="J155" s="36">
        <f t="shared" si="4"/>
        <v>21215.32413919699</v>
      </c>
      <c r="K155" s="34">
        <f t="shared" si="16"/>
        <v>186082620641.72925</v>
      </c>
      <c r="L155" s="37">
        <f t="shared" si="22"/>
        <v>308235929188.20966</v>
      </c>
      <c r="M155" s="34">
        <f t="shared" si="5"/>
        <v>19429460139.510979</v>
      </c>
      <c r="N155" s="34">
        <f t="shared" si="6"/>
        <v>0</v>
      </c>
      <c r="O155" s="34">
        <f t="shared" si="7"/>
        <v>19429460139.510979</v>
      </c>
      <c r="P155" s="34">
        <f t="shared" si="25"/>
        <v>1942946013.951098</v>
      </c>
      <c r="Q155" s="38">
        <f t="shared" si="8"/>
        <v>17399081554.932079</v>
      </c>
      <c r="R155" s="39">
        <f t="shared" si="9"/>
        <v>1739908155.4932079</v>
      </c>
      <c r="S155" s="34">
        <f t="shared" si="10"/>
        <v>15659173399.438871</v>
      </c>
      <c r="T155" s="40">
        <f t="shared" si="24"/>
        <v>9482094950.3578796</v>
      </c>
      <c r="U155" s="272">
        <f t="shared" si="11"/>
        <v>6.8310681663272103E-4</v>
      </c>
      <c r="V155" s="282">
        <f t="shared" si="12"/>
        <v>201.46270840588946</v>
      </c>
      <c r="W155" s="283">
        <f>((S155+'Malawi-only'!S155)/(T155*(U155+'Malawi-only'!U155))/12)</f>
        <v>49.040486456546006</v>
      </c>
      <c r="X155" s="284">
        <f>(R155+'Malawi-only'!R155)</f>
        <v>4952476209.7505474</v>
      </c>
      <c r="Y155" s="284">
        <f>(L155+'Malawi-only'!L155)</f>
        <v>422061353706.14697</v>
      </c>
      <c r="Z155" s="284">
        <f>(Q155+'Malawi-only'!Q155)</f>
        <v>23824217663.446758</v>
      </c>
    </row>
    <row r="156" spans="1:26" ht="15.75" customHeight="1">
      <c r="A156" s="31" t="s">
        <v>189</v>
      </c>
      <c r="B156" s="32">
        <v>2172</v>
      </c>
      <c r="C156" s="274">
        <f t="shared" si="13"/>
        <v>4.7974351068535913E-9</v>
      </c>
      <c r="D156" s="271">
        <f t="shared" si="19"/>
        <v>4.7974351068535913E-9</v>
      </c>
      <c r="E156" s="34">
        <f t="shared" si="1"/>
        <v>0</v>
      </c>
      <c r="F156" s="42">
        <v>4000</v>
      </c>
      <c r="G156" s="34">
        <f t="shared" si="2"/>
        <v>19189.740427414366</v>
      </c>
      <c r="H156" s="34">
        <f t="shared" si="3"/>
        <v>19093.791725277293</v>
      </c>
      <c r="I156" s="35">
        <f t="shared" si="21"/>
        <v>1</v>
      </c>
      <c r="J156" s="36">
        <f t="shared" si="4"/>
        <v>19093.791725277293</v>
      </c>
      <c r="K156" s="34">
        <f t="shared" si="16"/>
        <v>186082639735.52097</v>
      </c>
      <c r="L156" s="37">
        <f t="shared" si="22"/>
        <v>310023804848.80457</v>
      </c>
      <c r="M156" s="34">
        <f t="shared" si="5"/>
        <v>19542157910.53249</v>
      </c>
      <c r="N156" s="34">
        <f t="shared" si="6"/>
        <v>0</v>
      </c>
      <c r="O156" s="34">
        <f t="shared" si="7"/>
        <v>19542157910.53249</v>
      </c>
      <c r="P156" s="34">
        <f t="shared" si="25"/>
        <v>1954215791.0532491</v>
      </c>
      <c r="Q156" s="38">
        <f t="shared" si="8"/>
        <v>17500002408.881844</v>
      </c>
      <c r="R156" s="39">
        <f t="shared" si="9"/>
        <v>1750000240.8881845</v>
      </c>
      <c r="S156" s="34">
        <f t="shared" si="10"/>
        <v>15750002167.99366</v>
      </c>
      <c r="T156" s="40">
        <f t="shared" si="24"/>
        <v>9472612855.4075222</v>
      </c>
      <c r="U156" s="272">
        <f t="shared" si="11"/>
        <v>6.8310681663272103E-4</v>
      </c>
      <c r="V156" s="282">
        <f t="shared" si="12"/>
        <v>202.83409778097999</v>
      </c>
      <c r="W156" s="283">
        <f>((S156+'Malawi-only'!S156)/(T156*(U156+'Malawi-only'!U156))/12)</f>
        <v>49.374313206089973</v>
      </c>
      <c r="X156" s="284">
        <f>(R156+'Malawi-only'!R156)</f>
        <v>4981202405.5774517</v>
      </c>
      <c r="Y156" s="284">
        <f>(L156+'Malawi-only'!L156)</f>
        <v>424509458803.11505</v>
      </c>
      <c r="Z156" s="284">
        <f>(Q156+'Malawi-only'!Q156)</f>
        <v>23962406738.260376</v>
      </c>
    </row>
    <row r="157" spans="1:26" ht="15.75" customHeight="1">
      <c r="A157" s="31" t="s">
        <v>190</v>
      </c>
      <c r="B157" s="32">
        <v>2173</v>
      </c>
      <c r="C157" s="274">
        <f t="shared" si="13"/>
        <v>4.3176915961682325E-9</v>
      </c>
      <c r="D157" s="271">
        <f t="shared" si="19"/>
        <v>4.3176915961682325E-9</v>
      </c>
      <c r="E157" s="34">
        <f t="shared" si="1"/>
        <v>0</v>
      </c>
      <c r="F157" s="42">
        <v>4000</v>
      </c>
      <c r="G157" s="34">
        <f t="shared" si="2"/>
        <v>17270.76638467293</v>
      </c>
      <c r="H157" s="34">
        <f t="shared" si="3"/>
        <v>17184.412552749567</v>
      </c>
      <c r="I157" s="35">
        <f t="shared" si="21"/>
        <v>1</v>
      </c>
      <c r="J157" s="36">
        <f t="shared" si="4"/>
        <v>17184.412552749567</v>
      </c>
      <c r="K157" s="34">
        <f t="shared" si="16"/>
        <v>186082656919.93353</v>
      </c>
      <c r="L157" s="37">
        <f t="shared" si="22"/>
        <v>311822048805.35822</v>
      </c>
      <c r="M157" s="34">
        <f t="shared" si="5"/>
        <v>19655509227.414207</v>
      </c>
      <c r="N157" s="34">
        <f t="shared" si="6"/>
        <v>0</v>
      </c>
      <c r="O157" s="34">
        <f t="shared" si="7"/>
        <v>19655509227.414207</v>
      </c>
      <c r="P157" s="34">
        <f t="shared" si="25"/>
        <v>1965550922.7414207</v>
      </c>
      <c r="Q157" s="38">
        <f t="shared" si="8"/>
        <v>17601508513.149422</v>
      </c>
      <c r="R157" s="39">
        <f t="shared" si="9"/>
        <v>1760150851.3149424</v>
      </c>
      <c r="S157" s="34">
        <f t="shared" si="10"/>
        <v>15841357661.83448</v>
      </c>
      <c r="T157" s="40">
        <f t="shared" si="24"/>
        <v>9463140242.5521164</v>
      </c>
      <c r="U157" s="272">
        <f t="shared" si="11"/>
        <v>6.8310681663272103E-4</v>
      </c>
      <c r="V157" s="282">
        <f t="shared" si="12"/>
        <v>204.21482095875623</v>
      </c>
      <c r="W157" s="283">
        <f>((S157+'Malawi-only'!S157)/(T157*(U157+'Malawi-only'!U157))/12)</f>
        <v>49.710411992111865</v>
      </c>
      <c r="X157" s="284">
        <f>(R157+'Malawi-only'!R157)</f>
        <v>5010095180.0948372</v>
      </c>
      <c r="Y157" s="284">
        <f>(L157+'Malawi-only'!L157)</f>
        <v>426971760780.00598</v>
      </c>
      <c r="Z157" s="284">
        <f>(Q157+'Malawi-only'!Q157)</f>
        <v>24101397170.709213</v>
      </c>
    </row>
    <row r="158" spans="1:26" ht="15.75" customHeight="1">
      <c r="A158" s="31" t="s">
        <v>191</v>
      </c>
      <c r="B158" s="32">
        <v>2174</v>
      </c>
      <c r="C158" s="274">
        <f t="shared" si="13"/>
        <v>3.885922436551409E-9</v>
      </c>
      <c r="D158" s="271">
        <f t="shared" si="19"/>
        <v>3.885922436551409E-9</v>
      </c>
      <c r="E158" s="34">
        <f t="shared" si="1"/>
        <v>0</v>
      </c>
      <c r="F158" s="42">
        <v>4000</v>
      </c>
      <c r="G158" s="34">
        <f t="shared" si="2"/>
        <v>15543.689746205637</v>
      </c>
      <c r="H158" s="34">
        <f t="shared" si="3"/>
        <v>15465.971297474609</v>
      </c>
      <c r="I158" s="35">
        <f t="shared" si="21"/>
        <v>1</v>
      </c>
      <c r="J158" s="36">
        <f t="shared" si="4"/>
        <v>15465.971297474609</v>
      </c>
      <c r="K158" s="34">
        <f t="shared" si="16"/>
        <v>186082672385.90482</v>
      </c>
      <c r="L158" s="37">
        <f t="shared" si="22"/>
        <v>313630721386.47388</v>
      </c>
      <c r="M158" s="34">
        <f t="shared" si="5"/>
        <v>19769517894.259708</v>
      </c>
      <c r="N158" s="34">
        <f t="shared" si="6"/>
        <v>0</v>
      </c>
      <c r="O158" s="34">
        <f t="shared" si="7"/>
        <v>19769517894.259708</v>
      </c>
      <c r="P158" s="34">
        <f t="shared" si="25"/>
        <v>1976951789.425971</v>
      </c>
      <c r="Q158" s="38">
        <f t="shared" si="8"/>
        <v>17703603274.309566</v>
      </c>
      <c r="R158" s="39">
        <f t="shared" si="9"/>
        <v>1770360327.4309568</v>
      </c>
      <c r="S158" s="34">
        <f t="shared" si="10"/>
        <v>15933242946.878609</v>
      </c>
      <c r="T158" s="40">
        <f t="shared" si="24"/>
        <v>9453677102.3095646</v>
      </c>
      <c r="U158" s="272">
        <f t="shared" si="11"/>
        <v>6.8310681663272103E-4</v>
      </c>
      <c r="V158" s="282">
        <f t="shared" si="12"/>
        <v>205.60494161136873</v>
      </c>
      <c r="W158" s="283">
        <f>((S158+'Malawi-only'!S158)/(T158*(U158+'Malawi-only'!U158))/12)</f>
        <v>50.048798315604394</v>
      </c>
      <c r="X158" s="284">
        <f>(R158+'Malawi-only'!R158)</f>
        <v>5039155503.6544724</v>
      </c>
      <c r="Y158" s="284">
        <f>(L158+'Malawi-only'!L158)</f>
        <v>429448342265.90137</v>
      </c>
      <c r="Z158" s="284">
        <f>(Q158+'Malawi-only'!Q158)</f>
        <v>24241193626.756599</v>
      </c>
    </row>
    <row r="159" spans="1:26" ht="15.75" customHeight="1">
      <c r="A159" s="31" t="s">
        <v>192</v>
      </c>
      <c r="B159" s="32">
        <v>2175</v>
      </c>
      <c r="C159" s="274">
        <f t="shared" si="13"/>
        <v>3.497330192896268E-9</v>
      </c>
      <c r="D159" s="271">
        <f t="shared" si="19"/>
        <v>3.497330192896268E-9</v>
      </c>
      <c r="E159" s="34">
        <f t="shared" si="1"/>
        <v>0</v>
      </c>
      <c r="F159" s="42">
        <v>4000</v>
      </c>
      <c r="G159" s="34">
        <f t="shared" si="2"/>
        <v>13989.320771585073</v>
      </c>
      <c r="H159" s="34">
        <f t="shared" si="3"/>
        <v>13919.374167727148</v>
      </c>
      <c r="I159" s="35">
        <f t="shared" si="21"/>
        <v>1</v>
      </c>
      <c r="J159" s="36">
        <f t="shared" si="4"/>
        <v>13919.374167727148</v>
      </c>
      <c r="K159" s="34">
        <f t="shared" si="16"/>
        <v>186082686305.27899</v>
      </c>
      <c r="L159" s="37">
        <f t="shared" si="22"/>
        <v>315449883251.72638</v>
      </c>
      <c r="M159" s="34">
        <f t="shared" si="5"/>
        <v>19884187735.902443</v>
      </c>
      <c r="N159" s="34">
        <f t="shared" si="6"/>
        <v>0</v>
      </c>
      <c r="O159" s="34">
        <f t="shared" si="7"/>
        <v>19884187735.902443</v>
      </c>
      <c r="P159" s="34">
        <f t="shared" si="25"/>
        <v>1988418773.5902443</v>
      </c>
      <c r="Q159" s="38">
        <f t="shared" si="8"/>
        <v>17806290117.500637</v>
      </c>
      <c r="R159" s="39">
        <f t="shared" si="9"/>
        <v>1780629011.7500639</v>
      </c>
      <c r="S159" s="34">
        <f t="shared" si="10"/>
        <v>16025661105.750572</v>
      </c>
      <c r="T159" s="40">
        <f t="shared" si="24"/>
        <v>9444223425.2072563</v>
      </c>
      <c r="U159" s="272">
        <f t="shared" si="11"/>
        <v>6.8310681663272103E-4</v>
      </c>
      <c r="V159" s="282">
        <f t="shared" si="12"/>
        <v>207.00452383090484</v>
      </c>
      <c r="W159" s="283">
        <f>((S159+'Malawi-only'!S159)/(T159*(U159+'Malawi-only'!U159))/12)</f>
        <v>50.389487779605808</v>
      </c>
      <c r="X159" s="284">
        <f>(R159+'Malawi-only'!R159)</f>
        <v>5068384351.8216791</v>
      </c>
      <c r="Y159" s="284">
        <f>(L159+'Malawi-only'!L159)</f>
        <v>431939286340.84424</v>
      </c>
      <c r="Z159" s="284">
        <f>(Q159+'Malawi-only'!Q159)</f>
        <v>24381800797.643867</v>
      </c>
    </row>
    <row r="160" spans="1:26" ht="15.75" customHeight="1">
      <c r="A160" s="31" t="s">
        <v>193</v>
      </c>
      <c r="B160" s="32">
        <v>2176</v>
      </c>
      <c r="C160" s="274">
        <f t="shared" si="13"/>
        <v>3.1475971736066412E-9</v>
      </c>
      <c r="D160" s="271">
        <f t="shared" si="19"/>
        <v>3.1475971736066412E-9</v>
      </c>
      <c r="E160" s="34">
        <f t="shared" si="1"/>
        <v>0</v>
      </c>
      <c r="F160" s="42">
        <v>4000</v>
      </c>
      <c r="G160" s="34">
        <f t="shared" si="2"/>
        <v>12590.388694426565</v>
      </c>
      <c r="H160" s="34">
        <f t="shared" si="3"/>
        <v>12527.436750954432</v>
      </c>
      <c r="I160" s="35">
        <f t="shared" si="21"/>
        <v>1</v>
      </c>
      <c r="J160" s="36">
        <f t="shared" si="4"/>
        <v>12527.436750954432</v>
      </c>
      <c r="K160" s="34">
        <f t="shared" si="16"/>
        <v>186082698832.71573</v>
      </c>
      <c r="L160" s="37">
        <f t="shared" si="22"/>
        <v>317279595395.47705</v>
      </c>
      <c r="M160" s="34">
        <f t="shared" si="5"/>
        <v>19999522598.159451</v>
      </c>
      <c r="N160" s="34">
        <f t="shared" si="6"/>
        <v>0</v>
      </c>
      <c r="O160" s="34">
        <f t="shared" si="7"/>
        <v>19999522598.159451</v>
      </c>
      <c r="P160" s="34">
        <f t="shared" si="25"/>
        <v>1999952259.8159451</v>
      </c>
      <c r="Q160" s="38">
        <f t="shared" si="8"/>
        <v>17909572486.651787</v>
      </c>
      <c r="R160" s="39">
        <f t="shared" si="9"/>
        <v>1790957248.6651788</v>
      </c>
      <c r="S160" s="34">
        <f t="shared" si="10"/>
        <v>16118615237.986609</v>
      </c>
      <c r="T160" s="40">
        <f t="shared" si="24"/>
        <v>9434779201.7820492</v>
      </c>
      <c r="U160" s="272">
        <f t="shared" si="11"/>
        <v>6.8310681663272103E-4</v>
      </c>
      <c r="V160" s="282">
        <f t="shared" si="12"/>
        <v>208.41363213358343</v>
      </c>
      <c r="W160" s="283">
        <f>((S160+'Malawi-only'!S160)/(T160*(U160+'Malawi-only'!U160))/12)</f>
        <v>50.732496090238413</v>
      </c>
      <c r="X160" s="284">
        <f>(R160+'Malawi-only'!R160)</f>
        <v>5097782705.4470482</v>
      </c>
      <c r="Y160" s="284">
        <f>(L160+'Malawi-only'!L160)</f>
        <v>434444676541.28571</v>
      </c>
      <c r="Z160" s="284">
        <f>(Q160+'Malawi-only'!Q160)</f>
        <v>24523223400.215523</v>
      </c>
    </row>
    <row r="161" spans="1:26" ht="15.75" customHeight="1">
      <c r="A161" s="31" t="s">
        <v>194</v>
      </c>
      <c r="B161" s="32">
        <v>2177</v>
      </c>
      <c r="C161" s="274">
        <f t="shared" si="13"/>
        <v>2.832837456245977E-9</v>
      </c>
      <c r="D161" s="271">
        <f t="shared" si="19"/>
        <v>2.832837456245977E-9</v>
      </c>
      <c r="E161" s="34">
        <f t="shared" si="1"/>
        <v>0</v>
      </c>
      <c r="F161" s="42">
        <v>4000</v>
      </c>
      <c r="G161" s="34">
        <f t="shared" si="2"/>
        <v>11331.349824983909</v>
      </c>
      <c r="H161" s="34">
        <f t="shared" si="3"/>
        <v>11274.69307585899</v>
      </c>
      <c r="I161" s="35">
        <f t="shared" si="21"/>
        <v>1</v>
      </c>
      <c r="J161" s="36">
        <f t="shared" si="4"/>
        <v>11274.69307585899</v>
      </c>
      <c r="K161" s="34">
        <f t="shared" si="16"/>
        <v>186082710107.40881</v>
      </c>
      <c r="L161" s="37">
        <f t="shared" si="22"/>
        <v>319119919150.52106</v>
      </c>
      <c r="M161" s="34">
        <f t="shared" si="5"/>
        <v>20115526348.073246</v>
      </c>
      <c r="N161" s="34">
        <f t="shared" si="6"/>
        <v>0</v>
      </c>
      <c r="O161" s="34">
        <f t="shared" si="7"/>
        <v>20115526348.073246</v>
      </c>
      <c r="P161" s="34">
        <f t="shared" si="25"/>
        <v>2011552634.8073246</v>
      </c>
      <c r="Q161" s="38">
        <f t="shared" si="8"/>
        <v>18013453844.699593</v>
      </c>
      <c r="R161" s="39">
        <f t="shared" si="9"/>
        <v>1801345384.4699593</v>
      </c>
      <c r="S161" s="34">
        <f t="shared" si="10"/>
        <v>16212108460.229633</v>
      </c>
      <c r="T161" s="40">
        <f t="shared" si="24"/>
        <v>9425344422.5802689</v>
      </c>
      <c r="U161" s="272">
        <f t="shared" si="11"/>
        <v>6.8310681663272103E-4</v>
      </c>
      <c r="V161" s="282">
        <f t="shared" si="12"/>
        <v>209.83233146384626</v>
      </c>
      <c r="W161" s="283">
        <f>((S161+'Malawi-only'!S161)/(T161*(U161+'Malawi-only'!U161))/12)</f>
        <v>51.077839057720276</v>
      </c>
      <c r="X161" s="284">
        <f>(R161+'Malawi-only'!R161)</f>
        <v>5127351550.7344303</v>
      </c>
      <c r="Y161" s="284">
        <f>(L161+'Malawi-only'!L161)</f>
        <v>436964596865.28021</v>
      </c>
      <c r="Z161" s="284">
        <f>(Q161+'Malawi-only'!Q161)</f>
        <v>24665466177.228535</v>
      </c>
    </row>
    <row r="162" spans="1:26" ht="15.75" customHeight="1">
      <c r="A162" s="31" t="s">
        <v>195</v>
      </c>
      <c r="B162" s="32">
        <v>2178</v>
      </c>
      <c r="C162" s="274">
        <f t="shared" si="13"/>
        <v>2.5495537106213792E-9</v>
      </c>
      <c r="D162" s="271">
        <f t="shared" si="19"/>
        <v>2.5495537106213792E-9</v>
      </c>
      <c r="E162" s="34">
        <f t="shared" si="1"/>
        <v>0</v>
      </c>
      <c r="F162" s="42">
        <v>4000</v>
      </c>
      <c r="G162" s="34">
        <f t="shared" si="2"/>
        <v>10198.214842485517</v>
      </c>
      <c r="H162" s="34">
        <f t="shared" si="3"/>
        <v>10147.223768273088</v>
      </c>
      <c r="I162" s="35">
        <f t="shared" si="21"/>
        <v>1</v>
      </c>
      <c r="J162" s="36">
        <f t="shared" si="4"/>
        <v>10147.223768273088</v>
      </c>
      <c r="K162" s="34">
        <f t="shared" si="16"/>
        <v>186082720254.63257</v>
      </c>
      <c r="L162" s="37">
        <f t="shared" si="22"/>
        <v>320970916191.58588</v>
      </c>
      <c r="M162" s="34">
        <f t="shared" si="5"/>
        <v>20232202874.143036</v>
      </c>
      <c r="N162" s="34">
        <f t="shared" si="6"/>
        <v>0</v>
      </c>
      <c r="O162" s="34">
        <f t="shared" si="7"/>
        <v>20232202874.143036</v>
      </c>
      <c r="P162" s="34">
        <f t="shared" si="25"/>
        <v>2023220287.4143038</v>
      </c>
      <c r="Q162" s="38">
        <f t="shared" si="8"/>
        <v>18117937673.79509</v>
      </c>
      <c r="R162" s="39">
        <f t="shared" si="9"/>
        <v>1811793767.379509</v>
      </c>
      <c r="S162" s="34">
        <f t="shared" si="10"/>
        <v>16306143906.415581</v>
      </c>
      <c r="T162" s="40">
        <f t="shared" si="24"/>
        <v>9415919078.15769</v>
      </c>
      <c r="U162" s="272">
        <f t="shared" si="11"/>
        <v>6.8310681663272103E-4</v>
      </c>
      <c r="V162" s="282">
        <f t="shared" si="12"/>
        <v>211.26068719835723</v>
      </c>
      <c r="W162" s="283">
        <f>((S162+'Malawi-only'!S162)/(T162*(U162+'Malawi-only'!U162))/12)</f>
        <v>51.425532597352998</v>
      </c>
      <c r="X162" s="284">
        <f>(R162+'Malawi-only'!R162)</f>
        <v>5157091879.3055773</v>
      </c>
      <c r="Y162" s="284">
        <f>(L162+'Malawi-only'!L162)</f>
        <v>439499131777.45642</v>
      </c>
      <c r="Z162" s="284">
        <f>(Q162+'Malawi-only'!Q162)</f>
        <v>24808533897.647224</v>
      </c>
    </row>
    <row r="163" spans="1:26" ht="15.75" customHeight="1">
      <c r="A163" s="31" t="s">
        <v>196</v>
      </c>
      <c r="B163" s="32">
        <v>2179</v>
      </c>
      <c r="C163" s="274">
        <f t="shared" si="13"/>
        <v>2.2945983395592413E-9</v>
      </c>
      <c r="D163" s="271">
        <f t="shared" si="19"/>
        <v>2.2945983395592413E-9</v>
      </c>
      <c r="E163" s="34">
        <f t="shared" si="1"/>
        <v>0</v>
      </c>
      <c r="F163" s="42">
        <v>4000</v>
      </c>
      <c r="G163" s="34">
        <f t="shared" si="2"/>
        <v>9178.3933582369646</v>
      </c>
      <c r="H163" s="34">
        <f t="shared" si="3"/>
        <v>9132.5013914457795</v>
      </c>
      <c r="I163" s="35">
        <f t="shared" si="21"/>
        <v>1</v>
      </c>
      <c r="J163" s="36">
        <f t="shared" si="4"/>
        <v>9132.5013914457795</v>
      </c>
      <c r="K163" s="34">
        <f t="shared" si="16"/>
        <v>186082729387.13397</v>
      </c>
      <c r="L163" s="37">
        <f t="shared" si="22"/>
        <v>322832648538.69586</v>
      </c>
      <c r="M163" s="34">
        <f t="shared" si="5"/>
        <v>20349556086.546543</v>
      </c>
      <c r="N163" s="34">
        <f t="shared" si="6"/>
        <v>0</v>
      </c>
      <c r="O163" s="34">
        <f t="shared" si="7"/>
        <v>20349556086.546543</v>
      </c>
      <c r="P163" s="34">
        <f t="shared" si="25"/>
        <v>2034955608.6546545</v>
      </c>
      <c r="Q163" s="38">
        <f t="shared" si="8"/>
        <v>18223027475.50243</v>
      </c>
      <c r="R163" s="39">
        <f t="shared" si="9"/>
        <v>1822302747.5502431</v>
      </c>
      <c r="S163" s="34">
        <f t="shared" si="10"/>
        <v>16400724727.952187</v>
      </c>
      <c r="T163" s="40">
        <f t="shared" si="24"/>
        <v>9406503159.0795326</v>
      </c>
      <c r="U163" s="272">
        <f t="shared" si="11"/>
        <v>6.8310681663272103E-4</v>
      </c>
      <c r="V163" s="282">
        <f t="shared" si="12"/>
        <v>212.69876514992211</v>
      </c>
      <c r="W163" s="283">
        <f>((S163+'Malawi-only'!S163)/(T163*(U163+'Malawi-only'!U163))/12)</f>
        <v>51.775592730488512</v>
      </c>
      <c r="X163" s="284">
        <f>(R163+'Malawi-only'!R163)</f>
        <v>5187004688.2618065</v>
      </c>
      <c r="Y163" s="284">
        <f>(L163+'Malawi-only'!L163)</f>
        <v>442048366213.78717</v>
      </c>
      <c r="Z163" s="284">
        <f>(Q163+'Malawi-only'!Q163)</f>
        <v>24952431356.925556</v>
      </c>
    </row>
    <row r="164" spans="1:26" ht="15.75" customHeight="1">
      <c r="A164" s="31" t="s">
        <v>197</v>
      </c>
      <c r="B164" s="32">
        <v>2180</v>
      </c>
      <c r="C164" s="274">
        <f t="shared" si="13"/>
        <v>2.0651385056033174E-9</v>
      </c>
      <c r="D164" s="271">
        <f t="shared" si="19"/>
        <v>2.0651385056033174E-9</v>
      </c>
      <c r="E164" s="34">
        <f t="shared" si="1"/>
        <v>0</v>
      </c>
      <c r="F164" s="42">
        <v>4000</v>
      </c>
      <c r="G164" s="34">
        <f t="shared" si="2"/>
        <v>8260.554022413271</v>
      </c>
      <c r="H164" s="34">
        <f t="shared" si="3"/>
        <v>8219.2512523012047</v>
      </c>
      <c r="I164" s="35">
        <f t="shared" si="21"/>
        <v>1</v>
      </c>
      <c r="J164" s="36">
        <f t="shared" si="4"/>
        <v>8219.2512523012047</v>
      </c>
      <c r="K164" s="34">
        <f t="shared" si="16"/>
        <v>186082737606.38522</v>
      </c>
      <c r="L164" s="37">
        <f t="shared" si="22"/>
        <v>324705178560.41852</v>
      </c>
      <c r="M164" s="34">
        <f t="shared" si="5"/>
        <v>20467589917.353317</v>
      </c>
      <c r="N164" s="34">
        <f t="shared" si="6"/>
        <v>0</v>
      </c>
      <c r="O164" s="34">
        <f t="shared" si="7"/>
        <v>20467589917.353317</v>
      </c>
      <c r="P164" s="34">
        <f t="shared" si="25"/>
        <v>2046758991.7353318</v>
      </c>
      <c r="Q164" s="38">
        <f t="shared" si="8"/>
        <v>18328726770.989895</v>
      </c>
      <c r="R164" s="39">
        <f t="shared" si="9"/>
        <v>1832872677.0989895</v>
      </c>
      <c r="S164" s="34">
        <f t="shared" si="10"/>
        <v>16495854093.890905</v>
      </c>
      <c r="T164" s="40">
        <f t="shared" si="24"/>
        <v>9397096655.920454</v>
      </c>
      <c r="U164" s="272">
        <f t="shared" si="11"/>
        <v>6.8310681663272103E-4</v>
      </c>
      <c r="V164" s="282">
        <f t="shared" si="12"/>
        <v>214.14663157133756</v>
      </c>
      <c r="W164" s="283">
        <f>((S164+'Malawi-only'!S164)/(T164*(U164+'Malawi-only'!U164))/12)</f>
        <v>52.128035585477619</v>
      </c>
      <c r="X164" s="284">
        <f>(R164+'Malawi-only'!R164)</f>
        <v>5217090980.2429924</v>
      </c>
      <c r="Y164" s="284">
        <f>(L164+'Malawi-only'!L164)</f>
        <v>444612385586.18066</v>
      </c>
      <c r="Z164" s="284">
        <f>(Q164+'Malawi-only'!Q164)</f>
        <v>25097163377.277901</v>
      </c>
    </row>
    <row r="165" spans="1:26" ht="15.75" customHeight="1">
      <c r="A165" s="31" t="s">
        <v>198</v>
      </c>
      <c r="B165" s="32">
        <v>2181</v>
      </c>
      <c r="C165" s="274">
        <f t="shared" si="13"/>
        <v>1.8586246550429858E-9</v>
      </c>
      <c r="D165" s="271">
        <f t="shared" si="19"/>
        <v>1.8586246550429858E-9</v>
      </c>
      <c r="E165" s="34">
        <f t="shared" si="1"/>
        <v>0</v>
      </c>
      <c r="F165" s="42">
        <v>4000</v>
      </c>
      <c r="G165" s="34">
        <f t="shared" si="2"/>
        <v>7434.498620171943</v>
      </c>
      <c r="H165" s="34">
        <f t="shared" si="3"/>
        <v>7397.3261270710836</v>
      </c>
      <c r="I165" s="35">
        <f t="shared" si="21"/>
        <v>1</v>
      </c>
      <c r="J165" s="36">
        <f t="shared" si="4"/>
        <v>7397.3261270710836</v>
      </c>
      <c r="K165" s="34">
        <f t="shared" si="16"/>
        <v>186082745003.71136</v>
      </c>
      <c r="L165" s="37">
        <f t="shared" si="22"/>
        <v>326588568977.00525</v>
      </c>
      <c r="M165" s="34">
        <f t="shared" si="5"/>
        <v>20586308320.730534</v>
      </c>
      <c r="N165" s="34">
        <f t="shared" si="6"/>
        <v>0</v>
      </c>
      <c r="O165" s="34">
        <f t="shared" si="7"/>
        <v>20586308320.730534</v>
      </c>
      <c r="P165" s="34">
        <f t="shared" si="25"/>
        <v>2058630832.0730534</v>
      </c>
      <c r="Q165" s="38">
        <f t="shared" si="8"/>
        <v>18435039101.214191</v>
      </c>
      <c r="R165" s="39">
        <f t="shared" si="9"/>
        <v>1843503910.1214192</v>
      </c>
      <c r="S165" s="34">
        <f t="shared" si="10"/>
        <v>16591535191.092772</v>
      </c>
      <c r="T165" s="40">
        <f t="shared" si="24"/>
        <v>9387699559.264534</v>
      </c>
      <c r="U165" s="272">
        <f t="shared" si="11"/>
        <v>6.8310681663272103E-4</v>
      </c>
      <c r="V165" s="282">
        <f t="shared" si="12"/>
        <v>215.60435315917917</v>
      </c>
      <c r="W165" s="283">
        <f>((S165+'Malawi-only'!S165)/(T165*(U165+'Malawi-only'!U165))/12)</f>
        <v>52.482877398602405</v>
      </c>
      <c r="X165" s="284">
        <f>(R165+'Malawi-only'!R165)</f>
        <v>5247351763.4841881</v>
      </c>
      <c r="Y165" s="284">
        <f>(L165+'Malawi-only'!L165)</f>
        <v>447191275786.91321</v>
      </c>
      <c r="Z165" s="284">
        <f>(Q165+'Malawi-only'!Q165)</f>
        <v>25242734807.939728</v>
      </c>
    </row>
    <row r="166" spans="1:26" ht="15.75" customHeight="1">
      <c r="A166" s="31" t="s">
        <v>199</v>
      </c>
      <c r="B166" s="32">
        <v>2182</v>
      </c>
      <c r="C166" s="274">
        <f t="shared" si="13"/>
        <v>1.6727621895386873E-9</v>
      </c>
      <c r="D166" s="271">
        <f t="shared" si="19"/>
        <v>1.6727621895386873E-9</v>
      </c>
      <c r="E166" s="34">
        <f t="shared" si="1"/>
        <v>0</v>
      </c>
      <c r="F166" s="42">
        <v>4000</v>
      </c>
      <c r="G166" s="34">
        <f t="shared" si="2"/>
        <v>6691.0487581547495</v>
      </c>
      <c r="H166" s="34">
        <f t="shared" si="3"/>
        <v>6657.5935143639754</v>
      </c>
      <c r="I166" s="35">
        <f t="shared" si="21"/>
        <v>1</v>
      </c>
      <c r="J166" s="36">
        <f t="shared" si="4"/>
        <v>6657.5935143639754</v>
      </c>
      <c r="K166" s="34">
        <f t="shared" si="16"/>
        <v>186082751661.30487</v>
      </c>
      <c r="L166" s="37">
        <f t="shared" si="22"/>
        <v>328482882863.43848</v>
      </c>
      <c r="M166" s="34">
        <f t="shared" si="5"/>
        <v>20705715273.142132</v>
      </c>
      <c r="N166" s="34">
        <f t="shared" si="6"/>
        <v>0</v>
      </c>
      <c r="O166" s="34">
        <f t="shared" si="7"/>
        <v>20705715273.142132</v>
      </c>
      <c r="P166" s="34">
        <f t="shared" si="25"/>
        <v>2070571527.3142133</v>
      </c>
      <c r="Q166" s="38">
        <f t="shared" si="8"/>
        <v>18541968027.098778</v>
      </c>
      <c r="R166" s="39">
        <f t="shared" si="9"/>
        <v>1854196802.709878</v>
      </c>
      <c r="S166" s="34">
        <f t="shared" si="10"/>
        <v>16687771224.388901</v>
      </c>
      <c r="T166" s="40">
        <f t="shared" si="24"/>
        <v>9378311859.7052708</v>
      </c>
      <c r="U166" s="272">
        <f t="shared" si="11"/>
        <v>6.8310681663272103E-4</v>
      </c>
      <c r="V166" s="282">
        <f t="shared" si="12"/>
        <v>217.07199705753706</v>
      </c>
      <c r="W166" s="283">
        <f>((S166+'Malawi-only'!S166)/(T166*(U166+'Malawi-only'!U166))/12)</f>
        <v>52.840134514994979</v>
      </c>
      <c r="X166" s="284">
        <f>(R166+'Malawi-only'!R166)</f>
        <v>5277788051.8701181</v>
      </c>
      <c r="Y166" s="284">
        <f>(L166+'Malawi-only'!L166)</f>
        <v>449785123192.9198</v>
      </c>
      <c r="Z166" s="284">
        <f>(Q166+'Malawi-only'!Q166)</f>
        <v>25389150525.419258</v>
      </c>
    </row>
    <row r="167" spans="1:26" ht="15.75" customHeight="1">
      <c r="A167" s="31" t="s">
        <v>200</v>
      </c>
      <c r="B167" s="32">
        <v>2183</v>
      </c>
      <c r="C167" s="274">
        <f t="shared" si="13"/>
        <v>1.5054859705848185E-9</v>
      </c>
      <c r="D167" s="271">
        <f t="shared" si="19"/>
        <v>1.5054859705848185E-9</v>
      </c>
      <c r="E167" s="34">
        <f t="shared" si="1"/>
        <v>0</v>
      </c>
      <c r="F167" s="42">
        <v>4000</v>
      </c>
      <c r="G167" s="34">
        <f t="shared" si="2"/>
        <v>6021.9438823392748</v>
      </c>
      <c r="H167" s="34">
        <f t="shared" si="3"/>
        <v>5991.8341629275783</v>
      </c>
      <c r="I167" s="35">
        <f t="shared" si="21"/>
        <v>1</v>
      </c>
      <c r="J167" s="36">
        <f t="shared" si="4"/>
        <v>5991.8341629275783</v>
      </c>
      <c r="K167" s="34">
        <f t="shared" si="16"/>
        <v>186082757653.13904</v>
      </c>
      <c r="L167" s="37">
        <f t="shared" si="22"/>
        <v>330388183652.39557</v>
      </c>
      <c r="M167" s="34">
        <f t="shared" si="5"/>
        <v>20825814773.542</v>
      </c>
      <c r="N167" s="34">
        <f t="shared" si="6"/>
        <v>0</v>
      </c>
      <c r="O167" s="34">
        <f t="shared" si="7"/>
        <v>20825814773.542</v>
      </c>
      <c r="P167" s="34">
        <f t="shared" si="25"/>
        <v>2082581477.3542001</v>
      </c>
      <c r="Q167" s="38">
        <f t="shared" si="8"/>
        <v>18649517129.706863</v>
      </c>
      <c r="R167" s="39">
        <f t="shared" si="9"/>
        <v>1864951712.9706864</v>
      </c>
      <c r="S167" s="34">
        <f t="shared" si="10"/>
        <v>16784565416.736177</v>
      </c>
      <c r="T167" s="40">
        <f t="shared" si="24"/>
        <v>9368933547.8455658</v>
      </c>
      <c r="U167" s="272">
        <f t="shared" si="11"/>
        <v>6.8310681663272103E-4</v>
      </c>
      <c r="V167" s="282">
        <f t="shared" si="12"/>
        <v>218.54963086170565</v>
      </c>
      <c r="W167" s="283">
        <f>((S167+'Malawi-only'!S167)/(T167*(U167+'Malawi-only'!U167))/12)</f>
        <v>53.199823389544015</v>
      </c>
      <c r="X167" s="284">
        <f>(R167+'Malawi-only'!R167)</f>
        <v>5308400864.9877872</v>
      </c>
      <c r="Y167" s="284">
        <f>(L167+'Malawi-only'!L167)</f>
        <v>452394014669.95953</v>
      </c>
      <c r="Z167" s="284">
        <f>(Q167+'Malawi-only'!Q167)</f>
        <v>25536415433.741066</v>
      </c>
    </row>
    <row r="168" spans="1:26" ht="15.75" customHeight="1">
      <c r="A168" s="31" t="s">
        <v>201</v>
      </c>
      <c r="B168" s="32">
        <v>2184</v>
      </c>
      <c r="C168" s="274">
        <f t="shared" si="13"/>
        <v>1.3549373735263367E-9</v>
      </c>
      <c r="D168" s="271">
        <f t="shared" si="19"/>
        <v>1.3549373735263367E-9</v>
      </c>
      <c r="E168" s="34">
        <f t="shared" si="1"/>
        <v>0</v>
      </c>
      <c r="F168" s="42">
        <v>4000</v>
      </c>
      <c r="G168" s="34">
        <f t="shared" si="2"/>
        <v>5419.7494941053465</v>
      </c>
      <c r="H168" s="34">
        <f t="shared" si="3"/>
        <v>5392.6507466348194</v>
      </c>
      <c r="I168" s="35">
        <f t="shared" si="21"/>
        <v>1</v>
      </c>
      <c r="J168" s="36">
        <f t="shared" si="4"/>
        <v>5392.6507466348194</v>
      </c>
      <c r="K168" s="34">
        <f t="shared" si="16"/>
        <v>186082763045.78979</v>
      </c>
      <c r="L168" s="37">
        <f t="shared" si="22"/>
        <v>332304535137.13934</v>
      </c>
      <c r="M168" s="34">
        <f t="shared" si="5"/>
        <v>20946610843.561878</v>
      </c>
      <c r="N168" s="34">
        <f t="shared" si="6"/>
        <v>0</v>
      </c>
      <c r="O168" s="34">
        <f t="shared" si="7"/>
        <v>20946610843.561878</v>
      </c>
      <c r="P168" s="34">
        <f t="shared" si="25"/>
        <v>2094661084.3561878</v>
      </c>
      <c r="Q168" s="38">
        <f t="shared" si="8"/>
        <v>18757690010.40966</v>
      </c>
      <c r="R168" s="39">
        <f t="shared" si="9"/>
        <v>1875769001.040966</v>
      </c>
      <c r="S168" s="34">
        <f t="shared" si="10"/>
        <v>16881921009.368694</v>
      </c>
      <c r="T168" s="40">
        <f t="shared" si="24"/>
        <v>9359564614.2977219</v>
      </c>
      <c r="U168" s="272">
        <f t="shared" si="11"/>
        <v>6.8310681663272103E-4</v>
      </c>
      <c r="V168" s="282">
        <f t="shared" si="12"/>
        <v>220.03732262183487</v>
      </c>
      <c r="W168" s="283">
        <f>((S168+'Malawi-only'!S168)/(T168*(U168+'Malawi-only'!U168))/12)</f>
        <v>53.561960587791127</v>
      </c>
      <c r="X168" s="284">
        <f>(R168+'Malawi-only'!R168)</f>
        <v>5339191228.1774111</v>
      </c>
      <c r="Y168" s="284">
        <f>(L168+'Malawi-only'!L168)</f>
        <v>455018037576.66943</v>
      </c>
      <c r="Z168" s="284">
        <f>(Q168+'Malawi-only'!Q168)</f>
        <v>25684534464.682549</v>
      </c>
    </row>
    <row r="169" spans="1:26" ht="15.75" customHeight="1">
      <c r="A169" s="31" t="s">
        <v>202</v>
      </c>
      <c r="B169" s="32">
        <v>2185</v>
      </c>
      <c r="C169" s="274">
        <f t="shared" si="13"/>
        <v>1.2194436361737029E-9</v>
      </c>
      <c r="D169" s="271">
        <f t="shared" si="19"/>
        <v>1.2194436361737029E-9</v>
      </c>
      <c r="E169" s="34">
        <f t="shared" si="1"/>
        <v>0</v>
      </c>
      <c r="F169" s="42">
        <v>4000</v>
      </c>
      <c r="G169" s="34">
        <f t="shared" si="2"/>
        <v>4877.774544694812</v>
      </c>
      <c r="H169" s="34">
        <f t="shared" si="3"/>
        <v>4853.3856719713376</v>
      </c>
      <c r="I169" s="35">
        <f t="shared" si="21"/>
        <v>1</v>
      </c>
      <c r="J169" s="36">
        <f t="shared" si="4"/>
        <v>4853.3856719713376</v>
      </c>
      <c r="K169" s="34">
        <f t="shared" si="16"/>
        <v>186082767899.17548</v>
      </c>
      <c r="L169" s="37">
        <f t="shared" si="22"/>
        <v>334232001474.34381</v>
      </c>
      <c r="M169" s="34">
        <f t="shared" si="5"/>
        <v>21068107527.694633</v>
      </c>
      <c r="N169" s="34">
        <f t="shared" si="6"/>
        <v>0</v>
      </c>
      <c r="O169" s="34">
        <f t="shared" si="7"/>
        <v>21068107527.694633</v>
      </c>
      <c r="P169" s="34">
        <f t="shared" si="25"/>
        <v>2106810752.7694635</v>
      </c>
      <c r="Q169" s="38">
        <f t="shared" si="8"/>
        <v>18866490291.050545</v>
      </c>
      <c r="R169" s="39">
        <f t="shared" si="9"/>
        <v>1886649029.1050546</v>
      </c>
      <c r="S169" s="34">
        <f t="shared" si="10"/>
        <v>16979841261.94549</v>
      </c>
      <c r="T169" s="40">
        <f t="shared" si="24"/>
        <v>9350205049.6834259</v>
      </c>
      <c r="U169" s="272">
        <f t="shared" si="11"/>
        <v>6.8310681663272103E-4</v>
      </c>
      <c r="V169" s="282">
        <f t="shared" si="12"/>
        <v>221.53514084654933</v>
      </c>
      <c r="W169" s="283">
        <f>((S169+'Malawi-only'!S169)/(T169*(U169+'Malawi-only'!U169))/12)</f>
        <v>53.9265627868187</v>
      </c>
      <c r="X169" s="284">
        <f>(R169+'Malawi-only'!R169)</f>
        <v>5370160172.5818491</v>
      </c>
      <c r="Y169" s="284">
        <f>(L169+'Malawi-only'!L169)</f>
        <v>457657279768.52026</v>
      </c>
      <c r="Z169" s="284">
        <f>(Q169+'Malawi-only'!Q169)</f>
        <v>25833512578.004135</v>
      </c>
    </row>
    <row r="170" spans="1:26" ht="15.75" customHeight="1">
      <c r="A170" s="31" t="s">
        <v>203</v>
      </c>
      <c r="B170" s="32">
        <v>2186</v>
      </c>
      <c r="C170" s="274">
        <f t="shared" si="13"/>
        <v>1.0974992725563327E-9</v>
      </c>
      <c r="D170" s="271">
        <f t="shared" si="19"/>
        <v>1.0974992725563327E-9</v>
      </c>
      <c r="E170" s="34">
        <f t="shared" si="1"/>
        <v>0</v>
      </c>
      <c r="F170" s="42">
        <v>4000</v>
      </c>
      <c r="G170" s="34">
        <f t="shared" si="2"/>
        <v>4389.9970902253308</v>
      </c>
      <c r="H170" s="34">
        <f t="shared" si="3"/>
        <v>4368.0471047742039</v>
      </c>
      <c r="I170" s="35">
        <f t="shared" si="21"/>
        <v>1</v>
      </c>
      <c r="J170" s="36">
        <f t="shared" si="4"/>
        <v>4368.0471047742039</v>
      </c>
      <c r="K170" s="34">
        <f t="shared" si="16"/>
        <v>186082772267.2226</v>
      </c>
      <c r="L170" s="37">
        <f t="shared" si="22"/>
        <v>336170647186.86285</v>
      </c>
      <c r="M170" s="34">
        <f t="shared" si="5"/>
        <v>21190308893.473396</v>
      </c>
      <c r="N170" s="34">
        <f t="shared" si="6"/>
        <v>0</v>
      </c>
      <c r="O170" s="34">
        <f t="shared" si="7"/>
        <v>21190308893.473396</v>
      </c>
      <c r="P170" s="34">
        <f t="shared" si="25"/>
        <v>2119030889.3473396</v>
      </c>
      <c r="Q170" s="38">
        <f t="shared" si="8"/>
        <v>18975921614.105427</v>
      </c>
      <c r="R170" s="39">
        <f t="shared" si="9"/>
        <v>1897592161.4105427</v>
      </c>
      <c r="S170" s="34">
        <f t="shared" si="10"/>
        <v>17078329452.694883</v>
      </c>
      <c r="T170" s="40">
        <f t="shared" si="24"/>
        <v>9340854844.6337433</v>
      </c>
      <c r="U170" s="272">
        <f t="shared" si="11"/>
        <v>6.8310681663272103E-4</v>
      </c>
      <c r="V170" s="282">
        <f t="shared" si="12"/>
        <v>223.0431545065392</v>
      </c>
      <c r="W170" s="283">
        <f>((S170+'Malawi-only'!S170)/(T170*(U170+'Malawi-only'!U170))/12)</f>
        <v>54.293646776130181</v>
      </c>
      <c r="X170" s="284">
        <f>(R170+'Malawi-only'!R170)</f>
        <v>5401308735.1947317</v>
      </c>
      <c r="Y170" s="284">
        <f>(L170+'Malawi-only'!L170)</f>
        <v>460311829601.68524</v>
      </c>
      <c r="Z170" s="284">
        <f>(Q170+'Malawi-only'!Q170)</f>
        <v>25983354761.673805</v>
      </c>
    </row>
    <row r="171" spans="1:26" ht="15.75" customHeight="1">
      <c r="A171" s="31" t="s">
        <v>204</v>
      </c>
      <c r="B171" s="32">
        <v>2187</v>
      </c>
      <c r="C171" s="274">
        <f t="shared" si="13"/>
        <v>9.8774934530069949E-10</v>
      </c>
      <c r="D171" s="271">
        <f t="shared" si="19"/>
        <v>9.8774934530069949E-10</v>
      </c>
      <c r="E171" s="34">
        <f t="shared" si="1"/>
        <v>0</v>
      </c>
      <c r="F171" s="42">
        <v>4000</v>
      </c>
      <c r="G171" s="34">
        <f t="shared" si="2"/>
        <v>3950.9973812027979</v>
      </c>
      <c r="H171" s="34">
        <f t="shared" si="3"/>
        <v>3931.2423942967839</v>
      </c>
      <c r="I171" s="35">
        <f t="shared" si="21"/>
        <v>1</v>
      </c>
      <c r="J171" s="36">
        <f t="shared" si="4"/>
        <v>3931.2423942967839</v>
      </c>
      <c r="K171" s="34">
        <f t="shared" si="16"/>
        <v>186082776198.465</v>
      </c>
      <c r="L171" s="37">
        <f t="shared" si="22"/>
        <v>338120537166.44885</v>
      </c>
      <c r="M171" s="34">
        <f t="shared" si="5"/>
        <v>21313219031.647106</v>
      </c>
      <c r="N171" s="34">
        <f t="shared" si="6"/>
        <v>0</v>
      </c>
      <c r="O171" s="34">
        <f t="shared" si="7"/>
        <v>21313219031.647106</v>
      </c>
      <c r="P171" s="34">
        <f t="shared" si="25"/>
        <v>2131321903.1647108</v>
      </c>
      <c r="Q171" s="38">
        <f t="shared" si="8"/>
        <v>19085987642.839985</v>
      </c>
      <c r="R171" s="39">
        <f t="shared" si="9"/>
        <v>1908598764.2839985</v>
      </c>
      <c r="S171" s="34">
        <f t="shared" si="10"/>
        <v>17177388878.555986</v>
      </c>
      <c r="T171" s="40">
        <f t="shared" si="24"/>
        <v>9331513989.7891102</v>
      </c>
      <c r="U171" s="272">
        <f t="shared" si="11"/>
        <v>6.8310681663272103E-4</v>
      </c>
      <c r="V171" s="282">
        <f t="shared" si="12"/>
        <v>224.56143303812996</v>
      </c>
      <c r="W171" s="283">
        <f>((S171+'Malawi-only'!S171)/(T171*(U171+'Malawi-only'!U171))/12)</f>
        <v>54.663229458524533</v>
      </c>
      <c r="X171" s="284">
        <f>(R171+'Malawi-only'!R171)</f>
        <v>5432637958.9074059</v>
      </c>
      <c r="Y171" s="284">
        <f>(L171+'Malawi-only'!L171)</f>
        <v>462981775936.83295</v>
      </c>
      <c r="Z171" s="284">
        <f>(Q171+'Malawi-only'!Q171)</f>
        <v>26134066032.0868</v>
      </c>
    </row>
    <row r="172" spans="1:26" ht="15.75" customHeight="1">
      <c r="A172" s="31" t="s">
        <v>205</v>
      </c>
      <c r="B172" s="32">
        <v>2188</v>
      </c>
      <c r="C172" s="274">
        <f t="shared" si="13"/>
        <v>8.8897441077062956E-10</v>
      </c>
      <c r="D172" s="271">
        <f t="shared" si="19"/>
        <v>8.8897441077062956E-10</v>
      </c>
      <c r="E172" s="34">
        <f t="shared" si="1"/>
        <v>0</v>
      </c>
      <c r="F172" s="42">
        <v>4000</v>
      </c>
      <c r="G172" s="34">
        <f t="shared" si="2"/>
        <v>3555.8976430825182</v>
      </c>
      <c r="H172" s="34">
        <f t="shared" si="3"/>
        <v>3538.1181548671057</v>
      </c>
      <c r="I172" s="35">
        <f t="shared" si="21"/>
        <v>1</v>
      </c>
      <c r="J172" s="36">
        <f t="shared" si="4"/>
        <v>3538.1181548671057</v>
      </c>
      <c r="K172" s="34">
        <f t="shared" si="16"/>
        <v>186082779736.58316</v>
      </c>
      <c r="L172" s="37">
        <f t="shared" si="22"/>
        <v>340081736676.42792</v>
      </c>
      <c r="M172" s="34">
        <f t="shared" si="5"/>
        <v>21436842056.352856</v>
      </c>
      <c r="N172" s="34">
        <f t="shared" si="6"/>
        <v>0</v>
      </c>
      <c r="O172" s="34">
        <f t="shared" si="7"/>
        <v>21436842056.352856</v>
      </c>
      <c r="P172" s="34">
        <f t="shared" si="25"/>
        <v>2143684205.6352856</v>
      </c>
      <c r="Q172" s="38">
        <f t="shared" si="8"/>
        <v>19196692061.463982</v>
      </c>
      <c r="R172" s="39">
        <f t="shared" si="9"/>
        <v>1919669206.1463983</v>
      </c>
      <c r="S172" s="34">
        <f t="shared" si="10"/>
        <v>17277022855.317585</v>
      </c>
      <c r="T172" s="40">
        <f t="shared" si="24"/>
        <v>9322182475.7993221</v>
      </c>
      <c r="U172" s="272">
        <f t="shared" si="11"/>
        <v>6.8310681663272103E-4</v>
      </c>
      <c r="V172" s="282">
        <f t="shared" si="12"/>
        <v>226.09004634683382</v>
      </c>
      <c r="W172" s="283">
        <f>((S172+'Malawi-only'!S172)/(T172*(U172+'Malawi-only'!U172))/12)</f>
        <v>55.0353278509657</v>
      </c>
      <c r="X172" s="284">
        <f>(R172+'Malawi-only'!R172)</f>
        <v>5464148892.5548611</v>
      </c>
      <c r="Y172" s="284">
        <f>(L172+'Malawi-only'!L172)</f>
        <v>465667208142.85315</v>
      </c>
      <c r="Z172" s="284">
        <f>(Q172+'Malawi-only'!Q172)</f>
        <v>26285651434.280907</v>
      </c>
    </row>
    <row r="173" spans="1:26" ht="15.75" customHeight="1">
      <c r="A173" s="31" t="s">
        <v>206</v>
      </c>
      <c r="B173" s="32">
        <v>2189</v>
      </c>
      <c r="C173" s="274">
        <f t="shared" si="13"/>
        <v>8.0007696969356664E-10</v>
      </c>
      <c r="D173" s="271">
        <f t="shared" si="19"/>
        <v>8.0007696969356664E-10</v>
      </c>
      <c r="E173" s="34">
        <f t="shared" si="1"/>
        <v>0</v>
      </c>
      <c r="F173" s="42">
        <v>4000</v>
      </c>
      <c r="G173" s="34">
        <f t="shared" si="2"/>
        <v>3200.3078787742666</v>
      </c>
      <c r="H173" s="34">
        <f t="shared" si="3"/>
        <v>3184.306339380395</v>
      </c>
      <c r="I173" s="35">
        <f t="shared" si="21"/>
        <v>1</v>
      </c>
      <c r="J173" s="36">
        <f t="shared" si="4"/>
        <v>3184.306339380395</v>
      </c>
      <c r="K173" s="34">
        <f t="shared" si="16"/>
        <v>186082782920.8895</v>
      </c>
      <c r="L173" s="37">
        <f t="shared" si="22"/>
        <v>342054311354.33643</v>
      </c>
      <c r="M173" s="34">
        <f t="shared" si="5"/>
        <v>21561182105.28553</v>
      </c>
      <c r="N173" s="34">
        <f t="shared" si="6"/>
        <v>0</v>
      </c>
      <c r="O173" s="34">
        <f t="shared" si="7"/>
        <v>21561182105.28553</v>
      </c>
      <c r="P173" s="34">
        <f t="shared" si="25"/>
        <v>2156118210.528553</v>
      </c>
      <c r="Q173" s="38">
        <f t="shared" si="8"/>
        <v>19308038575.283192</v>
      </c>
      <c r="R173" s="39">
        <f t="shared" si="9"/>
        <v>1930803857.5283194</v>
      </c>
      <c r="S173" s="34">
        <f t="shared" si="10"/>
        <v>17377234717.754871</v>
      </c>
      <c r="T173" s="40">
        <f t="shared" si="24"/>
        <v>9312860293.3235245</v>
      </c>
      <c r="U173" s="272">
        <f t="shared" si="11"/>
        <v>6.8310681663272103E-4</v>
      </c>
      <c r="V173" s="282">
        <f t="shared" si="12"/>
        <v>227.62906481088802</v>
      </c>
      <c r="W173" s="283">
        <f>((S173+'Malawi-only'!S173)/(T173*(U173+'Malawi-only'!U173))/12)</f>
        <v>55.409959085448499</v>
      </c>
      <c r="X173" s="284">
        <f>(R173+'Malawi-only'!R173)</f>
        <v>5495842590.9607458</v>
      </c>
      <c r="Y173" s="284">
        <f>(L173+'Malawi-only'!L173)</f>
        <v>468368216100.52393</v>
      </c>
      <c r="Z173" s="284">
        <f>(Q173+'Malawi-only'!Q173)</f>
        <v>26438116042.148045</v>
      </c>
    </row>
    <row r="174" spans="1:26" ht="15.75" customHeight="1">
      <c r="A174" s="31" t="s">
        <v>207</v>
      </c>
      <c r="B174" s="32">
        <v>2190</v>
      </c>
      <c r="C174" s="274">
        <f t="shared" si="13"/>
        <v>7.2006927272420998E-10</v>
      </c>
      <c r="D174" s="271">
        <f t="shared" si="19"/>
        <v>7.2006927272420998E-10</v>
      </c>
      <c r="E174" s="34">
        <f t="shared" si="1"/>
        <v>0</v>
      </c>
      <c r="F174" s="42">
        <v>4000</v>
      </c>
      <c r="G174" s="34">
        <f t="shared" si="2"/>
        <v>2880.27709089684</v>
      </c>
      <c r="H174" s="34">
        <f t="shared" si="3"/>
        <v>2865.8757054423559</v>
      </c>
      <c r="I174" s="35">
        <f t="shared" si="21"/>
        <v>1</v>
      </c>
      <c r="J174" s="36">
        <f t="shared" si="4"/>
        <v>2865.8757054423559</v>
      </c>
      <c r="K174" s="34">
        <f t="shared" si="16"/>
        <v>186082785786.7652</v>
      </c>
      <c r="L174" s="37">
        <f t="shared" si="22"/>
        <v>344038327214.52539</v>
      </c>
      <c r="M174" s="34">
        <f t="shared" si="5"/>
        <v>21686243339.864929</v>
      </c>
      <c r="N174" s="34">
        <f t="shared" si="6"/>
        <v>0</v>
      </c>
      <c r="O174" s="34">
        <f t="shared" si="7"/>
        <v>21686243339.864929</v>
      </c>
      <c r="P174" s="34">
        <f t="shared" si="25"/>
        <v>2168624333.9864931</v>
      </c>
      <c r="Q174" s="38">
        <f t="shared" si="8"/>
        <v>19420030910.849045</v>
      </c>
      <c r="R174" s="39">
        <f t="shared" si="9"/>
        <v>1942003091.0849047</v>
      </c>
      <c r="S174" s="34">
        <f t="shared" si="10"/>
        <v>17478027819.764141</v>
      </c>
      <c r="T174" s="40">
        <f t="shared" si="24"/>
        <v>9303547433.0302029</v>
      </c>
      <c r="U174" s="272">
        <f t="shared" si="11"/>
        <v>6.8310681663272103E-4</v>
      </c>
      <c r="V174" s="282">
        <f t="shared" si="12"/>
        <v>229.17855928478238</v>
      </c>
      <c r="W174" s="283">
        <f>((S174+'Malawi-only'!S174)/(T174*(U174+'Malawi-only'!U174))/12)</f>
        <v>55.787140409861287</v>
      </c>
      <c r="X174" s="284">
        <f>(R174+'Malawi-only'!R174)</f>
        <v>5527720114.9815903</v>
      </c>
      <c r="Y174" s="284">
        <f>(L174+'Malawi-only'!L174)</f>
        <v>471084890206.12872</v>
      </c>
      <c r="Z174" s="284">
        <f>(Q174+'Malawi-only'!Q174)</f>
        <v>26591464958.642418</v>
      </c>
    </row>
    <row r="175" spans="1:26" ht="15.75" customHeight="1">
      <c r="A175" s="31" t="s">
        <v>208</v>
      </c>
      <c r="B175" s="32">
        <v>2191</v>
      </c>
      <c r="C175" s="274">
        <f t="shared" si="13"/>
        <v>6.4806234545178903E-10</v>
      </c>
      <c r="D175" s="271">
        <f t="shared" si="19"/>
        <v>6.4806234545178903E-10</v>
      </c>
      <c r="E175" s="34">
        <f t="shared" si="1"/>
        <v>0</v>
      </c>
      <c r="F175" s="42">
        <v>4000</v>
      </c>
      <c r="G175" s="34">
        <f t="shared" si="2"/>
        <v>2592.2493818071562</v>
      </c>
      <c r="H175" s="34">
        <f t="shared" si="3"/>
        <v>2579.2881348981205</v>
      </c>
      <c r="I175" s="35">
        <f t="shared" si="21"/>
        <v>1</v>
      </c>
      <c r="J175" s="36">
        <f t="shared" si="4"/>
        <v>2579.2881348981205</v>
      </c>
      <c r="K175" s="34">
        <f t="shared" si="16"/>
        <v>186082788366.05334</v>
      </c>
      <c r="L175" s="37">
        <f t="shared" si="22"/>
        <v>346033850650.73615</v>
      </c>
      <c r="M175" s="34">
        <f t="shared" si="5"/>
        <v>21812029945.400909</v>
      </c>
      <c r="N175" s="34">
        <f t="shared" si="6"/>
        <v>0</v>
      </c>
      <c r="O175" s="34">
        <f t="shared" si="7"/>
        <v>21812029945.400909</v>
      </c>
      <c r="P175" s="34">
        <f t="shared" si="25"/>
        <v>2181202994.540091</v>
      </c>
      <c r="Q175" s="38">
        <f t="shared" si="8"/>
        <v>19532672816.106514</v>
      </c>
      <c r="R175" s="39">
        <f t="shared" si="9"/>
        <v>1953267281.6106515</v>
      </c>
      <c r="S175" s="34">
        <f t="shared" si="10"/>
        <v>17579405534.495861</v>
      </c>
      <c r="T175" s="40">
        <f t="shared" si="24"/>
        <v>9294243885.5971737</v>
      </c>
      <c r="U175" s="272">
        <f t="shared" si="11"/>
        <v>6.8310681663272103E-4</v>
      </c>
      <c r="V175" s="282">
        <f t="shared" si="12"/>
        <v>230.73860110278051</v>
      </c>
      <c r="W175" s="283">
        <f>((S175+'Malawi-only'!S175)/(T175*(U175+'Malawi-only'!U175))/12)</f>
        <v>56.166889188846795</v>
      </c>
      <c r="X175" s="284">
        <f>(R175+'Malawi-only'!R175)</f>
        <v>5559782531.5503426</v>
      </c>
      <c r="Y175" s="284">
        <f>(L175+'Malawi-only'!L175)</f>
        <v>473817321375.02917</v>
      </c>
      <c r="Z175" s="284">
        <f>(Q175+'Malawi-only'!Q175)</f>
        <v>26745703315.985897</v>
      </c>
    </row>
    <row r="176" spans="1:26" ht="15.75" customHeight="1">
      <c r="A176" s="31" t="s">
        <v>209</v>
      </c>
      <c r="B176" s="32">
        <v>2192</v>
      </c>
      <c r="C176" s="274">
        <f t="shared" si="13"/>
        <v>5.8325611090661017E-10</v>
      </c>
      <c r="D176" s="271">
        <f t="shared" si="19"/>
        <v>5.8325611090661017E-10</v>
      </c>
      <c r="E176" s="34">
        <f t="shared" si="1"/>
        <v>0</v>
      </c>
      <c r="F176" s="42">
        <v>4000</v>
      </c>
      <c r="G176" s="34">
        <f t="shared" si="2"/>
        <v>2333.0244436264406</v>
      </c>
      <c r="H176" s="34">
        <f t="shared" si="3"/>
        <v>2321.3593214083085</v>
      </c>
      <c r="I176" s="35">
        <f t="shared" si="21"/>
        <v>1</v>
      </c>
      <c r="J176" s="36">
        <f t="shared" si="4"/>
        <v>2321.3593214083085</v>
      </c>
      <c r="K176" s="34">
        <f t="shared" si="16"/>
        <v>186082790687.41266</v>
      </c>
      <c r="L176" s="37">
        <f t="shared" si="22"/>
        <v>348040948438.65228</v>
      </c>
      <c r="M176" s="34">
        <f t="shared" si="5"/>
        <v>21938546131.256672</v>
      </c>
      <c r="N176" s="34">
        <f t="shared" si="6"/>
        <v>0</v>
      </c>
      <c r="O176" s="34">
        <f t="shared" si="7"/>
        <v>21938546131.256672</v>
      </c>
      <c r="P176" s="34">
        <f t="shared" si="25"/>
        <v>2193854613.1256671</v>
      </c>
      <c r="Q176" s="38">
        <f t="shared" si="8"/>
        <v>19645968060.540348</v>
      </c>
      <c r="R176" s="39">
        <f t="shared" si="9"/>
        <v>1964596806.0540349</v>
      </c>
      <c r="S176" s="34">
        <f t="shared" si="10"/>
        <v>17681371254.486313</v>
      </c>
      <c r="T176" s="40">
        <f t="shared" si="24"/>
        <v>9284949641.7115784</v>
      </c>
      <c r="U176" s="272">
        <f t="shared" si="11"/>
        <v>6.8310681663272103E-4</v>
      </c>
      <c r="V176" s="282">
        <f t="shared" si="12"/>
        <v>232.30926208243761</v>
      </c>
      <c r="W176" s="283">
        <f>((S176+'Malawi-only'!S176)/(T176*(U176+'Malawi-only'!U176))/12)</f>
        <v>56.54922290466169</v>
      </c>
      <c r="X176" s="284">
        <f>(R176+'Malawi-only'!R176)</f>
        <v>5592030913.7192945</v>
      </c>
      <c r="Y176" s="284">
        <f>(L176+'Malawi-only'!L176)</f>
        <v>476565601045.20068</v>
      </c>
      <c r="Z176" s="284">
        <f>(Q176+'Malawi-only'!Q176)</f>
        <v>26900836275.870869</v>
      </c>
    </row>
    <row r="177" spans="1:26" ht="15.75" customHeight="1">
      <c r="A177" s="31" t="s">
        <v>210</v>
      </c>
      <c r="B177" s="32">
        <v>2193</v>
      </c>
      <c r="C177" s="274">
        <f t="shared" si="13"/>
        <v>5.2493049981594913E-10</v>
      </c>
      <c r="D177" s="271">
        <f t="shared" si="19"/>
        <v>5.2493049981594913E-10</v>
      </c>
      <c r="E177" s="34">
        <f t="shared" si="1"/>
        <v>0</v>
      </c>
      <c r="F177" s="42">
        <v>4000</v>
      </c>
      <c r="G177" s="34">
        <f t="shared" si="2"/>
        <v>2099.7219992637965</v>
      </c>
      <c r="H177" s="34">
        <f t="shared" si="3"/>
        <v>2089.2233892674776</v>
      </c>
      <c r="I177" s="35">
        <f t="shared" si="21"/>
        <v>1</v>
      </c>
      <c r="J177" s="36">
        <f t="shared" si="4"/>
        <v>2089.2233892674776</v>
      </c>
      <c r="K177" s="34">
        <f t="shared" si="16"/>
        <v>186082792776.63605</v>
      </c>
      <c r="L177" s="37">
        <f t="shared" si="22"/>
        <v>350059687738.43085</v>
      </c>
      <c r="M177" s="34">
        <f t="shared" si="5"/>
        <v>22065796131.010555</v>
      </c>
      <c r="N177" s="34">
        <f t="shared" si="6"/>
        <v>0</v>
      </c>
      <c r="O177" s="34">
        <f t="shared" si="7"/>
        <v>22065796131.010555</v>
      </c>
      <c r="P177" s="34">
        <f t="shared" si="25"/>
        <v>2206579613.1010556</v>
      </c>
      <c r="Q177" s="38">
        <f t="shared" si="8"/>
        <v>19759920435.319954</v>
      </c>
      <c r="R177" s="39">
        <f t="shared" si="9"/>
        <v>1975992043.5319955</v>
      </c>
      <c r="S177" s="34">
        <f t="shared" si="10"/>
        <v>17783928391.78796</v>
      </c>
      <c r="T177" s="40">
        <f t="shared" si="24"/>
        <v>9275664692.0698681</v>
      </c>
      <c r="U177" s="272">
        <f t="shared" si="11"/>
        <v>6.8310681663272103E-4</v>
      </c>
      <c r="V177" s="282">
        <f t="shared" si="12"/>
        <v>233.8906145281168</v>
      </c>
      <c r="W177" s="283">
        <f>((S177+'Malawi-only'!S177)/(T177*(U177+'Malawi-only'!U177))/12)</f>
        <v>56.934159158035534</v>
      </c>
      <c r="X177" s="284">
        <f>(R177+'Malawi-only'!R177)</f>
        <v>5624466340.7024975</v>
      </c>
      <c r="Y177" s="284">
        <f>(L177+'Malawi-only'!L177)</f>
        <v>479329821180.73572</v>
      </c>
      <c r="Z177" s="284">
        <f>(Q177+'Malawi-only'!Q177)</f>
        <v>27056869029.660957</v>
      </c>
    </row>
    <row r="178" spans="1:26" ht="15.75" customHeight="1">
      <c r="A178" s="31" t="s">
        <v>211</v>
      </c>
      <c r="B178" s="32">
        <v>2194</v>
      </c>
      <c r="C178" s="274">
        <f t="shared" si="13"/>
        <v>4.7243744983435428E-10</v>
      </c>
      <c r="D178" s="271">
        <f t="shared" si="19"/>
        <v>4.7243744983435428E-10</v>
      </c>
      <c r="E178" s="34">
        <f t="shared" si="1"/>
        <v>0</v>
      </c>
      <c r="F178" s="42">
        <v>4000</v>
      </c>
      <c r="G178" s="34">
        <f t="shared" si="2"/>
        <v>1889.749799337417</v>
      </c>
      <c r="H178" s="34">
        <f t="shared" si="3"/>
        <v>1880.3010503407299</v>
      </c>
      <c r="I178" s="35">
        <f t="shared" si="21"/>
        <v>1</v>
      </c>
      <c r="J178" s="36">
        <f t="shared" si="4"/>
        <v>1880.3010503407299</v>
      </c>
      <c r="K178" s="34">
        <f t="shared" si="16"/>
        <v>186082794656.9371</v>
      </c>
      <c r="L178" s="37">
        <f t="shared" si="22"/>
        <v>352090136097.21704</v>
      </c>
      <c r="M178" s="34">
        <f t="shared" si="5"/>
        <v>22193784202.616516</v>
      </c>
      <c r="N178" s="34">
        <f t="shared" si="6"/>
        <v>0</v>
      </c>
      <c r="O178" s="34">
        <f t="shared" si="7"/>
        <v>22193784202.616516</v>
      </c>
      <c r="P178" s="34">
        <f t="shared" si="25"/>
        <v>2219378420.2616515</v>
      </c>
      <c r="Q178" s="38">
        <f t="shared" si="8"/>
        <v>19874533753.443092</v>
      </c>
      <c r="R178" s="39">
        <f t="shared" si="9"/>
        <v>1987453375.3443093</v>
      </c>
      <c r="S178" s="34">
        <f t="shared" si="10"/>
        <v>17887080378.098782</v>
      </c>
      <c r="T178" s="40">
        <f t="shared" si="24"/>
        <v>9266389027.3778</v>
      </c>
      <c r="U178" s="272">
        <f t="shared" si="11"/>
        <v>6.8310681663272103E-4</v>
      </c>
      <c r="V178" s="282">
        <f t="shared" si="12"/>
        <v>235.48273123450687</v>
      </c>
      <c r="W178" s="283">
        <f>((S178+'Malawi-only'!S178)/(T178*(U178+'Malawi-only'!U178))/12)</f>
        <v>57.32171566902975</v>
      </c>
      <c r="X178" s="284">
        <f>(R178+'Malawi-only'!R178)</f>
        <v>5657089897.9177208</v>
      </c>
      <c r="Y178" s="284">
        <f>(L178+'Malawi-only'!L178)</f>
        <v>482110074275.32037</v>
      </c>
      <c r="Z178" s="284">
        <f>(Q178+'Malawi-only'!Q178)</f>
        <v>27213806798.589916</v>
      </c>
    </row>
    <row r="179" spans="1:26" ht="15.75" customHeight="1">
      <c r="A179" s="31" t="s">
        <v>212</v>
      </c>
      <c r="B179" s="32">
        <v>2195</v>
      </c>
      <c r="C179" s="274">
        <f t="shared" si="13"/>
        <v>4.2519370485091886E-10</v>
      </c>
      <c r="D179" s="271">
        <f t="shared" si="19"/>
        <v>4.2519370485091886E-10</v>
      </c>
      <c r="E179" s="34">
        <f t="shared" si="1"/>
        <v>0</v>
      </c>
      <c r="F179" s="42">
        <v>4000</v>
      </c>
      <c r="G179" s="34">
        <f t="shared" si="2"/>
        <v>1700.7748194036756</v>
      </c>
      <c r="H179" s="34">
        <f t="shared" si="3"/>
        <v>1692.2709453066573</v>
      </c>
      <c r="I179" s="35">
        <f t="shared" si="21"/>
        <v>1</v>
      </c>
      <c r="J179" s="36">
        <f t="shared" si="4"/>
        <v>1692.2709453066573</v>
      </c>
      <c r="K179" s="34">
        <f t="shared" si="16"/>
        <v>186082796349.20804</v>
      </c>
      <c r="L179" s="37">
        <f t="shared" si="22"/>
        <v>354132361451.64478</v>
      </c>
      <c r="M179" s="34">
        <f t="shared" si="5"/>
        <v>22322514628.56356</v>
      </c>
      <c r="N179" s="34">
        <f t="shared" si="6"/>
        <v>0</v>
      </c>
      <c r="O179" s="34">
        <f t="shared" si="7"/>
        <v>22322514628.56356</v>
      </c>
      <c r="P179" s="34">
        <f t="shared" si="25"/>
        <v>2232251462.8563561</v>
      </c>
      <c r="Q179" s="38">
        <f t="shared" si="8"/>
        <v>19989811849.878666</v>
      </c>
      <c r="R179" s="39">
        <f t="shared" si="9"/>
        <v>1998981184.9878666</v>
      </c>
      <c r="S179" s="34">
        <f t="shared" si="10"/>
        <v>17990830664.8908</v>
      </c>
      <c r="T179" s="40">
        <f t="shared" si="24"/>
        <v>9257122638.3504238</v>
      </c>
      <c r="U179" s="272">
        <f t="shared" si="11"/>
        <v>6.8310681663272103E-4</v>
      </c>
      <c r="V179" s="282">
        <f t="shared" si="12"/>
        <v>237.08568549014453</v>
      </c>
      <c r="W179" s="283">
        <f>((S179+'Malawi-only'!S179)/(T179*(U179+'Malawi-only'!U179))/12)</f>
        <v>57.711910277897374</v>
      </c>
      <c r="X179" s="284">
        <f>(R179+'Malawi-only'!R179)</f>
        <v>5689902677.0280485</v>
      </c>
      <c r="Y179" s="284">
        <f>(L179+'Malawi-only'!L179)</f>
        <v>484906453355.6889</v>
      </c>
      <c r="Z179" s="284">
        <f>(Q179+'Malawi-only'!Q179)</f>
        <v>27371654833.95903</v>
      </c>
    </row>
    <row r="180" spans="1:26" ht="15.75" customHeight="1">
      <c r="A180" s="31" t="s">
        <v>213</v>
      </c>
      <c r="B180" s="32">
        <v>2196</v>
      </c>
      <c r="C180" s="274">
        <f t="shared" si="13"/>
        <v>3.82674334365827E-10</v>
      </c>
      <c r="D180" s="271">
        <f t="shared" si="19"/>
        <v>3.82674334365827E-10</v>
      </c>
      <c r="E180" s="34">
        <f t="shared" si="1"/>
        <v>0</v>
      </c>
      <c r="F180" s="42">
        <v>4000</v>
      </c>
      <c r="G180" s="34">
        <f t="shared" si="2"/>
        <v>1530.697337463308</v>
      </c>
      <c r="H180" s="34">
        <f t="shared" si="3"/>
        <v>1523.0438507759916</v>
      </c>
      <c r="I180" s="35">
        <f t="shared" si="21"/>
        <v>1</v>
      </c>
      <c r="J180" s="36">
        <f t="shared" si="4"/>
        <v>1523.0438507759916</v>
      </c>
      <c r="K180" s="34">
        <f t="shared" si="16"/>
        <v>186082797872.25189</v>
      </c>
      <c r="L180" s="37">
        <f t="shared" si="22"/>
        <v>356186432130.32623</v>
      </c>
      <c r="M180" s="34">
        <f t="shared" si="5"/>
        <v>22451991716.034279</v>
      </c>
      <c r="N180" s="34">
        <f t="shared" si="6"/>
        <v>0</v>
      </c>
      <c r="O180" s="34">
        <f t="shared" si="7"/>
        <v>22451991716.034279</v>
      </c>
      <c r="P180" s="34">
        <f t="shared" si="25"/>
        <v>2245199171.6034279</v>
      </c>
      <c r="Q180" s="38">
        <f t="shared" si="8"/>
        <v>20105758581.708698</v>
      </c>
      <c r="R180" s="39">
        <f t="shared" si="9"/>
        <v>2010575858.1708698</v>
      </c>
      <c r="S180" s="34">
        <f t="shared" si="10"/>
        <v>18095182723.537827</v>
      </c>
      <c r="T180" s="40">
        <f t="shared" si="24"/>
        <v>9247865515.7120743</v>
      </c>
      <c r="U180" s="272">
        <f t="shared" si="11"/>
        <v>6.8310681663272103E-4</v>
      </c>
      <c r="V180" s="282">
        <f t="shared" si="12"/>
        <v>238.6995510809414</v>
      </c>
      <c r="W180" s="283">
        <f>((S180+'Malawi-only'!S180)/(T180*(U180+'Malawi-only'!U180))/12)</f>
        <v>58.104760945943845</v>
      </c>
      <c r="X180" s="284">
        <f>(R180+'Malawi-only'!R180)</f>
        <v>5722905775.9831362</v>
      </c>
      <c r="Y180" s="284">
        <f>(L180+'Malawi-only'!L180)</f>
        <v>487719051985.0592</v>
      </c>
      <c r="Z180" s="284">
        <f>(Q180+'Malawi-only'!Q180)</f>
        <v>27530418417.333229</v>
      </c>
    </row>
    <row r="181" spans="1:26" ht="15.75" customHeight="1">
      <c r="A181" s="31" t="s">
        <v>214</v>
      </c>
      <c r="B181" s="32">
        <v>2197</v>
      </c>
      <c r="C181" s="274">
        <f t="shared" si="13"/>
        <v>3.4440690092924431E-10</v>
      </c>
      <c r="D181" s="271">
        <f t="shared" si="19"/>
        <v>3.4440690092924431E-10</v>
      </c>
      <c r="E181" s="34">
        <f t="shared" si="1"/>
        <v>0</v>
      </c>
      <c r="F181" s="42">
        <v>4000</v>
      </c>
      <c r="G181" s="34">
        <f t="shared" si="2"/>
        <v>1377.6276037169771</v>
      </c>
      <c r="H181" s="34">
        <f t="shared" si="3"/>
        <v>1370.7394656983922</v>
      </c>
      <c r="I181" s="35">
        <f t="shared" si="21"/>
        <v>1</v>
      </c>
      <c r="J181" s="36">
        <f t="shared" si="4"/>
        <v>1370.7394656983922</v>
      </c>
      <c r="K181" s="34">
        <f t="shared" si="16"/>
        <v>186082799242.99136</v>
      </c>
      <c r="L181" s="37">
        <f t="shared" si="22"/>
        <v>358252416856.33282</v>
      </c>
      <c r="M181" s="34">
        <f t="shared" si="5"/>
        <v>22582219797.062683</v>
      </c>
      <c r="N181" s="34">
        <f t="shared" si="6"/>
        <v>0</v>
      </c>
      <c r="O181" s="34">
        <f t="shared" si="7"/>
        <v>22582219797.062683</v>
      </c>
      <c r="P181" s="34">
        <f t="shared" si="25"/>
        <v>2258221979.7062683</v>
      </c>
      <c r="Q181" s="38">
        <f t="shared" si="8"/>
        <v>20222377828.269634</v>
      </c>
      <c r="R181" s="39">
        <f t="shared" si="9"/>
        <v>2022237782.8269634</v>
      </c>
      <c r="S181" s="34">
        <f t="shared" si="10"/>
        <v>18200140045.442673</v>
      </c>
      <c r="T181" s="40">
        <f t="shared" si="24"/>
        <v>9238617650.1963634</v>
      </c>
      <c r="U181" s="272">
        <f t="shared" si="11"/>
        <v>6.8310681663272103E-4</v>
      </c>
      <c r="V181" s="282">
        <f t="shared" si="12"/>
        <v>240.32440229371903</v>
      </c>
      <c r="W181" s="283">
        <f>((S181+'Malawi-only'!S181)/(T181*(U181+'Malawi-only'!U181))/12)</f>
        <v>58.500285756389388</v>
      </c>
      <c r="X181" s="284">
        <f>(R181+'Malawi-only'!R181)</f>
        <v>5756100299.0602188</v>
      </c>
      <c r="Y181" s="284">
        <f>(L181+'Malawi-only'!L181)</f>
        <v>490547964266.55493</v>
      </c>
      <c r="Z181" s="284">
        <f>(Q181+'Malawi-only'!Q181)</f>
        <v>27690102860.736145</v>
      </c>
    </row>
    <row r="182" spans="1:26" ht="15.75" customHeight="1">
      <c r="A182" s="31" t="s">
        <v>215</v>
      </c>
      <c r="B182" s="32">
        <v>2198</v>
      </c>
      <c r="C182" s="274">
        <f t="shared" si="13"/>
        <v>3.0996621083631986E-10</v>
      </c>
      <c r="D182" s="271">
        <f t="shared" si="19"/>
        <v>3.0996621083631986E-10</v>
      </c>
      <c r="E182" s="34">
        <f t="shared" si="1"/>
        <v>0</v>
      </c>
      <c r="F182" s="42">
        <v>4000</v>
      </c>
      <c r="G182" s="34">
        <f t="shared" si="2"/>
        <v>1239.8648433452795</v>
      </c>
      <c r="H182" s="34">
        <f t="shared" si="3"/>
        <v>1233.6655191285531</v>
      </c>
      <c r="I182" s="35">
        <f t="shared" si="21"/>
        <v>1</v>
      </c>
      <c r="J182" s="36">
        <f t="shared" si="4"/>
        <v>1233.6655191285531</v>
      </c>
      <c r="K182" s="34">
        <f t="shared" si="16"/>
        <v>186082800476.65689</v>
      </c>
      <c r="L182" s="37">
        <f t="shared" si="22"/>
        <v>360330384749.66974</v>
      </c>
      <c r="M182" s="34">
        <f t="shared" si="5"/>
        <v>22713203228.691502</v>
      </c>
      <c r="N182" s="34">
        <f t="shared" si="6"/>
        <v>0</v>
      </c>
      <c r="O182" s="34">
        <f t="shared" si="7"/>
        <v>22713203228.691502</v>
      </c>
      <c r="P182" s="34">
        <f t="shared" si="25"/>
        <v>2271320322.8691502</v>
      </c>
      <c r="Q182" s="38">
        <f t="shared" si="8"/>
        <v>20339673491.29324</v>
      </c>
      <c r="R182" s="39">
        <f t="shared" si="9"/>
        <v>2033967349.129324</v>
      </c>
      <c r="S182" s="34">
        <f t="shared" si="10"/>
        <v>18305706142.163918</v>
      </c>
      <c r="T182" s="40">
        <f t="shared" si="24"/>
        <v>9229379032.5461674</v>
      </c>
      <c r="U182" s="272">
        <f t="shared" si="11"/>
        <v>6.8310681663272103E-4</v>
      </c>
      <c r="V182" s="282">
        <f t="shared" si="12"/>
        <v>241.96031391975339</v>
      </c>
      <c r="W182" s="283">
        <f>((S182+'Malawi-only'!S182)/(T182*(U182+'Malawi-only'!U182))/12)</f>
        <v>58.898502915233642</v>
      </c>
      <c r="X182" s="284">
        <f>(R182+'Malawi-only'!R182)</f>
        <v>5789487356.9048929</v>
      </c>
      <c r="Y182" s="284">
        <f>(L182+'Malawi-only'!L182)</f>
        <v>493393284846.61536</v>
      </c>
      <c r="Z182" s="284">
        <f>(Q182+'Malawi-only'!Q182)</f>
        <v>27850713506.844376</v>
      </c>
    </row>
    <row r="183" spans="1:26" ht="15.75" customHeight="1">
      <c r="A183" s="31" t="s">
        <v>216</v>
      </c>
      <c r="B183" s="32">
        <v>2199</v>
      </c>
      <c r="C183" s="274">
        <f t="shared" si="13"/>
        <v>2.7896958975268789E-10</v>
      </c>
      <c r="D183" s="271">
        <f t="shared" si="19"/>
        <v>2.7896958975268789E-10</v>
      </c>
      <c r="E183" s="34">
        <f t="shared" si="1"/>
        <v>0</v>
      </c>
      <c r="F183" s="42">
        <v>4000</v>
      </c>
      <c r="G183" s="34">
        <f t="shared" si="2"/>
        <v>1115.8783590107516</v>
      </c>
      <c r="H183" s="34">
        <f t="shared" si="3"/>
        <v>1110.298967215698</v>
      </c>
      <c r="I183" s="35">
        <f t="shared" si="21"/>
        <v>1</v>
      </c>
      <c r="J183" s="36">
        <f t="shared" si="4"/>
        <v>1110.298967215698</v>
      </c>
      <c r="K183" s="34">
        <f t="shared" si="16"/>
        <v>186082801586.95587</v>
      </c>
      <c r="L183" s="37">
        <f t="shared" si="22"/>
        <v>362420405329.74646</v>
      </c>
      <c r="M183" s="34">
        <f t="shared" si="5"/>
        <v>22844946393.129059</v>
      </c>
      <c r="N183" s="34">
        <f t="shared" si="6"/>
        <v>0</v>
      </c>
      <c r="O183" s="34">
        <f t="shared" si="7"/>
        <v>22844946393.129059</v>
      </c>
      <c r="P183" s="34">
        <f t="shared" si="25"/>
        <v>2284494639.3129058</v>
      </c>
      <c r="Q183" s="38">
        <f t="shared" si="8"/>
        <v>20457649495.047073</v>
      </c>
      <c r="R183" s="39">
        <f t="shared" si="9"/>
        <v>2045764949.5047073</v>
      </c>
      <c r="S183" s="34">
        <f t="shared" si="10"/>
        <v>18411884545.542366</v>
      </c>
      <c r="T183" s="40">
        <f t="shared" si="24"/>
        <v>9220149653.5136223</v>
      </c>
      <c r="U183" s="272">
        <f t="shared" si="11"/>
        <v>6.8310681663272103E-4</v>
      </c>
      <c r="V183" s="282">
        <f t="shared" si="12"/>
        <v>243.60736125832963</v>
      </c>
      <c r="W183" s="283">
        <f>((S183+'Malawi-only'!S183)/(T183*(U183+'Malawi-only'!U183))/12)</f>
        <v>59.299430752122525</v>
      </c>
      <c r="X183" s="284">
        <f>(R183+'Malawi-only'!R183)</f>
        <v>5823068066.5717373</v>
      </c>
      <c r="Y183" s="284">
        <f>(L183+'Malawi-only'!L183)</f>
        <v>496255108918.39825</v>
      </c>
      <c r="Z183" s="284">
        <f>(Q183+'Malawi-only'!Q183)</f>
        <v>28012255729.181133</v>
      </c>
    </row>
    <row r="184" spans="1:26" ht="15.75" customHeight="1">
      <c r="A184" s="47" t="s">
        <v>217</v>
      </c>
      <c r="B184" s="48">
        <v>2200</v>
      </c>
      <c r="C184" s="275">
        <f t="shared" si="13"/>
        <v>2.5107263077741911E-10</v>
      </c>
      <c r="D184" s="271">
        <f t="shared" si="19"/>
        <v>2.5107263077741911E-10</v>
      </c>
      <c r="E184" s="34">
        <f t="shared" si="1"/>
        <v>0</v>
      </c>
      <c r="F184" s="42">
        <v>4000</v>
      </c>
      <c r="G184" s="34">
        <f t="shared" si="2"/>
        <v>1004.2905231096764</v>
      </c>
      <c r="H184" s="50">
        <f t="shared" si="3"/>
        <v>999.26907049412807</v>
      </c>
      <c r="I184" s="51">
        <f t="shared" si="21"/>
        <v>1</v>
      </c>
      <c r="J184" s="36">
        <f t="shared" si="4"/>
        <v>999.26907049412807</v>
      </c>
      <c r="K184" s="50">
        <f t="shared" si="16"/>
        <v>186082802586.22495</v>
      </c>
      <c r="L184" s="37">
        <f t="shared" si="22"/>
        <v>364522548517.8443</v>
      </c>
      <c r="M184" s="34">
        <f t="shared" si="5"/>
        <v>22977453697.905926</v>
      </c>
      <c r="N184" s="34">
        <f t="shared" si="6"/>
        <v>0</v>
      </c>
      <c r="O184" s="50">
        <f t="shared" si="7"/>
        <v>22977453697.905926</v>
      </c>
      <c r="P184" s="34">
        <f t="shared" si="25"/>
        <v>2297745369.7905927</v>
      </c>
      <c r="Q184" s="38">
        <f t="shared" si="8"/>
        <v>20576309786.474758</v>
      </c>
      <c r="R184" s="39">
        <f t="shared" si="9"/>
        <v>2057630978.647476</v>
      </c>
      <c r="S184" s="34">
        <f t="shared" si="10"/>
        <v>18518678807.827282</v>
      </c>
      <c r="T184" s="40">
        <f t="shared" si="24"/>
        <v>9210929503.8601093</v>
      </c>
      <c r="U184" s="285">
        <f t="shared" si="11"/>
        <v>6.8310681663272103E-4</v>
      </c>
      <c r="V184" s="282">
        <f t="shared" si="12"/>
        <v>245.26562012030993</v>
      </c>
      <c r="W184" s="283">
        <f>((S184+'Malawi-only'!S184)/(T184*(U184+'Malawi-only'!U184))/12)</f>
        <v>59.703087721218111</v>
      </c>
      <c r="X184" s="284">
        <f>(R184+'Malawi-only'!R184)</f>
        <v>5856843551.5647907</v>
      </c>
      <c r="Y184" s="284">
        <f>(L184+'Malawi-only'!L184)</f>
        <v>499133532225.17633</v>
      </c>
      <c r="Z184" s="284">
        <f>(Q184+'Malawi-only'!Q184)</f>
        <v>28174734932.309387</v>
      </c>
    </row>
    <row r="185" spans="1:26" ht="15.75" customHeight="1">
      <c r="A185" s="4"/>
      <c r="B185" s="4"/>
      <c r="C185" s="4"/>
      <c r="D185" s="4"/>
      <c r="E185" s="4"/>
      <c r="F185" s="4"/>
      <c r="G185" s="4"/>
      <c r="H185" s="4"/>
      <c r="I185" s="4"/>
      <c r="J185" s="4"/>
      <c r="K185" s="4"/>
      <c r="L185" s="4"/>
      <c r="M185" s="4"/>
      <c r="N185" s="4"/>
      <c r="O185" s="4"/>
      <c r="P185" s="4"/>
      <c r="Q185" s="4"/>
      <c r="R185" s="4"/>
      <c r="S185" s="4"/>
      <c r="T185" s="53"/>
      <c r="U185" s="286"/>
      <c r="V185" s="4"/>
      <c r="W185" s="4"/>
      <c r="X185" s="4"/>
      <c r="Y185" s="4"/>
      <c r="Z185" s="4"/>
    </row>
    <row r="186" spans="1:26" ht="15.75" customHeight="1">
      <c r="A186" s="54" t="s">
        <v>218</v>
      </c>
      <c r="B186" s="55"/>
      <c r="C186" s="276">
        <f>SUM(C9:C184)</f>
        <v>0.25548194716098405</v>
      </c>
      <c r="D186" s="57"/>
      <c r="E186" s="57"/>
      <c r="F186" s="57" t="s">
        <v>219</v>
      </c>
      <c r="G186" s="58">
        <f>SUM(G8:G184)</f>
        <v>337061175961.91138</v>
      </c>
      <c r="H186" s="59"/>
      <c r="I186" s="59"/>
      <c r="J186" s="59"/>
      <c r="K186" s="59"/>
      <c r="L186" s="59"/>
      <c r="M186" s="59"/>
      <c r="P186" s="64" t="s">
        <v>221</v>
      </c>
      <c r="Q186" s="65">
        <f>SUM(Q8:Q184)</f>
        <v>2300524146645.0879</v>
      </c>
      <c r="R186" s="59"/>
      <c r="S186" s="59"/>
      <c r="T186" s="66"/>
      <c r="U186" s="287"/>
      <c r="V186" s="59"/>
      <c r="W186" s="59"/>
      <c r="X186" s="59"/>
      <c r="Y186" s="59"/>
      <c r="Z186" s="59"/>
    </row>
    <row r="187" spans="1:26" ht="15.75" customHeight="1">
      <c r="A187" s="4"/>
      <c r="B187" s="4"/>
      <c r="C187" s="4"/>
      <c r="D187" s="4"/>
      <c r="E187" s="4"/>
      <c r="F187" s="4"/>
      <c r="G187" s="4"/>
      <c r="H187" s="4"/>
      <c r="I187" s="4"/>
      <c r="J187" s="4"/>
      <c r="K187" s="4"/>
      <c r="L187" s="4"/>
      <c r="M187" s="4"/>
      <c r="N187" s="4"/>
      <c r="O187" s="4"/>
      <c r="P187" s="4"/>
      <c r="Q187" s="4"/>
      <c r="R187" s="4"/>
      <c r="S187" s="4"/>
      <c r="T187" s="53"/>
      <c r="U187" s="286"/>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53"/>
      <c r="U188" s="286"/>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53"/>
      <c r="U189" s="286"/>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53"/>
      <c r="U190" s="286"/>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53"/>
      <c r="U191" s="286"/>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53"/>
      <c r="U192" s="286"/>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53"/>
      <c r="U193" s="286"/>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53"/>
      <c r="U194" s="286"/>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53"/>
      <c r="U195" s="286"/>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53"/>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53"/>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53"/>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53"/>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53"/>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53"/>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53"/>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53"/>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53"/>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53"/>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53"/>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53"/>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53"/>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53"/>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53"/>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53"/>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53"/>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53"/>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53"/>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53"/>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53"/>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53"/>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53"/>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53"/>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53"/>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53"/>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53"/>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53"/>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53"/>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53"/>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53"/>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53"/>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53"/>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53"/>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53"/>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53"/>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53"/>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53"/>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53"/>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53"/>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53"/>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53"/>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53"/>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53"/>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53"/>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53"/>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53"/>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53"/>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53"/>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53"/>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53"/>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53"/>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53"/>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53"/>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53"/>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53"/>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53"/>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53"/>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53"/>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53"/>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53"/>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53"/>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53"/>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53"/>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53"/>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53"/>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53"/>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53"/>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53"/>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53"/>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53"/>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53"/>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53"/>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53"/>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53"/>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53"/>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53"/>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53"/>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53"/>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53"/>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53"/>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53"/>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53"/>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53"/>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53"/>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53"/>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53"/>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53"/>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53"/>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53"/>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53"/>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53"/>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53"/>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53"/>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53"/>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53"/>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53"/>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53"/>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53"/>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53"/>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53"/>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53"/>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53"/>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53"/>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53"/>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53"/>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row r="388" spans="1:26" ht="15.75" customHeight="1"/>
    <row r="389" spans="1:26" ht="15.75" customHeight="1"/>
    <row r="390" spans="1:26" ht="15.75" customHeight="1"/>
    <row r="391" spans="1:26" ht="15.75" customHeight="1"/>
    <row r="392" spans="1:26" ht="15.75" customHeight="1"/>
    <row r="393" spans="1:26" ht="15.75" customHeight="1"/>
    <row r="394" spans="1:26" ht="15.75" customHeight="1"/>
    <row r="395" spans="1:26" ht="15.75" customHeight="1"/>
    <row r="396" spans="1:26" ht="15.75" customHeight="1"/>
    <row r="397" spans="1:26" ht="15.75" customHeight="1"/>
    <row r="398" spans="1:26" ht="15.75" customHeight="1"/>
    <row r="399" spans="1:26" ht="15.75" customHeight="1"/>
    <row r="400" spans="1:26"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V1:W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B1000"/>
  <sheetViews>
    <sheetView workbookViewId="0">
      <pane xSplit="2" topLeftCell="C1" activePane="topRight" state="frozen"/>
      <selection pane="topRight" activeCell="D2" sqref="D2"/>
    </sheetView>
  </sheetViews>
  <sheetFormatPr baseColWidth="10" defaultColWidth="12.5703125" defaultRowHeight="15" customHeight="1"/>
  <cols>
    <col min="1" max="1" width="8.5703125" customWidth="1"/>
    <col min="2" max="2" width="9.42578125" customWidth="1"/>
    <col min="5" max="5" width="20" customWidth="1"/>
    <col min="10" max="10" width="17.28515625" customWidth="1"/>
    <col min="11" max="11" width="15.7109375" customWidth="1"/>
    <col min="12" max="12" width="16.5703125" customWidth="1"/>
    <col min="13" max="13" width="17.42578125" customWidth="1"/>
    <col min="14" max="14" width="16.85546875" customWidth="1"/>
    <col min="15" max="15" width="15.5703125" customWidth="1"/>
    <col min="16" max="17" width="17.140625" customWidth="1"/>
    <col min="18" max="18" width="18.42578125" customWidth="1"/>
    <col min="19" max="19" width="16" customWidth="1"/>
    <col min="22" max="22" width="16.42578125" customWidth="1"/>
    <col min="23" max="23" width="22.85546875" customWidth="1"/>
    <col min="24" max="27" width="18" customWidth="1"/>
    <col min="28" max="28" width="22.85546875" customWidth="1"/>
  </cols>
  <sheetData>
    <row r="1" spans="1:28" ht="25.5" customHeight="1">
      <c r="A1" s="1" t="s">
        <v>442</v>
      </c>
      <c r="B1" s="2"/>
      <c r="C1" s="2"/>
      <c r="D1" s="2"/>
      <c r="E1" s="2"/>
      <c r="F1" s="2"/>
      <c r="G1" s="2"/>
      <c r="H1" s="2"/>
      <c r="I1" s="2"/>
      <c r="J1" s="2"/>
      <c r="K1" s="2"/>
      <c r="L1" s="2"/>
      <c r="M1" s="2"/>
      <c r="N1" s="2"/>
      <c r="O1" s="2"/>
      <c r="P1" s="2"/>
      <c r="Q1" s="2"/>
      <c r="R1" s="2"/>
      <c r="S1" s="2"/>
      <c r="T1" s="2"/>
      <c r="U1" s="2"/>
      <c r="V1" s="352"/>
      <c r="W1" s="353"/>
      <c r="X1" s="353"/>
      <c r="Y1" s="353"/>
      <c r="Z1" s="353"/>
      <c r="AA1" s="353"/>
    </row>
    <row r="2" spans="1:28" ht="28.5" customHeight="1">
      <c r="A2" s="5" t="s">
        <v>443</v>
      </c>
      <c r="B2" s="5" t="s">
        <v>444</v>
      </c>
      <c r="C2" s="5" t="s">
        <v>2</v>
      </c>
      <c r="D2" s="19" t="s">
        <v>445</v>
      </c>
      <c r="E2" s="5" t="s">
        <v>446</v>
      </c>
      <c r="F2" s="5" t="s">
        <v>3</v>
      </c>
      <c r="G2" s="5"/>
      <c r="H2" s="5" t="s">
        <v>4</v>
      </c>
      <c r="I2" s="5" t="s">
        <v>5</v>
      </c>
      <c r="J2" s="265"/>
      <c r="K2" s="19" t="s">
        <v>447</v>
      </c>
      <c r="L2" s="5" t="s">
        <v>6</v>
      </c>
      <c r="M2" s="5" t="s">
        <v>7</v>
      </c>
      <c r="N2" s="5" t="s">
        <v>448</v>
      </c>
      <c r="O2" s="6"/>
      <c r="P2" s="5" t="s">
        <v>8</v>
      </c>
      <c r="Q2" s="5" t="s">
        <v>9</v>
      </c>
      <c r="R2" s="5"/>
      <c r="S2" s="6"/>
      <c r="T2" s="5" t="s">
        <v>11</v>
      </c>
      <c r="U2" s="5" t="s">
        <v>12</v>
      </c>
      <c r="V2" s="6"/>
      <c r="W2" s="6"/>
      <c r="X2" s="6"/>
      <c r="Y2" s="6"/>
      <c r="Z2" s="6"/>
      <c r="AA2" s="6"/>
      <c r="AB2" s="6"/>
    </row>
    <row r="3" spans="1:28" ht="15.75" customHeight="1">
      <c r="A3" s="266">
        <v>22216120</v>
      </c>
      <c r="B3" s="267">
        <v>8231613070</v>
      </c>
      <c r="C3" s="8">
        <v>37.4</v>
      </c>
      <c r="D3" s="10"/>
      <c r="E3" s="10" t="s">
        <v>449</v>
      </c>
      <c r="F3" s="268">
        <f>15</f>
        <v>15</v>
      </c>
      <c r="G3" s="10"/>
      <c r="H3" s="11">
        <v>5.0000000000000001E-3</v>
      </c>
      <c r="I3" s="16">
        <v>0.1</v>
      </c>
      <c r="J3" s="10"/>
      <c r="K3" s="266">
        <v>0</v>
      </c>
      <c r="L3" s="14">
        <v>5.0000000000000001E-4</v>
      </c>
      <c r="M3" s="15">
        <v>6.3399999999999998E-2</v>
      </c>
      <c r="N3" s="16">
        <f>1-I3</f>
        <v>0.9</v>
      </c>
      <c r="O3" s="13"/>
      <c r="P3" s="17" t="s">
        <v>13</v>
      </c>
      <c r="Q3" s="11">
        <v>5.0000000000000001E-3</v>
      </c>
      <c r="R3" s="10"/>
      <c r="S3" s="13"/>
      <c r="T3" s="13"/>
      <c r="U3" s="16">
        <f>A5</f>
        <v>2.6988780705650929E-3</v>
      </c>
      <c r="V3" s="13"/>
      <c r="W3" s="13"/>
      <c r="X3" s="13"/>
      <c r="Y3" s="13"/>
      <c r="Z3" s="13"/>
      <c r="AA3" s="13"/>
      <c r="AB3" s="13"/>
    </row>
    <row r="4" spans="1:28" ht="39" customHeight="1">
      <c r="A4" s="5" t="s">
        <v>450</v>
      </c>
      <c r="B4" s="5" t="s">
        <v>451</v>
      </c>
      <c r="C4" s="5" t="s">
        <v>14</v>
      </c>
      <c r="D4" s="5" t="s">
        <v>452</v>
      </c>
      <c r="E4" s="5" t="s">
        <v>453</v>
      </c>
      <c r="F4" s="5" t="s">
        <v>15</v>
      </c>
      <c r="G4" s="18"/>
      <c r="H4" s="5"/>
      <c r="I4" s="19" t="s">
        <v>16</v>
      </c>
      <c r="J4" s="19" t="s">
        <v>17</v>
      </c>
      <c r="K4" s="19" t="s">
        <v>454</v>
      </c>
      <c r="L4" s="19" t="s">
        <v>455</v>
      </c>
      <c r="M4" s="5"/>
      <c r="N4" s="5" t="s">
        <v>456</v>
      </c>
      <c r="O4" s="5"/>
      <c r="P4" s="5" t="s">
        <v>19</v>
      </c>
      <c r="Q4" s="5"/>
      <c r="R4" s="19" t="s">
        <v>457</v>
      </c>
      <c r="S4" s="5"/>
      <c r="T4" s="5"/>
      <c r="U4" s="5" t="s">
        <v>21</v>
      </c>
      <c r="V4" s="6"/>
      <c r="W4" s="6"/>
      <c r="X4" s="6"/>
      <c r="Y4" s="6"/>
      <c r="Z4" s="6"/>
      <c r="AA4" s="6"/>
      <c r="AB4" s="6"/>
    </row>
    <row r="5" spans="1:28" ht="15.75" customHeight="1">
      <c r="A5" s="269">
        <f>A3/B3</f>
        <v>2.6988780705650929E-3</v>
      </c>
      <c r="B5" s="270">
        <f>C3*A5</f>
        <v>0.10093803983913446</v>
      </c>
      <c r="C5" s="14">
        <v>0.1</v>
      </c>
      <c r="D5" s="8">
        <v>2.9499999999999999E-3</v>
      </c>
      <c r="E5" s="10" t="s">
        <v>449</v>
      </c>
      <c r="F5" s="14">
        <f>C5*1.64</f>
        <v>0.16400000000000001</v>
      </c>
      <c r="G5" s="10"/>
      <c r="H5" s="13"/>
      <c r="I5" s="20">
        <v>0.01</v>
      </c>
      <c r="J5" s="20">
        <v>0.05</v>
      </c>
      <c r="K5" s="10">
        <f>K3*5</f>
        <v>0</v>
      </c>
      <c r="L5" s="9">
        <f>2500000000*0.05</f>
        <v>125000000</v>
      </c>
      <c r="M5" s="13"/>
      <c r="N5" s="11">
        <f>I5</f>
        <v>0.01</v>
      </c>
      <c r="O5" s="13"/>
      <c r="P5" s="16">
        <v>0.1</v>
      </c>
      <c r="Q5" s="13"/>
      <c r="R5" s="12">
        <v>0.5</v>
      </c>
      <c r="S5" s="13"/>
      <c r="T5" s="13"/>
      <c r="U5" s="22" t="s">
        <v>458</v>
      </c>
      <c r="V5" s="13"/>
      <c r="W5" s="13"/>
      <c r="X5" s="13"/>
      <c r="Y5" s="13"/>
      <c r="Z5" s="13"/>
      <c r="AA5" s="13"/>
      <c r="AB5" s="13"/>
    </row>
    <row r="6" spans="1:28" ht="3" customHeight="1">
      <c r="A6" s="23"/>
      <c r="B6" s="23"/>
      <c r="C6" s="23"/>
      <c r="D6" s="23"/>
      <c r="E6" s="23"/>
      <c r="F6" s="23"/>
      <c r="G6" s="23"/>
      <c r="H6" s="23"/>
      <c r="I6" s="23"/>
      <c r="J6" s="23"/>
      <c r="K6" s="23"/>
      <c r="L6" s="23"/>
      <c r="M6" s="23"/>
      <c r="N6" s="23"/>
      <c r="O6" s="23"/>
      <c r="P6" s="23"/>
      <c r="Q6" s="23"/>
      <c r="R6" s="23"/>
      <c r="S6" s="23"/>
      <c r="T6" s="23"/>
      <c r="U6" s="23"/>
      <c r="V6" s="23"/>
      <c r="W6" s="4"/>
      <c r="X6" s="4"/>
      <c r="Y6" s="4"/>
      <c r="Z6" s="4"/>
      <c r="AA6" s="4"/>
      <c r="AB6" s="4"/>
    </row>
    <row r="7" spans="1:28" ht="69" customHeight="1">
      <c r="A7" s="24" t="s">
        <v>23</v>
      </c>
      <c r="B7" s="25" t="s">
        <v>24</v>
      </c>
      <c r="C7" s="25" t="s">
        <v>459</v>
      </c>
      <c r="D7" s="25" t="s">
        <v>460</v>
      </c>
      <c r="E7" s="26" t="s">
        <v>461</v>
      </c>
      <c r="F7" s="25" t="s">
        <v>26</v>
      </c>
      <c r="G7" s="25" t="s">
        <v>27</v>
      </c>
      <c r="H7" s="25" t="s">
        <v>28</v>
      </c>
      <c r="I7" s="25" t="s">
        <v>29</v>
      </c>
      <c r="J7" s="25" t="s">
        <v>30</v>
      </c>
      <c r="K7" s="25" t="s">
        <v>31</v>
      </c>
      <c r="L7" s="25" t="s">
        <v>32</v>
      </c>
      <c r="M7" s="25" t="s">
        <v>33</v>
      </c>
      <c r="N7" s="25" t="s">
        <v>34</v>
      </c>
      <c r="O7" s="26" t="s">
        <v>462</v>
      </c>
      <c r="P7" s="25" t="s">
        <v>36</v>
      </c>
      <c r="Q7" s="26" t="s">
        <v>463</v>
      </c>
      <c r="R7" s="25" t="s">
        <v>464</v>
      </c>
      <c r="S7" s="25" t="s">
        <v>39</v>
      </c>
      <c r="T7" s="25" t="s">
        <v>40</v>
      </c>
      <c r="U7" s="25" t="s">
        <v>465</v>
      </c>
      <c r="V7" s="288" t="s">
        <v>479</v>
      </c>
      <c r="W7" s="280" t="s">
        <v>480</v>
      </c>
      <c r="X7" s="281" t="s">
        <v>481</v>
      </c>
      <c r="Y7" s="281" t="s">
        <v>482</v>
      </c>
      <c r="Z7" s="281" t="s">
        <v>483</v>
      </c>
      <c r="AA7" s="280" t="s">
        <v>484</v>
      </c>
      <c r="AB7" s="289" t="s">
        <v>485</v>
      </c>
    </row>
    <row r="8" spans="1:28" ht="15.75" customHeight="1">
      <c r="A8" s="29"/>
      <c r="B8" s="30"/>
      <c r="C8" s="30"/>
      <c r="D8" s="30"/>
      <c r="E8" s="30"/>
      <c r="F8" s="30"/>
      <c r="G8" s="30"/>
      <c r="H8" s="30"/>
      <c r="I8" s="30"/>
      <c r="J8" s="30"/>
      <c r="K8" s="30"/>
      <c r="L8" s="30"/>
      <c r="M8" s="30"/>
      <c r="N8" s="30"/>
      <c r="O8" s="30"/>
      <c r="P8" s="30"/>
      <c r="Q8" s="30"/>
      <c r="R8" s="30"/>
      <c r="S8" s="30"/>
      <c r="T8" s="30"/>
      <c r="U8" s="30"/>
      <c r="V8" s="30"/>
      <c r="W8" s="4"/>
      <c r="X8" s="4"/>
      <c r="Y8" s="4"/>
      <c r="Z8" s="4"/>
      <c r="AA8" s="4"/>
      <c r="AB8" s="4"/>
    </row>
    <row r="9" spans="1:28" ht="15.75" customHeight="1">
      <c r="A9" s="31" t="s">
        <v>42</v>
      </c>
      <c r="B9" s="32">
        <v>2025</v>
      </c>
      <c r="C9" s="271">
        <f>B5</f>
        <v>0.10093803983913446</v>
      </c>
      <c r="D9" s="271">
        <f>$D$5</f>
        <v>2.9499999999999999E-3</v>
      </c>
      <c r="E9" s="34">
        <f>ABS(Norway!E9)</f>
        <v>2830033213.9046955</v>
      </c>
      <c r="F9" s="34">
        <f>$F$3</f>
        <v>15</v>
      </c>
      <c r="G9" s="34">
        <f t="shared" ref="G9:G184" si="0">D9*F9*1000000000</f>
        <v>44250000</v>
      </c>
      <c r="H9" s="34">
        <f t="shared" ref="H9:H184" si="1">G9*(1-$H$3)</f>
        <v>44028750</v>
      </c>
      <c r="I9" s="35">
        <f>I3</f>
        <v>0.1</v>
      </c>
      <c r="J9" s="36">
        <f t="shared" ref="J9:J184" si="2">(H9*I9)+E9</f>
        <v>2834436088.9046955</v>
      </c>
      <c r="K9" s="34">
        <f>$K$5+J9+P9</f>
        <v>2834436088.9046955</v>
      </c>
      <c r="L9" s="37">
        <f>($K$5+J9+P9)*(1-$L$3)</f>
        <v>2833018870.8602433</v>
      </c>
      <c r="M9" s="34">
        <f t="shared" ref="M9:M184" si="3">L8*$M$3</f>
        <v>0</v>
      </c>
      <c r="N9" s="34">
        <f t="shared" ref="N9:N184" si="4">H9*(1-I9)</f>
        <v>39625875</v>
      </c>
      <c r="O9" s="34">
        <f t="shared" ref="O9:O184" si="5">M9+N9</f>
        <v>39625875</v>
      </c>
      <c r="P9" s="34"/>
      <c r="Q9" s="38">
        <f t="shared" ref="Q9:Q184" si="6">(O9-P9)*(1-$Q$3)</f>
        <v>39427745.625</v>
      </c>
      <c r="R9" s="39">
        <f t="shared" ref="R9:R184" si="7">Q9*$R$5</f>
        <v>19713872.8125</v>
      </c>
      <c r="S9" s="34">
        <f t="shared" ref="S9:S184" si="8">Q9-R9</f>
        <v>19713872.8125</v>
      </c>
      <c r="T9" s="40">
        <v>8231613070</v>
      </c>
      <c r="U9" s="272">
        <f t="shared" ref="U9:U184" si="9">$U$3</f>
        <v>2.6988780705650929E-3</v>
      </c>
      <c r="V9" s="282">
        <f t="shared" ref="V9:V184" si="10">(S9/(T9*U9))/12</f>
        <v>7.3947328983413843E-2</v>
      </c>
      <c r="W9" s="290">
        <f>(L9+Norway!L9)</f>
        <v>3724252231.2602434</v>
      </c>
      <c r="X9" s="291">
        <f t="shared" ref="X9:X184" si="11">W9/2</f>
        <v>1862126115.6301217</v>
      </c>
      <c r="Y9" s="292">
        <f>(R9+Norway!R9)</f>
        <v>818212596.4124999</v>
      </c>
      <c r="Z9" s="293">
        <f t="shared" ref="Z9:Z184" si="12">Y9/2</f>
        <v>409106298.20624995</v>
      </c>
      <c r="AA9" s="294">
        <f>((S9+Norway!S9)/(T9*(U9+Norway!U9))/12)</f>
        <v>21.570916533974525</v>
      </c>
      <c r="AB9" s="295">
        <f>(Q9+Norway!Q9)</f>
        <v>8024414981.6249981</v>
      </c>
    </row>
    <row r="10" spans="1:28" ht="15.75" customHeight="1">
      <c r="A10" s="31" t="s">
        <v>43</v>
      </c>
      <c r="B10" s="32">
        <v>2026</v>
      </c>
      <c r="C10" s="271">
        <f t="shared" ref="C10:C184" si="13">C9*(1-$C$5)</f>
        <v>9.0844235855221014E-2</v>
      </c>
      <c r="D10" s="271">
        <f t="shared" ref="D10:D23" si="14">D9+0.0011233</f>
        <v>4.0733000000000002E-3</v>
      </c>
      <c r="E10" s="34">
        <f>ABS(Norway!E10)</f>
        <v>2599647210.8865581</v>
      </c>
      <c r="F10" s="34">
        <f t="shared" ref="F10:F32" si="15">F9*(1+$F$5)</f>
        <v>17.459999999999997</v>
      </c>
      <c r="G10" s="34">
        <f t="shared" si="0"/>
        <v>71119817.999999985</v>
      </c>
      <c r="H10" s="34">
        <f t="shared" si="1"/>
        <v>70764218.909999982</v>
      </c>
      <c r="I10" s="35">
        <f>$I$3+$I$5</f>
        <v>0.11</v>
      </c>
      <c r="J10" s="36">
        <f t="shared" si="2"/>
        <v>2607431274.9666581</v>
      </c>
      <c r="K10" s="34">
        <f t="shared" ref="K10:K184" si="16">K9+J10+P9</f>
        <v>5441867363.8713531</v>
      </c>
      <c r="L10" s="37">
        <f t="shared" ref="L10:L184" si="17">(L9+J10+P9)*(1-$L$3)</f>
        <v>5437729920.7539883</v>
      </c>
      <c r="M10" s="34">
        <f t="shared" si="3"/>
        <v>179613396.41253942</v>
      </c>
      <c r="N10" s="34">
        <f t="shared" si="4"/>
        <v>62980154.829899982</v>
      </c>
      <c r="O10" s="34">
        <f t="shared" si="5"/>
        <v>242593551.24243939</v>
      </c>
      <c r="P10" s="34"/>
      <c r="Q10" s="38">
        <f t="shared" si="6"/>
        <v>241380583.48622718</v>
      </c>
      <c r="R10" s="39">
        <f t="shared" si="7"/>
        <v>120690291.74311359</v>
      </c>
      <c r="S10" s="34">
        <f t="shared" si="8"/>
        <v>120690291.74311359</v>
      </c>
      <c r="T10" s="40">
        <v>8300678395</v>
      </c>
      <c r="U10" s="272">
        <f t="shared" si="9"/>
        <v>2.6988780705650929E-3</v>
      </c>
      <c r="V10" s="282">
        <f t="shared" si="10"/>
        <v>0.44894613685299478</v>
      </c>
      <c r="W10" s="290">
        <f>(L10+Norway!L10)</f>
        <v>7315599607.851367</v>
      </c>
      <c r="X10" s="291">
        <f t="shared" si="11"/>
        <v>3657799803.9256835</v>
      </c>
      <c r="Y10" s="292">
        <f>(R10+Norway!R10)</f>
        <v>921355812.60726655</v>
      </c>
      <c r="Z10" s="293">
        <f t="shared" si="12"/>
        <v>460677906.30363327</v>
      </c>
      <c r="AA10" s="294">
        <f>((S10+Norway!S10)/(T10*(U10+Norway!U10))/12)</f>
        <v>21.749071758932377</v>
      </c>
      <c r="AB10" s="295">
        <f>(Q10+Norway!Q10)</f>
        <v>8248035792.1277561</v>
      </c>
    </row>
    <row r="11" spans="1:28" ht="15.75" customHeight="1">
      <c r="A11" s="31" t="s">
        <v>44</v>
      </c>
      <c r="B11" s="32">
        <v>2027</v>
      </c>
      <c r="C11" s="271">
        <f t="shared" si="13"/>
        <v>8.1759812269698917E-2</v>
      </c>
      <c r="D11" s="271">
        <f t="shared" si="14"/>
        <v>5.1966E-3</v>
      </c>
      <c r="E11" s="34">
        <f>ABS(Norway!E11)</f>
        <v>2355790278.4185181</v>
      </c>
      <c r="F11" s="34">
        <f t="shared" si="15"/>
        <v>20.323439999999994</v>
      </c>
      <c r="G11" s="34">
        <f t="shared" si="0"/>
        <v>105612788.30399998</v>
      </c>
      <c r="H11" s="34">
        <f t="shared" si="1"/>
        <v>105084724.36247997</v>
      </c>
      <c r="I11" s="35">
        <f t="shared" ref="I11:I18" si="18">I10+$I$5</f>
        <v>0.12</v>
      </c>
      <c r="J11" s="36">
        <f t="shared" si="2"/>
        <v>2368400445.3420157</v>
      </c>
      <c r="K11" s="34">
        <f t="shared" si="16"/>
        <v>7810267809.2133694</v>
      </c>
      <c r="L11" s="37">
        <f t="shared" si="17"/>
        <v>7802227300.9129572</v>
      </c>
      <c r="M11" s="34">
        <f t="shared" si="3"/>
        <v>344752076.97580284</v>
      </c>
      <c r="N11" s="34">
        <f t="shared" si="4"/>
        <v>92474557.438982368</v>
      </c>
      <c r="O11" s="34">
        <f t="shared" si="5"/>
        <v>437226634.41478521</v>
      </c>
      <c r="P11" s="34"/>
      <c r="Q11" s="38">
        <f t="shared" si="6"/>
        <v>435040501.24271131</v>
      </c>
      <c r="R11" s="39">
        <f t="shared" si="7"/>
        <v>217520250.62135565</v>
      </c>
      <c r="S11" s="34">
        <f t="shared" si="8"/>
        <v>217520250.62135565</v>
      </c>
      <c r="T11" s="40">
        <v>8369094344</v>
      </c>
      <c r="U11" s="272">
        <f t="shared" si="9"/>
        <v>2.6988780705650929E-3</v>
      </c>
      <c r="V11" s="282">
        <f t="shared" si="10"/>
        <v>0.8025215822736973</v>
      </c>
      <c r="W11" s="290">
        <f>(L11+Norway!L11)</f>
        <v>10763361680.994949</v>
      </c>
      <c r="X11" s="291">
        <f t="shared" si="11"/>
        <v>5381680840.4974747</v>
      </c>
      <c r="Y11" s="292">
        <f>(R11+Norway!R11)</f>
        <v>1020869414.5730562</v>
      </c>
      <c r="Z11" s="293">
        <f t="shared" si="12"/>
        <v>510434707.28652811</v>
      </c>
      <c r="AA11" s="294">
        <f>((S11+Norway!S11)/(T11*(U11+Norway!U11))/12)</f>
        <v>21.927475213271464</v>
      </c>
      <c r="AB11" s="295">
        <f>(Q11+Norway!Q11)</f>
        <v>8468532140.759716</v>
      </c>
    </row>
    <row r="12" spans="1:28" ht="15.75" customHeight="1">
      <c r="A12" s="31" t="s">
        <v>45</v>
      </c>
      <c r="B12" s="32">
        <v>2028</v>
      </c>
      <c r="C12" s="271">
        <f t="shared" si="13"/>
        <v>7.3583831042729031E-2</v>
      </c>
      <c r="D12" s="271">
        <f t="shared" si="14"/>
        <v>6.3198999999999998E-3</v>
      </c>
      <c r="E12" s="34">
        <f>ABS(Norway!E12)</f>
        <v>2097804019.0066137</v>
      </c>
      <c r="F12" s="34">
        <f t="shared" si="15"/>
        <v>23.656484159999991</v>
      </c>
      <c r="G12" s="34">
        <f t="shared" si="0"/>
        <v>149506614.24278393</v>
      </c>
      <c r="H12" s="34">
        <f t="shared" si="1"/>
        <v>148759081.17157</v>
      </c>
      <c r="I12" s="35">
        <f t="shared" si="18"/>
        <v>0.13</v>
      </c>
      <c r="J12" s="36">
        <f t="shared" si="2"/>
        <v>2117142699.5589178</v>
      </c>
      <c r="K12" s="34">
        <f t="shared" si="16"/>
        <v>9927410508.7722874</v>
      </c>
      <c r="L12" s="37">
        <f t="shared" si="17"/>
        <v>9914410315.4716396</v>
      </c>
      <c r="M12" s="34">
        <f t="shared" si="3"/>
        <v>494661210.87788147</v>
      </c>
      <c r="N12" s="34">
        <f t="shared" si="4"/>
        <v>129420400.6192659</v>
      </c>
      <c r="O12" s="34">
        <f t="shared" si="5"/>
        <v>624081611.49714732</v>
      </c>
      <c r="P12" s="34"/>
      <c r="Q12" s="38">
        <f t="shared" si="6"/>
        <v>620961203.43966162</v>
      </c>
      <c r="R12" s="39">
        <f t="shared" si="7"/>
        <v>310480601.71983081</v>
      </c>
      <c r="S12" s="34">
        <f t="shared" si="8"/>
        <v>310480601.71983081</v>
      </c>
      <c r="T12" s="40">
        <v>8436618886</v>
      </c>
      <c r="U12" s="272">
        <f t="shared" si="9"/>
        <v>2.6988780705650929E-3</v>
      </c>
      <c r="V12" s="282">
        <f t="shared" si="10"/>
        <v>1.1363223009090817</v>
      </c>
      <c r="W12" s="290">
        <f>(L12+Norway!L12)</f>
        <v>14056675498.471575</v>
      </c>
      <c r="X12" s="291">
        <f t="shared" si="11"/>
        <v>7028337749.2357874</v>
      </c>
      <c r="Y12" s="292">
        <f>(R12+Norway!R12)</f>
        <v>1117036981.391361</v>
      </c>
      <c r="Z12" s="293">
        <f t="shared" si="12"/>
        <v>558518490.6956805</v>
      </c>
      <c r="AA12" s="294">
        <f>((S12+Norway!S12)/(T12*(U12+Norway!U12))/12)</f>
        <v>22.107781644210032</v>
      </c>
      <c r="AB12" s="295">
        <f>(Q12+Norway!Q12)</f>
        <v>8686525000.1549644</v>
      </c>
    </row>
    <row r="13" spans="1:28" ht="15.75" customHeight="1">
      <c r="A13" s="31" t="s">
        <v>46</v>
      </c>
      <c r="B13" s="32">
        <v>2029</v>
      </c>
      <c r="C13" s="271">
        <f t="shared" si="13"/>
        <v>6.6225447938456125E-2</v>
      </c>
      <c r="D13" s="271">
        <f t="shared" si="14"/>
        <v>7.4431999999999996E-3</v>
      </c>
      <c r="E13" s="34">
        <f>ABS(Norway!E13)</f>
        <v>1824998577.5727839</v>
      </c>
      <c r="F13" s="34">
        <f t="shared" si="15"/>
        <v>27.536147562239986</v>
      </c>
      <c r="G13" s="34">
        <f t="shared" si="0"/>
        <v>204957053.53526467</v>
      </c>
      <c r="H13" s="34">
        <f t="shared" si="1"/>
        <v>203932268.26758835</v>
      </c>
      <c r="I13" s="35">
        <f t="shared" si="18"/>
        <v>0.14000000000000001</v>
      </c>
      <c r="J13" s="36">
        <f t="shared" si="2"/>
        <v>1853549095.1302464</v>
      </c>
      <c r="K13" s="34">
        <f t="shared" si="16"/>
        <v>11780959603.902534</v>
      </c>
      <c r="L13" s="37">
        <f t="shared" si="17"/>
        <v>11762075430.896587</v>
      </c>
      <c r="M13" s="34">
        <f t="shared" si="3"/>
        <v>628573614.00090194</v>
      </c>
      <c r="N13" s="34">
        <f t="shared" si="4"/>
        <v>175381750.71012598</v>
      </c>
      <c r="O13" s="34">
        <f t="shared" si="5"/>
        <v>803955364.71102786</v>
      </c>
      <c r="P13" s="34"/>
      <c r="Q13" s="38">
        <f t="shared" si="6"/>
        <v>799935587.88747275</v>
      </c>
      <c r="R13" s="39">
        <f t="shared" si="7"/>
        <v>399967793.94373637</v>
      </c>
      <c r="S13" s="34">
        <f t="shared" si="8"/>
        <v>399967793.94373637</v>
      </c>
      <c r="T13" s="40">
        <v>8503285323</v>
      </c>
      <c r="U13" s="272">
        <f t="shared" si="9"/>
        <v>2.6988780705650929E-3</v>
      </c>
      <c r="V13" s="282">
        <f t="shared" si="10"/>
        <v>1.4523582640509749</v>
      </c>
      <c r="W13" s="290">
        <f>(L13+Norway!L13)</f>
        <v>17184587725.727867</v>
      </c>
      <c r="X13" s="291">
        <f t="shared" si="11"/>
        <v>8592293862.8639336</v>
      </c>
      <c r="Y13" s="292">
        <f>(R13+Norway!R13)</f>
        <v>1210261756.8766987</v>
      </c>
      <c r="Z13" s="293">
        <f t="shared" si="12"/>
        <v>605130878.43834937</v>
      </c>
      <c r="AA13" s="294">
        <f>((S13+Norway!S13)/(T13*(U13+Norway!U13))/12)</f>
        <v>22.29124114399475</v>
      </c>
      <c r="AB13" s="295">
        <f>(Q13+Norway!Q13)</f>
        <v>8902875217.2170963</v>
      </c>
    </row>
    <row r="14" spans="1:28" ht="15.75" customHeight="1">
      <c r="A14" s="31" t="s">
        <v>47</v>
      </c>
      <c r="B14" s="32">
        <v>2030</v>
      </c>
      <c r="C14" s="271">
        <f t="shared" si="13"/>
        <v>5.9602903144610517E-2</v>
      </c>
      <c r="D14" s="271">
        <f t="shared" si="14"/>
        <v>8.5664999999999995E-3</v>
      </c>
      <c r="E14" s="34">
        <f>ABS(Norway!E14)</f>
        <v>1536651143.2653193</v>
      </c>
      <c r="F14" s="34">
        <f t="shared" si="15"/>
        <v>32.052075762447345</v>
      </c>
      <c r="G14" s="34">
        <f t="shared" si="0"/>
        <v>274574107.01900512</v>
      </c>
      <c r="H14" s="34">
        <f t="shared" si="1"/>
        <v>273201236.48391008</v>
      </c>
      <c r="I14" s="35">
        <f t="shared" si="18"/>
        <v>0.15000000000000002</v>
      </c>
      <c r="J14" s="36">
        <f t="shared" si="2"/>
        <v>1577631328.737906</v>
      </c>
      <c r="K14" s="34">
        <f t="shared" si="16"/>
        <v>13358590932.64044</v>
      </c>
      <c r="L14" s="37">
        <f t="shared" si="17"/>
        <v>13333036906.254677</v>
      </c>
      <c r="M14" s="34">
        <f t="shared" si="3"/>
        <v>745715582.3188436</v>
      </c>
      <c r="N14" s="34">
        <f t="shared" si="4"/>
        <v>232221051.01132357</v>
      </c>
      <c r="O14" s="34">
        <f t="shared" si="5"/>
        <v>977936633.33016717</v>
      </c>
      <c r="P14" s="34"/>
      <c r="Q14" s="38">
        <f t="shared" si="6"/>
        <v>973046950.16351628</v>
      </c>
      <c r="R14" s="39">
        <f t="shared" si="7"/>
        <v>486523475.08175814</v>
      </c>
      <c r="S14" s="34">
        <f t="shared" si="8"/>
        <v>486523475.08175814</v>
      </c>
      <c r="T14" s="40">
        <v>8569124911</v>
      </c>
      <c r="U14" s="272">
        <f t="shared" si="9"/>
        <v>2.6988780705650929E-3</v>
      </c>
      <c r="V14" s="282">
        <f t="shared" si="10"/>
        <v>1.7530843631119815</v>
      </c>
      <c r="W14" s="290">
        <f>(L14+Norway!L14)</f>
        <v>20136175388.773808</v>
      </c>
      <c r="X14" s="291">
        <f t="shared" si="11"/>
        <v>10068087694.386904</v>
      </c>
      <c r="Y14" s="292">
        <f>(R14+Norway!R14)</f>
        <v>1301092252.4452214</v>
      </c>
      <c r="Z14" s="293">
        <f t="shared" si="12"/>
        <v>650546126.22261071</v>
      </c>
      <c r="AA14" s="294">
        <f>((S14+Norway!S14)/(T14*(U14+Norway!U14))/12)</f>
        <v>22.479488372118784</v>
      </c>
      <c r="AB14" s="295">
        <f>(Q14+Norway!Q14)</f>
        <v>9118734723.7981472</v>
      </c>
    </row>
    <row r="15" spans="1:28" ht="15.75" customHeight="1">
      <c r="A15" s="31" t="s">
        <v>48</v>
      </c>
      <c r="B15" s="32">
        <v>2031</v>
      </c>
      <c r="C15" s="271">
        <f t="shared" si="13"/>
        <v>5.3642612830149469E-2</v>
      </c>
      <c r="D15" s="271">
        <f t="shared" si="14"/>
        <v>9.6898000000000001E-3</v>
      </c>
      <c r="E15" s="34">
        <f>ABS(Norway!E15)</f>
        <v>1232004379.9499433</v>
      </c>
      <c r="F15" s="34">
        <f t="shared" si="15"/>
        <v>37.30861618748871</v>
      </c>
      <c r="G15" s="34">
        <f t="shared" si="0"/>
        <v>361513029.13352811</v>
      </c>
      <c r="H15" s="34">
        <f t="shared" si="1"/>
        <v>359705463.9878605</v>
      </c>
      <c r="I15" s="35">
        <f t="shared" si="18"/>
        <v>0.16000000000000003</v>
      </c>
      <c r="J15" s="36">
        <f t="shared" si="2"/>
        <v>1289557254.1880009</v>
      </c>
      <c r="K15" s="34">
        <f t="shared" si="16"/>
        <v>14648148186.828442</v>
      </c>
      <c r="L15" s="37">
        <f t="shared" si="17"/>
        <v>14615282863.362457</v>
      </c>
      <c r="M15" s="34">
        <f t="shared" si="3"/>
        <v>845314539.85654652</v>
      </c>
      <c r="N15" s="34">
        <f t="shared" si="4"/>
        <v>302152589.74980283</v>
      </c>
      <c r="O15" s="34">
        <f t="shared" si="5"/>
        <v>1147467129.6063495</v>
      </c>
      <c r="P15" s="34"/>
      <c r="Q15" s="38">
        <f t="shared" si="6"/>
        <v>1141729793.9583178</v>
      </c>
      <c r="R15" s="39">
        <f t="shared" si="7"/>
        <v>570864896.97915888</v>
      </c>
      <c r="S15" s="34">
        <f t="shared" si="8"/>
        <v>570864896.97915888</v>
      </c>
      <c r="T15" s="40">
        <v>8634119333</v>
      </c>
      <c r="U15" s="272">
        <f t="shared" si="9"/>
        <v>2.6988780705650929E-3</v>
      </c>
      <c r="V15" s="282">
        <f t="shared" si="10"/>
        <v>2.0415065670931272</v>
      </c>
      <c r="W15" s="290">
        <f>(L15+Norway!L15)</f>
        <v>22900702057.920307</v>
      </c>
      <c r="X15" s="291">
        <f t="shared" si="11"/>
        <v>11450351028.960154</v>
      </c>
      <c r="Y15" s="292">
        <f>(R15+Norway!R15)</f>
        <v>1390252652.9107833</v>
      </c>
      <c r="Z15" s="293">
        <f t="shared" si="12"/>
        <v>695126326.45539165</v>
      </c>
      <c r="AA15" s="294">
        <f>((S15+Norway!S15)/(T15*(U15+Norway!U15))/12)</f>
        <v>22.674740972898832</v>
      </c>
      <c r="AB15" s="295">
        <f>(Q15+Norway!Q15)</f>
        <v>9335607353.2745609</v>
      </c>
    </row>
    <row r="16" spans="1:28" ht="15.75" customHeight="1">
      <c r="A16" s="31" t="s">
        <v>49</v>
      </c>
      <c r="B16" s="32">
        <v>2032</v>
      </c>
      <c r="C16" s="271">
        <f t="shared" si="13"/>
        <v>4.8278351547134522E-2</v>
      </c>
      <c r="D16" s="271">
        <f t="shared" si="14"/>
        <v>1.0813100000000001E-2</v>
      </c>
      <c r="E16" s="34">
        <f>ABS(Norway!E16)</f>
        <v>910264781.9866935</v>
      </c>
      <c r="F16" s="34">
        <f t="shared" si="15"/>
        <v>43.427229242236855</v>
      </c>
      <c r="G16" s="34">
        <f t="shared" si="0"/>
        <v>469582972.51923138</v>
      </c>
      <c r="H16" s="34">
        <f t="shared" si="1"/>
        <v>467235057.65663522</v>
      </c>
      <c r="I16" s="35">
        <f t="shared" si="18"/>
        <v>0.17000000000000004</v>
      </c>
      <c r="J16" s="36">
        <f t="shared" si="2"/>
        <v>989694741.7883215</v>
      </c>
      <c r="K16" s="34">
        <f t="shared" si="16"/>
        <v>15637842928.616764</v>
      </c>
      <c r="L16" s="37">
        <f t="shared" si="17"/>
        <v>15597175116.348206</v>
      </c>
      <c r="M16" s="34">
        <f t="shared" si="3"/>
        <v>926608933.53717971</v>
      </c>
      <c r="N16" s="34">
        <f t="shared" si="4"/>
        <v>387805097.85500723</v>
      </c>
      <c r="O16" s="34">
        <f t="shared" si="5"/>
        <v>1314414031.3921869</v>
      </c>
      <c r="P16" s="34"/>
      <c r="Q16" s="38">
        <f t="shared" si="6"/>
        <v>1307841961.2352259</v>
      </c>
      <c r="R16" s="39">
        <f t="shared" si="7"/>
        <v>653920980.61761296</v>
      </c>
      <c r="S16" s="34">
        <f t="shared" si="8"/>
        <v>653920980.61761296</v>
      </c>
      <c r="T16" s="40">
        <v>8698229812</v>
      </c>
      <c r="U16" s="272">
        <f t="shared" si="9"/>
        <v>2.6988780705650929E-3</v>
      </c>
      <c r="V16" s="282">
        <f t="shared" si="10"/>
        <v>2.3212925805520341</v>
      </c>
      <c r="W16" s="290">
        <f>(L16+Norway!L16)</f>
        <v>25467817791.896431</v>
      </c>
      <c r="X16" s="291">
        <f t="shared" si="11"/>
        <v>12733908895.948215</v>
      </c>
      <c r="Y16" s="292">
        <f>(R16+Norway!R16)</f>
        <v>1478678882.1930742</v>
      </c>
      <c r="Z16" s="293">
        <f t="shared" si="12"/>
        <v>739339441.09653711</v>
      </c>
      <c r="AA16" s="294">
        <f>((S16+Norway!S16)/(T16*(U16+Norway!U16))/12)</f>
        <v>22.879810803239565</v>
      </c>
      <c r="AB16" s="295">
        <f>(Q16+Norway!Q16)</f>
        <v>9555420976.9898376</v>
      </c>
    </row>
    <row r="17" spans="1:28" ht="15.75" customHeight="1">
      <c r="A17" s="31" t="s">
        <v>50</v>
      </c>
      <c r="B17" s="32">
        <v>2033</v>
      </c>
      <c r="C17" s="271">
        <f t="shared" si="13"/>
        <v>4.3450516392421069E-2</v>
      </c>
      <c r="D17" s="271">
        <f t="shared" si="14"/>
        <v>1.1936400000000002E-2</v>
      </c>
      <c r="E17" s="34">
        <f>ABS(Norway!E17)</f>
        <v>570600951.73615372</v>
      </c>
      <c r="F17" s="34">
        <f t="shared" si="15"/>
        <v>50.549294837963693</v>
      </c>
      <c r="G17" s="34">
        <f t="shared" si="0"/>
        <v>603376602.90386987</v>
      </c>
      <c r="H17" s="34">
        <f t="shared" si="1"/>
        <v>600359719.88935053</v>
      </c>
      <c r="I17" s="35">
        <f t="shared" si="18"/>
        <v>0.18000000000000005</v>
      </c>
      <c r="J17" s="36">
        <f t="shared" si="2"/>
        <v>678665701.31623685</v>
      </c>
      <c r="K17" s="34">
        <f t="shared" si="16"/>
        <v>16316508629.933001</v>
      </c>
      <c r="L17" s="37">
        <f t="shared" si="17"/>
        <v>16267702897.255611</v>
      </c>
      <c r="M17" s="34">
        <f t="shared" si="3"/>
        <v>988860902.37647617</v>
      </c>
      <c r="N17" s="34">
        <f t="shared" si="4"/>
        <v>492294970.3092674</v>
      </c>
      <c r="O17" s="34">
        <f t="shared" si="5"/>
        <v>1481155872.6857436</v>
      </c>
      <c r="P17" s="34"/>
      <c r="Q17" s="38">
        <f t="shared" si="6"/>
        <v>1473750093.3223147</v>
      </c>
      <c r="R17" s="39">
        <f t="shared" si="7"/>
        <v>736875046.66115737</v>
      </c>
      <c r="S17" s="34">
        <f t="shared" si="8"/>
        <v>736875046.66115737</v>
      </c>
      <c r="T17" s="40">
        <v>8761449081</v>
      </c>
      <c r="U17" s="272">
        <f t="shared" si="9"/>
        <v>2.6988780705650929E-3</v>
      </c>
      <c r="V17" s="282">
        <f t="shared" si="10"/>
        <v>2.5968890674604554</v>
      </c>
      <c r="W17" s="290">
        <f>(L17+Norway!L17)</f>
        <v>27827812978.983215</v>
      </c>
      <c r="X17" s="291">
        <f t="shared" si="11"/>
        <v>13913906489.491608</v>
      </c>
      <c r="Y17" s="292">
        <f>(R17+Norway!R17)</f>
        <v>1567561334.49722</v>
      </c>
      <c r="Z17" s="293">
        <f t="shared" si="12"/>
        <v>783780667.24861002</v>
      </c>
      <c r="AA17" s="294">
        <f>((S17+Norway!S17)/(T17*(U17+Norway!U17))/12)</f>
        <v>23.098070544842471</v>
      </c>
      <c r="AB17" s="295">
        <f>(Q17+Norway!Q17)</f>
        <v>9780612971.6829414</v>
      </c>
    </row>
    <row r="18" spans="1:28" ht="15.75" customHeight="1">
      <c r="A18" s="31" t="s">
        <v>51</v>
      </c>
      <c r="B18" s="32">
        <v>2034</v>
      </c>
      <c r="C18" s="271">
        <f t="shared" si="13"/>
        <v>3.9105464753178963E-2</v>
      </c>
      <c r="D18" s="271">
        <f t="shared" si="14"/>
        <v>1.3059700000000002E-2</v>
      </c>
      <c r="E18" s="34">
        <f>ABS(Norway!E18)</f>
        <v>212141795.06931996</v>
      </c>
      <c r="F18" s="34">
        <f t="shared" si="15"/>
        <v>58.839379191389732</v>
      </c>
      <c r="G18" s="34">
        <f t="shared" si="0"/>
        <v>768424640.42579257</v>
      </c>
      <c r="H18" s="34">
        <f t="shared" si="1"/>
        <v>764582517.22366357</v>
      </c>
      <c r="I18" s="35">
        <f t="shared" si="18"/>
        <v>0.19000000000000006</v>
      </c>
      <c r="J18" s="36">
        <f t="shared" si="2"/>
        <v>357412473.34181607</v>
      </c>
      <c r="K18" s="34">
        <f t="shared" si="16"/>
        <v>16673921103.274817</v>
      </c>
      <c r="L18" s="37">
        <f t="shared" si="17"/>
        <v>16616802812.91213</v>
      </c>
      <c r="M18" s="34">
        <f t="shared" si="3"/>
        <v>1031372363.6860057</v>
      </c>
      <c r="N18" s="34">
        <f t="shared" si="4"/>
        <v>619311838.95116746</v>
      </c>
      <c r="O18" s="34">
        <f t="shared" si="5"/>
        <v>1650684202.6371732</v>
      </c>
      <c r="P18" s="34"/>
      <c r="Q18" s="38">
        <f t="shared" si="6"/>
        <v>1642430781.6239872</v>
      </c>
      <c r="R18" s="39">
        <f t="shared" si="7"/>
        <v>821215390.8119936</v>
      </c>
      <c r="S18" s="34">
        <f t="shared" si="8"/>
        <v>821215390.8119936</v>
      </c>
      <c r="T18" s="40">
        <v>8823784909</v>
      </c>
      <c r="U18" s="272">
        <f t="shared" si="9"/>
        <v>2.6988780705650929E-3</v>
      </c>
      <c r="V18" s="282">
        <f t="shared" si="10"/>
        <v>2.8736750441915664</v>
      </c>
      <c r="W18" s="290">
        <f>(L18+Norway!L18)</f>
        <v>29971938410.395004</v>
      </c>
      <c r="X18" s="291">
        <f t="shared" si="11"/>
        <v>14985969205.197502</v>
      </c>
      <c r="Y18" s="292">
        <f>(R18+Norway!R18)</f>
        <v>1658395450.3086395</v>
      </c>
      <c r="Z18" s="293">
        <f t="shared" si="12"/>
        <v>829197725.15431976</v>
      </c>
      <c r="AA18" s="294">
        <f>((S18+Norway!S18)/(T18*(U18+Norway!U18))/12)</f>
        <v>23.333617909223236</v>
      </c>
      <c r="AB18" s="295">
        <f>(Q18+Norway!Q18)</f>
        <v>10014231376.590446</v>
      </c>
    </row>
    <row r="19" spans="1:28" ht="15.75" customHeight="1">
      <c r="A19" s="31" t="s">
        <v>52</v>
      </c>
      <c r="B19" s="32">
        <v>2035</v>
      </c>
      <c r="C19" s="271">
        <f t="shared" si="13"/>
        <v>3.5194918277861066E-2</v>
      </c>
      <c r="D19" s="271">
        <f t="shared" si="14"/>
        <v>1.4183000000000003E-2</v>
      </c>
      <c r="E19" s="34">
        <f>ABS(Norway!E19)</f>
        <v>0</v>
      </c>
      <c r="F19" s="34">
        <f t="shared" si="15"/>
        <v>68.489037378777638</v>
      </c>
      <c r="G19" s="34">
        <f t="shared" si="0"/>
        <v>971380017.14320338</v>
      </c>
      <c r="H19" s="34">
        <f t="shared" si="1"/>
        <v>966523117.05748737</v>
      </c>
      <c r="I19" s="35">
        <f t="shared" ref="I19:I34" si="19">I18+$J$5</f>
        <v>0.24000000000000005</v>
      </c>
      <c r="J19" s="36">
        <f t="shared" si="2"/>
        <v>231965548.09379703</v>
      </c>
      <c r="K19" s="34">
        <f t="shared" si="16"/>
        <v>16905886651.368614</v>
      </c>
      <c r="L19" s="37">
        <f t="shared" si="17"/>
        <v>16840343976.825426</v>
      </c>
      <c r="M19" s="34">
        <f t="shared" si="3"/>
        <v>1053505298.338629</v>
      </c>
      <c r="N19" s="34">
        <f t="shared" si="4"/>
        <v>734557568.9636904</v>
      </c>
      <c r="O19" s="34">
        <f t="shared" si="5"/>
        <v>1788062867.3023195</v>
      </c>
      <c r="P19" s="34"/>
      <c r="Q19" s="38">
        <f t="shared" si="6"/>
        <v>1779122552.9658079</v>
      </c>
      <c r="R19" s="39">
        <f t="shared" si="7"/>
        <v>889561276.48290396</v>
      </c>
      <c r="S19" s="34">
        <f t="shared" si="8"/>
        <v>889561276.48290396</v>
      </c>
      <c r="T19" s="40">
        <v>8885210181</v>
      </c>
      <c r="U19" s="272">
        <f t="shared" si="9"/>
        <v>2.6988780705650929E-3</v>
      </c>
      <c r="V19" s="282">
        <f t="shared" si="10"/>
        <v>3.0913177903151556</v>
      </c>
      <c r="W19" s="290">
        <f>(L19+Norway!L19)</f>
        <v>32518735269.007317</v>
      </c>
      <c r="X19" s="291">
        <f t="shared" si="11"/>
        <v>16259367634.503658</v>
      </c>
      <c r="Y19" s="292">
        <f>(R19+Norway!R19)</f>
        <v>1708299862.3564987</v>
      </c>
      <c r="Z19" s="293">
        <f t="shared" si="12"/>
        <v>854149931.17824936</v>
      </c>
      <c r="AA19" s="294">
        <f>((S19+Norway!S19)/(T19*(U19+Norway!U19))/12)</f>
        <v>22.90156872874843</v>
      </c>
      <c r="AB19" s="295">
        <f>(Q19+Norway!Q19)</f>
        <v>9966508411.7017555</v>
      </c>
    </row>
    <row r="20" spans="1:28" ht="15.75" customHeight="1">
      <c r="A20" s="31" t="s">
        <v>53</v>
      </c>
      <c r="B20" s="32">
        <v>2036</v>
      </c>
      <c r="C20" s="271">
        <f t="shared" si="13"/>
        <v>3.1675426450074963E-2</v>
      </c>
      <c r="D20" s="271">
        <f t="shared" si="14"/>
        <v>1.5306300000000004E-2</v>
      </c>
      <c r="E20" s="34">
        <f>ABS(Norway!E20)</f>
        <v>0</v>
      </c>
      <c r="F20" s="34">
        <f t="shared" si="15"/>
        <v>79.72123950889717</v>
      </c>
      <c r="G20" s="34">
        <f t="shared" si="0"/>
        <v>1220237208.295033</v>
      </c>
      <c r="H20" s="34">
        <f t="shared" si="1"/>
        <v>1214136022.2535579</v>
      </c>
      <c r="I20" s="35">
        <f t="shared" si="19"/>
        <v>0.29000000000000004</v>
      </c>
      <c r="J20" s="36">
        <f t="shared" si="2"/>
        <v>352099446.45353186</v>
      </c>
      <c r="K20" s="34">
        <f t="shared" si="16"/>
        <v>17257986097.822147</v>
      </c>
      <c r="L20" s="37">
        <f t="shared" si="17"/>
        <v>17183847201.567318</v>
      </c>
      <c r="M20" s="34">
        <f t="shared" si="3"/>
        <v>1067677808.1307319</v>
      </c>
      <c r="N20" s="34">
        <f t="shared" si="4"/>
        <v>862036575.80002606</v>
      </c>
      <c r="O20" s="34">
        <f t="shared" si="5"/>
        <v>1929714383.930758</v>
      </c>
      <c r="P20" s="34"/>
      <c r="Q20" s="38">
        <f t="shared" si="6"/>
        <v>1920065812.0111041</v>
      </c>
      <c r="R20" s="39">
        <f t="shared" si="7"/>
        <v>960032906.00555205</v>
      </c>
      <c r="S20" s="34">
        <f t="shared" si="8"/>
        <v>960032906.00555205</v>
      </c>
      <c r="T20" s="40">
        <v>8945686614</v>
      </c>
      <c r="U20" s="272">
        <f t="shared" si="9"/>
        <v>2.6988780705650929E-3</v>
      </c>
      <c r="V20" s="282">
        <f t="shared" si="10"/>
        <v>3.3136598731091982</v>
      </c>
      <c r="W20" s="290">
        <f>(L20+Norway!L20)</f>
        <v>35803745318.435905</v>
      </c>
      <c r="X20" s="291">
        <f t="shared" si="11"/>
        <v>17901872659.217953</v>
      </c>
      <c r="Y20" s="292">
        <f>(R20+Norway!R20)</f>
        <v>1777767177.6437056</v>
      </c>
      <c r="Z20" s="293">
        <f t="shared" si="12"/>
        <v>888883588.8218528</v>
      </c>
      <c r="AA20" s="294">
        <f>((S20+Norway!S20)/(T20*(U20+Norway!U20))/12)</f>
        <v>22.915957932176699</v>
      </c>
      <c r="AB20" s="295">
        <f>(Q20+Norway!Q20)</f>
        <v>10097408528.392639</v>
      </c>
    </row>
    <row r="21" spans="1:28" ht="15.75" customHeight="1">
      <c r="A21" s="31" t="s">
        <v>54</v>
      </c>
      <c r="B21" s="32">
        <v>2037</v>
      </c>
      <c r="C21" s="271">
        <f t="shared" si="13"/>
        <v>2.8507883805067469E-2</v>
      </c>
      <c r="D21" s="271">
        <f t="shared" si="14"/>
        <v>1.6429600000000003E-2</v>
      </c>
      <c r="E21" s="34">
        <f>ABS(Norway!E21)</f>
        <v>0</v>
      </c>
      <c r="F21" s="34">
        <f t="shared" si="15"/>
        <v>92.795522788356294</v>
      </c>
      <c r="G21" s="34">
        <f t="shared" si="0"/>
        <v>1524593321.2035787</v>
      </c>
      <c r="H21" s="34">
        <f t="shared" si="1"/>
        <v>1516970354.5975609</v>
      </c>
      <c r="I21" s="35">
        <f t="shared" si="19"/>
        <v>0.34</v>
      </c>
      <c r="J21" s="36">
        <f t="shared" si="2"/>
        <v>515769920.56317073</v>
      </c>
      <c r="K21" s="34">
        <f t="shared" si="16"/>
        <v>17773756018.385319</v>
      </c>
      <c r="L21" s="37">
        <f t="shared" si="17"/>
        <v>17690767313.569424</v>
      </c>
      <c r="M21" s="34">
        <f t="shared" si="3"/>
        <v>1089455912.5793679</v>
      </c>
      <c r="N21" s="34">
        <f t="shared" si="4"/>
        <v>1001200434.0343901</v>
      </c>
      <c r="O21" s="34">
        <f t="shared" si="5"/>
        <v>2090656346.6137581</v>
      </c>
      <c r="P21" s="34"/>
      <c r="Q21" s="38">
        <f t="shared" si="6"/>
        <v>2080203064.8806894</v>
      </c>
      <c r="R21" s="39">
        <f t="shared" si="7"/>
        <v>1040101532.4403447</v>
      </c>
      <c r="S21" s="34">
        <f t="shared" si="8"/>
        <v>1040101532.4403447</v>
      </c>
      <c r="T21" s="40">
        <v>9005152624</v>
      </c>
      <c r="U21" s="272">
        <f t="shared" si="9"/>
        <v>2.6988780705650929E-3</v>
      </c>
      <c r="V21" s="282">
        <f t="shared" si="10"/>
        <v>3.566318675434315</v>
      </c>
      <c r="W21" s="290">
        <f>(L21+Norway!L21)</f>
        <v>39923803284.504456</v>
      </c>
      <c r="X21" s="291">
        <f t="shared" si="11"/>
        <v>19961901642.252228</v>
      </c>
      <c r="Y21" s="292">
        <f>(R21+Norway!R21)</f>
        <v>1857576582.2195559</v>
      </c>
      <c r="Z21" s="293">
        <f t="shared" si="12"/>
        <v>928788291.10977793</v>
      </c>
      <c r="AA21" s="294">
        <f>((S21+Norway!S21)/(T21*(U21+Norway!U21))/12)</f>
        <v>22.977335404464199</v>
      </c>
      <c r="AB21" s="295">
        <f>(Q21+Norway!Q21)</f>
        <v>10254953562.672798</v>
      </c>
    </row>
    <row r="22" spans="1:28" ht="15.75" customHeight="1">
      <c r="A22" s="31" t="s">
        <v>55</v>
      </c>
      <c r="B22" s="32">
        <v>2038</v>
      </c>
      <c r="C22" s="271">
        <f t="shared" si="13"/>
        <v>2.5657095424560721E-2</v>
      </c>
      <c r="D22" s="271">
        <f t="shared" si="14"/>
        <v>1.7552900000000003E-2</v>
      </c>
      <c r="E22" s="34">
        <f>ABS(Norway!E22)</f>
        <v>0</v>
      </c>
      <c r="F22" s="34">
        <f t="shared" si="15"/>
        <v>108.01398852564672</v>
      </c>
      <c r="G22" s="34">
        <f t="shared" si="0"/>
        <v>1895958739.1918247</v>
      </c>
      <c r="H22" s="34">
        <f t="shared" si="1"/>
        <v>1886478945.4958656</v>
      </c>
      <c r="I22" s="35">
        <f t="shared" si="19"/>
        <v>0.39</v>
      </c>
      <c r="J22" s="36">
        <f t="shared" si="2"/>
        <v>735726788.74338758</v>
      </c>
      <c r="K22" s="34">
        <f t="shared" si="16"/>
        <v>18509482807.128708</v>
      </c>
      <c r="L22" s="37">
        <f t="shared" si="17"/>
        <v>18417280855.261658</v>
      </c>
      <c r="M22" s="34">
        <f t="shared" si="3"/>
        <v>1121594647.6803014</v>
      </c>
      <c r="N22" s="34">
        <f t="shared" si="4"/>
        <v>1150752156.7524779</v>
      </c>
      <c r="O22" s="34">
        <f t="shared" si="5"/>
        <v>2272346804.4327793</v>
      </c>
      <c r="P22" s="34"/>
      <c r="Q22" s="38">
        <f t="shared" si="6"/>
        <v>2260985070.4106154</v>
      </c>
      <c r="R22" s="39">
        <f t="shared" si="7"/>
        <v>1130492535.2053077</v>
      </c>
      <c r="S22" s="34">
        <f t="shared" si="8"/>
        <v>1130492535.2053077</v>
      </c>
      <c r="T22" s="40">
        <v>9063572926</v>
      </c>
      <c r="U22" s="272">
        <f t="shared" si="9"/>
        <v>2.6988780705650929E-3</v>
      </c>
      <c r="V22" s="282">
        <f t="shared" si="10"/>
        <v>3.851268122665696</v>
      </c>
      <c r="W22" s="290">
        <f>(L22+Norway!L22)</f>
        <v>44992146673.610962</v>
      </c>
      <c r="X22" s="291">
        <f t="shared" si="11"/>
        <v>22496073336.805481</v>
      </c>
      <c r="Y22" s="292">
        <f>(R22+Norway!R22)</f>
        <v>1948525315.9472256</v>
      </c>
      <c r="Z22" s="293">
        <f t="shared" si="12"/>
        <v>974262657.97361279</v>
      </c>
      <c r="AA22" s="294">
        <f>((S22+Norway!S22)/(T22*(U22+Norway!U22))/12)</f>
        <v>23.088616953171538</v>
      </c>
      <c r="AB22" s="295">
        <f>(Q22+Norway!Q22)</f>
        <v>10441312877.829794</v>
      </c>
    </row>
    <row r="23" spans="1:28" ht="15.75" customHeight="1">
      <c r="A23" s="31" t="s">
        <v>56</v>
      </c>
      <c r="B23" s="32">
        <v>2039</v>
      </c>
      <c r="C23" s="271">
        <f t="shared" si="13"/>
        <v>2.3091385882104649E-2</v>
      </c>
      <c r="D23" s="271">
        <f t="shared" si="14"/>
        <v>1.8676200000000004E-2</v>
      </c>
      <c r="E23" s="34">
        <f>ABS(Norway!E23)</f>
        <v>0</v>
      </c>
      <c r="F23" s="34">
        <f t="shared" si="15"/>
        <v>125.72828264385278</v>
      </c>
      <c r="G23" s="34">
        <f t="shared" si="0"/>
        <v>2348126552.3131237</v>
      </c>
      <c r="H23" s="34">
        <f t="shared" si="1"/>
        <v>2336385919.551558</v>
      </c>
      <c r="I23" s="35">
        <f t="shared" si="19"/>
        <v>0.44</v>
      </c>
      <c r="J23" s="36">
        <f t="shared" si="2"/>
        <v>1028009804.6026856</v>
      </c>
      <c r="K23" s="34">
        <f t="shared" si="16"/>
        <v>19537492611.731392</v>
      </c>
      <c r="L23" s="37">
        <f t="shared" si="17"/>
        <v>19435568014.534412</v>
      </c>
      <c r="M23" s="34">
        <f t="shared" si="3"/>
        <v>1167655606.2235889</v>
      </c>
      <c r="N23" s="34">
        <f t="shared" si="4"/>
        <v>1308376114.9488726</v>
      </c>
      <c r="O23" s="34">
        <f t="shared" si="5"/>
        <v>2476031721.1724615</v>
      </c>
      <c r="P23" s="34"/>
      <c r="Q23" s="38">
        <f t="shared" si="6"/>
        <v>2463651562.5665994</v>
      </c>
      <c r="R23" s="39">
        <f t="shared" si="7"/>
        <v>1231825781.2832997</v>
      </c>
      <c r="S23" s="34">
        <f t="shared" si="8"/>
        <v>1231825781.2832997</v>
      </c>
      <c r="T23" s="40">
        <v>9120928380</v>
      </c>
      <c r="U23" s="272">
        <f t="shared" si="9"/>
        <v>2.6988780705650929E-3</v>
      </c>
      <c r="V23" s="282">
        <f t="shared" si="10"/>
        <v>4.1700929295168718</v>
      </c>
      <c r="W23" s="290">
        <f>(L23+Norway!L23)</f>
        <v>51141927193.443298</v>
      </c>
      <c r="X23" s="291">
        <f t="shared" si="11"/>
        <v>25570963596.721649</v>
      </c>
      <c r="Y23" s="292">
        <f>(R23+Norway!R23)</f>
        <v>2051310259.8425407</v>
      </c>
      <c r="Z23" s="293">
        <f t="shared" si="12"/>
        <v>1025655129.9212704</v>
      </c>
      <c r="AA23" s="294">
        <f>((S23+Norway!S23)/(T23*(U23+Norway!U23))/12)</f>
        <v>23.252477799596836</v>
      </c>
      <c r="AB23" s="295">
        <f>(Q23+Norway!Q23)</f>
        <v>10658496348.159008</v>
      </c>
    </row>
    <row r="24" spans="1:28" ht="15.75" customHeight="1">
      <c r="A24" s="31" t="s">
        <v>57</v>
      </c>
      <c r="B24" s="32">
        <v>2040</v>
      </c>
      <c r="C24" s="271">
        <f t="shared" si="13"/>
        <v>2.0782247293894184E-2</v>
      </c>
      <c r="D24" s="273">
        <v>1.9800000000000002E-2</v>
      </c>
      <c r="E24" s="34">
        <f>ABS(Norway!E24)</f>
        <v>0</v>
      </c>
      <c r="F24" s="34">
        <f t="shared" si="15"/>
        <v>146.34772099744464</v>
      </c>
      <c r="G24" s="34">
        <f t="shared" si="0"/>
        <v>2897684875.749404</v>
      </c>
      <c r="H24" s="34">
        <f t="shared" si="1"/>
        <v>2883196451.370657</v>
      </c>
      <c r="I24" s="35">
        <f t="shared" si="19"/>
        <v>0.49</v>
      </c>
      <c r="J24" s="36">
        <f t="shared" si="2"/>
        <v>1412766261.1716218</v>
      </c>
      <c r="K24" s="34">
        <f t="shared" si="16"/>
        <v>20950258872.903015</v>
      </c>
      <c r="L24" s="37">
        <f t="shared" si="17"/>
        <v>20837910108.568184</v>
      </c>
      <c r="M24" s="34">
        <f t="shared" si="3"/>
        <v>1232215012.1214817</v>
      </c>
      <c r="N24" s="34">
        <f t="shared" si="4"/>
        <v>1470430190.1990352</v>
      </c>
      <c r="O24" s="34">
        <f t="shared" si="5"/>
        <v>2702645202.3205166</v>
      </c>
      <c r="P24" s="34"/>
      <c r="Q24" s="38">
        <f t="shared" si="6"/>
        <v>2689131976.3089142</v>
      </c>
      <c r="R24" s="39">
        <f t="shared" si="7"/>
        <v>1344565988.1544571</v>
      </c>
      <c r="S24" s="34">
        <f t="shared" si="8"/>
        <v>1344565988.1544571</v>
      </c>
      <c r="T24" s="40">
        <v>9177190203</v>
      </c>
      <c r="U24" s="272">
        <f t="shared" si="9"/>
        <v>2.6988780705650929E-3</v>
      </c>
      <c r="V24" s="282">
        <f t="shared" si="10"/>
        <v>4.5238466825319046</v>
      </c>
      <c r="W24" s="290">
        <f>(L24+Norway!L24)</f>
        <v>58530551235.220703</v>
      </c>
      <c r="X24" s="291">
        <f t="shared" si="11"/>
        <v>29265275617.610352</v>
      </c>
      <c r="Y24" s="292">
        <f>(R24+Norway!R24)</f>
        <v>2166478626.809123</v>
      </c>
      <c r="Z24" s="293">
        <f t="shared" si="12"/>
        <v>1083239313.4045615</v>
      </c>
      <c r="AA24" s="294">
        <f>((S24+Norway!S24)/(T24*(U24+Norway!U24))/12)</f>
        <v>23.471303978999497</v>
      </c>
      <c r="AB24" s="295">
        <f>(Q24+Norway!Q24)</f>
        <v>10908258362.855572</v>
      </c>
    </row>
    <row r="25" spans="1:28" ht="15.75" customHeight="1">
      <c r="A25" s="31" t="s">
        <v>58</v>
      </c>
      <c r="B25" s="32">
        <v>2041</v>
      </c>
      <c r="C25" s="271">
        <f t="shared" si="13"/>
        <v>1.8704022564504767E-2</v>
      </c>
      <c r="D25" s="271">
        <f t="shared" ref="D25:D184" si="20">C25</f>
        <v>1.8704022564504767E-2</v>
      </c>
      <c r="E25" s="34">
        <f>ABS(Norway!E25)</f>
        <v>0</v>
      </c>
      <c r="F25" s="34">
        <f t="shared" si="15"/>
        <v>170.34874724102556</v>
      </c>
      <c r="G25" s="34">
        <f t="shared" si="0"/>
        <v>3186206812.2312613</v>
      </c>
      <c r="H25" s="34">
        <f t="shared" si="1"/>
        <v>3170275778.170105</v>
      </c>
      <c r="I25" s="35">
        <f t="shared" si="19"/>
        <v>0.54</v>
      </c>
      <c r="J25" s="36">
        <f t="shared" si="2"/>
        <v>1711948920.2118568</v>
      </c>
      <c r="K25" s="34">
        <f t="shared" si="16"/>
        <v>22662207793.114872</v>
      </c>
      <c r="L25" s="37">
        <f t="shared" si="17"/>
        <v>22538584099.265652</v>
      </c>
      <c r="M25" s="34">
        <f t="shared" si="3"/>
        <v>1321123500.8832228</v>
      </c>
      <c r="N25" s="34">
        <f t="shared" si="4"/>
        <v>1458326857.9582481</v>
      </c>
      <c r="O25" s="34">
        <f t="shared" si="5"/>
        <v>2779450358.8414707</v>
      </c>
      <c r="P25" s="34"/>
      <c r="Q25" s="38">
        <f t="shared" si="6"/>
        <v>2765553107.0472631</v>
      </c>
      <c r="R25" s="39">
        <f t="shared" si="7"/>
        <v>1382776553.5236316</v>
      </c>
      <c r="S25" s="34">
        <f t="shared" si="8"/>
        <v>1382776553.5236316</v>
      </c>
      <c r="T25" s="40">
        <v>9232281575</v>
      </c>
      <c r="U25" s="272">
        <f t="shared" si="9"/>
        <v>2.6988780705650929E-3</v>
      </c>
      <c r="V25" s="282">
        <f t="shared" si="10"/>
        <v>4.6246455763734708</v>
      </c>
      <c r="W25" s="290">
        <f>(L25+Norway!L25)</f>
        <v>67141831660.60553</v>
      </c>
      <c r="X25" s="291">
        <f t="shared" si="11"/>
        <v>33570915830.302765</v>
      </c>
      <c r="Y25" s="292">
        <f>(R25+Norway!R25)</f>
        <v>2208182138.6985526</v>
      </c>
      <c r="Z25" s="293">
        <f t="shared" si="12"/>
        <v>1104091069.3492763</v>
      </c>
      <c r="AA25" s="294">
        <f>((S25+Norway!S25)/(T25*(U25+Norway!U25))/12)</f>
        <v>23.517128302114003</v>
      </c>
      <c r="AB25" s="295">
        <f>(Q25+Norway!Q25)</f>
        <v>11019608958.796474</v>
      </c>
    </row>
    <row r="26" spans="1:28" ht="15.75" customHeight="1">
      <c r="A26" s="31" t="s">
        <v>59</v>
      </c>
      <c r="B26" s="32">
        <v>2042</v>
      </c>
      <c r="C26" s="271">
        <f t="shared" si="13"/>
        <v>1.6833620308054291E-2</v>
      </c>
      <c r="D26" s="271">
        <f t="shared" si="20"/>
        <v>1.6833620308054291E-2</v>
      </c>
      <c r="E26" s="34">
        <f>ABS(Norway!E26)</f>
        <v>0</v>
      </c>
      <c r="F26" s="34">
        <f t="shared" si="15"/>
        <v>198.28594178855374</v>
      </c>
      <c r="G26" s="34">
        <f t="shared" si="0"/>
        <v>3337870256.4934692</v>
      </c>
      <c r="H26" s="34">
        <f t="shared" si="1"/>
        <v>3321180905.2110019</v>
      </c>
      <c r="I26" s="35">
        <f t="shared" si="19"/>
        <v>0.59000000000000008</v>
      </c>
      <c r="J26" s="36">
        <f t="shared" si="2"/>
        <v>1959496734.0744913</v>
      </c>
      <c r="K26" s="34">
        <f t="shared" si="16"/>
        <v>24621704527.189362</v>
      </c>
      <c r="L26" s="37">
        <f t="shared" si="17"/>
        <v>24485831792.923473</v>
      </c>
      <c r="M26" s="34">
        <f t="shared" si="3"/>
        <v>1428946231.8934424</v>
      </c>
      <c r="N26" s="34">
        <f t="shared" si="4"/>
        <v>1361684171.1365106</v>
      </c>
      <c r="O26" s="34">
        <f t="shared" si="5"/>
        <v>2790630403.029953</v>
      </c>
      <c r="P26" s="34"/>
      <c r="Q26" s="38">
        <f t="shared" si="6"/>
        <v>2776677251.0148034</v>
      </c>
      <c r="R26" s="39">
        <f t="shared" si="7"/>
        <v>1388338625.5074017</v>
      </c>
      <c r="S26" s="34">
        <f t="shared" si="8"/>
        <v>1388338625.5074017</v>
      </c>
      <c r="T26" s="40">
        <v>9286110371</v>
      </c>
      <c r="U26" s="272">
        <f t="shared" si="9"/>
        <v>2.6988780705650929E-3</v>
      </c>
      <c r="V26" s="282">
        <f t="shared" si="10"/>
        <v>4.6163322084827687</v>
      </c>
      <c r="W26" s="290">
        <f>(L26+Norway!L26)</f>
        <v>76998229354.142624</v>
      </c>
      <c r="X26" s="291">
        <f t="shared" si="11"/>
        <v>38499114677.071312</v>
      </c>
      <c r="Y26" s="292">
        <f>(R26+Norway!R26)</f>
        <v>2218396464.4766674</v>
      </c>
      <c r="Z26" s="293">
        <f t="shared" si="12"/>
        <v>1109198232.2383337</v>
      </c>
      <c r="AA26" s="294">
        <f>((S26+Norway!S26)/(T26*(U26+Norway!U26))/12)</f>
        <v>23.506666628468441</v>
      </c>
      <c r="AB26" s="295">
        <f>(Q26+Norway!Q26)</f>
        <v>11077255640.70746</v>
      </c>
    </row>
    <row r="27" spans="1:28" ht="15.75" customHeight="1">
      <c r="A27" s="31" t="s">
        <v>60</v>
      </c>
      <c r="B27" s="32">
        <v>2043</v>
      </c>
      <c r="C27" s="271">
        <f t="shared" si="13"/>
        <v>1.5150258277248863E-2</v>
      </c>
      <c r="D27" s="271">
        <f t="shared" si="20"/>
        <v>1.5150258277248863E-2</v>
      </c>
      <c r="E27" s="34">
        <f>ABS(Norway!E27)</f>
        <v>0</v>
      </c>
      <c r="F27" s="34">
        <f t="shared" si="15"/>
        <v>230.80483624187653</v>
      </c>
      <c r="G27" s="34">
        <f t="shared" si="0"/>
        <v>3496752880.7025585</v>
      </c>
      <c r="H27" s="34">
        <f t="shared" si="1"/>
        <v>3479269116.2990456</v>
      </c>
      <c r="I27" s="35">
        <f t="shared" si="19"/>
        <v>0.64000000000000012</v>
      </c>
      <c r="J27" s="36">
        <f t="shared" si="2"/>
        <v>2226732234.4313898</v>
      </c>
      <c r="K27" s="34">
        <f t="shared" si="16"/>
        <v>26848436761.62075</v>
      </c>
      <c r="L27" s="37">
        <f t="shared" si="17"/>
        <v>26699207745.341187</v>
      </c>
      <c r="M27" s="34">
        <f t="shared" si="3"/>
        <v>1552401735.6713481</v>
      </c>
      <c r="N27" s="34">
        <f t="shared" si="4"/>
        <v>1252536881.867656</v>
      </c>
      <c r="O27" s="34">
        <f t="shared" si="5"/>
        <v>2804938617.5390043</v>
      </c>
      <c r="P27" s="34"/>
      <c r="Q27" s="38">
        <f t="shared" si="6"/>
        <v>2790913924.4513092</v>
      </c>
      <c r="R27" s="39">
        <f t="shared" si="7"/>
        <v>1395456962.2256546</v>
      </c>
      <c r="S27" s="34">
        <f t="shared" si="8"/>
        <v>1395456962.2256546</v>
      </c>
      <c r="T27" s="40">
        <v>9338661314</v>
      </c>
      <c r="U27" s="272">
        <f t="shared" si="9"/>
        <v>2.6988780705650929E-3</v>
      </c>
      <c r="V27" s="282">
        <f t="shared" si="10"/>
        <v>4.6138907954219981</v>
      </c>
      <c r="W27" s="290">
        <f>(L27+Norway!L27)</f>
        <v>88198489415.246735</v>
      </c>
      <c r="X27" s="291">
        <f t="shared" si="11"/>
        <v>44099244707.623367</v>
      </c>
      <c r="Y27" s="292">
        <f>(R27+Norway!R27)</f>
        <v>2231427469.6195664</v>
      </c>
      <c r="Z27" s="293">
        <f t="shared" si="12"/>
        <v>1115713734.8097832</v>
      </c>
      <c r="AA27" s="294">
        <f>((S27+Norway!S27)/(T27*(U27+Norway!U27))/12)</f>
        <v>23.533577716248825</v>
      </c>
      <c r="AB27" s="295">
        <f>(Q27+Norway!Q27)</f>
        <v>11150618998.390427</v>
      </c>
    </row>
    <row r="28" spans="1:28" ht="15.75" customHeight="1">
      <c r="A28" s="31" t="s">
        <v>61</v>
      </c>
      <c r="B28" s="32">
        <v>2044</v>
      </c>
      <c r="C28" s="271">
        <f t="shared" si="13"/>
        <v>1.3635232449523976E-2</v>
      </c>
      <c r="D28" s="271">
        <f t="shared" si="20"/>
        <v>1.3635232449523976E-2</v>
      </c>
      <c r="E28" s="34">
        <f>ABS(Norway!E28)</f>
        <v>0</v>
      </c>
      <c r="F28" s="34">
        <f t="shared" si="15"/>
        <v>268.65682938554426</v>
      </c>
      <c r="G28" s="34">
        <f t="shared" si="0"/>
        <v>3663198317.8239994</v>
      </c>
      <c r="H28" s="34">
        <f t="shared" si="1"/>
        <v>3644882326.2348795</v>
      </c>
      <c r="I28" s="35">
        <f t="shared" si="19"/>
        <v>0.69000000000000017</v>
      </c>
      <c r="J28" s="36">
        <f t="shared" si="2"/>
        <v>2514968805.1020675</v>
      </c>
      <c r="K28" s="34">
        <f t="shared" si="16"/>
        <v>29363405566.722816</v>
      </c>
      <c r="L28" s="37">
        <f t="shared" si="17"/>
        <v>29199569462.168034</v>
      </c>
      <c r="M28" s="34">
        <f t="shared" si="3"/>
        <v>1692729771.0546312</v>
      </c>
      <c r="N28" s="34">
        <f t="shared" si="4"/>
        <v>1129913521.132812</v>
      </c>
      <c r="O28" s="34">
        <f t="shared" si="5"/>
        <v>2822643292.1874433</v>
      </c>
      <c r="P28" s="34"/>
      <c r="Q28" s="38">
        <f t="shared" si="6"/>
        <v>2808530075.7265062</v>
      </c>
      <c r="R28" s="39">
        <f t="shared" si="7"/>
        <v>1404265037.8632531</v>
      </c>
      <c r="S28" s="34">
        <f t="shared" si="8"/>
        <v>1404265037.8632531</v>
      </c>
      <c r="T28" s="40">
        <v>9389873693</v>
      </c>
      <c r="U28" s="272">
        <f t="shared" si="9"/>
        <v>2.6988780705650929E-3</v>
      </c>
      <c r="V28" s="282">
        <f t="shared" si="10"/>
        <v>4.6176905134804072</v>
      </c>
      <c r="W28" s="290">
        <f>(L28+Norway!L28)</f>
        <v>100140999510.82779</v>
      </c>
      <c r="X28" s="291">
        <f t="shared" si="11"/>
        <v>50070499755.413895</v>
      </c>
      <c r="Y28" s="292">
        <f>(R28+Norway!R28)</f>
        <v>2215898794.4916072</v>
      </c>
      <c r="Z28" s="293">
        <f t="shared" si="12"/>
        <v>1107949397.2458036</v>
      </c>
      <c r="AA28" s="294">
        <f>((S28+Norway!S28)/(T28*(U28+Norway!U28))/12)</f>
        <v>22.853571385406145</v>
      </c>
      <c r="AB28" s="295">
        <f>(Q28+Norway!Q28)</f>
        <v>10924867642.010048</v>
      </c>
    </row>
    <row r="29" spans="1:28" ht="15.75" customHeight="1">
      <c r="A29" s="31" t="s">
        <v>62</v>
      </c>
      <c r="B29" s="32">
        <v>2045</v>
      </c>
      <c r="C29" s="271">
        <f t="shared" si="13"/>
        <v>1.2271709204571579E-2</v>
      </c>
      <c r="D29" s="271">
        <f t="shared" si="20"/>
        <v>1.2271709204571579E-2</v>
      </c>
      <c r="E29" s="34">
        <f>ABS(Norway!E29)</f>
        <v>0</v>
      </c>
      <c r="F29" s="34">
        <f t="shared" si="15"/>
        <v>312.7165494047735</v>
      </c>
      <c r="G29" s="34">
        <f t="shared" si="0"/>
        <v>3837566557.7524219</v>
      </c>
      <c r="H29" s="34">
        <f t="shared" si="1"/>
        <v>3818378724.9636598</v>
      </c>
      <c r="I29" s="35">
        <f t="shared" si="19"/>
        <v>0.74000000000000021</v>
      </c>
      <c r="J29" s="36">
        <f t="shared" si="2"/>
        <v>2825600256.4731092</v>
      </c>
      <c r="K29" s="34">
        <f t="shared" si="16"/>
        <v>32189005823.195927</v>
      </c>
      <c r="L29" s="37">
        <f t="shared" si="17"/>
        <v>32009157133.781826</v>
      </c>
      <c r="M29" s="34">
        <f t="shared" si="3"/>
        <v>1851252703.9014533</v>
      </c>
      <c r="N29" s="34">
        <f t="shared" si="4"/>
        <v>992778468.49055076</v>
      </c>
      <c r="O29" s="34">
        <f t="shared" si="5"/>
        <v>2844031172.392004</v>
      </c>
      <c r="P29" s="34"/>
      <c r="Q29" s="38">
        <f t="shared" si="6"/>
        <v>2829811016.5300441</v>
      </c>
      <c r="R29" s="39">
        <f t="shared" si="7"/>
        <v>1414905508.265022</v>
      </c>
      <c r="S29" s="34">
        <f t="shared" si="8"/>
        <v>1414905508.265022</v>
      </c>
      <c r="T29" s="40">
        <v>9439639668</v>
      </c>
      <c r="U29" s="272">
        <f t="shared" si="9"/>
        <v>2.6988780705650929E-3</v>
      </c>
      <c r="V29" s="282">
        <f t="shared" si="10"/>
        <v>4.6281508947760504</v>
      </c>
      <c r="W29" s="290">
        <f>(L29+Norway!L29)</f>
        <v>112058522381.97723</v>
      </c>
      <c r="X29" s="291">
        <f t="shared" si="11"/>
        <v>56029261190.988617</v>
      </c>
      <c r="Y29" s="292">
        <f>(R29+Norway!R29)</f>
        <v>2182233764.048727</v>
      </c>
      <c r="Z29" s="293">
        <f t="shared" si="12"/>
        <v>1091116882.0243635</v>
      </c>
      <c r="AA29" s="294">
        <f>((S29+Norway!S29)/(T29*(U29+Norway!U29))/12)</f>
        <v>21.720002946859321</v>
      </c>
      <c r="AB29" s="295">
        <f>(Q29+Norway!Q29)</f>
        <v>10503093574.367092</v>
      </c>
    </row>
    <row r="30" spans="1:28" ht="15.75" customHeight="1">
      <c r="A30" s="31" t="s">
        <v>63</v>
      </c>
      <c r="B30" s="32">
        <v>2046</v>
      </c>
      <c r="C30" s="271">
        <f t="shared" si="13"/>
        <v>1.1044538284114421E-2</v>
      </c>
      <c r="D30" s="271">
        <f t="shared" si="20"/>
        <v>1.1044538284114421E-2</v>
      </c>
      <c r="E30" s="34">
        <f>ABS(Norway!E30)</f>
        <v>0</v>
      </c>
      <c r="F30" s="34">
        <f t="shared" si="15"/>
        <v>364.00206350715632</v>
      </c>
      <c r="G30" s="34">
        <f t="shared" si="0"/>
        <v>4020234725.9014373</v>
      </c>
      <c r="H30" s="34">
        <f t="shared" si="1"/>
        <v>4000133552.2719302</v>
      </c>
      <c r="I30" s="35">
        <f t="shared" si="19"/>
        <v>0.79000000000000026</v>
      </c>
      <c r="J30" s="36">
        <f t="shared" si="2"/>
        <v>3160105506.294826</v>
      </c>
      <c r="K30" s="34">
        <f t="shared" si="16"/>
        <v>35349111329.490753</v>
      </c>
      <c r="L30" s="37">
        <f t="shared" si="17"/>
        <v>35151678008.756615</v>
      </c>
      <c r="M30" s="34">
        <f t="shared" si="3"/>
        <v>2029380562.2817676</v>
      </c>
      <c r="N30" s="34">
        <f t="shared" si="4"/>
        <v>840028045.97710431</v>
      </c>
      <c r="O30" s="34">
        <f t="shared" si="5"/>
        <v>2869408608.258872</v>
      </c>
      <c r="P30" s="34"/>
      <c r="Q30" s="38">
        <f t="shared" si="6"/>
        <v>2855061565.2175775</v>
      </c>
      <c r="R30" s="39">
        <f t="shared" si="7"/>
        <v>1427530782.6087887</v>
      </c>
      <c r="S30" s="34">
        <f t="shared" si="8"/>
        <v>1427530782.6087887</v>
      </c>
      <c r="T30" s="40">
        <v>9487889604</v>
      </c>
      <c r="U30" s="272">
        <f t="shared" si="9"/>
        <v>2.6988780705650929E-3</v>
      </c>
      <c r="V30" s="282">
        <f t="shared" si="10"/>
        <v>4.6457020014956623</v>
      </c>
      <c r="W30" s="290">
        <f>(L30+Norway!L30)</f>
        <v>123946101824.66864</v>
      </c>
      <c r="X30" s="291">
        <f t="shared" si="11"/>
        <v>61973050912.33432</v>
      </c>
      <c r="Y30" s="292">
        <f>(R30+Norway!R30)</f>
        <v>2164982323.2611475</v>
      </c>
      <c r="Z30" s="293">
        <f t="shared" si="12"/>
        <v>1082491161.6305737</v>
      </c>
      <c r="AA30" s="294">
        <f>((S30+Norway!S30)/(T30*(U30+Norway!U30))/12)</f>
        <v>20.944018452545055</v>
      </c>
      <c r="AB30" s="295">
        <f>(Q30+Norway!Q30)</f>
        <v>10229576971.741167</v>
      </c>
    </row>
    <row r="31" spans="1:28" ht="15.75" customHeight="1">
      <c r="A31" s="31" t="s">
        <v>64</v>
      </c>
      <c r="B31" s="32">
        <v>2047</v>
      </c>
      <c r="C31" s="271">
        <f t="shared" si="13"/>
        <v>9.9400844557029789E-3</v>
      </c>
      <c r="D31" s="271">
        <f t="shared" si="20"/>
        <v>9.9400844557029789E-3</v>
      </c>
      <c r="E31" s="34">
        <f>ABS(Norway!E31)</f>
        <v>0</v>
      </c>
      <c r="F31" s="34">
        <f t="shared" si="15"/>
        <v>423.69840192232994</v>
      </c>
      <c r="G31" s="34">
        <f t="shared" si="0"/>
        <v>4211597898.8543448</v>
      </c>
      <c r="H31" s="34">
        <f t="shared" si="1"/>
        <v>4190539909.3600731</v>
      </c>
      <c r="I31" s="35">
        <f t="shared" si="19"/>
        <v>0.8400000000000003</v>
      </c>
      <c r="J31" s="36">
        <f t="shared" si="2"/>
        <v>3520053523.8624625</v>
      </c>
      <c r="K31" s="34">
        <f t="shared" si="16"/>
        <v>38869164853.353218</v>
      </c>
      <c r="L31" s="37">
        <f t="shared" si="17"/>
        <v>38652395666.852776</v>
      </c>
      <c r="M31" s="34">
        <f t="shared" si="3"/>
        <v>2228616385.7551694</v>
      </c>
      <c r="N31" s="34">
        <f t="shared" si="4"/>
        <v>670486385.49761045</v>
      </c>
      <c r="O31" s="34">
        <f t="shared" si="5"/>
        <v>2899102771.25278</v>
      </c>
      <c r="P31" s="34"/>
      <c r="Q31" s="38">
        <f t="shared" si="6"/>
        <v>2884607257.3965158</v>
      </c>
      <c r="R31" s="39">
        <f t="shared" si="7"/>
        <v>1442303628.6982579</v>
      </c>
      <c r="S31" s="34">
        <f t="shared" si="8"/>
        <v>1442303628.6982579</v>
      </c>
      <c r="T31" s="40">
        <v>9534545977</v>
      </c>
      <c r="U31" s="272">
        <f t="shared" si="9"/>
        <v>2.6988780705650929E-3</v>
      </c>
      <c r="V31" s="282">
        <f t="shared" si="10"/>
        <v>4.6708096442920395</v>
      </c>
      <c r="W31" s="290">
        <f>(L31+Norway!L31)</f>
        <v>135809413330.67657</v>
      </c>
      <c r="X31" s="291">
        <f t="shared" si="11"/>
        <v>67904706665.338287</v>
      </c>
      <c r="Y31" s="292">
        <f>(R31+Norway!R31)</f>
        <v>2161857695.7868052</v>
      </c>
      <c r="Z31" s="293">
        <f t="shared" si="12"/>
        <v>1080928847.8934026</v>
      </c>
      <c r="AA31" s="294">
        <f>((S31+Norway!S31)/(T31*(U31+Norway!U31))/12)</f>
        <v>20.463432824010166</v>
      </c>
      <c r="AB31" s="295">
        <f>(Q31+Norway!Q31)</f>
        <v>10080147928.281988</v>
      </c>
    </row>
    <row r="32" spans="1:28" ht="15.75" customHeight="1">
      <c r="A32" s="31" t="s">
        <v>65</v>
      </c>
      <c r="B32" s="32">
        <v>2048</v>
      </c>
      <c r="C32" s="271">
        <f t="shared" si="13"/>
        <v>8.9460760101326819E-3</v>
      </c>
      <c r="D32" s="271">
        <f t="shared" si="20"/>
        <v>8.9460760101326819E-3</v>
      </c>
      <c r="E32" s="34">
        <f>ABS(Norway!E32)</f>
        <v>0</v>
      </c>
      <c r="F32" s="34">
        <f t="shared" si="15"/>
        <v>493.18493983759203</v>
      </c>
      <c r="G32" s="34">
        <f t="shared" si="0"/>
        <v>4412069958.8398113</v>
      </c>
      <c r="H32" s="34">
        <f t="shared" si="1"/>
        <v>4390009609.0456123</v>
      </c>
      <c r="I32" s="35">
        <f t="shared" si="19"/>
        <v>0.89000000000000035</v>
      </c>
      <c r="J32" s="36">
        <f t="shared" si="2"/>
        <v>3907108552.0505967</v>
      </c>
      <c r="K32" s="34">
        <f t="shared" si="16"/>
        <v>42776273405.403816</v>
      </c>
      <c r="L32" s="37">
        <f t="shared" si="17"/>
        <v>42538224466.793922</v>
      </c>
      <c r="M32" s="34">
        <f t="shared" si="3"/>
        <v>2450561885.2784657</v>
      </c>
      <c r="N32" s="34">
        <f t="shared" si="4"/>
        <v>482901056.99501586</v>
      </c>
      <c r="O32" s="34">
        <f t="shared" si="5"/>
        <v>2933462942.2734814</v>
      </c>
      <c r="P32" s="34"/>
      <c r="Q32" s="38">
        <f t="shared" si="6"/>
        <v>2918795627.5621138</v>
      </c>
      <c r="R32" s="39">
        <f t="shared" si="7"/>
        <v>1459397813.7810569</v>
      </c>
      <c r="S32" s="34">
        <f t="shared" si="8"/>
        <v>1459397813.7810569</v>
      </c>
      <c r="T32" s="40">
        <v>9579536043</v>
      </c>
      <c r="U32" s="272">
        <f t="shared" si="9"/>
        <v>2.6988780705650929E-3</v>
      </c>
      <c r="V32" s="282">
        <f t="shared" si="10"/>
        <v>4.703971750805537</v>
      </c>
      <c r="W32" s="290">
        <f>(L32+Norway!L32)</f>
        <v>147663330096.68536</v>
      </c>
      <c r="X32" s="291">
        <f t="shared" si="11"/>
        <v>73831665048.342682</v>
      </c>
      <c r="Y32" s="292">
        <f>(R32+Norway!R32)</f>
        <v>2170929729.1205835</v>
      </c>
      <c r="Z32" s="293">
        <f t="shared" si="12"/>
        <v>1085464864.5602918</v>
      </c>
      <c r="AA32" s="294">
        <f>((S32+Norway!S32)/(T32*(U32+Norway!U32))/12)</f>
        <v>20.225585938108935</v>
      </c>
      <c r="AB32" s="295">
        <f>(Q32+Norway!Q32)</f>
        <v>10034114780.957378</v>
      </c>
    </row>
    <row r="33" spans="1:28" ht="15.75" customHeight="1">
      <c r="A33" s="31" t="s">
        <v>66</v>
      </c>
      <c r="B33" s="32">
        <v>2049</v>
      </c>
      <c r="C33" s="271">
        <f t="shared" si="13"/>
        <v>8.0514684091194146E-3</v>
      </c>
      <c r="D33" s="271">
        <f t="shared" si="20"/>
        <v>8.0514684091194146E-3</v>
      </c>
      <c r="E33" s="34">
        <f>ABS(Norway!E33)</f>
        <v>0</v>
      </c>
      <c r="F33" s="42">
        <v>500</v>
      </c>
      <c r="G33" s="34">
        <f t="shared" si="0"/>
        <v>4025734204.5597067</v>
      </c>
      <c r="H33" s="34">
        <f t="shared" si="1"/>
        <v>4005605533.5369081</v>
      </c>
      <c r="I33" s="35">
        <f t="shared" si="19"/>
        <v>0.94000000000000039</v>
      </c>
      <c r="J33" s="36">
        <f t="shared" si="2"/>
        <v>3765269201.5246954</v>
      </c>
      <c r="K33" s="34">
        <f t="shared" si="16"/>
        <v>46541542606.928513</v>
      </c>
      <c r="L33" s="37">
        <f t="shared" si="17"/>
        <v>46280341921.484459</v>
      </c>
      <c r="M33" s="34">
        <f t="shared" si="3"/>
        <v>2696923431.1947346</v>
      </c>
      <c r="N33" s="34">
        <f t="shared" si="4"/>
        <v>240336332.01221293</v>
      </c>
      <c r="O33" s="34">
        <f t="shared" si="5"/>
        <v>2937259763.2069473</v>
      </c>
      <c r="P33" s="34"/>
      <c r="Q33" s="38">
        <f t="shared" si="6"/>
        <v>2922573464.3909125</v>
      </c>
      <c r="R33" s="39">
        <f t="shared" si="7"/>
        <v>1461286732.1954563</v>
      </c>
      <c r="S33" s="34">
        <f t="shared" si="8"/>
        <v>1461286732.1954563</v>
      </c>
      <c r="T33" s="40">
        <v>9622824029</v>
      </c>
      <c r="U33" s="272">
        <f t="shared" si="9"/>
        <v>2.6988780705650929E-3</v>
      </c>
      <c r="V33" s="282">
        <f t="shared" si="10"/>
        <v>4.6888721006011611</v>
      </c>
      <c r="W33" s="290">
        <f>(L33+Norway!L33)</f>
        <v>158973221894.92612</v>
      </c>
      <c r="X33" s="291">
        <f t="shared" si="11"/>
        <v>79486610947.463058</v>
      </c>
      <c r="Y33" s="292">
        <f>(R33+Norway!R33)</f>
        <v>2172868892.8021789</v>
      </c>
      <c r="Z33" s="293">
        <f t="shared" si="12"/>
        <v>1086434446.4010894</v>
      </c>
      <c r="AA33" s="294">
        <f>((S33+Norway!S33)/(T33*(U33+Norway!U33))/12)</f>
        <v>20.140596470380814</v>
      </c>
      <c r="AB33" s="295">
        <f>(Q33+Norway!Q33)</f>
        <v>10038395070.458138</v>
      </c>
    </row>
    <row r="34" spans="1:28" ht="15.75" customHeight="1">
      <c r="A34" s="31" t="s">
        <v>67</v>
      </c>
      <c r="B34" s="32">
        <v>2050</v>
      </c>
      <c r="C34" s="271">
        <f t="shared" si="13"/>
        <v>7.2463215682074733E-3</v>
      </c>
      <c r="D34" s="271">
        <f t="shared" si="20"/>
        <v>7.2463215682074733E-3</v>
      </c>
      <c r="E34" s="34">
        <f>ABS(Norway!E34)</f>
        <v>0</v>
      </c>
      <c r="F34" s="42">
        <v>500</v>
      </c>
      <c r="G34" s="34">
        <f t="shared" si="0"/>
        <v>3623160784.1037364</v>
      </c>
      <c r="H34" s="34">
        <f t="shared" si="1"/>
        <v>3605044980.1832175</v>
      </c>
      <c r="I34" s="35">
        <f t="shared" si="19"/>
        <v>0.99000000000000044</v>
      </c>
      <c r="J34" s="36">
        <f t="shared" si="2"/>
        <v>3568994530.3813868</v>
      </c>
      <c r="K34" s="34">
        <f t="shared" si="16"/>
        <v>50110537137.309898</v>
      </c>
      <c r="L34" s="37">
        <f t="shared" si="17"/>
        <v>49824411783.639915</v>
      </c>
      <c r="M34" s="34">
        <f t="shared" si="3"/>
        <v>2934173677.8221145</v>
      </c>
      <c r="N34" s="34">
        <f t="shared" si="4"/>
        <v>36050449.801830605</v>
      </c>
      <c r="O34" s="34">
        <f t="shared" si="5"/>
        <v>2970224127.6239452</v>
      </c>
      <c r="P34" s="34"/>
      <c r="Q34" s="38">
        <f t="shared" si="6"/>
        <v>2955373006.9858255</v>
      </c>
      <c r="R34" s="39">
        <f t="shared" si="7"/>
        <v>1477686503.4929128</v>
      </c>
      <c r="S34" s="34">
        <f t="shared" si="8"/>
        <v>1477686503.4929128</v>
      </c>
      <c r="T34" s="40">
        <v>9664378587</v>
      </c>
      <c r="U34" s="272">
        <f t="shared" si="9"/>
        <v>2.6988780705650929E-3</v>
      </c>
      <c r="V34" s="282">
        <f t="shared" si="10"/>
        <v>4.7211071982361519</v>
      </c>
      <c r="W34" s="290">
        <f>(L34+Norway!L34)</f>
        <v>169684051885.88354</v>
      </c>
      <c r="X34" s="291">
        <f t="shared" si="11"/>
        <v>84842025942.941772</v>
      </c>
      <c r="Y34" s="292">
        <f>(R34+Norway!R34)</f>
        <v>2195850216.7436266</v>
      </c>
      <c r="Z34" s="293">
        <f t="shared" si="12"/>
        <v>1097925108.3718133</v>
      </c>
      <c r="AA34" s="294">
        <f>((S34+Norway!S34)/(T34*(U34+Norway!U34))/12)</f>
        <v>20.246832923885407</v>
      </c>
      <c r="AB34" s="295">
        <f>(Q34+Norway!Q34)</f>
        <v>10137010139.492962</v>
      </c>
    </row>
    <row r="35" spans="1:28" ht="15.75" customHeight="1">
      <c r="A35" s="31" t="s">
        <v>68</v>
      </c>
      <c r="B35" s="32">
        <v>2051</v>
      </c>
      <c r="C35" s="271">
        <f t="shared" si="13"/>
        <v>6.5216894113867257E-3</v>
      </c>
      <c r="D35" s="271">
        <f t="shared" si="20"/>
        <v>6.5216894113867257E-3</v>
      </c>
      <c r="E35" s="34">
        <f>ABS(Norway!E35)</f>
        <v>0</v>
      </c>
      <c r="F35" s="42">
        <v>500</v>
      </c>
      <c r="G35" s="34">
        <f t="shared" si="0"/>
        <v>3260844705.6933627</v>
      </c>
      <c r="H35" s="34">
        <f t="shared" si="1"/>
        <v>3244540482.164896</v>
      </c>
      <c r="I35" s="43">
        <v>1</v>
      </c>
      <c r="J35" s="36">
        <f t="shared" si="2"/>
        <v>3244540482.164896</v>
      </c>
      <c r="K35" s="34">
        <f t="shared" si="16"/>
        <v>53355077619.474792</v>
      </c>
      <c r="L35" s="37">
        <f t="shared" si="17"/>
        <v>53042417789.671913</v>
      </c>
      <c r="M35" s="34">
        <f t="shared" si="3"/>
        <v>3158867707.0827703</v>
      </c>
      <c r="N35" s="34">
        <f t="shared" si="4"/>
        <v>0</v>
      </c>
      <c r="O35" s="34">
        <f t="shared" si="5"/>
        <v>3158867707.0827703</v>
      </c>
      <c r="P35" s="34"/>
      <c r="Q35" s="38">
        <f t="shared" si="6"/>
        <v>3143073368.5473566</v>
      </c>
      <c r="R35" s="39">
        <f t="shared" si="7"/>
        <v>1571536684.2736783</v>
      </c>
      <c r="S35" s="34">
        <f t="shared" si="8"/>
        <v>1571536684.2736783</v>
      </c>
      <c r="T35" s="40">
        <v>9704192304</v>
      </c>
      <c r="U35" s="272">
        <f t="shared" si="9"/>
        <v>2.6988780705650929E-3</v>
      </c>
      <c r="V35" s="282">
        <f t="shared" si="10"/>
        <v>5.0003524702131301</v>
      </c>
      <c r="W35" s="290">
        <f>(L35+Norway!L35)</f>
        <v>179408588588.94507</v>
      </c>
      <c r="X35" s="291">
        <f t="shared" si="11"/>
        <v>89704294294.472534</v>
      </c>
      <c r="Y35" s="292">
        <f>(R35+Norway!R35)</f>
        <v>2327647251.9306617</v>
      </c>
      <c r="Z35" s="293">
        <f t="shared" si="12"/>
        <v>1163823625.9653308</v>
      </c>
      <c r="AA35" s="294">
        <f>((S35+Norway!S35)/(T35*(U35+Norway!U35))/12)</f>
        <v>21.269238363703092</v>
      </c>
      <c r="AB35" s="295">
        <f>(Q35+Norway!Q35)</f>
        <v>10704179045.117191</v>
      </c>
    </row>
    <row r="36" spans="1:28" ht="15.75" customHeight="1">
      <c r="A36" s="31" t="s">
        <v>69</v>
      </c>
      <c r="B36" s="32">
        <v>2052</v>
      </c>
      <c r="C36" s="271">
        <f t="shared" si="13"/>
        <v>5.8695204702480536E-3</v>
      </c>
      <c r="D36" s="271">
        <f t="shared" si="20"/>
        <v>5.8695204702480536E-3</v>
      </c>
      <c r="E36" s="34">
        <f>ABS(Norway!E36)</f>
        <v>0</v>
      </c>
      <c r="F36" s="42">
        <v>500</v>
      </c>
      <c r="G36" s="34">
        <f t="shared" si="0"/>
        <v>2934760235.1240268</v>
      </c>
      <c r="H36" s="34">
        <f t="shared" si="1"/>
        <v>2920086433.9484067</v>
      </c>
      <c r="I36" s="43">
        <v>1</v>
      </c>
      <c r="J36" s="36">
        <f t="shared" si="2"/>
        <v>2920086433.9484067</v>
      </c>
      <c r="K36" s="34">
        <f t="shared" si="16"/>
        <v>56275164053.423203</v>
      </c>
      <c r="L36" s="37">
        <f t="shared" si="17"/>
        <v>55934522971.508514</v>
      </c>
      <c r="M36" s="34">
        <f t="shared" si="3"/>
        <v>3362889287.8651991</v>
      </c>
      <c r="N36" s="34">
        <f t="shared" si="4"/>
        <v>0</v>
      </c>
      <c r="O36" s="34">
        <f t="shared" si="5"/>
        <v>3362889287.8651991</v>
      </c>
      <c r="P36" s="34"/>
      <c r="Q36" s="38">
        <f t="shared" si="6"/>
        <v>3346074841.4258733</v>
      </c>
      <c r="R36" s="39">
        <f t="shared" si="7"/>
        <v>1673037420.7129366</v>
      </c>
      <c r="S36" s="34">
        <f t="shared" si="8"/>
        <v>1673037420.7129366</v>
      </c>
      <c r="T36" s="40">
        <v>9742264515</v>
      </c>
      <c r="U36" s="272">
        <f t="shared" si="9"/>
        <v>2.6988780705650929E-3</v>
      </c>
      <c r="V36" s="282">
        <f t="shared" si="10"/>
        <v>5.3025067164260067</v>
      </c>
      <c r="W36" s="290">
        <f>(L36+Norway!L36)</f>
        <v>188147325150.75458</v>
      </c>
      <c r="X36" s="291">
        <f t="shared" si="11"/>
        <v>94073662575.377289</v>
      </c>
      <c r="Y36" s="292">
        <f>(R36+Norway!R36)</f>
        <v>2470193135.9659915</v>
      </c>
      <c r="Z36" s="293">
        <f t="shared" si="12"/>
        <v>1235096567.9829957</v>
      </c>
      <c r="AA36" s="294">
        <f>((S36+Norway!S36)/(T36*(U36+Norway!U36))/12)</f>
        <v>22.37714852128704</v>
      </c>
      <c r="AB36" s="295">
        <f>(Q36+Norway!Q36)</f>
        <v>11317631993.956421</v>
      </c>
    </row>
    <row r="37" spans="1:28" ht="15.75" customHeight="1">
      <c r="A37" s="31" t="s">
        <v>70</v>
      </c>
      <c r="B37" s="32">
        <v>2053</v>
      </c>
      <c r="C37" s="271">
        <f t="shared" si="13"/>
        <v>5.2825684232232486E-3</v>
      </c>
      <c r="D37" s="271">
        <f t="shared" si="20"/>
        <v>5.2825684232232486E-3</v>
      </c>
      <c r="E37" s="34">
        <f>ABS(Norway!E37)</f>
        <v>0</v>
      </c>
      <c r="F37" s="42">
        <v>500</v>
      </c>
      <c r="G37" s="34">
        <f t="shared" si="0"/>
        <v>2641284211.6116242</v>
      </c>
      <c r="H37" s="34">
        <f t="shared" si="1"/>
        <v>2628077790.553566</v>
      </c>
      <c r="I37" s="43">
        <v>1</v>
      </c>
      <c r="J37" s="36">
        <f t="shared" si="2"/>
        <v>2628077790.553566</v>
      </c>
      <c r="K37" s="34">
        <f t="shared" si="16"/>
        <v>58903241843.976768</v>
      </c>
      <c r="L37" s="37">
        <f t="shared" si="17"/>
        <v>58533319461.681053</v>
      </c>
      <c r="M37" s="34">
        <f t="shared" si="3"/>
        <v>3546248756.3936396</v>
      </c>
      <c r="N37" s="34">
        <f t="shared" si="4"/>
        <v>0</v>
      </c>
      <c r="O37" s="34">
        <f t="shared" si="5"/>
        <v>3546248756.3936396</v>
      </c>
      <c r="P37" s="34"/>
      <c r="Q37" s="38">
        <f t="shared" si="6"/>
        <v>3528517512.6116714</v>
      </c>
      <c r="R37" s="39">
        <f t="shared" si="7"/>
        <v>1764258756.3058357</v>
      </c>
      <c r="S37" s="34">
        <f t="shared" si="8"/>
        <v>1764258756.3058357</v>
      </c>
      <c r="T37" s="40">
        <v>9778614614</v>
      </c>
      <c r="U37" s="272">
        <f t="shared" si="9"/>
        <v>2.6988780705650929E-3</v>
      </c>
      <c r="V37" s="282">
        <f t="shared" si="10"/>
        <v>5.5708368611945209</v>
      </c>
      <c r="W37" s="290">
        <f>(L37+Norway!L37)</f>
        <v>195998848258.67282</v>
      </c>
      <c r="X37" s="291">
        <f t="shared" si="11"/>
        <v>97999424129.336411</v>
      </c>
      <c r="Y37" s="292">
        <f>(R37+Norway!R37)</f>
        <v>2598296776.2931738</v>
      </c>
      <c r="Z37" s="293">
        <f t="shared" si="12"/>
        <v>1299148388.1465869</v>
      </c>
      <c r="AA37" s="294">
        <f>((S37+Norway!S37)/(T37*(U37+Norway!U37))/12)</f>
        <v>23.360258684270942</v>
      </c>
      <c r="AB37" s="295">
        <f>(Q37+Norway!Q37)</f>
        <v>11868897712.48505</v>
      </c>
    </row>
    <row r="38" spans="1:28" ht="15.75" customHeight="1">
      <c r="A38" s="31" t="s">
        <v>71</v>
      </c>
      <c r="B38" s="32">
        <v>2054</v>
      </c>
      <c r="C38" s="271">
        <f t="shared" si="13"/>
        <v>4.7543115809009235E-3</v>
      </c>
      <c r="D38" s="271">
        <f t="shared" si="20"/>
        <v>4.7543115809009235E-3</v>
      </c>
      <c r="E38" s="34">
        <f>ABS(Norway!E38)</f>
        <v>0</v>
      </c>
      <c r="F38" s="42">
        <v>500</v>
      </c>
      <c r="G38" s="34">
        <f t="shared" si="0"/>
        <v>2377155790.4504619</v>
      </c>
      <c r="H38" s="34">
        <f t="shared" si="1"/>
        <v>2365270011.4982095</v>
      </c>
      <c r="I38" s="43">
        <v>1</v>
      </c>
      <c r="J38" s="36">
        <f t="shared" si="2"/>
        <v>2365270011.4982095</v>
      </c>
      <c r="K38" s="34">
        <f t="shared" si="16"/>
        <v>61268511855.474976</v>
      </c>
      <c r="L38" s="37">
        <f t="shared" si="17"/>
        <v>60868140178.442673</v>
      </c>
      <c r="M38" s="34">
        <f t="shared" si="3"/>
        <v>3711012453.8705788</v>
      </c>
      <c r="N38" s="34">
        <f t="shared" si="4"/>
        <v>0</v>
      </c>
      <c r="O38" s="34">
        <f t="shared" si="5"/>
        <v>3711012453.8705788</v>
      </c>
      <c r="P38" s="34"/>
      <c r="Q38" s="38">
        <f t="shared" si="6"/>
        <v>3692457391.6012259</v>
      </c>
      <c r="R38" s="39">
        <f t="shared" si="7"/>
        <v>1846228695.8006129</v>
      </c>
      <c r="S38" s="34">
        <f t="shared" si="8"/>
        <v>1846228695.8006129</v>
      </c>
      <c r="T38" s="40">
        <v>9813251659</v>
      </c>
      <c r="U38" s="272">
        <f t="shared" si="9"/>
        <v>2.6988780705650929E-3</v>
      </c>
      <c r="V38" s="282">
        <f t="shared" si="10"/>
        <v>5.8090892629849584</v>
      </c>
      <c r="W38" s="290">
        <f>(L38+Norway!L38)</f>
        <v>203051885927.98773</v>
      </c>
      <c r="X38" s="291">
        <f t="shared" si="11"/>
        <v>101525942963.99387</v>
      </c>
      <c r="Y38" s="292">
        <f>(R38+Norway!R38)</f>
        <v>2713402491.1106758</v>
      </c>
      <c r="Z38" s="293">
        <f t="shared" si="12"/>
        <v>1356701245.5553379</v>
      </c>
      <c r="AA38" s="294">
        <f>((S38+Norway!S38)/(T38*(U38+Norway!U38))/12)</f>
        <v>24.232440159034031</v>
      </c>
      <c r="AB38" s="295">
        <f>(Q38+Norway!Q38)</f>
        <v>12364195344.701855</v>
      </c>
    </row>
    <row r="39" spans="1:28" ht="15.75" customHeight="1">
      <c r="A39" s="31" t="s">
        <v>72</v>
      </c>
      <c r="B39" s="32">
        <v>2055</v>
      </c>
      <c r="C39" s="271">
        <f t="shared" si="13"/>
        <v>4.2788804228108311E-3</v>
      </c>
      <c r="D39" s="271">
        <f t="shared" si="20"/>
        <v>4.2788804228108311E-3</v>
      </c>
      <c r="E39" s="34">
        <f>ABS(Norway!E39)</f>
        <v>0</v>
      </c>
      <c r="F39" s="42">
        <v>500</v>
      </c>
      <c r="G39" s="34">
        <f t="shared" si="0"/>
        <v>2139440211.4054153</v>
      </c>
      <c r="H39" s="34">
        <f t="shared" si="1"/>
        <v>2128743010.3483882</v>
      </c>
      <c r="I39" s="43">
        <v>1</v>
      </c>
      <c r="J39" s="36">
        <f t="shared" si="2"/>
        <v>2128743010.3483882</v>
      </c>
      <c r="K39" s="34">
        <f t="shared" si="16"/>
        <v>63397254865.823364</v>
      </c>
      <c r="L39" s="37">
        <f t="shared" si="17"/>
        <v>62965384747.196671</v>
      </c>
      <c r="M39" s="34">
        <f t="shared" si="3"/>
        <v>3859040087.3132653</v>
      </c>
      <c r="N39" s="34">
        <f t="shared" si="4"/>
        <v>0</v>
      </c>
      <c r="O39" s="34">
        <f t="shared" si="5"/>
        <v>3859040087.3132653</v>
      </c>
      <c r="P39" s="34"/>
      <c r="Q39" s="38">
        <f t="shared" si="6"/>
        <v>3839744886.876699</v>
      </c>
      <c r="R39" s="39">
        <f t="shared" si="7"/>
        <v>1919872443.4383495</v>
      </c>
      <c r="S39" s="34">
        <f t="shared" si="8"/>
        <v>1919872443.4383495</v>
      </c>
      <c r="T39" s="40">
        <v>9846237570</v>
      </c>
      <c r="U39" s="272">
        <f t="shared" si="9"/>
        <v>2.6988780705650929E-3</v>
      </c>
      <c r="V39" s="282">
        <f t="shared" si="10"/>
        <v>6.0205692247621263</v>
      </c>
      <c r="W39" s="290">
        <f>(L39+Norway!L39)</f>
        <v>209386293369.1236</v>
      </c>
      <c r="X39" s="291">
        <f t="shared" si="11"/>
        <v>104693146684.5618</v>
      </c>
      <c r="Y39" s="292">
        <f>(R39+Norway!R39)</f>
        <v>2816810166.750205</v>
      </c>
      <c r="Z39" s="293">
        <f t="shared" si="12"/>
        <v>1408405083.3751025</v>
      </c>
      <c r="AA39" s="294">
        <f>((S39+Norway!S39)/(T39*(U39+Norway!U39))/12)</f>
        <v>25.005915836588688</v>
      </c>
      <c r="AB39" s="295">
        <f>(Q39+Norway!Q39)</f>
        <v>12809122119.995253</v>
      </c>
    </row>
    <row r="40" spans="1:28" ht="15.75" customHeight="1">
      <c r="A40" s="31" t="s">
        <v>73</v>
      </c>
      <c r="B40" s="32">
        <v>2056</v>
      </c>
      <c r="C40" s="271">
        <f t="shared" si="13"/>
        <v>3.850992380529748E-3</v>
      </c>
      <c r="D40" s="271">
        <f t="shared" si="20"/>
        <v>3.850992380529748E-3</v>
      </c>
      <c r="E40" s="34">
        <f>ABS(Norway!E40)</f>
        <v>0</v>
      </c>
      <c r="F40" s="42">
        <v>500</v>
      </c>
      <c r="G40" s="34">
        <f t="shared" si="0"/>
        <v>1925496190.264874</v>
      </c>
      <c r="H40" s="34">
        <f t="shared" si="1"/>
        <v>1915868709.3135495</v>
      </c>
      <c r="I40" s="43">
        <v>1</v>
      </c>
      <c r="J40" s="36">
        <f t="shared" si="2"/>
        <v>1915868709.3135495</v>
      </c>
      <c r="K40" s="34">
        <f t="shared" si="16"/>
        <v>65313123575.136917</v>
      </c>
      <c r="L40" s="37">
        <f t="shared" si="17"/>
        <v>64848812829.781975</v>
      </c>
      <c r="M40" s="34">
        <f t="shared" si="3"/>
        <v>3992005392.9722686</v>
      </c>
      <c r="N40" s="34">
        <f t="shared" si="4"/>
        <v>0</v>
      </c>
      <c r="O40" s="34">
        <f t="shared" si="5"/>
        <v>3992005392.9722686</v>
      </c>
      <c r="P40" s="34">
        <f>O40*0.2%</f>
        <v>7984010.7859445373</v>
      </c>
      <c r="Q40" s="38">
        <f t="shared" si="6"/>
        <v>3964101275.2753925</v>
      </c>
      <c r="R40" s="39">
        <f t="shared" si="7"/>
        <v>1982050637.6376963</v>
      </c>
      <c r="S40" s="34">
        <f t="shared" si="8"/>
        <v>1982050637.6376963</v>
      </c>
      <c r="T40" s="40">
        <v>9877680392</v>
      </c>
      <c r="U40" s="272">
        <f t="shared" si="9"/>
        <v>2.6988780705650929E-3</v>
      </c>
      <c r="V40" s="282">
        <f t="shared" si="10"/>
        <v>6.1957696846325545</v>
      </c>
      <c r="W40" s="290">
        <f>(L40+Norway!L40)</f>
        <v>215073940268.12885</v>
      </c>
      <c r="X40" s="291">
        <f t="shared" si="11"/>
        <v>107536970134.06442</v>
      </c>
      <c r="Y40" s="292">
        <f>(R40+Norway!R40)</f>
        <v>2903870321.4616785</v>
      </c>
      <c r="Z40" s="293">
        <f t="shared" si="12"/>
        <v>1451935160.7308393</v>
      </c>
      <c r="AA40" s="294">
        <f>((S40+Norway!S40)/(T40*(U40+Norway!U40))/12)</f>
        <v>25.640046640009757</v>
      </c>
      <c r="AB40" s="295">
        <f>(Q40+Norway!Q40)</f>
        <v>13182298113.515213</v>
      </c>
    </row>
    <row r="41" spans="1:28" ht="15.75" customHeight="1">
      <c r="A41" s="31" t="s">
        <v>74</v>
      </c>
      <c r="B41" s="32">
        <v>2057</v>
      </c>
      <c r="C41" s="271">
        <f t="shared" si="13"/>
        <v>3.4658931424767733E-3</v>
      </c>
      <c r="D41" s="271">
        <f t="shared" si="20"/>
        <v>3.4658931424767733E-3</v>
      </c>
      <c r="E41" s="34">
        <f>ABS(Norway!E41)</f>
        <v>0</v>
      </c>
      <c r="F41" s="42">
        <v>500</v>
      </c>
      <c r="G41" s="34">
        <f t="shared" si="0"/>
        <v>1732946571.2383866</v>
      </c>
      <c r="H41" s="34">
        <f t="shared" si="1"/>
        <v>1724281838.3821948</v>
      </c>
      <c r="I41" s="43">
        <v>1</v>
      </c>
      <c r="J41" s="36">
        <f t="shared" si="2"/>
        <v>1724281838.3821948</v>
      </c>
      <c r="K41" s="34">
        <f t="shared" si="16"/>
        <v>67045389424.305054</v>
      </c>
      <c r="L41" s="37">
        <f t="shared" si="17"/>
        <v>66547788139.610641</v>
      </c>
      <c r="M41" s="34">
        <f t="shared" si="3"/>
        <v>4111414733.4081769</v>
      </c>
      <c r="N41" s="34">
        <f t="shared" si="4"/>
        <v>0</v>
      </c>
      <c r="O41" s="34">
        <f t="shared" si="5"/>
        <v>4111414733.4081769</v>
      </c>
      <c r="P41" s="34">
        <f>O41*0.4%</f>
        <v>16445658.933632707</v>
      </c>
      <c r="Q41" s="38">
        <f t="shared" si="6"/>
        <v>4074494229.1021714</v>
      </c>
      <c r="R41" s="39">
        <f t="shared" si="7"/>
        <v>2037247114.5510857</v>
      </c>
      <c r="S41" s="34">
        <f t="shared" si="8"/>
        <v>2037247114.5510857</v>
      </c>
      <c r="T41" s="40">
        <v>9907637193</v>
      </c>
      <c r="U41" s="272">
        <f t="shared" si="9"/>
        <v>2.6988780705650929E-3</v>
      </c>
      <c r="V41" s="282">
        <f t="shared" si="10"/>
        <v>6.3490552445996826</v>
      </c>
      <c r="W41" s="290">
        <f>(L41+Norway!L41)</f>
        <v>220187489357.89618</v>
      </c>
      <c r="X41" s="291">
        <f t="shared" si="11"/>
        <v>110093744678.94809</v>
      </c>
      <c r="Y41" s="292">
        <f>(R41+Norway!R41)</f>
        <v>2981121625.2847319</v>
      </c>
      <c r="Z41" s="293">
        <f t="shared" si="12"/>
        <v>1490560812.6423659</v>
      </c>
      <c r="AA41" s="294">
        <f>((S41+Norway!S41)/(T41*(U41+Norway!U41))/12)</f>
        <v>26.193449804491621</v>
      </c>
      <c r="AB41" s="295">
        <f>(Q41+Norway!Q41)</f>
        <v>13513239336.438633</v>
      </c>
    </row>
    <row r="42" spans="1:28" ht="15.75" customHeight="1">
      <c r="A42" s="31" t="s">
        <v>75</v>
      </c>
      <c r="B42" s="32">
        <v>2058</v>
      </c>
      <c r="C42" s="271">
        <f t="shared" si="13"/>
        <v>3.1193038282290959E-3</v>
      </c>
      <c r="D42" s="271">
        <f t="shared" si="20"/>
        <v>3.1193038282290959E-3</v>
      </c>
      <c r="E42" s="34">
        <f>ABS(Norway!E42)</f>
        <v>0</v>
      </c>
      <c r="F42" s="42">
        <v>500</v>
      </c>
      <c r="G42" s="34">
        <f t="shared" si="0"/>
        <v>1559651914.114548</v>
      </c>
      <c r="H42" s="34">
        <f t="shared" si="1"/>
        <v>1551853654.5439751</v>
      </c>
      <c r="I42" s="43">
        <v>1</v>
      </c>
      <c r="J42" s="36">
        <f t="shared" si="2"/>
        <v>1551853654.5439751</v>
      </c>
      <c r="K42" s="34">
        <f t="shared" si="16"/>
        <v>68613688737.782661</v>
      </c>
      <c r="L42" s="37">
        <f t="shared" si="17"/>
        <v>68082029409.36171</v>
      </c>
      <c r="M42" s="34">
        <f t="shared" si="3"/>
        <v>4219129768.0513144</v>
      </c>
      <c r="N42" s="34">
        <f t="shared" si="4"/>
        <v>0</v>
      </c>
      <c r="O42" s="34">
        <f t="shared" si="5"/>
        <v>4219129768.0513144</v>
      </c>
      <c r="P42" s="34">
        <f>O42*0.6%</f>
        <v>25314778.608307887</v>
      </c>
      <c r="Q42" s="38">
        <f t="shared" si="6"/>
        <v>4172845914.4957914</v>
      </c>
      <c r="R42" s="39">
        <f t="shared" si="7"/>
        <v>2086422957.2478957</v>
      </c>
      <c r="S42" s="34">
        <f t="shared" si="8"/>
        <v>2086422957.2478957</v>
      </c>
      <c r="T42" s="40">
        <v>9936164379</v>
      </c>
      <c r="U42" s="272">
        <f t="shared" si="9"/>
        <v>2.6988780705650929E-3</v>
      </c>
      <c r="V42" s="282">
        <f t="shared" si="10"/>
        <v>6.4836427104791676</v>
      </c>
      <c r="W42" s="290">
        <f>(L42+Norway!L42)</f>
        <v>224785628486.3302</v>
      </c>
      <c r="X42" s="291">
        <f t="shared" si="11"/>
        <v>112392814243.1651</v>
      </c>
      <c r="Y42" s="292">
        <f>(R42+Norway!R42)</f>
        <v>3049813052.4800344</v>
      </c>
      <c r="Z42" s="293">
        <f t="shared" si="12"/>
        <v>1524906526.2400172</v>
      </c>
      <c r="AA42" s="294">
        <f>((S42+Norway!S42)/(T42*(U42+Norway!U42))/12)</f>
        <v>26.67576115360535</v>
      </c>
      <c r="AB42" s="295">
        <f>(Q42+Norway!Q42)</f>
        <v>13806746866.817177</v>
      </c>
    </row>
    <row r="43" spans="1:28" ht="15.75" customHeight="1">
      <c r="A43" s="31" t="s">
        <v>76</v>
      </c>
      <c r="B43" s="32">
        <v>2059</v>
      </c>
      <c r="C43" s="271">
        <f t="shared" si="13"/>
        <v>2.8073734454061865E-3</v>
      </c>
      <c r="D43" s="271">
        <f t="shared" si="20"/>
        <v>2.8073734454061865E-3</v>
      </c>
      <c r="E43" s="34">
        <f>ABS(Norway!E43)</f>
        <v>0</v>
      </c>
      <c r="F43" s="42">
        <v>500</v>
      </c>
      <c r="G43" s="34">
        <f t="shared" si="0"/>
        <v>1403686722.7030931</v>
      </c>
      <c r="H43" s="34">
        <f t="shared" si="1"/>
        <v>1396668289.0895777</v>
      </c>
      <c r="I43" s="43">
        <v>1</v>
      </c>
      <c r="J43" s="36">
        <f t="shared" si="2"/>
        <v>1396668289.0895777</v>
      </c>
      <c r="K43" s="34">
        <f t="shared" si="16"/>
        <v>70035671805.480545</v>
      </c>
      <c r="L43" s="37">
        <f t="shared" si="17"/>
        <v>69469260470.821075</v>
      </c>
      <c r="M43" s="34">
        <f t="shared" si="3"/>
        <v>4316400664.5535326</v>
      </c>
      <c r="N43" s="34">
        <f t="shared" si="4"/>
        <v>0</v>
      </c>
      <c r="O43" s="34">
        <f t="shared" si="5"/>
        <v>4316400664.5535326</v>
      </c>
      <c r="P43" s="34">
        <f>O43*0.8%</f>
        <v>34531205.316428259</v>
      </c>
      <c r="Q43" s="38">
        <f t="shared" si="6"/>
        <v>4260460111.9409189</v>
      </c>
      <c r="R43" s="39">
        <f t="shared" si="7"/>
        <v>2130230055.9704595</v>
      </c>
      <c r="S43" s="34">
        <f t="shared" si="8"/>
        <v>2130230055.9704595</v>
      </c>
      <c r="T43" s="40">
        <v>9963337082</v>
      </c>
      <c r="U43" s="272">
        <f t="shared" si="9"/>
        <v>2.6988780705650929E-3</v>
      </c>
      <c r="V43" s="282">
        <f t="shared" si="10"/>
        <v>6.6017211112824548</v>
      </c>
      <c r="W43" s="290">
        <f>(L43+Norway!L43)</f>
        <v>228921153686.61392</v>
      </c>
      <c r="X43" s="291">
        <f t="shared" si="11"/>
        <v>114460576843.30696</v>
      </c>
      <c r="Y43" s="292">
        <f>(R43+Norway!R43)</f>
        <v>3110855103.5152421</v>
      </c>
      <c r="Z43" s="293">
        <f t="shared" si="12"/>
        <v>1555427551.757621</v>
      </c>
      <c r="AA43" s="294">
        <f>((S43+Norway!S43)/(T43*(U43+Norway!U43))/12)</f>
        <v>27.094963019594577</v>
      </c>
      <c r="AB43" s="295">
        <f>(Q43+Norway!Q43)</f>
        <v>14066710587.388744</v>
      </c>
    </row>
    <row r="44" spans="1:28" ht="15.75" customHeight="1">
      <c r="A44" s="31" t="s">
        <v>77</v>
      </c>
      <c r="B44" s="32">
        <v>2060</v>
      </c>
      <c r="C44" s="271">
        <f t="shared" si="13"/>
        <v>2.5266361008655677E-3</v>
      </c>
      <c r="D44" s="271">
        <f t="shared" si="20"/>
        <v>2.5266361008655677E-3</v>
      </c>
      <c r="E44" s="34">
        <f>ABS(Norway!E44)</f>
        <v>0</v>
      </c>
      <c r="F44" s="42">
        <v>500</v>
      </c>
      <c r="G44" s="34">
        <f t="shared" si="0"/>
        <v>1263318050.4327838</v>
      </c>
      <c r="H44" s="34">
        <f t="shared" si="1"/>
        <v>1257001460.18062</v>
      </c>
      <c r="I44" s="43">
        <v>1</v>
      </c>
      <c r="J44" s="36">
        <f t="shared" si="2"/>
        <v>1257001460.18062</v>
      </c>
      <c r="K44" s="34">
        <f t="shared" si="16"/>
        <v>71327204470.977585</v>
      </c>
      <c r="L44" s="37">
        <f t="shared" si="17"/>
        <v>70725412739.749954</v>
      </c>
      <c r="M44" s="34">
        <f t="shared" si="3"/>
        <v>4404351113.8500557</v>
      </c>
      <c r="N44" s="34">
        <f t="shared" si="4"/>
        <v>0</v>
      </c>
      <c r="O44" s="34">
        <f t="shared" si="5"/>
        <v>4404351113.8500557</v>
      </c>
      <c r="P44" s="34">
        <f>O44*1%</f>
        <v>44043511.138500556</v>
      </c>
      <c r="Q44" s="38">
        <f t="shared" si="6"/>
        <v>4338506064.697998</v>
      </c>
      <c r="R44" s="39">
        <f t="shared" si="7"/>
        <v>2169253032.348999</v>
      </c>
      <c r="S44" s="34">
        <f t="shared" si="8"/>
        <v>2169253032.348999</v>
      </c>
      <c r="T44" s="40">
        <v>9989232292</v>
      </c>
      <c r="U44" s="272">
        <f t="shared" si="9"/>
        <v>2.6988780705650929E-3</v>
      </c>
      <c r="V44" s="282">
        <f t="shared" si="10"/>
        <v>6.7052286225152642</v>
      </c>
      <c r="W44" s="290">
        <f>(L44+Norway!L44)</f>
        <v>232641561353.46149</v>
      </c>
      <c r="X44" s="291">
        <f t="shared" si="11"/>
        <v>116320780676.73074</v>
      </c>
      <c r="Y44" s="292">
        <f>(R44+Norway!R44)</f>
        <v>3165064706.5424528</v>
      </c>
      <c r="Z44" s="293">
        <f t="shared" si="12"/>
        <v>1582532353.2712264</v>
      </c>
      <c r="AA44" s="294">
        <f>((S44+Norway!S44)/(T44*(U44+Norway!U44))/12)</f>
        <v>27.458128704309633</v>
      </c>
      <c r="AB44" s="295">
        <f>(Q44+Norway!Q44)</f>
        <v>14296622806.632538</v>
      </c>
    </row>
    <row r="45" spans="1:28" ht="15.75" customHeight="1">
      <c r="A45" s="31" t="s">
        <v>78</v>
      </c>
      <c r="B45" s="32">
        <v>2061</v>
      </c>
      <c r="C45" s="271">
        <f t="shared" si="13"/>
        <v>2.2739724907790112E-3</v>
      </c>
      <c r="D45" s="271">
        <f t="shared" si="20"/>
        <v>2.2739724907790112E-3</v>
      </c>
      <c r="E45" s="34">
        <f>ABS(Norway!E45)</f>
        <v>0</v>
      </c>
      <c r="F45" s="42">
        <v>500</v>
      </c>
      <c r="G45" s="34">
        <f t="shared" si="0"/>
        <v>1136986245.3895056</v>
      </c>
      <c r="H45" s="34">
        <f t="shared" si="1"/>
        <v>1131301314.1625581</v>
      </c>
      <c r="I45" s="43">
        <v>1</v>
      </c>
      <c r="J45" s="36">
        <f t="shared" si="2"/>
        <v>1131301314.1625581</v>
      </c>
      <c r="K45" s="34">
        <f t="shared" si="16"/>
        <v>72502549296.278641</v>
      </c>
      <c r="L45" s="37">
        <f t="shared" si="17"/>
        <v>71864807186.268494</v>
      </c>
      <c r="M45" s="34">
        <f t="shared" si="3"/>
        <v>4483991167.7001467</v>
      </c>
      <c r="N45" s="34">
        <f t="shared" si="4"/>
        <v>0</v>
      </c>
      <c r="O45" s="34">
        <f t="shared" si="5"/>
        <v>4483991167.7001467</v>
      </c>
      <c r="P45" s="34">
        <f>O45*1.2%</f>
        <v>53807894.01240176</v>
      </c>
      <c r="Q45" s="38">
        <f t="shared" si="6"/>
        <v>4408032357.3193064</v>
      </c>
      <c r="R45" s="39">
        <f t="shared" si="7"/>
        <v>2204016178.6596532</v>
      </c>
      <c r="S45" s="34">
        <f t="shared" si="8"/>
        <v>2204016178.6596532</v>
      </c>
      <c r="T45" s="40">
        <v>10013916213</v>
      </c>
      <c r="U45" s="272">
        <f t="shared" si="9"/>
        <v>2.6988780705650929E-3</v>
      </c>
      <c r="V45" s="282">
        <f t="shared" si="10"/>
        <v>6.7958895870844955</v>
      </c>
      <c r="W45" s="290">
        <f>(L45+Norway!L45)</f>
        <v>235989580935.74707</v>
      </c>
      <c r="X45" s="291">
        <f t="shared" si="11"/>
        <v>117994790467.87354</v>
      </c>
      <c r="Y45" s="292">
        <f>(R45+Norway!R45)</f>
        <v>3213174831.2759309</v>
      </c>
      <c r="Z45" s="293">
        <f t="shared" si="12"/>
        <v>1606587415.6379654</v>
      </c>
      <c r="AA45" s="294">
        <f>((S45+Norway!S45)/(T45*(U45+Norway!U45))/12)</f>
        <v>27.771559698541424</v>
      </c>
      <c r="AB45" s="295">
        <f>(Q45+Norway!Q45)</f>
        <v>14499618883.482082</v>
      </c>
    </row>
    <row r="46" spans="1:28" ht="15.75" customHeight="1">
      <c r="A46" s="31" t="s">
        <v>79</v>
      </c>
      <c r="B46" s="32">
        <v>2062</v>
      </c>
      <c r="C46" s="271">
        <f t="shared" si="13"/>
        <v>2.0465752417011102E-3</v>
      </c>
      <c r="D46" s="271">
        <f t="shared" si="20"/>
        <v>2.0465752417011102E-3</v>
      </c>
      <c r="E46" s="34">
        <f>ABS(Norway!E46)</f>
        <v>0</v>
      </c>
      <c r="F46" s="42">
        <v>500</v>
      </c>
      <c r="G46" s="34">
        <f t="shared" si="0"/>
        <v>1023287620.8505551</v>
      </c>
      <c r="H46" s="34">
        <f t="shared" si="1"/>
        <v>1018171182.7463022</v>
      </c>
      <c r="I46" s="43">
        <v>1</v>
      </c>
      <c r="J46" s="36">
        <f t="shared" si="2"/>
        <v>1018171182.7463022</v>
      </c>
      <c r="K46" s="34">
        <f t="shared" si="16"/>
        <v>73574528373.037354</v>
      </c>
      <c r="L46" s="37">
        <f t="shared" si="17"/>
        <v>72900317869.895691</v>
      </c>
      <c r="M46" s="34">
        <f t="shared" si="3"/>
        <v>4556228775.6094227</v>
      </c>
      <c r="N46" s="34">
        <f t="shared" si="4"/>
        <v>0</v>
      </c>
      <c r="O46" s="34">
        <f t="shared" si="5"/>
        <v>4556228775.6094227</v>
      </c>
      <c r="P46" s="34">
        <f>O46*1.4%</f>
        <v>63787202.858531915</v>
      </c>
      <c r="Q46" s="38">
        <f t="shared" si="6"/>
        <v>4469979364.8871365</v>
      </c>
      <c r="R46" s="39">
        <f t="shared" si="7"/>
        <v>2234989682.4435682</v>
      </c>
      <c r="S46" s="34">
        <f t="shared" si="8"/>
        <v>2234989682.4435682</v>
      </c>
      <c r="T46" s="40">
        <v>10037466600</v>
      </c>
      <c r="U46" s="272">
        <f t="shared" si="9"/>
        <v>2.6988780705650929E-3</v>
      </c>
      <c r="V46" s="282">
        <f t="shared" si="10"/>
        <v>6.8752247361536627</v>
      </c>
      <c r="W46" s="290">
        <f>(L46+Norway!L46)</f>
        <v>239003654121.56607</v>
      </c>
      <c r="X46" s="291">
        <f t="shared" si="11"/>
        <v>119501827060.78304</v>
      </c>
      <c r="Y46" s="292">
        <f>(R46+Norway!R46)</f>
        <v>3255843116.3439903</v>
      </c>
      <c r="Z46" s="293">
        <f t="shared" si="12"/>
        <v>1627921558.1719952</v>
      </c>
      <c r="AA46" s="294">
        <f>((S46+Norway!S46)/(T46*(U46+Norway!U46))/12)</f>
        <v>28.040814913207914</v>
      </c>
      <c r="AB46" s="295">
        <f>(Q46+Norway!Q46)</f>
        <v>14678513703.891357</v>
      </c>
    </row>
    <row r="47" spans="1:28" ht="15.75" customHeight="1">
      <c r="A47" s="31" t="s">
        <v>80</v>
      </c>
      <c r="B47" s="32">
        <v>2063</v>
      </c>
      <c r="C47" s="271">
        <f t="shared" si="13"/>
        <v>1.8419177175309992E-3</v>
      </c>
      <c r="D47" s="271">
        <f t="shared" si="20"/>
        <v>1.8419177175309992E-3</v>
      </c>
      <c r="E47" s="34">
        <f>ABS(Norway!E47)</f>
        <v>0</v>
      </c>
      <c r="F47" s="42">
        <v>500</v>
      </c>
      <c r="G47" s="34">
        <f t="shared" si="0"/>
        <v>920958858.76549971</v>
      </c>
      <c r="H47" s="34">
        <f t="shared" si="1"/>
        <v>916354064.47167218</v>
      </c>
      <c r="I47" s="43">
        <v>1</v>
      </c>
      <c r="J47" s="36">
        <f t="shared" si="2"/>
        <v>916354064.47167218</v>
      </c>
      <c r="K47" s="34">
        <f t="shared" si="16"/>
        <v>74554669640.367569</v>
      </c>
      <c r="L47" s="37">
        <f t="shared" si="17"/>
        <v>73843518907.657303</v>
      </c>
      <c r="M47" s="34">
        <f t="shared" si="3"/>
        <v>4621880152.9513865</v>
      </c>
      <c r="N47" s="34">
        <f t="shared" si="4"/>
        <v>0</v>
      </c>
      <c r="O47" s="34">
        <f t="shared" si="5"/>
        <v>4621880152.9513865</v>
      </c>
      <c r="P47" s="34">
        <f>O47*1.6%</f>
        <v>73950082.447222188</v>
      </c>
      <c r="Q47" s="38">
        <f t="shared" si="6"/>
        <v>4525190420.1516438</v>
      </c>
      <c r="R47" s="39">
        <f t="shared" si="7"/>
        <v>2262595210.0758219</v>
      </c>
      <c r="S47" s="34">
        <f t="shared" si="8"/>
        <v>2262595210.0758219</v>
      </c>
      <c r="T47" s="40">
        <v>10059950035</v>
      </c>
      <c r="U47" s="272">
        <f t="shared" si="9"/>
        <v>2.6988780705650929E-3</v>
      </c>
      <c r="V47" s="282">
        <f t="shared" si="10"/>
        <v>6.9445886966569974</v>
      </c>
      <c r="W47" s="290">
        <f>(L47+Norway!L47)</f>
        <v>241718365891.36169</v>
      </c>
      <c r="X47" s="291">
        <f t="shared" si="11"/>
        <v>120859182945.68085</v>
      </c>
      <c r="Y47" s="292">
        <f>(R47+Norway!R47)</f>
        <v>3293659611.3350115</v>
      </c>
      <c r="Z47" s="293">
        <f t="shared" si="12"/>
        <v>1646829805.6675057</v>
      </c>
      <c r="AA47" s="294">
        <f>((S47+Norway!S47)/(T47*(U47+Norway!U47))/12)</f>
        <v>28.270853212210621</v>
      </c>
      <c r="AB47" s="295">
        <f>(Q47+Norway!Q47)</f>
        <v>14835834432.743542</v>
      </c>
    </row>
    <row r="48" spans="1:28" ht="15.75" customHeight="1">
      <c r="A48" s="31" t="s">
        <v>81</v>
      </c>
      <c r="B48" s="32">
        <v>2064</v>
      </c>
      <c r="C48" s="271">
        <f t="shared" si="13"/>
        <v>1.6577259457778994E-3</v>
      </c>
      <c r="D48" s="271">
        <f t="shared" si="20"/>
        <v>1.6577259457778994E-3</v>
      </c>
      <c r="E48" s="34">
        <f>ABS(Norway!E48)</f>
        <v>0</v>
      </c>
      <c r="F48" s="42">
        <v>500</v>
      </c>
      <c r="G48" s="34">
        <f t="shared" si="0"/>
        <v>828862972.88894975</v>
      </c>
      <c r="H48" s="34">
        <f t="shared" si="1"/>
        <v>824718658.02450502</v>
      </c>
      <c r="I48" s="43">
        <v>1</v>
      </c>
      <c r="J48" s="36">
        <f t="shared" si="2"/>
        <v>824718658.02450502</v>
      </c>
      <c r="K48" s="34">
        <f t="shared" si="16"/>
        <v>75453338380.839294</v>
      </c>
      <c r="L48" s="37">
        <f t="shared" si="17"/>
        <v>74704816554.304962</v>
      </c>
      <c r="M48" s="34">
        <f t="shared" si="3"/>
        <v>4681679098.7454729</v>
      </c>
      <c r="N48" s="34">
        <f t="shared" si="4"/>
        <v>0</v>
      </c>
      <c r="O48" s="34">
        <f t="shared" si="5"/>
        <v>4681679098.7454729</v>
      </c>
      <c r="P48" s="34">
        <f>O48*1.8%</f>
        <v>84270223.777418524</v>
      </c>
      <c r="Q48" s="38">
        <f t="shared" si="6"/>
        <v>4574421830.593214</v>
      </c>
      <c r="R48" s="39">
        <f t="shared" si="7"/>
        <v>2287210915.296607</v>
      </c>
      <c r="S48" s="34">
        <f t="shared" si="8"/>
        <v>2287210915.296607</v>
      </c>
      <c r="T48" s="40">
        <v>10081402737</v>
      </c>
      <c r="U48" s="272">
        <f t="shared" si="9"/>
        <v>2.6988780705650929E-3</v>
      </c>
      <c r="V48" s="282">
        <f t="shared" si="10"/>
        <v>7.0052032400524027</v>
      </c>
      <c r="W48" s="290">
        <f>(L48+Norway!L48)</f>
        <v>244164832274.66141</v>
      </c>
      <c r="X48" s="291">
        <f t="shared" si="11"/>
        <v>122082416137.3307</v>
      </c>
      <c r="Y48" s="292">
        <f>(R48+Norway!R48)</f>
        <v>3327153724.3738179</v>
      </c>
      <c r="Z48" s="293">
        <f t="shared" si="12"/>
        <v>1663576862.186909</v>
      </c>
      <c r="AA48" s="294">
        <f>((S48+Norway!S48)/(T48*(U48+Norway!U48))/12)</f>
        <v>28.466159206579324</v>
      </c>
      <c r="AB48" s="295">
        <f>(Q48+Norway!Q48)</f>
        <v>14973849921.365324</v>
      </c>
    </row>
    <row r="49" spans="1:28" ht="15.75" customHeight="1">
      <c r="A49" s="31" t="s">
        <v>82</v>
      </c>
      <c r="B49" s="32">
        <v>2065</v>
      </c>
      <c r="C49" s="271">
        <f t="shared" si="13"/>
        <v>1.4919533512001094E-3</v>
      </c>
      <c r="D49" s="271">
        <f t="shared" si="20"/>
        <v>1.4919533512001094E-3</v>
      </c>
      <c r="E49" s="34">
        <f>ABS(Norway!E49)</f>
        <v>0</v>
      </c>
      <c r="F49" s="42">
        <v>500</v>
      </c>
      <c r="G49" s="34">
        <f t="shared" si="0"/>
        <v>745976675.60005474</v>
      </c>
      <c r="H49" s="34">
        <f t="shared" si="1"/>
        <v>742246792.22205448</v>
      </c>
      <c r="I49" s="43">
        <v>1</v>
      </c>
      <c r="J49" s="36">
        <f t="shared" si="2"/>
        <v>742246792.22205448</v>
      </c>
      <c r="K49" s="34">
        <f t="shared" si="16"/>
        <v>76279855396.838776</v>
      </c>
      <c r="L49" s="37">
        <f t="shared" si="17"/>
        <v>75493567903.519302</v>
      </c>
      <c r="M49" s="34">
        <f t="shared" si="3"/>
        <v>4736285369.5429344</v>
      </c>
      <c r="N49" s="34">
        <f t="shared" si="4"/>
        <v>0</v>
      </c>
      <c r="O49" s="34">
        <f t="shared" si="5"/>
        <v>4736285369.5429344</v>
      </c>
      <c r="P49" s="34">
        <f>O49*2%</f>
        <v>94725707.390858695</v>
      </c>
      <c r="Q49" s="38">
        <f t="shared" si="6"/>
        <v>4618351863.8413153</v>
      </c>
      <c r="R49" s="39">
        <f t="shared" si="7"/>
        <v>2309175931.9206576</v>
      </c>
      <c r="S49" s="34">
        <f t="shared" si="8"/>
        <v>2309175931.9206576</v>
      </c>
      <c r="T49" s="40">
        <v>10101849561</v>
      </c>
      <c r="U49" s="272">
        <f t="shared" si="9"/>
        <v>2.6988780705650929E-3</v>
      </c>
      <c r="V49" s="282">
        <f t="shared" si="10"/>
        <v>7.058161885787352</v>
      </c>
      <c r="W49" s="290">
        <f>(L49+Norway!L49)</f>
        <v>246371049160.14508</v>
      </c>
      <c r="X49" s="291">
        <f t="shared" si="11"/>
        <v>123185524580.07254</v>
      </c>
      <c r="Y49" s="292">
        <f>(R49+Norway!R49)</f>
        <v>3356800456.7460079</v>
      </c>
      <c r="Z49" s="293">
        <f t="shared" si="12"/>
        <v>1678400228.373004</v>
      </c>
      <c r="AA49" s="294">
        <f>((S49+Norway!S49)/(T49*(U49+Norway!U49))/12)</f>
        <v>28.630753398329166</v>
      </c>
      <c r="AB49" s="295">
        <f>(Q49+Norway!Q49)</f>
        <v>15094597112.094814</v>
      </c>
    </row>
    <row r="50" spans="1:28" ht="15.75" customHeight="1">
      <c r="A50" s="31" t="s">
        <v>83</v>
      </c>
      <c r="B50" s="32">
        <v>2066</v>
      </c>
      <c r="C50" s="271">
        <f t="shared" si="13"/>
        <v>1.3427580160800985E-3</v>
      </c>
      <c r="D50" s="271">
        <f t="shared" si="20"/>
        <v>1.3427580160800985E-3</v>
      </c>
      <c r="E50" s="34">
        <f>ABS(Norway!E50)</f>
        <v>0</v>
      </c>
      <c r="F50" s="42">
        <v>500</v>
      </c>
      <c r="G50" s="34">
        <f t="shared" si="0"/>
        <v>671379008.0400492</v>
      </c>
      <c r="H50" s="34">
        <f t="shared" si="1"/>
        <v>668022112.99984896</v>
      </c>
      <c r="I50" s="43">
        <v>1</v>
      </c>
      <c r="J50" s="36">
        <f t="shared" si="2"/>
        <v>668022112.99984896</v>
      </c>
      <c r="K50" s="34">
        <f t="shared" si="16"/>
        <v>77042603217.229477</v>
      </c>
      <c r="L50" s="37">
        <f t="shared" si="17"/>
        <v>76218187566.04805</v>
      </c>
      <c r="M50" s="34">
        <f t="shared" si="3"/>
        <v>4786292205.0831232</v>
      </c>
      <c r="N50" s="34">
        <f t="shared" si="4"/>
        <v>0</v>
      </c>
      <c r="O50" s="34">
        <f t="shared" si="5"/>
        <v>4786292205.0831232</v>
      </c>
      <c r="P50" s="34">
        <f>O50*2.2%</f>
        <v>105298428.51182872</v>
      </c>
      <c r="Q50" s="38">
        <f t="shared" si="6"/>
        <v>4657588807.6884384</v>
      </c>
      <c r="R50" s="39">
        <f t="shared" si="7"/>
        <v>2328794403.8442192</v>
      </c>
      <c r="S50" s="34">
        <f t="shared" si="8"/>
        <v>2328794403.8442192</v>
      </c>
      <c r="T50" s="40">
        <v>10121317107</v>
      </c>
      <c r="U50" s="272">
        <f t="shared" si="9"/>
        <v>2.6988780705650929E-3</v>
      </c>
      <c r="V50" s="282">
        <f t="shared" si="10"/>
        <v>7.104436002852256</v>
      </c>
      <c r="W50" s="290">
        <f>(L50+Norway!L50)</f>
        <v>248362206071.76202</v>
      </c>
      <c r="X50" s="291">
        <f t="shared" si="11"/>
        <v>124181103035.88101</v>
      </c>
      <c r="Y50" s="292">
        <f>(R50+Norway!R50)</f>
        <v>3383025997.7251458</v>
      </c>
      <c r="Z50" s="293">
        <f t="shared" si="12"/>
        <v>1691512998.8625729</v>
      </c>
      <c r="AA50" s="294">
        <f>((S50+Norway!S50)/(T50*(U50+Norway!U50))/12)</f>
        <v>28.76820990914808</v>
      </c>
      <c r="AB50" s="295">
        <f>(Q50+Norway!Q50)</f>
        <v>15199904746.497704</v>
      </c>
    </row>
    <row r="51" spans="1:28" ht="15.75" customHeight="1">
      <c r="A51" s="31" t="s">
        <v>84</v>
      </c>
      <c r="B51" s="32">
        <v>2067</v>
      </c>
      <c r="C51" s="271">
        <f t="shared" si="13"/>
        <v>1.2084822144720886E-3</v>
      </c>
      <c r="D51" s="271">
        <f t="shared" si="20"/>
        <v>1.2084822144720886E-3</v>
      </c>
      <c r="E51" s="34">
        <f>ABS(Norway!E51)</f>
        <v>0</v>
      </c>
      <c r="F51" s="42">
        <v>500</v>
      </c>
      <c r="G51" s="34">
        <f t="shared" si="0"/>
        <v>604241107.23604429</v>
      </c>
      <c r="H51" s="34">
        <f t="shared" si="1"/>
        <v>601219901.69986403</v>
      </c>
      <c r="I51" s="43">
        <v>1</v>
      </c>
      <c r="J51" s="36">
        <f t="shared" si="2"/>
        <v>601219901.69986403</v>
      </c>
      <c r="K51" s="34">
        <f t="shared" si="16"/>
        <v>77749121547.441162</v>
      </c>
      <c r="L51" s="37">
        <f t="shared" si="17"/>
        <v>76886243543.311615</v>
      </c>
      <c r="M51" s="34">
        <f t="shared" si="3"/>
        <v>4832233091.6874466</v>
      </c>
      <c r="N51" s="34">
        <f t="shared" si="4"/>
        <v>0</v>
      </c>
      <c r="O51" s="34">
        <f t="shared" si="5"/>
        <v>4832233091.6874466</v>
      </c>
      <c r="P51" s="34">
        <f>O51*2.4%</f>
        <v>115973594.20049872</v>
      </c>
      <c r="Q51" s="38">
        <f t="shared" si="6"/>
        <v>4692678199.9995136</v>
      </c>
      <c r="R51" s="39">
        <f t="shared" si="7"/>
        <v>2346339099.9997568</v>
      </c>
      <c r="S51" s="34">
        <f t="shared" si="8"/>
        <v>2346339099.9997568</v>
      </c>
      <c r="T51" s="40">
        <v>10139808361</v>
      </c>
      <c r="U51" s="272">
        <f t="shared" si="9"/>
        <v>2.6988780705650929E-3</v>
      </c>
      <c r="V51" s="282">
        <f t="shared" si="10"/>
        <v>7.1449060123879358</v>
      </c>
      <c r="W51" s="290">
        <f>(L51+Norway!L51)</f>
        <v>250160968430.51767</v>
      </c>
      <c r="X51" s="291">
        <f t="shared" si="11"/>
        <v>125080484215.25883</v>
      </c>
      <c r="Y51" s="292">
        <f>(R51+Norway!R51)</f>
        <v>3406212745.2528019</v>
      </c>
      <c r="Z51" s="293">
        <f t="shared" si="12"/>
        <v>1703106372.6264009</v>
      </c>
      <c r="AA51" s="294">
        <f>((S51+Norway!S51)/(T51*(U51+Norway!U51))/12)</f>
        <v>28.88177685932688</v>
      </c>
      <c r="AB51" s="295">
        <f>(Q51+Norway!Q51)</f>
        <v>15291414652.529966</v>
      </c>
    </row>
    <row r="52" spans="1:28" ht="15.75" customHeight="1">
      <c r="A52" s="31" t="s">
        <v>85</v>
      </c>
      <c r="B52" s="32">
        <v>2068</v>
      </c>
      <c r="C52" s="271">
        <f t="shared" si="13"/>
        <v>1.0876339930248797E-3</v>
      </c>
      <c r="D52" s="271">
        <f t="shared" si="20"/>
        <v>1.0876339930248797E-3</v>
      </c>
      <c r="E52" s="34">
        <f>ABS(Norway!E52)</f>
        <v>0</v>
      </c>
      <c r="F52" s="42">
        <v>500</v>
      </c>
      <c r="G52" s="34">
        <f t="shared" si="0"/>
        <v>543816996.51243985</v>
      </c>
      <c r="H52" s="34">
        <f t="shared" si="1"/>
        <v>541097911.52987766</v>
      </c>
      <c r="I52" s="43">
        <v>1</v>
      </c>
      <c r="J52" s="36">
        <f t="shared" si="2"/>
        <v>541097911.52987766</v>
      </c>
      <c r="K52" s="34">
        <f t="shared" si="16"/>
        <v>78406193053.171539</v>
      </c>
      <c r="L52" s="37">
        <f t="shared" si="17"/>
        <v>77504543391.517471</v>
      </c>
      <c r="M52" s="34">
        <f t="shared" si="3"/>
        <v>4874587840.645956</v>
      </c>
      <c r="N52" s="34">
        <f t="shared" si="4"/>
        <v>0</v>
      </c>
      <c r="O52" s="34">
        <f t="shared" si="5"/>
        <v>4874587840.645956</v>
      </c>
      <c r="P52" s="34">
        <f>O52*2.6%</f>
        <v>126739283.85679486</v>
      </c>
      <c r="Q52" s="38">
        <f t="shared" si="6"/>
        <v>4724109314.0052147</v>
      </c>
      <c r="R52" s="39">
        <f t="shared" si="7"/>
        <v>2362054657.0026073</v>
      </c>
      <c r="S52" s="34">
        <f t="shared" si="8"/>
        <v>2362054657.0026073</v>
      </c>
      <c r="T52" s="40">
        <v>10157301941</v>
      </c>
      <c r="U52" s="272">
        <f t="shared" si="9"/>
        <v>2.6988780705650929E-3</v>
      </c>
      <c r="V52" s="282">
        <f t="shared" si="10"/>
        <v>7.1803740636813638</v>
      </c>
      <c r="W52" s="290">
        <f>(L52+Norway!L52)</f>
        <v>251787731467.95032</v>
      </c>
      <c r="X52" s="291">
        <f t="shared" si="11"/>
        <v>125893865733.97516</v>
      </c>
      <c r="Y52" s="292">
        <f>(R52+Norway!R52)</f>
        <v>3426703811.3864145</v>
      </c>
      <c r="Z52" s="293">
        <f t="shared" si="12"/>
        <v>1713351905.6932073</v>
      </c>
      <c r="AA52" s="294">
        <f>((S52+Norway!S52)/(T52*(U52+Norway!U52))/12)</f>
        <v>28.974421917370382</v>
      </c>
      <c r="AB52" s="295">
        <f>(Q52+Norway!Q52)</f>
        <v>15370600857.843285</v>
      </c>
    </row>
    <row r="53" spans="1:28" ht="15.75" customHeight="1">
      <c r="A53" s="31" t="s">
        <v>86</v>
      </c>
      <c r="B53" s="32">
        <v>2069</v>
      </c>
      <c r="C53" s="271">
        <f t="shared" si="13"/>
        <v>9.7887059372239174E-4</v>
      </c>
      <c r="D53" s="271">
        <f t="shared" si="20"/>
        <v>9.7887059372239174E-4</v>
      </c>
      <c r="E53" s="34">
        <f>ABS(Norway!E53)</f>
        <v>0</v>
      </c>
      <c r="F53" s="42">
        <v>500</v>
      </c>
      <c r="G53" s="34">
        <f t="shared" si="0"/>
        <v>489435296.86119586</v>
      </c>
      <c r="H53" s="34">
        <f t="shared" si="1"/>
        <v>486988120.37688988</v>
      </c>
      <c r="I53" s="43">
        <v>1</v>
      </c>
      <c r="J53" s="36">
        <f t="shared" si="2"/>
        <v>486988120.37688988</v>
      </c>
      <c r="K53" s="34">
        <f t="shared" si="16"/>
        <v>79019920457.405228</v>
      </c>
      <c r="L53" s="37">
        <f t="shared" si="17"/>
        <v>78079211660.353287</v>
      </c>
      <c r="M53" s="34">
        <f t="shared" si="3"/>
        <v>4913788051.0222073</v>
      </c>
      <c r="N53" s="34">
        <f t="shared" si="4"/>
        <v>0</v>
      </c>
      <c r="O53" s="34">
        <f t="shared" si="5"/>
        <v>4913788051.0222073</v>
      </c>
      <c r="P53" s="34">
        <f>O53*2.8%</f>
        <v>137586065.4286218</v>
      </c>
      <c r="Q53" s="38">
        <f t="shared" si="6"/>
        <v>4752320975.665617</v>
      </c>
      <c r="R53" s="39">
        <f t="shared" si="7"/>
        <v>2376160487.8328085</v>
      </c>
      <c r="S53" s="34">
        <f t="shared" si="8"/>
        <v>2376160487.8328085</v>
      </c>
      <c r="T53" s="40">
        <v>10173782135</v>
      </c>
      <c r="U53" s="272">
        <f t="shared" si="9"/>
        <v>2.6988780705650929E-3</v>
      </c>
      <c r="V53" s="282">
        <f t="shared" si="10"/>
        <v>7.211553439211575</v>
      </c>
      <c r="W53" s="290">
        <f>(L53+Norway!L53)</f>
        <v>253260848639.25128</v>
      </c>
      <c r="X53" s="291">
        <f t="shared" si="11"/>
        <v>126630424319.62564</v>
      </c>
      <c r="Y53" s="292">
        <f>(R53+Norway!R53)</f>
        <v>3444807065.3857784</v>
      </c>
      <c r="Z53" s="293">
        <f t="shared" si="12"/>
        <v>1722403532.6928892</v>
      </c>
      <c r="AA53" s="294">
        <f>((S53+Norway!S53)/(T53*(U53+Norway!U53))/12)</f>
        <v>29.048784654898014</v>
      </c>
      <c r="AB53" s="295">
        <f>(Q53+Norway!Q53)</f>
        <v>15438786751.195314</v>
      </c>
    </row>
    <row r="54" spans="1:28" ht="15.75" customHeight="1">
      <c r="A54" s="31" t="s">
        <v>87</v>
      </c>
      <c r="B54" s="32">
        <v>2070</v>
      </c>
      <c r="C54" s="271">
        <f t="shared" si="13"/>
        <v>8.8098353435015256E-4</v>
      </c>
      <c r="D54" s="271">
        <f t="shared" si="20"/>
        <v>8.8098353435015256E-4</v>
      </c>
      <c r="E54" s="34">
        <f>ABS(Norway!E54)</f>
        <v>0</v>
      </c>
      <c r="F54" s="42">
        <v>500</v>
      </c>
      <c r="G54" s="34">
        <f t="shared" si="0"/>
        <v>440491767.17507625</v>
      </c>
      <c r="H54" s="34">
        <f t="shared" si="1"/>
        <v>438289308.33920085</v>
      </c>
      <c r="I54" s="43">
        <v>1</v>
      </c>
      <c r="J54" s="36">
        <f t="shared" si="2"/>
        <v>438289308.33920085</v>
      </c>
      <c r="K54" s="34">
        <f t="shared" si="16"/>
        <v>79595795831.17305</v>
      </c>
      <c r="L54" s="37">
        <f t="shared" si="17"/>
        <v>78615759490.60405</v>
      </c>
      <c r="M54" s="34">
        <f t="shared" si="3"/>
        <v>4950222019.2663984</v>
      </c>
      <c r="N54" s="34">
        <f t="shared" si="4"/>
        <v>0</v>
      </c>
      <c r="O54" s="34">
        <f t="shared" si="5"/>
        <v>4950222019.2663984</v>
      </c>
      <c r="P54" s="34">
        <f>O54*3%</f>
        <v>148506660.57799193</v>
      </c>
      <c r="Q54" s="38">
        <f t="shared" si="6"/>
        <v>4777706781.8949652</v>
      </c>
      <c r="R54" s="39">
        <f t="shared" si="7"/>
        <v>2388853390.9474826</v>
      </c>
      <c r="S54" s="34">
        <f t="shared" si="8"/>
        <v>2388853390.9474826</v>
      </c>
      <c r="T54" s="40">
        <v>10189241959</v>
      </c>
      <c r="U54" s="272">
        <f t="shared" si="9"/>
        <v>2.6988780705650929E-3</v>
      </c>
      <c r="V54" s="282">
        <f t="shared" si="10"/>
        <v>7.2390755823787494</v>
      </c>
      <c r="W54" s="290">
        <f>(L54+Norway!L54)</f>
        <v>254596837097.86566</v>
      </c>
      <c r="X54" s="291">
        <f t="shared" si="11"/>
        <v>127298418548.93283</v>
      </c>
      <c r="Y54" s="292">
        <f>(R54+Norway!R54)</f>
        <v>3460798761.8848457</v>
      </c>
      <c r="Z54" s="293">
        <f t="shared" si="12"/>
        <v>1730399380.9424229</v>
      </c>
      <c r="AA54" s="294">
        <f>((S54+Norway!S54)/(T54*(U54+Norway!U54))/12)</f>
        <v>29.10720115125353</v>
      </c>
      <c r="AB54" s="295">
        <f>(Q54+Norway!Q54)</f>
        <v>15497160491.268593</v>
      </c>
    </row>
    <row r="55" spans="1:28" ht="15.75" customHeight="1">
      <c r="A55" s="31" t="s">
        <v>88</v>
      </c>
      <c r="B55" s="32">
        <v>2071</v>
      </c>
      <c r="C55" s="271">
        <f t="shared" si="13"/>
        <v>7.9288518091513737E-4</v>
      </c>
      <c r="D55" s="271">
        <f t="shared" si="20"/>
        <v>7.9288518091513737E-4</v>
      </c>
      <c r="E55" s="34">
        <f>ABS(Norway!E55)</f>
        <v>0</v>
      </c>
      <c r="F55" s="42">
        <v>500</v>
      </c>
      <c r="G55" s="34">
        <f t="shared" si="0"/>
        <v>396442590.45756871</v>
      </c>
      <c r="H55" s="34">
        <f t="shared" si="1"/>
        <v>394460377.50528085</v>
      </c>
      <c r="I55" s="43">
        <v>1</v>
      </c>
      <c r="J55" s="36">
        <f t="shared" si="2"/>
        <v>394460377.50528085</v>
      </c>
      <c r="K55" s="34">
        <f t="shared" si="16"/>
        <v>80138762869.256317</v>
      </c>
      <c r="L55" s="37">
        <f t="shared" si="17"/>
        <v>79119147165.422974</v>
      </c>
      <c r="M55" s="34">
        <f t="shared" si="3"/>
        <v>4984239151.7042971</v>
      </c>
      <c r="N55" s="34">
        <f t="shared" si="4"/>
        <v>0</v>
      </c>
      <c r="O55" s="34">
        <f t="shared" si="5"/>
        <v>4984239151.7042971</v>
      </c>
      <c r="P55" s="34">
        <f>O55*3.2%</f>
        <v>159495652.85453752</v>
      </c>
      <c r="Q55" s="38">
        <f t="shared" si="6"/>
        <v>4800619781.3555107</v>
      </c>
      <c r="R55" s="39">
        <f t="shared" si="7"/>
        <v>2400309890.6777554</v>
      </c>
      <c r="S55" s="34">
        <f t="shared" si="8"/>
        <v>2400309890.6777554</v>
      </c>
      <c r="T55" s="40">
        <v>10203681568</v>
      </c>
      <c r="U55" s="272">
        <f t="shared" si="9"/>
        <v>2.6988780705650929E-3</v>
      </c>
      <c r="V55" s="282">
        <f t="shared" si="10"/>
        <v>7.2634994374920785</v>
      </c>
      <c r="W55" s="290">
        <f>(L55+Norway!L55)</f>
        <v>255810562536.04868</v>
      </c>
      <c r="X55" s="291">
        <f t="shared" si="11"/>
        <v>127905281268.02434</v>
      </c>
      <c r="Y55" s="292">
        <f>(R55+Norway!R55)</f>
        <v>3474926796.727807</v>
      </c>
      <c r="Z55" s="293">
        <f t="shared" si="12"/>
        <v>1737463398.3639035</v>
      </c>
      <c r="AA55" s="294">
        <f>((S55+Norway!S55)/(T55*(U55+Norway!U55))/12)</f>
        <v>29.151738413552067</v>
      </c>
      <c r="AB55" s="295">
        <f>(Q55+Norway!Q55)</f>
        <v>15546788841.856028</v>
      </c>
    </row>
    <row r="56" spans="1:28" ht="15.75" customHeight="1">
      <c r="A56" s="31" t="s">
        <v>89</v>
      </c>
      <c r="B56" s="32">
        <v>2072</v>
      </c>
      <c r="C56" s="271">
        <f t="shared" si="13"/>
        <v>7.1359666282362361E-4</v>
      </c>
      <c r="D56" s="271">
        <f t="shared" si="20"/>
        <v>7.1359666282362361E-4</v>
      </c>
      <c r="E56" s="34">
        <f>ABS(Norway!E56)</f>
        <v>0</v>
      </c>
      <c r="F56" s="42">
        <v>500</v>
      </c>
      <c r="G56" s="34">
        <f t="shared" si="0"/>
        <v>356798331.41181183</v>
      </c>
      <c r="H56" s="34">
        <f t="shared" si="1"/>
        <v>355014339.75475276</v>
      </c>
      <c r="I56" s="43">
        <v>1</v>
      </c>
      <c r="J56" s="36">
        <f t="shared" si="2"/>
        <v>355014339.75475276</v>
      </c>
      <c r="K56" s="34">
        <f t="shared" si="16"/>
        <v>80653272861.865601</v>
      </c>
      <c r="L56" s="37">
        <f t="shared" si="17"/>
        <v>79593840329.453247</v>
      </c>
      <c r="M56" s="34">
        <f t="shared" si="3"/>
        <v>5016153930.287816</v>
      </c>
      <c r="N56" s="34">
        <f t="shared" si="4"/>
        <v>0</v>
      </c>
      <c r="O56" s="34">
        <f t="shared" si="5"/>
        <v>5016153930.287816</v>
      </c>
      <c r="P56" s="34">
        <f>O56*3.4%</f>
        <v>170549233.62978575</v>
      </c>
      <c r="Q56" s="38">
        <f t="shared" si="6"/>
        <v>4821376673.1747408</v>
      </c>
      <c r="R56" s="39">
        <f t="shared" si="7"/>
        <v>2410688336.5873704</v>
      </c>
      <c r="S56" s="34">
        <f t="shared" si="8"/>
        <v>2410688336.5873704</v>
      </c>
      <c r="T56" s="40">
        <v>10217055169</v>
      </c>
      <c r="U56" s="272">
        <f t="shared" si="9"/>
        <v>2.6988780705650929E-3</v>
      </c>
      <c r="V56" s="282">
        <f t="shared" si="10"/>
        <v>7.2853566572386299</v>
      </c>
      <c r="W56" s="290">
        <f>(L56+Norway!L56)</f>
        <v>256915405464.3446</v>
      </c>
      <c r="X56" s="291">
        <f t="shared" si="11"/>
        <v>128457702732.1723</v>
      </c>
      <c r="Y56" s="292">
        <f>(R56+Norway!R56)</f>
        <v>3487413628.6800828</v>
      </c>
      <c r="Z56" s="293">
        <f t="shared" si="12"/>
        <v>1743706814.3400414</v>
      </c>
      <c r="AA56" s="294">
        <f>((S56+Norway!S56)/(T56*(U56+Norway!U56))/12)</f>
        <v>29.184372818582343</v>
      </c>
      <c r="AB56" s="295">
        <f>(Q56+Norway!Q56)</f>
        <v>15588629594.101864</v>
      </c>
    </row>
    <row r="57" spans="1:28" ht="15.75" customHeight="1">
      <c r="A57" s="31" t="s">
        <v>90</v>
      </c>
      <c r="B57" s="32">
        <v>2073</v>
      </c>
      <c r="C57" s="271">
        <f t="shared" si="13"/>
        <v>6.4223699654126132E-4</v>
      </c>
      <c r="D57" s="271">
        <f t="shared" si="20"/>
        <v>6.4223699654126132E-4</v>
      </c>
      <c r="E57" s="34">
        <f>ABS(Norway!E57)</f>
        <v>0</v>
      </c>
      <c r="F57" s="42">
        <v>500</v>
      </c>
      <c r="G57" s="34">
        <f t="shared" si="0"/>
        <v>321118498.27063066</v>
      </c>
      <c r="H57" s="34">
        <f t="shared" si="1"/>
        <v>319512905.7792775</v>
      </c>
      <c r="I57" s="35">
        <f t="shared" ref="I57:I184" si="21">100%</f>
        <v>1</v>
      </c>
      <c r="J57" s="36">
        <f t="shared" si="2"/>
        <v>319512905.7792775</v>
      </c>
      <c r="K57" s="34">
        <f t="shared" si="16"/>
        <v>81143335001.274673</v>
      </c>
      <c r="L57" s="37">
        <f t="shared" si="17"/>
        <v>80043860517.627899</v>
      </c>
      <c r="M57" s="34">
        <f t="shared" si="3"/>
        <v>5046249476.8873358</v>
      </c>
      <c r="N57" s="34">
        <f t="shared" si="4"/>
        <v>0</v>
      </c>
      <c r="O57" s="34">
        <f t="shared" si="5"/>
        <v>5046249476.8873358</v>
      </c>
      <c r="P57" s="34">
        <f>O57*3.6%</f>
        <v>181664981.1679441</v>
      </c>
      <c r="Q57" s="38">
        <f t="shared" si="6"/>
        <v>4840261573.2407951</v>
      </c>
      <c r="R57" s="39">
        <f t="shared" si="7"/>
        <v>2420130786.6203976</v>
      </c>
      <c r="S57" s="34">
        <f t="shared" si="8"/>
        <v>2420130786.6203976</v>
      </c>
      <c r="T57" s="40">
        <v>10229327824</v>
      </c>
      <c r="U57" s="272">
        <f t="shared" si="9"/>
        <v>2.6988780705650929E-3</v>
      </c>
      <c r="V57" s="282">
        <f t="shared" si="10"/>
        <v>7.3051178895757261</v>
      </c>
      <c r="W57" s="290">
        <f>(L57+Norway!L57)</f>
        <v>257923410794.70767</v>
      </c>
      <c r="X57" s="291">
        <f t="shared" si="11"/>
        <v>128961705397.35384</v>
      </c>
      <c r="Y57" s="292">
        <f>(R57+Norway!R57)</f>
        <v>3498458901.3045769</v>
      </c>
      <c r="Z57" s="293">
        <f t="shared" si="12"/>
        <v>1749229450.6522884</v>
      </c>
      <c r="AA57" s="294">
        <f>((S57+Norway!S57)/(T57*(U57+Norway!U57))/12)</f>
        <v>29.20685159939228</v>
      </c>
      <c r="AB57" s="295">
        <f>(Q57+Norway!Q57)</f>
        <v>15623542720.08259</v>
      </c>
    </row>
    <row r="58" spans="1:28" ht="15.75" customHeight="1">
      <c r="A58" s="31" t="s">
        <v>91</v>
      </c>
      <c r="B58" s="32">
        <v>2074</v>
      </c>
      <c r="C58" s="271">
        <f t="shared" si="13"/>
        <v>5.7801329688713515E-4</v>
      </c>
      <c r="D58" s="271">
        <f t="shared" si="20"/>
        <v>5.7801329688713515E-4</v>
      </c>
      <c r="E58" s="34">
        <f>ABS(Norway!E58)</f>
        <v>0</v>
      </c>
      <c r="F58" s="42">
        <v>500</v>
      </c>
      <c r="G58" s="34">
        <f t="shared" si="0"/>
        <v>289006648.44356763</v>
      </c>
      <c r="H58" s="34">
        <f t="shared" si="1"/>
        <v>287561615.20134979</v>
      </c>
      <c r="I58" s="35">
        <f t="shared" si="21"/>
        <v>1</v>
      </c>
      <c r="J58" s="36">
        <f t="shared" si="2"/>
        <v>287561615.20134979</v>
      </c>
      <c r="K58" s="34">
        <f t="shared" si="16"/>
        <v>81612561597.643967</v>
      </c>
      <c r="L58" s="37">
        <f t="shared" si="17"/>
        <v>80472830570.440201</v>
      </c>
      <c r="M58" s="34">
        <f t="shared" si="3"/>
        <v>5074780756.8176088</v>
      </c>
      <c r="N58" s="34">
        <f t="shared" si="4"/>
        <v>0</v>
      </c>
      <c r="O58" s="34">
        <f t="shared" si="5"/>
        <v>5074780756.8176088</v>
      </c>
      <c r="P58" s="34">
        <f>O58*3.8%</f>
        <v>192841668.75906914</v>
      </c>
      <c r="Q58" s="38">
        <f t="shared" si="6"/>
        <v>4857529392.618247</v>
      </c>
      <c r="R58" s="39">
        <f t="shared" si="7"/>
        <v>2428764696.3091235</v>
      </c>
      <c r="S58" s="34">
        <f t="shared" si="8"/>
        <v>2428764696.3091235</v>
      </c>
      <c r="T58" s="40">
        <v>10240485056</v>
      </c>
      <c r="U58" s="272">
        <f t="shared" si="9"/>
        <v>2.6988780705650929E-3</v>
      </c>
      <c r="V58" s="282">
        <f t="shared" si="10"/>
        <v>7.3231916989481229</v>
      </c>
      <c r="W58" s="290">
        <f>(L58+Norway!L58)</f>
        <v>258845422404.66174</v>
      </c>
      <c r="X58" s="291">
        <f t="shared" si="11"/>
        <v>129422711202.33087</v>
      </c>
      <c r="Y58" s="292">
        <f>(R58+Norway!R58)</f>
        <v>3508241795.7755356</v>
      </c>
      <c r="Z58" s="293">
        <f t="shared" si="12"/>
        <v>1754120897.8877678</v>
      </c>
      <c r="AA58" s="294">
        <f>((S58+Norway!S58)/(T58*(U58+Norway!U58))/12)</f>
        <v>29.220686652799802</v>
      </c>
      <c r="AB58" s="295">
        <f>(Q58+Norway!Q58)</f>
        <v>15652300387.282368</v>
      </c>
    </row>
    <row r="59" spans="1:28" ht="15.75" customHeight="1">
      <c r="A59" s="31" t="s">
        <v>92</v>
      </c>
      <c r="B59" s="32">
        <v>2075</v>
      </c>
      <c r="C59" s="271">
        <f t="shared" si="13"/>
        <v>5.2021196719842164E-4</v>
      </c>
      <c r="D59" s="271">
        <f t="shared" si="20"/>
        <v>5.2021196719842164E-4</v>
      </c>
      <c r="E59" s="34">
        <f>ABS(Norway!E59)</f>
        <v>0</v>
      </c>
      <c r="F59" s="42">
        <v>500</v>
      </c>
      <c r="G59" s="34">
        <f t="shared" si="0"/>
        <v>260105983.59921083</v>
      </c>
      <c r="H59" s="34">
        <f t="shared" si="1"/>
        <v>258805453.68121478</v>
      </c>
      <c r="I59" s="35">
        <f t="shared" si="21"/>
        <v>1</v>
      </c>
      <c r="J59" s="36">
        <f t="shared" si="2"/>
        <v>258805453.68121478</v>
      </c>
      <c r="K59" s="34">
        <f t="shared" si="16"/>
        <v>82064208720.084244</v>
      </c>
      <c r="L59" s="37">
        <f t="shared" si="17"/>
        <v>80884015454.034042</v>
      </c>
      <c r="M59" s="34">
        <f t="shared" si="3"/>
        <v>5101977458.1659088</v>
      </c>
      <c r="N59" s="34">
        <f t="shared" si="4"/>
        <v>0</v>
      </c>
      <c r="O59" s="34">
        <f t="shared" si="5"/>
        <v>5101977458.1659088</v>
      </c>
      <c r="P59" s="34">
        <f>O59*4%</f>
        <v>204079098.32663634</v>
      </c>
      <c r="Q59" s="38">
        <f t="shared" si="6"/>
        <v>4873408868.0400763</v>
      </c>
      <c r="R59" s="39">
        <f t="shared" si="7"/>
        <v>2436704434.0200381</v>
      </c>
      <c r="S59" s="34">
        <f t="shared" si="8"/>
        <v>2436704434.0200381</v>
      </c>
      <c r="T59" s="40">
        <v>10250496432</v>
      </c>
      <c r="U59" s="272">
        <f t="shared" si="9"/>
        <v>2.6988780705650929E-3</v>
      </c>
      <c r="V59" s="282">
        <f t="shared" si="10"/>
        <v>7.3399557920726295</v>
      </c>
      <c r="W59" s="290">
        <f>(L59+Norway!L59)</f>
        <v>259691204191.39075</v>
      </c>
      <c r="X59" s="291">
        <f t="shared" si="11"/>
        <v>129845602095.69537</v>
      </c>
      <c r="Y59" s="292">
        <f>(R59+Norway!R59)</f>
        <v>3516923142.2451448</v>
      </c>
      <c r="Z59" s="293">
        <f t="shared" si="12"/>
        <v>1758461571.1225724</v>
      </c>
      <c r="AA59" s="294">
        <f>((S59+Norway!S59)/(T59*(U59+Norway!U59))/12)</f>
        <v>29.227277583439896</v>
      </c>
      <c r="AB59" s="295">
        <f>(Q59+Norway!Q59)</f>
        <v>15675595950.291145</v>
      </c>
    </row>
    <row r="60" spans="1:28" ht="15.75" customHeight="1">
      <c r="A60" s="31" t="s">
        <v>93</v>
      </c>
      <c r="B60" s="32">
        <v>2076</v>
      </c>
      <c r="C60" s="271">
        <f t="shared" si="13"/>
        <v>4.6819077047857948E-4</v>
      </c>
      <c r="D60" s="271">
        <f t="shared" si="20"/>
        <v>4.6819077047857948E-4</v>
      </c>
      <c r="E60" s="34">
        <f>ABS(Norway!E60)</f>
        <v>0</v>
      </c>
      <c r="F60" s="42">
        <v>500</v>
      </c>
      <c r="G60" s="34">
        <f t="shared" si="0"/>
        <v>234095385.23928973</v>
      </c>
      <c r="H60" s="34">
        <f t="shared" si="1"/>
        <v>232924908.31309327</v>
      </c>
      <c r="I60" s="35">
        <f t="shared" si="21"/>
        <v>1</v>
      </c>
      <c r="J60" s="36">
        <f t="shared" si="2"/>
        <v>232924908.31309327</v>
      </c>
      <c r="K60" s="34">
        <f t="shared" si="16"/>
        <v>82501212726.723969</v>
      </c>
      <c r="L60" s="37">
        <f t="shared" si="17"/>
        <v>81280358950.943436</v>
      </c>
      <c r="M60" s="34">
        <f t="shared" si="3"/>
        <v>5128046579.785758</v>
      </c>
      <c r="N60" s="34">
        <f t="shared" si="4"/>
        <v>0</v>
      </c>
      <c r="O60" s="34">
        <f t="shared" si="5"/>
        <v>5128046579.785758</v>
      </c>
      <c r="P60" s="34">
        <f>O60*4.5%</f>
        <v>230762096.09035909</v>
      </c>
      <c r="Q60" s="38">
        <f t="shared" si="6"/>
        <v>4872798061.2769222</v>
      </c>
      <c r="R60" s="39">
        <f t="shared" si="7"/>
        <v>2436399030.6384611</v>
      </c>
      <c r="S60" s="34">
        <f t="shared" si="8"/>
        <v>2436399030.6384611</v>
      </c>
      <c r="T60" s="40">
        <v>10259351432</v>
      </c>
      <c r="U60" s="272">
        <f t="shared" si="9"/>
        <v>2.6988780705650929E-3</v>
      </c>
      <c r="V60" s="282">
        <f t="shared" si="10"/>
        <v>7.3327014097903946</v>
      </c>
      <c r="W60" s="290">
        <f>(L60+Norway!L60)</f>
        <v>260921675689.52362</v>
      </c>
      <c r="X60" s="291">
        <f t="shared" si="11"/>
        <v>130460837844.76181</v>
      </c>
      <c r="Y60" s="292">
        <f>(R60+Norway!R60)</f>
        <v>3513609796.8582945</v>
      </c>
      <c r="Z60" s="293">
        <f t="shared" si="12"/>
        <v>1756804898.4291472</v>
      </c>
      <c r="AA60" s="294">
        <f>((S60+Norway!S60)/(T60*(U60+Norway!U60))/12)</f>
        <v>29.136298750163672</v>
      </c>
      <c r="AB60" s="295">
        <f>(Q60+Norway!Q60)</f>
        <v>15644905723.475254</v>
      </c>
    </row>
    <row r="61" spans="1:28" ht="15.75" customHeight="1">
      <c r="A61" s="31" t="s">
        <v>94</v>
      </c>
      <c r="B61" s="32">
        <v>2077</v>
      </c>
      <c r="C61" s="271">
        <f t="shared" si="13"/>
        <v>4.2137169343072156E-4</v>
      </c>
      <c r="D61" s="271">
        <f t="shared" si="20"/>
        <v>4.2137169343072156E-4</v>
      </c>
      <c r="E61" s="34">
        <f>ABS(Norway!E61)</f>
        <v>0</v>
      </c>
      <c r="F61" s="42">
        <v>500</v>
      </c>
      <c r="G61" s="34">
        <f t="shared" si="0"/>
        <v>210685846.71536079</v>
      </c>
      <c r="H61" s="34">
        <f t="shared" si="1"/>
        <v>209632417.48178399</v>
      </c>
      <c r="I61" s="35">
        <f t="shared" si="21"/>
        <v>1</v>
      </c>
      <c r="J61" s="36">
        <f t="shared" si="2"/>
        <v>209632417.48178399</v>
      </c>
      <c r="K61" s="34">
        <f t="shared" si="16"/>
        <v>82941607240.296112</v>
      </c>
      <c r="L61" s="37">
        <f t="shared" si="17"/>
        <v>81679893087.783325</v>
      </c>
      <c r="M61" s="34">
        <f t="shared" si="3"/>
        <v>5153174757.4898138</v>
      </c>
      <c r="N61" s="34">
        <f t="shared" si="4"/>
        <v>0</v>
      </c>
      <c r="O61" s="34">
        <f t="shared" si="5"/>
        <v>5153174757.4898138</v>
      </c>
      <c r="P61" s="34">
        <f>O61*5%</f>
        <v>257658737.87449071</v>
      </c>
      <c r="Q61" s="38">
        <f t="shared" si="6"/>
        <v>4871038439.5172462</v>
      </c>
      <c r="R61" s="39">
        <f t="shared" si="7"/>
        <v>2435519219.7586231</v>
      </c>
      <c r="S61" s="34">
        <f t="shared" si="8"/>
        <v>2435519219.7586231</v>
      </c>
      <c r="T61" s="40">
        <v>10267045023</v>
      </c>
      <c r="U61" s="272">
        <f t="shared" si="9"/>
        <v>2.6988780705650929E-3</v>
      </c>
      <c r="V61" s="282">
        <f t="shared" si="10"/>
        <v>7.3245607275961193</v>
      </c>
      <c r="W61" s="290">
        <f>(L61+Norway!L61)</f>
        <v>262165535400.23947</v>
      </c>
      <c r="X61" s="291">
        <f t="shared" si="11"/>
        <v>131082767700.11974</v>
      </c>
      <c r="Y61" s="292">
        <f>(R61+Norway!R61)</f>
        <v>3512088972.221509</v>
      </c>
      <c r="Z61" s="293">
        <f t="shared" si="12"/>
        <v>1756044486.1107545</v>
      </c>
      <c r="AA61" s="294">
        <f>((S61+Norway!S61)/(T61*(U61+Norway!U61))/12)</f>
        <v>29.098508429236642</v>
      </c>
      <c r="AB61" s="295">
        <f>(Q61+Norway!Q61)</f>
        <v>15636735964.146107</v>
      </c>
    </row>
    <row r="62" spans="1:28" ht="15.75" customHeight="1">
      <c r="A62" s="31" t="s">
        <v>95</v>
      </c>
      <c r="B62" s="32">
        <v>2078</v>
      </c>
      <c r="C62" s="271">
        <f t="shared" si="13"/>
        <v>3.7923452408764941E-4</v>
      </c>
      <c r="D62" s="271">
        <f t="shared" si="20"/>
        <v>3.7923452408764941E-4</v>
      </c>
      <c r="E62" s="34">
        <f>ABS(Norway!E62)</f>
        <v>0</v>
      </c>
      <c r="F62" s="42">
        <v>500</v>
      </c>
      <c r="G62" s="34">
        <f t="shared" si="0"/>
        <v>189617262.0438247</v>
      </c>
      <c r="H62" s="34">
        <f t="shared" si="1"/>
        <v>188669175.73360556</v>
      </c>
      <c r="I62" s="35">
        <f t="shared" si="21"/>
        <v>1</v>
      </c>
      <c r="J62" s="36">
        <f t="shared" si="2"/>
        <v>188669175.73360556</v>
      </c>
      <c r="K62" s="34">
        <f t="shared" si="16"/>
        <v>83387935153.904221</v>
      </c>
      <c r="L62" s="37">
        <f t="shared" si="17"/>
        <v>82085157890.890747</v>
      </c>
      <c r="M62" s="34">
        <f t="shared" si="3"/>
        <v>5178505221.7654629</v>
      </c>
      <c r="N62" s="34">
        <f t="shared" si="4"/>
        <v>0</v>
      </c>
      <c r="O62" s="34">
        <f t="shared" si="5"/>
        <v>5178505221.7654629</v>
      </c>
      <c r="P62" s="34">
        <f>O62*5.5%</f>
        <v>284817787.19710046</v>
      </c>
      <c r="Q62" s="38">
        <f t="shared" si="6"/>
        <v>4869218997.3955202</v>
      </c>
      <c r="R62" s="39">
        <f t="shared" si="7"/>
        <v>2434609498.6977601</v>
      </c>
      <c r="S62" s="34">
        <f t="shared" si="8"/>
        <v>2434609498.6977601</v>
      </c>
      <c r="T62" s="40">
        <v>10273556322</v>
      </c>
      <c r="U62" s="272">
        <f t="shared" si="9"/>
        <v>2.6988780705650929E-3</v>
      </c>
      <c r="V62" s="282">
        <f t="shared" si="10"/>
        <v>7.3171843250055559</v>
      </c>
      <c r="W62" s="290">
        <f>(L62+Norway!L62)</f>
        <v>263431573576.87402</v>
      </c>
      <c r="X62" s="291">
        <f t="shared" si="11"/>
        <v>131715786788.43701</v>
      </c>
      <c r="Y62" s="292">
        <f>(R62+Norway!R62)</f>
        <v>3510546409.3404455</v>
      </c>
      <c r="Z62" s="293">
        <f t="shared" si="12"/>
        <v>1755273204.6702228</v>
      </c>
      <c r="AA62" s="294">
        <f>((S62+Norway!S62)/(T62*(U62+Norway!U62))/12)</f>
        <v>29.064223708278934</v>
      </c>
      <c r="AB62" s="295">
        <f>(Q62+Norway!Q62)</f>
        <v>15628588103.822376</v>
      </c>
    </row>
    <row r="63" spans="1:28" ht="15.75" customHeight="1">
      <c r="A63" s="31" t="s">
        <v>96</v>
      </c>
      <c r="B63" s="32">
        <v>2079</v>
      </c>
      <c r="C63" s="271">
        <f t="shared" si="13"/>
        <v>3.4131107167888447E-4</v>
      </c>
      <c r="D63" s="271">
        <f t="shared" si="20"/>
        <v>3.4131107167888447E-4</v>
      </c>
      <c r="E63" s="34">
        <f>ABS(Norway!E63)</f>
        <v>0</v>
      </c>
      <c r="F63" s="42">
        <v>500</v>
      </c>
      <c r="G63" s="34">
        <f t="shared" si="0"/>
        <v>170655535.83944222</v>
      </c>
      <c r="H63" s="34">
        <f t="shared" si="1"/>
        <v>169802258.160245</v>
      </c>
      <c r="I63" s="35">
        <f t="shared" si="21"/>
        <v>1</v>
      </c>
      <c r="J63" s="36">
        <f t="shared" si="2"/>
        <v>169802258.160245</v>
      </c>
      <c r="K63" s="34">
        <f t="shared" si="16"/>
        <v>83842555199.261566</v>
      </c>
      <c r="L63" s="37">
        <f t="shared" si="17"/>
        <v>82498508047.279968</v>
      </c>
      <c r="M63" s="34">
        <f t="shared" si="3"/>
        <v>5204199010.2824736</v>
      </c>
      <c r="N63" s="34">
        <f t="shared" si="4"/>
        <v>0</v>
      </c>
      <c r="O63" s="34">
        <f t="shared" si="5"/>
        <v>5204199010.2824736</v>
      </c>
      <c r="P63" s="34">
        <f>O63*6%</f>
        <v>312251940.61694843</v>
      </c>
      <c r="Q63" s="38">
        <f t="shared" si="6"/>
        <v>4867487334.3171978</v>
      </c>
      <c r="R63" s="39">
        <f t="shared" si="7"/>
        <v>2433743667.1585989</v>
      </c>
      <c r="S63" s="34">
        <f t="shared" si="8"/>
        <v>2433743667.1585989</v>
      </c>
      <c r="T63" s="40">
        <v>10278887473</v>
      </c>
      <c r="U63" s="272">
        <f t="shared" si="9"/>
        <v>2.6988780705650929E-3</v>
      </c>
      <c r="V63" s="282">
        <f t="shared" si="10"/>
        <v>7.3107883683178967</v>
      </c>
      <c r="W63" s="290">
        <f>(L63+Norway!L63)</f>
        <v>264726943440.3446</v>
      </c>
      <c r="X63" s="291">
        <f t="shared" si="11"/>
        <v>132363471720.1723</v>
      </c>
      <c r="Y63" s="292">
        <f>(R63+Norway!R63)</f>
        <v>3509092005.586174</v>
      </c>
      <c r="Z63" s="293">
        <f t="shared" si="12"/>
        <v>1754546002.793087</v>
      </c>
      <c r="AA63" s="294">
        <f>((S63+Norway!S63)/(T63*(U63+Norway!U63))/12)</f>
        <v>29.03437574435743</v>
      </c>
      <c r="AB63" s="295">
        <f>(Q63+Norway!Q63)</f>
        <v>15620970718.592947</v>
      </c>
    </row>
    <row r="64" spans="1:28" ht="15.75" customHeight="1">
      <c r="A64" s="31" t="s">
        <v>97</v>
      </c>
      <c r="B64" s="32">
        <v>2080</v>
      </c>
      <c r="C64" s="271">
        <f t="shared" si="13"/>
        <v>3.0717996451099601E-4</v>
      </c>
      <c r="D64" s="271">
        <f t="shared" si="20"/>
        <v>3.0717996451099601E-4</v>
      </c>
      <c r="E64" s="34">
        <f>ABS(Norway!E64)</f>
        <v>0</v>
      </c>
      <c r="F64" s="42">
        <v>500</v>
      </c>
      <c r="G64" s="34">
        <f t="shared" si="0"/>
        <v>153589982.25549799</v>
      </c>
      <c r="H64" s="34">
        <f t="shared" si="1"/>
        <v>152822032.34422049</v>
      </c>
      <c r="I64" s="35">
        <f t="shared" si="21"/>
        <v>1</v>
      </c>
      <c r="J64" s="36">
        <f t="shared" si="2"/>
        <v>152822032.34422049</v>
      </c>
      <c r="K64" s="34">
        <f t="shared" si="16"/>
        <v>84307629172.222733</v>
      </c>
      <c r="L64" s="37">
        <f t="shared" si="17"/>
        <v>82922100229.231018</v>
      </c>
      <c r="M64" s="34">
        <f t="shared" si="3"/>
        <v>5230405410.1975498</v>
      </c>
      <c r="N64" s="34">
        <f t="shared" si="4"/>
        <v>0</v>
      </c>
      <c r="O64" s="34">
        <f t="shared" si="5"/>
        <v>5230405410.1975498</v>
      </c>
      <c r="P64" s="34">
        <f>O64*6.5%</f>
        <v>339976351.66284072</v>
      </c>
      <c r="Q64" s="38">
        <f t="shared" si="6"/>
        <v>4865976913.2420359</v>
      </c>
      <c r="R64" s="39">
        <f t="shared" si="7"/>
        <v>2432988456.6210179</v>
      </c>
      <c r="S64" s="34">
        <f t="shared" si="8"/>
        <v>2432988456.6210179</v>
      </c>
      <c r="T64" s="40">
        <v>10283078029</v>
      </c>
      <c r="U64" s="272">
        <f t="shared" si="9"/>
        <v>2.6988780705650929E-3</v>
      </c>
      <c r="V64" s="282">
        <f t="shared" si="10"/>
        <v>7.3055414058124439</v>
      </c>
      <c r="W64" s="290">
        <f>(L64+Norway!L64)</f>
        <v>266058206990.19431</v>
      </c>
      <c r="X64" s="291">
        <f t="shared" si="11"/>
        <v>133029103495.09715</v>
      </c>
      <c r="Y64" s="292">
        <f>(R64+Norway!R64)</f>
        <v>3507819239.0767326</v>
      </c>
      <c r="Z64" s="293">
        <f t="shared" si="12"/>
        <v>1753909619.5383663</v>
      </c>
      <c r="AA64" s="294">
        <f>((S64+Norway!S64)/(T64*(U64+Norway!U64))/12)</f>
        <v>29.009572495893554</v>
      </c>
      <c r="AB64" s="295">
        <f>(Q64+Norway!Q64)</f>
        <v>15614284737.799187</v>
      </c>
    </row>
    <row r="65" spans="1:28" ht="15.75" customHeight="1">
      <c r="A65" s="31" t="s">
        <v>98</v>
      </c>
      <c r="B65" s="32">
        <v>2081</v>
      </c>
      <c r="C65" s="271">
        <f t="shared" si="13"/>
        <v>2.7646196805989644E-4</v>
      </c>
      <c r="D65" s="271">
        <f t="shared" si="20"/>
        <v>2.7646196805989644E-4</v>
      </c>
      <c r="E65" s="34">
        <f>ABS(Norway!E65)</f>
        <v>0</v>
      </c>
      <c r="F65" s="42">
        <v>500</v>
      </c>
      <c r="G65" s="34">
        <f t="shared" si="0"/>
        <v>138230984.0299482</v>
      </c>
      <c r="H65" s="34">
        <f t="shared" si="1"/>
        <v>137539829.10979846</v>
      </c>
      <c r="I65" s="35">
        <f t="shared" si="21"/>
        <v>1</v>
      </c>
      <c r="J65" s="36">
        <f t="shared" si="2"/>
        <v>137539829.10979846</v>
      </c>
      <c r="K65" s="34">
        <f t="shared" si="16"/>
        <v>84785145352.995377</v>
      </c>
      <c r="L65" s="37">
        <f t="shared" si="17"/>
        <v>83357916601.79866</v>
      </c>
      <c r="M65" s="34">
        <f t="shared" si="3"/>
        <v>5257261154.533246</v>
      </c>
      <c r="N65" s="34">
        <f t="shared" si="4"/>
        <v>0</v>
      </c>
      <c r="O65" s="34">
        <f t="shared" si="5"/>
        <v>5257261154.533246</v>
      </c>
      <c r="P65" s="34">
        <f>O65*7%</f>
        <v>368008280.81732726</v>
      </c>
      <c r="Q65" s="38">
        <f t="shared" si="6"/>
        <v>4864806609.3473387</v>
      </c>
      <c r="R65" s="39">
        <f t="shared" si="7"/>
        <v>2432403304.6736693</v>
      </c>
      <c r="S65" s="34">
        <f t="shared" si="8"/>
        <v>2432403304.6736693</v>
      </c>
      <c r="T65" s="40">
        <v>10286161735</v>
      </c>
      <c r="U65" s="272">
        <f t="shared" si="9"/>
        <v>2.6988780705650929E-3</v>
      </c>
      <c r="V65" s="282">
        <f t="shared" si="10"/>
        <v>7.3015947543904973</v>
      </c>
      <c r="W65" s="290">
        <f>(L65+Norway!L65)</f>
        <v>267431403077.03271</v>
      </c>
      <c r="X65" s="291">
        <f t="shared" si="11"/>
        <v>133715701538.51636</v>
      </c>
      <c r="Y65" s="292">
        <f>(R65+Norway!R65)</f>
        <v>3506811381.794241</v>
      </c>
      <c r="Z65" s="293">
        <f t="shared" si="12"/>
        <v>1753405690.8971205</v>
      </c>
      <c r="AA65" s="294">
        <f>((S65+Norway!S65)/(T65*(U65+Norway!U65))/12)</f>
        <v>28.990360678325576</v>
      </c>
      <c r="AB65" s="295">
        <f>(Q65+Norway!Q65)</f>
        <v>15608887380.553059</v>
      </c>
    </row>
    <row r="66" spans="1:28" ht="15.75" customHeight="1">
      <c r="A66" s="31" t="s">
        <v>99</v>
      </c>
      <c r="B66" s="32">
        <v>2082</v>
      </c>
      <c r="C66" s="271">
        <f t="shared" si="13"/>
        <v>2.4881577125390682E-4</v>
      </c>
      <c r="D66" s="271">
        <f t="shared" si="20"/>
        <v>2.4881577125390682E-4</v>
      </c>
      <c r="E66" s="34">
        <f>ABS(Norway!E66)</f>
        <v>0</v>
      </c>
      <c r="F66" s="42">
        <v>500</v>
      </c>
      <c r="G66" s="34">
        <f t="shared" si="0"/>
        <v>124407885.62695342</v>
      </c>
      <c r="H66" s="34">
        <f t="shared" si="1"/>
        <v>123785846.19881865</v>
      </c>
      <c r="I66" s="35">
        <f t="shared" si="21"/>
        <v>1</v>
      </c>
      <c r="J66" s="36">
        <f t="shared" si="2"/>
        <v>123785846.19881865</v>
      </c>
      <c r="K66" s="34">
        <f t="shared" si="16"/>
        <v>85276939480.01152</v>
      </c>
      <c r="L66" s="37">
        <f t="shared" si="17"/>
        <v>83807785873.450394</v>
      </c>
      <c r="M66" s="34">
        <f t="shared" si="3"/>
        <v>5284891912.5540352</v>
      </c>
      <c r="N66" s="34">
        <f t="shared" si="4"/>
        <v>0</v>
      </c>
      <c r="O66" s="34">
        <f t="shared" si="5"/>
        <v>5284891912.5540352</v>
      </c>
      <c r="P66" s="34">
        <f>O66*7.5%</f>
        <v>396366893.44155264</v>
      </c>
      <c r="Q66" s="38">
        <f t="shared" si="6"/>
        <v>4864082394.0169201</v>
      </c>
      <c r="R66" s="39">
        <f t="shared" si="7"/>
        <v>2432041197.00846</v>
      </c>
      <c r="S66" s="34">
        <f t="shared" si="8"/>
        <v>2432041197.00846</v>
      </c>
      <c r="T66" s="40">
        <v>10288205050</v>
      </c>
      <c r="U66" s="272">
        <f t="shared" si="9"/>
        <v>2.6988780705650929E-3</v>
      </c>
      <c r="V66" s="282">
        <f t="shared" si="10"/>
        <v>7.2990578428087352</v>
      </c>
      <c r="W66" s="290">
        <f>(L66+Norway!L66)</f>
        <v>268852111148.60986</v>
      </c>
      <c r="X66" s="291">
        <f t="shared" si="11"/>
        <v>134426055574.30493</v>
      </c>
      <c r="Y66" s="292">
        <f>(R66+Norway!R66)</f>
        <v>3506142663.6353002</v>
      </c>
      <c r="Z66" s="293">
        <f t="shared" si="12"/>
        <v>1753071331.8176501</v>
      </c>
      <c r="AA66" s="294">
        <f>((S66+Norway!S66)/(T66*(U66+Norway!U66))/12)</f>
        <v>28.977126703548418</v>
      </c>
      <c r="AB66" s="295">
        <f>(Q66+Norway!Q66)</f>
        <v>15605097060.28532</v>
      </c>
    </row>
    <row r="67" spans="1:28" ht="15.75" customHeight="1">
      <c r="A67" s="31" t="s">
        <v>100</v>
      </c>
      <c r="B67" s="32">
        <v>2083</v>
      </c>
      <c r="C67" s="271">
        <f t="shared" si="13"/>
        <v>2.2393419412851615E-4</v>
      </c>
      <c r="D67" s="271">
        <f t="shared" si="20"/>
        <v>2.2393419412851615E-4</v>
      </c>
      <c r="E67" s="34">
        <f>ABS(Norway!E67)</f>
        <v>0</v>
      </c>
      <c r="F67" s="42">
        <v>500</v>
      </c>
      <c r="G67" s="34">
        <f t="shared" si="0"/>
        <v>111967097.06425807</v>
      </c>
      <c r="H67" s="34">
        <f t="shared" si="1"/>
        <v>111407261.57893677</v>
      </c>
      <c r="I67" s="35">
        <f t="shared" si="21"/>
        <v>1</v>
      </c>
      <c r="J67" s="36">
        <f t="shared" si="2"/>
        <v>111407261.57893677</v>
      </c>
      <c r="K67" s="34">
        <f t="shared" si="16"/>
        <v>85784713635.032013</v>
      </c>
      <c r="L67" s="37">
        <f t="shared" si="17"/>
        <v>84273402248.45665</v>
      </c>
      <c r="M67" s="34">
        <f t="shared" si="3"/>
        <v>5313413624.3767548</v>
      </c>
      <c r="N67" s="34">
        <f t="shared" si="4"/>
        <v>0</v>
      </c>
      <c r="O67" s="34">
        <f t="shared" si="5"/>
        <v>5313413624.3767548</v>
      </c>
      <c r="P67" s="34">
        <f>O67*8%</f>
        <v>425073089.95014042</v>
      </c>
      <c r="Q67" s="38">
        <f t="shared" si="6"/>
        <v>4863898831.7544813</v>
      </c>
      <c r="R67" s="39">
        <f t="shared" si="7"/>
        <v>2431949415.8772407</v>
      </c>
      <c r="S67" s="34">
        <f t="shared" si="8"/>
        <v>2431949415.8772407</v>
      </c>
      <c r="T67" s="40">
        <v>10289247323</v>
      </c>
      <c r="U67" s="272">
        <f t="shared" si="9"/>
        <v>2.6988780705650929E-3</v>
      </c>
      <c r="V67" s="282">
        <f t="shared" si="10"/>
        <v>7.2980430417128472</v>
      </c>
      <c r="W67" s="290">
        <f>(L67+Norway!L67)</f>
        <v>270325508646.79504</v>
      </c>
      <c r="X67" s="291">
        <f t="shared" si="11"/>
        <v>135162754323.39752</v>
      </c>
      <c r="Y67" s="292">
        <f>(R67+Norway!R67)</f>
        <v>3505879323.6398659</v>
      </c>
      <c r="Z67" s="293">
        <f t="shared" si="12"/>
        <v>1752939661.8199329</v>
      </c>
      <c r="AA67" s="294">
        <f>((S67+Norway!S67)/(T67*(U67+Norway!U67))/12)</f>
        <v>28.97027401080754</v>
      </c>
      <c r="AB67" s="295">
        <f>(Q67+Norway!Q67)</f>
        <v>15603197909.380733</v>
      </c>
    </row>
    <row r="68" spans="1:28" ht="15.75" customHeight="1">
      <c r="A68" s="31" t="s">
        <v>101</v>
      </c>
      <c r="B68" s="32">
        <v>2084</v>
      </c>
      <c r="C68" s="271">
        <f t="shared" si="13"/>
        <v>2.0154077471566453E-4</v>
      </c>
      <c r="D68" s="271">
        <f t="shared" si="20"/>
        <v>2.0154077471566453E-4</v>
      </c>
      <c r="E68" s="34">
        <f>ABS(Norway!E68)</f>
        <v>0</v>
      </c>
      <c r="F68" s="42">
        <v>500</v>
      </c>
      <c r="G68" s="34">
        <f t="shared" si="0"/>
        <v>100770387.35783227</v>
      </c>
      <c r="H68" s="34">
        <f t="shared" si="1"/>
        <v>100266535.42104311</v>
      </c>
      <c r="I68" s="35">
        <f t="shared" si="21"/>
        <v>1</v>
      </c>
      <c r="J68" s="36">
        <f t="shared" si="2"/>
        <v>100266535.42104311</v>
      </c>
      <c r="K68" s="34">
        <f t="shared" si="16"/>
        <v>86310053260.403183</v>
      </c>
      <c r="L68" s="37">
        <f t="shared" si="17"/>
        <v>84756342502.890915</v>
      </c>
      <c r="M68" s="34">
        <f t="shared" si="3"/>
        <v>5342933702.5521517</v>
      </c>
      <c r="N68" s="34">
        <f t="shared" si="4"/>
        <v>0</v>
      </c>
      <c r="O68" s="34">
        <f t="shared" si="5"/>
        <v>5342933702.5521517</v>
      </c>
      <c r="P68" s="34">
        <f>O68*8.5%</f>
        <v>454149364.71693295</v>
      </c>
      <c r="Q68" s="38">
        <f t="shared" si="6"/>
        <v>4864340416.1460419</v>
      </c>
      <c r="R68" s="39">
        <f t="shared" si="7"/>
        <v>2432170208.0730209</v>
      </c>
      <c r="S68" s="34">
        <f t="shared" si="8"/>
        <v>2432170208.0730209</v>
      </c>
      <c r="T68" s="40">
        <v>10289315244</v>
      </c>
      <c r="U68" s="272">
        <f t="shared" si="9"/>
        <v>2.6988780705650929E-3</v>
      </c>
      <c r="V68" s="282">
        <f t="shared" si="10"/>
        <v>7.2986574379331559</v>
      </c>
      <c r="W68" s="290">
        <f>(L68+Norway!L68)</f>
        <v>271856422736.52368</v>
      </c>
      <c r="X68" s="291">
        <f t="shared" si="11"/>
        <v>135928211368.26184</v>
      </c>
      <c r="Y68" s="292">
        <f>(R68+Norway!R68)</f>
        <v>3506080548.1282849</v>
      </c>
      <c r="Z68" s="293">
        <f t="shared" si="12"/>
        <v>1753040274.0641425</v>
      </c>
      <c r="AA68" s="294">
        <f>((S68+Norway!S68)/(T68*(U68+Norway!U68))/12)</f>
        <v>28.970189778878893</v>
      </c>
      <c r="AB68" s="295">
        <f>(Q68+Norway!Q68)</f>
        <v>15603443816.698681</v>
      </c>
    </row>
    <row r="69" spans="1:28" ht="15.75" customHeight="1">
      <c r="A69" s="31" t="s">
        <v>102</v>
      </c>
      <c r="B69" s="32">
        <v>2085</v>
      </c>
      <c r="C69" s="271">
        <f t="shared" si="13"/>
        <v>1.8138669724409808E-4</v>
      </c>
      <c r="D69" s="271">
        <f t="shared" si="20"/>
        <v>1.8138669724409808E-4</v>
      </c>
      <c r="E69" s="34">
        <f>ABS(Norway!E69)</f>
        <v>0</v>
      </c>
      <c r="F69" s="42">
        <v>500</v>
      </c>
      <c r="G69" s="34">
        <f t="shared" si="0"/>
        <v>90693348.622049049</v>
      </c>
      <c r="H69" s="34">
        <f t="shared" si="1"/>
        <v>90239881.878938809</v>
      </c>
      <c r="I69" s="35">
        <f t="shared" si="21"/>
        <v>1</v>
      </c>
      <c r="J69" s="36">
        <f t="shared" si="2"/>
        <v>90239881.878938809</v>
      </c>
      <c r="K69" s="34">
        <f t="shared" si="16"/>
        <v>86854442506.999054</v>
      </c>
      <c r="L69" s="37">
        <f t="shared" si="17"/>
        <v>85258081383.612045</v>
      </c>
      <c r="M69" s="34">
        <f t="shared" si="3"/>
        <v>5373552114.6832838</v>
      </c>
      <c r="N69" s="34">
        <f t="shared" si="4"/>
        <v>0</v>
      </c>
      <c r="O69" s="34">
        <f t="shared" si="5"/>
        <v>5373552114.6832838</v>
      </c>
      <c r="P69" s="34">
        <f>O69*9%</f>
        <v>483619690.32149553</v>
      </c>
      <c r="Q69" s="38">
        <f t="shared" si="6"/>
        <v>4865482762.2399788</v>
      </c>
      <c r="R69" s="39">
        <f t="shared" si="7"/>
        <v>2432741381.1199894</v>
      </c>
      <c r="S69" s="34">
        <f t="shared" si="8"/>
        <v>2432741381.1199894</v>
      </c>
      <c r="T69" s="40">
        <v>10288456599</v>
      </c>
      <c r="U69" s="272">
        <f t="shared" si="9"/>
        <v>2.6988780705650929E-3</v>
      </c>
      <c r="V69" s="282">
        <f t="shared" si="10"/>
        <v>7.3009807292413305</v>
      </c>
      <c r="W69" s="290">
        <f>(L69+Norway!L69)</f>
        <v>273449376969.90411</v>
      </c>
      <c r="X69" s="291">
        <f t="shared" si="11"/>
        <v>136724688484.95206</v>
      </c>
      <c r="Y69" s="292">
        <f>(R69+Norway!R69)</f>
        <v>3506799308.0054111</v>
      </c>
      <c r="Z69" s="293">
        <f t="shared" si="12"/>
        <v>1753399654.0027056</v>
      </c>
      <c r="AA69" s="294">
        <f>((S69+Norway!S69)/(T69*(U69+Norway!U69))/12)</f>
        <v>28.977156650503812</v>
      </c>
      <c r="AB69" s="295">
        <f>(Q69+Norway!Q69)</f>
        <v>15606062031.094193</v>
      </c>
    </row>
    <row r="70" spans="1:28" ht="15.75" customHeight="1">
      <c r="A70" s="31" t="s">
        <v>103</v>
      </c>
      <c r="B70" s="32">
        <v>2086</v>
      </c>
      <c r="C70" s="271">
        <f t="shared" si="13"/>
        <v>1.6324802751968828E-4</v>
      </c>
      <c r="D70" s="271">
        <f t="shared" si="20"/>
        <v>1.6324802751968828E-4</v>
      </c>
      <c r="E70" s="34">
        <f>ABS(Norway!E70)</f>
        <v>0</v>
      </c>
      <c r="F70" s="42">
        <v>500</v>
      </c>
      <c r="G70" s="34">
        <f t="shared" si="0"/>
        <v>81624013.759844139</v>
      </c>
      <c r="H70" s="34">
        <f t="shared" si="1"/>
        <v>81215893.691044912</v>
      </c>
      <c r="I70" s="35">
        <f t="shared" si="21"/>
        <v>1</v>
      </c>
      <c r="J70" s="36">
        <f t="shared" si="2"/>
        <v>81215893.691044912</v>
      </c>
      <c r="K70" s="34">
        <f t="shared" si="16"/>
        <v>87419278091.011597</v>
      </c>
      <c r="L70" s="37">
        <f t="shared" si="17"/>
        <v>85780005509.140778</v>
      </c>
      <c r="M70" s="34">
        <f t="shared" si="3"/>
        <v>5405362359.7210035</v>
      </c>
      <c r="N70" s="34">
        <f t="shared" si="4"/>
        <v>0</v>
      </c>
      <c r="O70" s="34">
        <f t="shared" si="5"/>
        <v>5405362359.7210035</v>
      </c>
      <c r="P70" s="34">
        <f>O70*9.5%</f>
        <v>513509424.17349535</v>
      </c>
      <c r="Q70" s="38">
        <f t="shared" si="6"/>
        <v>4867393670.869771</v>
      </c>
      <c r="R70" s="39">
        <f t="shared" si="7"/>
        <v>2433696835.4348855</v>
      </c>
      <c r="S70" s="34">
        <f t="shared" si="8"/>
        <v>2433696835.4348855</v>
      </c>
      <c r="T70" s="40">
        <v>10286708360</v>
      </c>
      <c r="U70" s="272">
        <f t="shared" si="9"/>
        <v>2.6988780705650929E-3</v>
      </c>
      <c r="V70" s="282">
        <f t="shared" si="10"/>
        <v>7.3050894729963787</v>
      </c>
      <c r="W70" s="290">
        <f>(L70+Norway!L70)</f>
        <v>275108633426.84045</v>
      </c>
      <c r="X70" s="291">
        <f t="shared" si="11"/>
        <v>137554316713.42023</v>
      </c>
      <c r="Y70" s="292">
        <f>(R70+Norway!R70)</f>
        <v>3508083106.1369257</v>
      </c>
      <c r="Z70" s="293">
        <f t="shared" si="12"/>
        <v>1754041553.0684628</v>
      </c>
      <c r="AA70" s="294">
        <f>((S70+Norway!S70)/(T70*(U70+Norway!U70))/12)</f>
        <v>28.991448523724085</v>
      </c>
      <c r="AB70" s="295">
        <f>(Q70+Norway!Q70)</f>
        <v>15611256377.890175</v>
      </c>
    </row>
    <row r="71" spans="1:28" ht="15.75" customHeight="1">
      <c r="A71" s="31" t="s">
        <v>104</v>
      </c>
      <c r="B71" s="32">
        <v>2087</v>
      </c>
      <c r="C71" s="271">
        <f t="shared" si="13"/>
        <v>1.4692322476771944E-4</v>
      </c>
      <c r="D71" s="271">
        <f t="shared" si="20"/>
        <v>1.4692322476771944E-4</v>
      </c>
      <c r="E71" s="34">
        <f>ABS(Norway!E71)</f>
        <v>0</v>
      </c>
      <c r="F71" s="42">
        <v>500</v>
      </c>
      <c r="G71" s="34">
        <f t="shared" si="0"/>
        <v>73461612.383859724</v>
      </c>
      <c r="H71" s="34">
        <f t="shared" si="1"/>
        <v>73094304.321940422</v>
      </c>
      <c r="I71" s="35">
        <f t="shared" si="21"/>
        <v>1</v>
      </c>
      <c r="J71" s="36">
        <f t="shared" si="2"/>
        <v>73094304.321940422</v>
      </c>
      <c r="K71" s="34">
        <f t="shared" si="16"/>
        <v>88005881819.507034</v>
      </c>
      <c r="L71" s="37">
        <f t="shared" si="17"/>
        <v>86323425933.017395</v>
      </c>
      <c r="M71" s="34">
        <f t="shared" si="3"/>
        <v>5438452349.2795248</v>
      </c>
      <c r="N71" s="34">
        <f t="shared" si="4"/>
        <v>0</v>
      </c>
      <c r="O71" s="34">
        <f t="shared" si="5"/>
        <v>5438452349.2795248</v>
      </c>
      <c r="P71" s="34">
        <f t="shared" ref="P71:P184" si="22">O71*$P$5</f>
        <v>543845234.92795253</v>
      </c>
      <c r="Q71" s="38">
        <f t="shared" si="6"/>
        <v>4870134078.7798138</v>
      </c>
      <c r="R71" s="39">
        <f t="shared" si="7"/>
        <v>2435067039.3899069</v>
      </c>
      <c r="S71" s="34">
        <f t="shared" si="8"/>
        <v>2435067039.3899069</v>
      </c>
      <c r="T71" s="40">
        <v>10284111374</v>
      </c>
      <c r="U71" s="272">
        <f t="shared" si="9"/>
        <v>2.6988780705650929E-3</v>
      </c>
      <c r="V71" s="282">
        <f t="shared" si="10"/>
        <v>7.3110480860970375</v>
      </c>
      <c r="W71" s="290">
        <f>(L71+Norway!L71)</f>
        <v>276838230818.11261</v>
      </c>
      <c r="X71" s="291">
        <f t="shared" si="11"/>
        <v>138419115409.0563</v>
      </c>
      <c r="Y71" s="292">
        <f>(R71+Norway!R71)</f>
        <v>3509974644.5338087</v>
      </c>
      <c r="Z71" s="293">
        <f t="shared" si="12"/>
        <v>1754987322.2669044</v>
      </c>
      <c r="AA71" s="294">
        <f>((S71+Norway!S71)/(T71*(U71+Norway!U71))/12)</f>
        <v>29.013294410659451</v>
      </c>
      <c r="AB71" s="295">
        <f>(Q71+Norway!Q71)</f>
        <v>15619210130.218834</v>
      </c>
    </row>
    <row r="72" spans="1:28" ht="15.75" customHeight="1">
      <c r="A72" s="31" t="s">
        <v>105</v>
      </c>
      <c r="B72" s="32">
        <v>2088</v>
      </c>
      <c r="C72" s="271">
        <f t="shared" si="13"/>
        <v>1.322309022909475E-4</v>
      </c>
      <c r="D72" s="271">
        <f t="shared" si="20"/>
        <v>1.322309022909475E-4</v>
      </c>
      <c r="E72" s="34">
        <f>ABS(Norway!E72)</f>
        <v>0</v>
      </c>
      <c r="F72" s="42">
        <v>500</v>
      </c>
      <c r="G72" s="34">
        <f t="shared" si="0"/>
        <v>66115451.145473748</v>
      </c>
      <c r="H72" s="34">
        <f t="shared" si="1"/>
        <v>65784873.889746383</v>
      </c>
      <c r="I72" s="35">
        <f t="shared" si="21"/>
        <v>1</v>
      </c>
      <c r="J72" s="36">
        <f t="shared" si="2"/>
        <v>65784873.889746383</v>
      </c>
      <c r="K72" s="34">
        <f t="shared" si="16"/>
        <v>88615511928.324722</v>
      </c>
      <c r="L72" s="37">
        <f t="shared" si="17"/>
        <v>86889589513.814163</v>
      </c>
      <c r="M72" s="34">
        <f t="shared" si="3"/>
        <v>5472905204.1533031</v>
      </c>
      <c r="N72" s="34">
        <f t="shared" si="4"/>
        <v>0</v>
      </c>
      <c r="O72" s="34">
        <f t="shared" si="5"/>
        <v>5472905204.1533031</v>
      </c>
      <c r="P72" s="34">
        <f t="shared" si="22"/>
        <v>547290520.41533029</v>
      </c>
      <c r="Q72" s="38">
        <f t="shared" si="6"/>
        <v>4900986610.3192835</v>
      </c>
      <c r="R72" s="39">
        <f t="shared" si="7"/>
        <v>2450493305.1596417</v>
      </c>
      <c r="S72" s="34">
        <f t="shared" si="8"/>
        <v>2450493305.1596417</v>
      </c>
      <c r="T72" s="40">
        <v>10280704572</v>
      </c>
      <c r="U72" s="272">
        <f t="shared" si="9"/>
        <v>2.6988780705650929E-3</v>
      </c>
      <c r="V72" s="282">
        <f t="shared" si="10"/>
        <v>7.3598019946874373</v>
      </c>
      <c r="W72" s="290">
        <f>(L72+Norway!L72)</f>
        <v>278642018987.22693</v>
      </c>
      <c r="X72" s="291">
        <f t="shared" si="11"/>
        <v>139321009493.61346</v>
      </c>
      <c r="Y72" s="292">
        <f>(R72+Norway!R72)</f>
        <v>3532135394.4506235</v>
      </c>
      <c r="Z72" s="293">
        <f t="shared" si="12"/>
        <v>1766067697.2253118</v>
      </c>
      <c r="AA72" s="294">
        <f>((S72+Norway!S72)/(T72*(U72+Norway!U72))/12)</f>
        <v>29.205150181451945</v>
      </c>
      <c r="AB72" s="295">
        <f>(Q72+Norway!Q72)</f>
        <v>15717407503.229099</v>
      </c>
    </row>
    <row r="73" spans="1:28" ht="15.75" customHeight="1">
      <c r="A73" s="31" t="s">
        <v>106</v>
      </c>
      <c r="B73" s="32">
        <v>2089</v>
      </c>
      <c r="C73" s="271">
        <f t="shared" si="13"/>
        <v>1.1900781206185275E-4</v>
      </c>
      <c r="D73" s="271">
        <f t="shared" si="20"/>
        <v>1.1900781206185275E-4</v>
      </c>
      <c r="E73" s="34">
        <f>ABS(Norway!E73)</f>
        <v>0</v>
      </c>
      <c r="F73" s="42">
        <v>500</v>
      </c>
      <c r="G73" s="34">
        <f t="shared" si="0"/>
        <v>59503906.030926377</v>
      </c>
      <c r="H73" s="34">
        <f t="shared" si="1"/>
        <v>59206386.500771746</v>
      </c>
      <c r="I73" s="35">
        <f t="shared" si="21"/>
        <v>1</v>
      </c>
      <c r="J73" s="36">
        <f t="shared" si="2"/>
        <v>59206386.500771746</v>
      </c>
      <c r="K73" s="34">
        <f t="shared" si="16"/>
        <v>89222008835.240829</v>
      </c>
      <c r="L73" s="37">
        <f t="shared" si="17"/>
        <v>87452338377.519913</v>
      </c>
      <c r="M73" s="34">
        <f t="shared" si="3"/>
        <v>5508799975.1758175</v>
      </c>
      <c r="N73" s="34">
        <f t="shared" si="4"/>
        <v>0</v>
      </c>
      <c r="O73" s="34">
        <f t="shared" si="5"/>
        <v>5508799975.1758175</v>
      </c>
      <c r="P73" s="34">
        <f t="shared" si="22"/>
        <v>550879997.51758182</v>
      </c>
      <c r="Q73" s="38">
        <f t="shared" si="6"/>
        <v>4933130377.7699442</v>
      </c>
      <c r="R73" s="39">
        <f t="shared" si="7"/>
        <v>2466565188.8849721</v>
      </c>
      <c r="S73" s="34">
        <f t="shared" si="8"/>
        <v>2466565188.8849721</v>
      </c>
      <c r="T73" s="40">
        <v>10276518280</v>
      </c>
      <c r="U73" s="272">
        <f t="shared" si="9"/>
        <v>2.6988780705650929E-3</v>
      </c>
      <c r="V73" s="282">
        <f t="shared" si="10"/>
        <v>7.4110900153136265</v>
      </c>
      <c r="W73" s="290">
        <f>(L73+Norway!L73)</f>
        <v>280435976362.59717</v>
      </c>
      <c r="X73" s="291">
        <f t="shared" si="11"/>
        <v>140217988181.29858</v>
      </c>
      <c r="Y73" s="292">
        <f>(R73+Norway!R73)</f>
        <v>3555233854.6473889</v>
      </c>
      <c r="Z73" s="293">
        <f t="shared" si="12"/>
        <v>1777616927.3236945</v>
      </c>
      <c r="AA73" s="294">
        <f>((S73+Norway!S73)/(T73*(U73+Norway!U73))/12)</f>
        <v>29.40721422566671</v>
      </c>
      <c r="AB73" s="295">
        <f>(Q73+Norway!Q73)</f>
        <v>15819817035.394112</v>
      </c>
    </row>
    <row r="74" spans="1:28" ht="15.75" customHeight="1">
      <c r="A74" s="31" t="s">
        <v>107</v>
      </c>
      <c r="B74" s="32">
        <v>2090</v>
      </c>
      <c r="C74" s="271">
        <f t="shared" si="13"/>
        <v>1.0710703085566747E-4</v>
      </c>
      <c r="D74" s="271">
        <f t="shared" si="20"/>
        <v>1.0710703085566747E-4</v>
      </c>
      <c r="E74" s="34">
        <f>ABS(Norway!E74)</f>
        <v>0</v>
      </c>
      <c r="F74" s="42">
        <v>500</v>
      </c>
      <c r="G74" s="34">
        <f t="shared" si="0"/>
        <v>53553515.427833736</v>
      </c>
      <c r="H74" s="34">
        <f t="shared" si="1"/>
        <v>53285747.850694567</v>
      </c>
      <c r="I74" s="35">
        <f t="shared" si="21"/>
        <v>1</v>
      </c>
      <c r="J74" s="36">
        <f t="shared" si="2"/>
        <v>53285747.850694567</v>
      </c>
      <c r="K74" s="34">
        <f t="shared" si="16"/>
        <v>89826174580.6091</v>
      </c>
      <c r="L74" s="37">
        <f t="shared" si="17"/>
        <v>88012475870.826752</v>
      </c>
      <c r="M74" s="34">
        <f t="shared" si="3"/>
        <v>5544478253.1347628</v>
      </c>
      <c r="N74" s="34">
        <f t="shared" si="4"/>
        <v>0</v>
      </c>
      <c r="O74" s="34">
        <f t="shared" si="5"/>
        <v>5544478253.1347628</v>
      </c>
      <c r="P74" s="34">
        <f t="shared" si="22"/>
        <v>554447825.31347632</v>
      </c>
      <c r="Q74" s="38">
        <f t="shared" si="6"/>
        <v>4965080275.6821795</v>
      </c>
      <c r="R74" s="39">
        <f t="shared" si="7"/>
        <v>2482540137.8410897</v>
      </c>
      <c r="S74" s="34">
        <f t="shared" si="8"/>
        <v>2482540137.8410897</v>
      </c>
      <c r="T74" s="40">
        <v>10271565070</v>
      </c>
      <c r="U74" s="272">
        <f t="shared" si="9"/>
        <v>2.6988780705650929E-3</v>
      </c>
      <c r="V74" s="282">
        <f t="shared" si="10"/>
        <v>7.4626856217565702</v>
      </c>
      <c r="W74" s="290">
        <f>(L74+Norway!L74)</f>
        <v>282222566900.39648</v>
      </c>
      <c r="X74" s="291">
        <f t="shared" si="11"/>
        <v>141111283450.19824</v>
      </c>
      <c r="Y74" s="292">
        <f>(R74+Norway!R74)</f>
        <v>3578198952.9922261</v>
      </c>
      <c r="Z74" s="293">
        <f t="shared" si="12"/>
        <v>1789099476.4961131</v>
      </c>
      <c r="AA74" s="294">
        <f>((S74+Norway!S74)/(T74*(U74+Norway!U74))/12)</f>
        <v>29.610634732118186</v>
      </c>
      <c r="AB74" s="295">
        <f>(Q74+Norway!Q74)</f>
        <v>15921668427.193542</v>
      </c>
    </row>
    <row r="75" spans="1:28" ht="15.75" customHeight="1">
      <c r="A75" s="31" t="s">
        <v>108</v>
      </c>
      <c r="B75" s="32">
        <v>2091</v>
      </c>
      <c r="C75" s="271">
        <f t="shared" si="13"/>
        <v>9.6396327770100724E-5</v>
      </c>
      <c r="D75" s="271">
        <f t="shared" si="20"/>
        <v>9.6396327770100724E-5</v>
      </c>
      <c r="E75" s="34">
        <f>ABS(Norway!E75)</f>
        <v>0</v>
      </c>
      <c r="F75" s="42">
        <v>500</v>
      </c>
      <c r="G75" s="34">
        <f t="shared" si="0"/>
        <v>48198163.885050364</v>
      </c>
      <c r="H75" s="34">
        <f t="shared" si="1"/>
        <v>47957173.065625109</v>
      </c>
      <c r="I75" s="35">
        <f t="shared" si="21"/>
        <v>1</v>
      </c>
      <c r="J75" s="36">
        <f t="shared" si="2"/>
        <v>47957173.065625109</v>
      </c>
      <c r="K75" s="34">
        <f t="shared" si="16"/>
        <v>90428579578.988205</v>
      </c>
      <c r="L75" s="37">
        <f t="shared" si="17"/>
        <v>88570573428.771255</v>
      </c>
      <c r="M75" s="34">
        <f t="shared" si="3"/>
        <v>5579990970.2104158</v>
      </c>
      <c r="N75" s="34">
        <f t="shared" si="4"/>
        <v>0</v>
      </c>
      <c r="O75" s="34">
        <f t="shared" si="5"/>
        <v>5579990970.2104158</v>
      </c>
      <c r="P75" s="34">
        <f t="shared" si="22"/>
        <v>557999097.02104163</v>
      </c>
      <c r="Q75" s="38">
        <f t="shared" si="6"/>
        <v>4996881913.8234272</v>
      </c>
      <c r="R75" s="39">
        <f t="shared" si="7"/>
        <v>2498440956.9117136</v>
      </c>
      <c r="S75" s="34">
        <f t="shared" si="8"/>
        <v>2498440956.9117136</v>
      </c>
      <c r="T75" s="40">
        <v>10265861714</v>
      </c>
      <c r="U75" s="272">
        <f t="shared" si="9"/>
        <v>2.6988780705650929E-3</v>
      </c>
      <c r="V75" s="282">
        <f t="shared" si="10"/>
        <v>7.5146571367518407</v>
      </c>
      <c r="W75" s="290">
        <f>(L75+Norway!L75)</f>
        <v>284003522003.76172</v>
      </c>
      <c r="X75" s="291">
        <f t="shared" si="11"/>
        <v>142001761001.88086</v>
      </c>
      <c r="Y75" s="292">
        <f>(R75+Norway!R75)</f>
        <v>3601062922.4293652</v>
      </c>
      <c r="Z75" s="293">
        <f t="shared" si="12"/>
        <v>1800531461.2146826</v>
      </c>
      <c r="AA75" s="294">
        <f>((S75+Norway!S75)/(T75*(U75+Norway!U75))/12)</f>
        <v>29.815668944777769</v>
      </c>
      <c r="AB75" s="295">
        <f>(Q75+Norway!Q75)</f>
        <v>16023101568.999943</v>
      </c>
    </row>
    <row r="76" spans="1:28" ht="15.75" customHeight="1">
      <c r="A76" s="31" t="s">
        <v>109</v>
      </c>
      <c r="B76" s="32">
        <v>2092</v>
      </c>
      <c r="C76" s="271">
        <f t="shared" si="13"/>
        <v>8.6756694993090659E-5</v>
      </c>
      <c r="D76" s="271">
        <f t="shared" si="20"/>
        <v>8.6756694993090659E-5</v>
      </c>
      <c r="E76" s="34">
        <f>ABS(Norway!E76)</f>
        <v>0</v>
      </c>
      <c r="F76" s="42">
        <v>500</v>
      </c>
      <c r="G76" s="34">
        <f t="shared" si="0"/>
        <v>43378347.49654533</v>
      </c>
      <c r="H76" s="34">
        <f t="shared" si="1"/>
        <v>43161455.759062603</v>
      </c>
      <c r="I76" s="35">
        <f t="shared" si="21"/>
        <v>1</v>
      </c>
      <c r="J76" s="36">
        <f t="shared" si="2"/>
        <v>43161455.759062603</v>
      </c>
      <c r="K76" s="34">
        <f t="shared" si="16"/>
        <v>91029740131.768311</v>
      </c>
      <c r="L76" s="37">
        <f t="shared" si="17"/>
        <v>89127148114.560593</v>
      </c>
      <c r="M76" s="34">
        <f t="shared" si="3"/>
        <v>5615374355.3840971</v>
      </c>
      <c r="N76" s="34">
        <f t="shared" si="4"/>
        <v>0</v>
      </c>
      <c r="O76" s="34">
        <f t="shared" si="5"/>
        <v>5615374355.3840971</v>
      </c>
      <c r="P76" s="34">
        <f t="shared" si="22"/>
        <v>561537435.53840971</v>
      </c>
      <c r="Q76" s="38">
        <f t="shared" si="6"/>
        <v>5028567735.246459</v>
      </c>
      <c r="R76" s="39">
        <f t="shared" si="7"/>
        <v>2514283867.6232295</v>
      </c>
      <c r="S76" s="34">
        <f t="shared" si="8"/>
        <v>2514283867.6232295</v>
      </c>
      <c r="T76" s="40">
        <v>10259408375</v>
      </c>
      <c r="U76" s="272">
        <f t="shared" si="9"/>
        <v>2.6988780705650929E-3</v>
      </c>
      <c r="V76" s="282">
        <f t="shared" si="10"/>
        <v>7.5670652879330911</v>
      </c>
      <c r="W76" s="290">
        <f>(L76+Norway!L76)</f>
        <v>285780408822.22076</v>
      </c>
      <c r="X76" s="291">
        <f t="shared" si="11"/>
        <v>142890204411.11038</v>
      </c>
      <c r="Y76" s="292">
        <f>(R76+Norway!R76)</f>
        <v>3623848570.169281</v>
      </c>
      <c r="Z76" s="293">
        <f t="shared" si="12"/>
        <v>1811924285.0846405</v>
      </c>
      <c r="AA76" s="294">
        <f>((S76+Norway!S76)/(T76*(U76+Norway!U76))/12)</f>
        <v>30.022545366182587</v>
      </c>
      <c r="AB76" s="295">
        <f>(Q76+Norway!Q76)</f>
        <v>16124214760.70697</v>
      </c>
    </row>
    <row r="77" spans="1:28" ht="15.75" customHeight="1">
      <c r="A77" s="31" t="s">
        <v>110</v>
      </c>
      <c r="B77" s="32">
        <v>2093</v>
      </c>
      <c r="C77" s="271">
        <f t="shared" si="13"/>
        <v>7.8081025493781592E-5</v>
      </c>
      <c r="D77" s="271">
        <f t="shared" si="20"/>
        <v>7.8081025493781592E-5</v>
      </c>
      <c r="E77" s="34">
        <f>ABS(Norway!E77)</f>
        <v>0</v>
      </c>
      <c r="F77" s="42">
        <v>500</v>
      </c>
      <c r="G77" s="34">
        <f t="shared" si="0"/>
        <v>39040512.746890798</v>
      </c>
      <c r="H77" s="34">
        <f t="shared" si="1"/>
        <v>38845310.183156341</v>
      </c>
      <c r="I77" s="35">
        <f t="shared" si="21"/>
        <v>1</v>
      </c>
      <c r="J77" s="36">
        <f t="shared" si="2"/>
        <v>38845310.183156341</v>
      </c>
      <c r="K77" s="34">
        <f t="shared" si="16"/>
        <v>91630122877.489868</v>
      </c>
      <c r="L77" s="37">
        <f t="shared" si="17"/>
        <v>89682667094.85202</v>
      </c>
      <c r="M77" s="34">
        <f t="shared" si="3"/>
        <v>5650661190.4631414</v>
      </c>
      <c r="N77" s="34">
        <f t="shared" si="4"/>
        <v>0</v>
      </c>
      <c r="O77" s="34">
        <f t="shared" si="5"/>
        <v>5650661190.4631414</v>
      </c>
      <c r="P77" s="34">
        <f t="shared" si="22"/>
        <v>565066119.04631412</v>
      </c>
      <c r="Q77" s="38">
        <f t="shared" si="6"/>
        <v>5060167096.0597429</v>
      </c>
      <c r="R77" s="39">
        <f t="shared" si="7"/>
        <v>2530083548.0298715</v>
      </c>
      <c r="S77" s="34">
        <f t="shared" si="8"/>
        <v>2530083548.0298715</v>
      </c>
      <c r="T77" s="40">
        <v>10252184759</v>
      </c>
      <c r="U77" s="272">
        <f t="shared" si="9"/>
        <v>2.6988780705650929E-3</v>
      </c>
      <c r="V77" s="282">
        <f t="shared" si="10"/>
        <v>7.6199816914595075</v>
      </c>
      <c r="W77" s="290">
        <f>(L77+Norway!L77)</f>
        <v>287554643591.91333</v>
      </c>
      <c r="X77" s="291">
        <f t="shared" si="11"/>
        <v>143777321795.95667</v>
      </c>
      <c r="Y77" s="292">
        <f>(R77+Norway!R77)</f>
        <v>3646576536.0997906</v>
      </c>
      <c r="Z77" s="293">
        <f t="shared" si="12"/>
        <v>1823288268.0498953</v>
      </c>
      <c r="AA77" s="294">
        <f>((S77+Norway!S77)/(T77*(U77+Norway!U77))/12)</f>
        <v>30.231536955527698</v>
      </c>
      <c r="AB77" s="295">
        <f>(Q77+Norway!Q77)</f>
        <v>16225096976.758938</v>
      </c>
    </row>
    <row r="78" spans="1:28" ht="15.75" customHeight="1">
      <c r="A78" s="31" t="s">
        <v>111</v>
      </c>
      <c r="B78" s="32">
        <v>2094</v>
      </c>
      <c r="C78" s="271">
        <f t="shared" si="13"/>
        <v>7.0272922944403433E-5</v>
      </c>
      <c r="D78" s="271">
        <f t="shared" si="20"/>
        <v>7.0272922944403433E-5</v>
      </c>
      <c r="E78" s="34">
        <f>ABS(Norway!E78)</f>
        <v>0</v>
      </c>
      <c r="F78" s="42">
        <v>500</v>
      </c>
      <c r="G78" s="34">
        <f t="shared" si="0"/>
        <v>35136461.472201712</v>
      </c>
      <c r="H78" s="34">
        <f t="shared" si="1"/>
        <v>34960779.164840706</v>
      </c>
      <c r="I78" s="35">
        <f t="shared" si="21"/>
        <v>1</v>
      </c>
      <c r="J78" s="36">
        <f t="shared" si="2"/>
        <v>34960779.164840706</v>
      </c>
      <c r="K78" s="34">
        <f t="shared" si="16"/>
        <v>92230149775.701019</v>
      </c>
      <c r="L78" s="37">
        <f t="shared" si="17"/>
        <v>90237552646.06665</v>
      </c>
      <c r="M78" s="34">
        <f t="shared" si="3"/>
        <v>5685881093.8136177</v>
      </c>
      <c r="N78" s="34">
        <f t="shared" si="4"/>
        <v>0</v>
      </c>
      <c r="O78" s="34">
        <f t="shared" si="5"/>
        <v>5685881093.8136177</v>
      </c>
      <c r="P78" s="34">
        <f t="shared" si="22"/>
        <v>568588109.38136184</v>
      </c>
      <c r="Q78" s="38">
        <f t="shared" si="6"/>
        <v>5091706519.5100946</v>
      </c>
      <c r="R78" s="39">
        <f t="shared" si="7"/>
        <v>2545853259.7550473</v>
      </c>
      <c r="S78" s="34">
        <f t="shared" si="8"/>
        <v>2545853259.7550473</v>
      </c>
      <c r="T78" s="40">
        <v>10244185837</v>
      </c>
      <c r="U78" s="272">
        <f t="shared" si="9"/>
        <v>2.6988780705650929E-3</v>
      </c>
      <c r="V78" s="282">
        <f t="shared" si="10"/>
        <v>7.6734630979806751</v>
      </c>
      <c r="W78" s="290">
        <f>(L78+Norway!L78)</f>
        <v>289327506780.34235</v>
      </c>
      <c r="X78" s="291">
        <f t="shared" si="11"/>
        <v>144663753390.17117</v>
      </c>
      <c r="Y78" s="292">
        <f>(R78+Norway!R78)</f>
        <v>3669265470.1578178</v>
      </c>
      <c r="Z78" s="293">
        <f t="shared" si="12"/>
        <v>1834632735.0789089</v>
      </c>
      <c r="AA78" s="294">
        <f>((S78+Norway!S78)/(T78*(U78+Norway!U78))/12)</f>
        <v>30.44285881814255</v>
      </c>
      <c r="AB78" s="295">
        <f>(Q78+Norway!Q78)</f>
        <v>16325828623.5378</v>
      </c>
    </row>
    <row r="79" spans="1:28" ht="15.75" customHeight="1">
      <c r="A79" s="31" t="s">
        <v>112</v>
      </c>
      <c r="B79" s="32">
        <v>2095</v>
      </c>
      <c r="C79" s="274">
        <f t="shared" si="13"/>
        <v>6.3245630649963087E-5</v>
      </c>
      <c r="D79" s="271">
        <f t="shared" si="20"/>
        <v>6.3245630649963087E-5</v>
      </c>
      <c r="E79" s="34">
        <f>ABS(Norway!E79)</f>
        <v>0</v>
      </c>
      <c r="F79" s="42">
        <v>500</v>
      </c>
      <c r="G79" s="34">
        <f t="shared" si="0"/>
        <v>31622815.32498154</v>
      </c>
      <c r="H79" s="34">
        <f t="shared" si="1"/>
        <v>31464701.248356633</v>
      </c>
      <c r="I79" s="35">
        <f t="shared" si="21"/>
        <v>1</v>
      </c>
      <c r="J79" s="36">
        <f t="shared" si="2"/>
        <v>31464701.248356633</v>
      </c>
      <c r="K79" s="34">
        <f t="shared" si="16"/>
        <v>92830202586.330734</v>
      </c>
      <c r="L79" s="37">
        <f t="shared" si="17"/>
        <v>90792186653.968018</v>
      </c>
      <c r="M79" s="34">
        <f t="shared" si="3"/>
        <v>5721060837.7606258</v>
      </c>
      <c r="N79" s="34">
        <f t="shared" si="4"/>
        <v>0</v>
      </c>
      <c r="O79" s="34">
        <f t="shared" si="5"/>
        <v>5721060837.7606258</v>
      </c>
      <c r="P79" s="34">
        <f t="shared" si="22"/>
        <v>572106083.77606261</v>
      </c>
      <c r="Q79" s="38">
        <f t="shared" si="6"/>
        <v>5123209980.2146397</v>
      </c>
      <c r="R79" s="39">
        <f t="shared" si="7"/>
        <v>2561604990.1073198</v>
      </c>
      <c r="S79" s="34">
        <f t="shared" si="8"/>
        <v>2561604990.1073198</v>
      </c>
      <c r="T79" s="40">
        <v>10235403601</v>
      </c>
      <c r="U79" s="272">
        <f t="shared" si="9"/>
        <v>2.6988780705650929E-3</v>
      </c>
      <c r="V79" s="282">
        <f t="shared" si="10"/>
        <v>7.7275651932310661</v>
      </c>
      <c r="W79" s="290">
        <f>(L79+Norway!L79)</f>
        <v>291100156697.07397</v>
      </c>
      <c r="X79" s="291">
        <f t="shared" si="11"/>
        <v>145550078348.53699</v>
      </c>
      <c r="Y79" s="292">
        <f>(R79+Norway!R79)</f>
        <v>3691932232.0060463</v>
      </c>
      <c r="Z79" s="293">
        <f t="shared" si="12"/>
        <v>1845966116.0030231</v>
      </c>
      <c r="AA79" s="294">
        <f>((S79+Norway!S79)/(T79*(U79+Norway!U79))/12)</f>
        <v>30.656722847425883</v>
      </c>
      <c r="AB79" s="295">
        <f>(Q79+Norway!Q79)</f>
        <v>16426482399.201902</v>
      </c>
    </row>
    <row r="80" spans="1:28" ht="15.75" customHeight="1">
      <c r="A80" s="31" t="s">
        <v>113</v>
      </c>
      <c r="B80" s="32">
        <v>2096</v>
      </c>
      <c r="C80" s="274">
        <f t="shared" si="13"/>
        <v>5.6921067584966777E-5</v>
      </c>
      <c r="D80" s="271">
        <f t="shared" si="20"/>
        <v>5.6921067584966777E-5</v>
      </c>
      <c r="E80" s="34">
        <f>ABS(Norway!E80)</f>
        <v>0</v>
      </c>
      <c r="F80" s="42">
        <v>500</v>
      </c>
      <c r="G80" s="34">
        <f t="shared" si="0"/>
        <v>28460533.792483389</v>
      </c>
      <c r="H80" s="34">
        <f t="shared" si="1"/>
        <v>28318231.123520974</v>
      </c>
      <c r="I80" s="35">
        <f t="shared" si="21"/>
        <v>1</v>
      </c>
      <c r="J80" s="36">
        <f t="shared" si="2"/>
        <v>28318231.123520974</v>
      </c>
      <c r="K80" s="34">
        <f t="shared" si="16"/>
        <v>93430626901.230316</v>
      </c>
      <c r="L80" s="37">
        <f t="shared" si="17"/>
        <v>91346914663.383163</v>
      </c>
      <c r="M80" s="34">
        <f t="shared" si="3"/>
        <v>5756224633.8615723</v>
      </c>
      <c r="N80" s="34">
        <f t="shared" si="4"/>
        <v>0</v>
      </c>
      <c r="O80" s="34">
        <f t="shared" si="5"/>
        <v>5756224633.8615723</v>
      </c>
      <c r="P80" s="34">
        <f t="shared" si="22"/>
        <v>575622463.38615727</v>
      </c>
      <c r="Q80" s="38">
        <f t="shared" si="6"/>
        <v>5154699159.6230383</v>
      </c>
      <c r="R80" s="39">
        <f t="shared" si="7"/>
        <v>2577349579.8115191</v>
      </c>
      <c r="S80" s="34">
        <f t="shared" si="8"/>
        <v>2577349579.8115191</v>
      </c>
      <c r="T80" s="40">
        <v>10225850874</v>
      </c>
      <c r="U80" s="272">
        <f t="shared" si="9"/>
        <v>2.6988780705650929E-3</v>
      </c>
      <c r="V80" s="282">
        <f t="shared" si="10"/>
        <v>7.7823249841041919</v>
      </c>
      <c r="W80" s="290">
        <f>(L80+Norway!L80)</f>
        <v>292873641743.68866</v>
      </c>
      <c r="X80" s="291">
        <f t="shared" si="11"/>
        <v>146436820871.84433</v>
      </c>
      <c r="Y80" s="292">
        <f>(R80+Norway!R80)</f>
        <v>3714592070.4921522</v>
      </c>
      <c r="Z80" s="293">
        <f t="shared" si="12"/>
        <v>1857296035.2460761</v>
      </c>
      <c r="AA80" s="294">
        <f>((S80+Norway!S80)/(T80*(U80+Norway!U80))/12)</f>
        <v>30.873267744671185</v>
      </c>
      <c r="AB80" s="295">
        <f>(Q80+Norway!Q80)</f>
        <v>16527124066.429367</v>
      </c>
    </row>
    <row r="81" spans="1:28" ht="15.75" customHeight="1">
      <c r="A81" s="31" t="s">
        <v>114</v>
      </c>
      <c r="B81" s="32">
        <v>2097</v>
      </c>
      <c r="C81" s="274">
        <f t="shared" si="13"/>
        <v>5.1228960826470102E-5</v>
      </c>
      <c r="D81" s="271">
        <f t="shared" si="20"/>
        <v>5.1228960826470102E-5</v>
      </c>
      <c r="E81" s="34">
        <f>ABS(Norway!E81)</f>
        <v>0</v>
      </c>
      <c r="F81" s="42">
        <v>500</v>
      </c>
      <c r="G81" s="34">
        <f t="shared" si="0"/>
        <v>25614480.413235053</v>
      </c>
      <c r="H81" s="34">
        <f t="shared" si="1"/>
        <v>25486408.011168879</v>
      </c>
      <c r="I81" s="35">
        <f t="shared" si="21"/>
        <v>1</v>
      </c>
      <c r="J81" s="36">
        <f t="shared" si="2"/>
        <v>25486408.011168879</v>
      </c>
      <c r="K81" s="34">
        <f t="shared" si="16"/>
        <v>94031735772.62764</v>
      </c>
      <c r="L81" s="37">
        <f t="shared" si="17"/>
        <v>91902049523.013107</v>
      </c>
      <c r="M81" s="34">
        <f t="shared" si="3"/>
        <v>5791394389.6584921</v>
      </c>
      <c r="N81" s="34">
        <f t="shared" si="4"/>
        <v>0</v>
      </c>
      <c r="O81" s="34">
        <f t="shared" si="5"/>
        <v>5791394389.6584921</v>
      </c>
      <c r="P81" s="34">
        <f t="shared" si="22"/>
        <v>579139438.96584928</v>
      </c>
      <c r="Q81" s="38">
        <f t="shared" si="6"/>
        <v>5186193675.9391804</v>
      </c>
      <c r="R81" s="39">
        <f t="shared" si="7"/>
        <v>2593096837.9695902</v>
      </c>
      <c r="S81" s="34">
        <f t="shared" si="8"/>
        <v>2593096837.9695902</v>
      </c>
      <c r="T81" s="40">
        <v>10215549310</v>
      </c>
      <c r="U81" s="272">
        <f t="shared" si="9"/>
        <v>2.6988780705650929E-3</v>
      </c>
      <c r="V81" s="282">
        <f t="shared" si="10"/>
        <v>7.8377697409472695</v>
      </c>
      <c r="W81" s="290">
        <f>(L81+Norway!L81)</f>
        <v>294648911438.93463</v>
      </c>
      <c r="X81" s="291">
        <f t="shared" si="11"/>
        <v>147324455719.46732</v>
      </c>
      <c r="Y81" s="292">
        <f>(R81+Norway!R81)</f>
        <v>3737258785.1662121</v>
      </c>
      <c r="Z81" s="293">
        <f t="shared" si="12"/>
        <v>1868629392.583106</v>
      </c>
      <c r="AA81" s="294">
        <f>((S81+Norway!S81)/(T81*(U81+Norway!U81))/12)</f>
        <v>31.09259440746288</v>
      </c>
      <c r="AB81" s="295">
        <f>(Q81+Norway!Q81)</f>
        <v>16627813147.905399</v>
      </c>
    </row>
    <row r="82" spans="1:28" ht="15.75" customHeight="1">
      <c r="A82" s="31" t="s">
        <v>115</v>
      </c>
      <c r="B82" s="32">
        <v>2098</v>
      </c>
      <c r="C82" s="274">
        <f t="shared" si="13"/>
        <v>4.6106064743823091E-5</v>
      </c>
      <c r="D82" s="271">
        <f t="shared" si="20"/>
        <v>4.6106064743823091E-5</v>
      </c>
      <c r="E82" s="34">
        <f>ABS(Norway!E82)</f>
        <v>0</v>
      </c>
      <c r="F82" s="42">
        <v>500</v>
      </c>
      <c r="G82" s="34">
        <f t="shared" si="0"/>
        <v>23053032.371911544</v>
      </c>
      <c r="H82" s="34">
        <f t="shared" si="1"/>
        <v>22937767.210051987</v>
      </c>
      <c r="I82" s="35">
        <f t="shared" si="21"/>
        <v>1</v>
      </c>
      <c r="J82" s="36">
        <f t="shared" si="2"/>
        <v>22937767.210051987</v>
      </c>
      <c r="K82" s="34">
        <f t="shared" si="16"/>
        <v>94633812978.803543</v>
      </c>
      <c r="L82" s="37">
        <f t="shared" si="17"/>
        <v>92457874665.824417</v>
      </c>
      <c r="M82" s="34">
        <f t="shared" si="3"/>
        <v>5826589939.7590313</v>
      </c>
      <c r="N82" s="34">
        <f t="shared" si="4"/>
        <v>0</v>
      </c>
      <c r="O82" s="34">
        <f t="shared" si="5"/>
        <v>5826589939.7590313</v>
      </c>
      <c r="P82" s="34">
        <f t="shared" si="22"/>
        <v>582658993.97590315</v>
      </c>
      <c r="Q82" s="38">
        <f t="shared" si="6"/>
        <v>5217711291.0542126</v>
      </c>
      <c r="R82" s="39">
        <f t="shared" si="7"/>
        <v>2608855645.5271063</v>
      </c>
      <c r="S82" s="34">
        <f t="shared" si="8"/>
        <v>2608855645.5271063</v>
      </c>
      <c r="T82" s="40">
        <v>10204489862</v>
      </c>
      <c r="U82" s="272">
        <f t="shared" si="9"/>
        <v>2.6988780705650929E-3</v>
      </c>
      <c r="V82" s="282">
        <f t="shared" si="10"/>
        <v>7.8939476150385408</v>
      </c>
      <c r="W82" s="290">
        <f>(L82+Norway!L82)</f>
        <v>296426826341.56543</v>
      </c>
      <c r="X82" s="291">
        <f t="shared" si="11"/>
        <v>148213413170.78271</v>
      </c>
      <c r="Y82" s="292">
        <f>(R82+Norway!R82)</f>
        <v>3759944871.6488934</v>
      </c>
      <c r="Z82" s="293">
        <f t="shared" si="12"/>
        <v>1879972435.8244467</v>
      </c>
      <c r="AA82" s="294">
        <f>((S82+Norway!S82)/(T82*(U82+Norway!U82))/12)</f>
        <v>31.314887306104435</v>
      </c>
      <c r="AB82" s="295">
        <f>(Q82+Norway!Q82)</f>
        <v>16728603552.272083</v>
      </c>
    </row>
    <row r="83" spans="1:28" ht="15.75" customHeight="1">
      <c r="A83" s="31" t="s">
        <v>116</v>
      </c>
      <c r="B83" s="32">
        <v>2099</v>
      </c>
      <c r="C83" s="274">
        <f t="shared" si="13"/>
        <v>4.1495458269440782E-5</v>
      </c>
      <c r="D83" s="271">
        <f t="shared" si="20"/>
        <v>4.1495458269440782E-5</v>
      </c>
      <c r="E83" s="34">
        <f>ABS(Norway!E83)</f>
        <v>0</v>
      </c>
      <c r="F83" s="42">
        <v>500</v>
      </c>
      <c r="G83" s="34">
        <f t="shared" si="0"/>
        <v>20747729.134720389</v>
      </c>
      <c r="H83" s="34">
        <f t="shared" si="1"/>
        <v>20643990.489046786</v>
      </c>
      <c r="I83" s="35">
        <f t="shared" si="21"/>
        <v>1</v>
      </c>
      <c r="J83" s="36">
        <f t="shared" si="2"/>
        <v>20643990.489046786</v>
      </c>
      <c r="K83" s="34">
        <f t="shared" si="16"/>
        <v>95237115963.268494</v>
      </c>
      <c r="L83" s="37">
        <f t="shared" si="17"/>
        <v>93014647061.464233</v>
      </c>
      <c r="M83" s="34">
        <f t="shared" si="3"/>
        <v>5861829253.8132677</v>
      </c>
      <c r="N83" s="34">
        <f t="shared" si="4"/>
        <v>0</v>
      </c>
      <c r="O83" s="34">
        <f t="shared" si="5"/>
        <v>5861829253.8132677</v>
      </c>
      <c r="P83" s="34">
        <f t="shared" si="22"/>
        <v>586182925.38132679</v>
      </c>
      <c r="Q83" s="38">
        <f t="shared" si="6"/>
        <v>5249268096.7897816</v>
      </c>
      <c r="R83" s="39">
        <f t="shared" si="7"/>
        <v>2624634048.3948908</v>
      </c>
      <c r="S83" s="34">
        <f t="shared" si="8"/>
        <v>2624634048.3948908</v>
      </c>
      <c r="T83" s="40">
        <v>10192689066</v>
      </c>
      <c r="U83" s="272">
        <f t="shared" si="9"/>
        <v>2.6988780705650929E-3</v>
      </c>
      <c r="V83" s="282">
        <f t="shared" si="10"/>
        <v>7.9508849989192596</v>
      </c>
      <c r="W83" s="290">
        <f>(L83+Norway!L83)</f>
        <v>298208166981.09387</v>
      </c>
      <c r="X83" s="291">
        <f t="shared" si="11"/>
        <v>149104083490.54694</v>
      </c>
      <c r="Y83" s="292">
        <f>(R83+Norway!R83)</f>
        <v>3782661652.4653602</v>
      </c>
      <c r="Z83" s="293">
        <f t="shared" si="12"/>
        <v>1891330826.2326801</v>
      </c>
      <c r="AA83" s="294">
        <f>((S83+Norway!S83)/(T83*(U83+Norway!U83))/12)</f>
        <v>31.54024525362362</v>
      </c>
      <c r="AB83" s="295">
        <f>(Q83+Norway!Q83)</f>
        <v>16829544137.494474</v>
      </c>
    </row>
    <row r="84" spans="1:28" ht="15.75" customHeight="1">
      <c r="A84" s="31" t="s">
        <v>117</v>
      </c>
      <c r="B84" s="32">
        <v>2100</v>
      </c>
      <c r="C84" s="274">
        <f t="shared" si="13"/>
        <v>3.7345912442496704E-5</v>
      </c>
      <c r="D84" s="271">
        <f t="shared" si="20"/>
        <v>3.7345912442496704E-5</v>
      </c>
      <c r="E84" s="34">
        <f>ABS(Norway!E84)</f>
        <v>0</v>
      </c>
      <c r="F84" s="42">
        <v>500</v>
      </c>
      <c r="G84" s="34">
        <f t="shared" si="0"/>
        <v>18672956.221248351</v>
      </c>
      <c r="H84" s="34">
        <f t="shared" si="1"/>
        <v>18579591.44014211</v>
      </c>
      <c r="I84" s="35">
        <f t="shared" si="21"/>
        <v>1</v>
      </c>
      <c r="J84" s="36">
        <f t="shared" si="2"/>
        <v>18579591.44014211</v>
      </c>
      <c r="K84" s="34">
        <f t="shared" si="16"/>
        <v>95841878480.089966</v>
      </c>
      <c r="L84" s="37">
        <f t="shared" si="17"/>
        <v>93572599873.496567</v>
      </c>
      <c r="M84" s="34">
        <f t="shared" si="3"/>
        <v>5897128623.6968327</v>
      </c>
      <c r="N84" s="34">
        <f t="shared" si="4"/>
        <v>0</v>
      </c>
      <c r="O84" s="34">
        <f t="shared" si="5"/>
        <v>5897128623.6968327</v>
      </c>
      <c r="P84" s="34">
        <f t="shared" si="22"/>
        <v>589712862.36968327</v>
      </c>
      <c r="Q84" s="38">
        <f t="shared" si="6"/>
        <v>5280878682.5205135</v>
      </c>
      <c r="R84" s="39">
        <f t="shared" si="7"/>
        <v>2640439341.2602568</v>
      </c>
      <c r="S84" s="34">
        <f t="shared" si="8"/>
        <v>2640439341.2602568</v>
      </c>
      <c r="T84" s="40">
        <v>10180160751</v>
      </c>
      <c r="U84" s="272">
        <f t="shared" si="9"/>
        <v>2.6988780705650929E-3</v>
      </c>
      <c r="V84" s="282">
        <f t="shared" si="10"/>
        <v>8.008608219019635</v>
      </c>
      <c r="W84" s="290">
        <f>(L84+Norway!L84)</f>
        <v>299993641895.67249</v>
      </c>
      <c r="X84" s="291">
        <f t="shared" si="11"/>
        <v>149996820947.83624</v>
      </c>
      <c r="Y84" s="292">
        <f>(R84+Norway!R84)</f>
        <v>3805419394.7983565</v>
      </c>
      <c r="Z84" s="293">
        <f t="shared" si="12"/>
        <v>1902709697.3991783</v>
      </c>
      <c r="AA84" s="294">
        <f>((S84+Norway!S84)/(T84*(U84+Norway!U84))/12)</f>
        <v>31.768767395915479</v>
      </c>
      <c r="AB84" s="295">
        <f>(Q84+Norway!Q84)</f>
        <v>16930679217.90151</v>
      </c>
    </row>
    <row r="85" spans="1:28" ht="15.75" customHeight="1">
      <c r="A85" s="31" t="s">
        <v>118</v>
      </c>
      <c r="B85" s="32">
        <v>2101</v>
      </c>
      <c r="C85" s="274">
        <f t="shared" si="13"/>
        <v>3.3611321198247037E-5</v>
      </c>
      <c r="D85" s="271">
        <f t="shared" si="20"/>
        <v>3.3611321198247037E-5</v>
      </c>
      <c r="E85" s="34">
        <f>ABS(Norway!E85)</f>
        <v>0</v>
      </c>
      <c r="F85" s="42">
        <v>500</v>
      </c>
      <c r="G85" s="34">
        <f t="shared" si="0"/>
        <v>16805660.599123519</v>
      </c>
      <c r="H85" s="34">
        <f t="shared" si="1"/>
        <v>16721632.2961279</v>
      </c>
      <c r="I85" s="35">
        <f t="shared" si="21"/>
        <v>1</v>
      </c>
      <c r="J85" s="36">
        <f t="shared" si="2"/>
        <v>16721632.2961279</v>
      </c>
      <c r="K85" s="34">
        <f t="shared" si="16"/>
        <v>96448312974.755783</v>
      </c>
      <c r="L85" s="37">
        <f t="shared" si="17"/>
        <v>94131944850.978302</v>
      </c>
      <c r="M85" s="34">
        <f t="shared" si="3"/>
        <v>5932502831.979682</v>
      </c>
      <c r="N85" s="34">
        <f t="shared" si="4"/>
        <v>0</v>
      </c>
      <c r="O85" s="34">
        <f t="shared" si="5"/>
        <v>5932502831.979682</v>
      </c>
      <c r="P85" s="34">
        <f t="shared" si="22"/>
        <v>593250283.19796824</v>
      </c>
      <c r="Q85" s="38">
        <f t="shared" si="6"/>
        <v>5312556286.0378046</v>
      </c>
      <c r="R85" s="39">
        <f t="shared" si="7"/>
        <v>2656278143.0189023</v>
      </c>
      <c r="S85" s="34">
        <f t="shared" si="8"/>
        <v>2656278143.0189023</v>
      </c>
      <c r="T85" s="40">
        <f t="shared" ref="T85:T184" si="23">T84*99.9%</f>
        <v>10169980590.249001</v>
      </c>
      <c r="U85" s="272">
        <f t="shared" si="9"/>
        <v>2.6988780705650929E-3</v>
      </c>
      <c r="V85" s="282">
        <f t="shared" si="10"/>
        <v>8.0647129516610381</v>
      </c>
      <c r="W85" s="290">
        <f>(L85+Norway!L85)</f>
        <v>301783894866.38824</v>
      </c>
      <c r="X85" s="291">
        <f t="shared" si="11"/>
        <v>150891947433.19412</v>
      </c>
      <c r="Y85" s="292">
        <f>(R85+Norway!R85)</f>
        <v>3828227416.468545</v>
      </c>
      <c r="Z85" s="293">
        <f t="shared" si="12"/>
        <v>1914113708.2342725</v>
      </c>
      <c r="AA85" s="294">
        <f>((S85+Norway!S85)/(T85*(U85+Norway!U85))/12)</f>
        <v>31.990911567627688</v>
      </c>
      <c r="AB85" s="295">
        <f>(Q85+Norway!Q85)</f>
        <v>17032049020.534233</v>
      </c>
    </row>
    <row r="86" spans="1:28" ht="15.75" customHeight="1">
      <c r="A86" s="31" t="s">
        <v>119</v>
      </c>
      <c r="B86" s="32">
        <v>2102</v>
      </c>
      <c r="C86" s="274">
        <f t="shared" si="13"/>
        <v>3.0250189078422332E-5</v>
      </c>
      <c r="D86" s="271">
        <f t="shared" si="20"/>
        <v>3.0250189078422332E-5</v>
      </c>
      <c r="E86" s="34">
        <f>ABS(Norway!E86)</f>
        <v>0</v>
      </c>
      <c r="F86" s="42">
        <v>500</v>
      </c>
      <c r="G86" s="34">
        <f t="shared" si="0"/>
        <v>15125094.539211165</v>
      </c>
      <c r="H86" s="34">
        <f t="shared" si="1"/>
        <v>15049469.066515109</v>
      </c>
      <c r="I86" s="35">
        <f t="shared" si="21"/>
        <v>1</v>
      </c>
      <c r="J86" s="36">
        <f t="shared" si="2"/>
        <v>15049469.066515109</v>
      </c>
      <c r="K86" s="34">
        <f t="shared" si="16"/>
        <v>97056612727.020264</v>
      </c>
      <c r="L86" s="37">
        <f t="shared" si="17"/>
        <v>94692874480.941162</v>
      </c>
      <c r="M86" s="34">
        <f t="shared" si="3"/>
        <v>5967965303.5520239</v>
      </c>
      <c r="N86" s="34">
        <f t="shared" si="4"/>
        <v>0</v>
      </c>
      <c r="O86" s="34">
        <f t="shared" si="5"/>
        <v>5967965303.5520239</v>
      </c>
      <c r="P86" s="34">
        <f t="shared" si="22"/>
        <v>596796530.35520244</v>
      </c>
      <c r="Q86" s="38">
        <f t="shared" si="6"/>
        <v>5344312929.3308372</v>
      </c>
      <c r="R86" s="39">
        <f t="shared" si="7"/>
        <v>2672156464.6654186</v>
      </c>
      <c r="S86" s="34">
        <f t="shared" si="8"/>
        <v>2672156464.6654186</v>
      </c>
      <c r="T86" s="40">
        <f t="shared" si="23"/>
        <v>10159810609.658752</v>
      </c>
      <c r="U86" s="272">
        <f t="shared" si="9"/>
        <v>2.6988780705650929E-3</v>
      </c>
      <c r="V86" s="282">
        <f t="shared" si="10"/>
        <v>8.1210420876826497</v>
      </c>
      <c r="W86" s="290">
        <f>(L86+Norway!L86)</f>
        <v>303579511428.33228</v>
      </c>
      <c r="X86" s="291">
        <f t="shared" si="11"/>
        <v>151789755714.16614</v>
      </c>
      <c r="Y86" s="292">
        <f>(R86+Norway!R86)</f>
        <v>3851094181.3194084</v>
      </c>
      <c r="Z86" s="293">
        <f t="shared" si="12"/>
        <v>1925547090.6597042</v>
      </c>
      <c r="AA86" s="294">
        <f>((S86+Norway!S86)/(T86*(U86+Norway!U86))/12)</f>
        <v>32.213984083135593</v>
      </c>
      <c r="AB86" s="295">
        <f>(Q86+Norway!Q86)</f>
        <v>17133690095.870731</v>
      </c>
    </row>
    <row r="87" spans="1:28" ht="15.75" customHeight="1">
      <c r="A87" s="31" t="s">
        <v>120</v>
      </c>
      <c r="B87" s="32">
        <v>2103</v>
      </c>
      <c r="C87" s="274">
        <f t="shared" si="13"/>
        <v>2.7225170170580099E-5</v>
      </c>
      <c r="D87" s="271">
        <f t="shared" si="20"/>
        <v>2.7225170170580099E-5</v>
      </c>
      <c r="E87" s="34">
        <f>ABS(Norway!E87)</f>
        <v>0</v>
      </c>
      <c r="F87" s="42">
        <v>500</v>
      </c>
      <c r="G87" s="34">
        <f t="shared" si="0"/>
        <v>13612585.08529005</v>
      </c>
      <c r="H87" s="34">
        <f t="shared" si="1"/>
        <v>13544522.159863601</v>
      </c>
      <c r="I87" s="35">
        <f t="shared" si="21"/>
        <v>1</v>
      </c>
      <c r="J87" s="36">
        <f t="shared" si="2"/>
        <v>13544522.159863601</v>
      </c>
      <c r="K87" s="34">
        <f t="shared" si="16"/>
        <v>97666953779.535339</v>
      </c>
      <c r="L87" s="37">
        <f t="shared" si="17"/>
        <v>95255563925.689514</v>
      </c>
      <c r="M87" s="34">
        <f t="shared" si="3"/>
        <v>6003528242.0916691</v>
      </c>
      <c r="N87" s="34">
        <f t="shared" si="4"/>
        <v>0</v>
      </c>
      <c r="O87" s="34">
        <f t="shared" si="5"/>
        <v>6003528242.0916691</v>
      </c>
      <c r="P87" s="34">
        <f t="shared" si="22"/>
        <v>600352824.20916688</v>
      </c>
      <c r="Q87" s="38">
        <f t="shared" si="6"/>
        <v>5376159540.7930899</v>
      </c>
      <c r="R87" s="39">
        <f t="shared" si="7"/>
        <v>2688079770.3965449</v>
      </c>
      <c r="S87" s="34">
        <f t="shared" si="8"/>
        <v>2688079770.3965449</v>
      </c>
      <c r="T87" s="40">
        <f t="shared" si="23"/>
        <v>10149650799.049095</v>
      </c>
      <c r="U87" s="272">
        <f t="shared" si="9"/>
        <v>2.6988780705650929E-3</v>
      </c>
      <c r="V87" s="282">
        <f t="shared" si="10"/>
        <v>8.1776127634000577</v>
      </c>
      <c r="W87" s="290">
        <f>(L87+Norway!L87)</f>
        <v>305381024730.76746</v>
      </c>
      <c r="X87" s="291">
        <f t="shared" si="11"/>
        <v>152690512365.38373</v>
      </c>
      <c r="Y87" s="292">
        <f>(R87+Norway!R87)</f>
        <v>3926736167.9404588</v>
      </c>
      <c r="Z87" s="293">
        <f t="shared" si="12"/>
        <v>1963368083.9702294</v>
      </c>
      <c r="AA87" s="294">
        <f>((S87+Norway!S87)/(T87*(U87+Norway!U87))/12)</f>
        <v>33.589701705689087</v>
      </c>
      <c r="AB87" s="295">
        <f>(Q87+Norway!Q87)</f>
        <v>17762723516.232227</v>
      </c>
    </row>
    <row r="88" spans="1:28" ht="15.75" customHeight="1">
      <c r="A88" s="31" t="s">
        <v>121</v>
      </c>
      <c r="B88" s="32">
        <v>2104</v>
      </c>
      <c r="C88" s="274">
        <f t="shared" si="13"/>
        <v>2.4502653153522089E-5</v>
      </c>
      <c r="D88" s="271">
        <f t="shared" si="20"/>
        <v>2.4502653153522089E-5</v>
      </c>
      <c r="E88" s="34">
        <f>ABS(Norway!E88)</f>
        <v>0</v>
      </c>
      <c r="F88" s="42">
        <v>500</v>
      </c>
      <c r="G88" s="34">
        <f t="shared" si="0"/>
        <v>12251326.576761045</v>
      </c>
      <c r="H88" s="34">
        <f t="shared" si="1"/>
        <v>12190069.943877239</v>
      </c>
      <c r="I88" s="35">
        <f t="shared" si="21"/>
        <v>1</v>
      </c>
      <c r="J88" s="36">
        <f t="shared" si="2"/>
        <v>12190069.943877239</v>
      </c>
      <c r="K88" s="34">
        <f t="shared" si="16"/>
        <v>98279496673.688385</v>
      </c>
      <c r="L88" s="37">
        <f t="shared" si="17"/>
        <v>95820172766.432648</v>
      </c>
      <c r="M88" s="34">
        <f t="shared" si="3"/>
        <v>6039202752.8887148</v>
      </c>
      <c r="N88" s="34">
        <f t="shared" si="4"/>
        <v>0</v>
      </c>
      <c r="O88" s="34">
        <f t="shared" si="5"/>
        <v>6039202752.8887148</v>
      </c>
      <c r="P88" s="34">
        <f t="shared" si="22"/>
        <v>603920275.28887153</v>
      </c>
      <c r="Q88" s="38">
        <f t="shared" si="6"/>
        <v>5408106065.2118435</v>
      </c>
      <c r="R88" s="39">
        <f t="shared" si="7"/>
        <v>2704053032.6059217</v>
      </c>
      <c r="S88" s="34">
        <f t="shared" si="8"/>
        <v>2704053032.6059217</v>
      </c>
      <c r="T88" s="40">
        <f t="shared" si="23"/>
        <v>10139501148.250048</v>
      </c>
      <c r="U88" s="272">
        <f t="shared" si="9"/>
        <v>2.6988780705650929E-3</v>
      </c>
      <c r="V88" s="282">
        <f t="shared" si="10"/>
        <v>8.2344406849612444</v>
      </c>
      <c r="W88" s="290">
        <f>(L88+Norway!L88)</f>
        <v>306659449168.44238</v>
      </c>
      <c r="X88" s="291">
        <f t="shared" si="11"/>
        <v>153329724584.22119</v>
      </c>
      <c r="Y88" s="292">
        <f>(R88+Norway!R88)</f>
        <v>3943427738.1168118</v>
      </c>
      <c r="Z88" s="293">
        <f t="shared" si="12"/>
        <v>1971713869.0584059</v>
      </c>
      <c r="AA88" s="294">
        <f>((S88+Norway!S88)/(T88*(U88+Norway!U88))/12)</f>
        <v>33.677852495098556</v>
      </c>
      <c r="AB88" s="295">
        <f>(Q88+Norway!Q88)</f>
        <v>17801853120.32074</v>
      </c>
    </row>
    <row r="89" spans="1:28" ht="15.75" customHeight="1">
      <c r="A89" s="31" t="s">
        <v>122</v>
      </c>
      <c r="B89" s="32">
        <v>2105</v>
      </c>
      <c r="C89" s="274">
        <f t="shared" si="13"/>
        <v>2.2052387838169879E-5</v>
      </c>
      <c r="D89" s="271">
        <f t="shared" si="20"/>
        <v>2.2052387838169879E-5</v>
      </c>
      <c r="E89" s="34">
        <f>ABS(Norway!E89)</f>
        <v>0</v>
      </c>
      <c r="F89" s="42">
        <v>500</v>
      </c>
      <c r="G89" s="34">
        <f t="shared" si="0"/>
        <v>11026193.91908494</v>
      </c>
      <c r="H89" s="34">
        <f t="shared" si="1"/>
        <v>10971062.949489515</v>
      </c>
      <c r="I89" s="35">
        <f t="shared" si="21"/>
        <v>1</v>
      </c>
      <c r="J89" s="36">
        <f t="shared" si="2"/>
        <v>10971062.949489515</v>
      </c>
      <c r="K89" s="34">
        <f t="shared" si="16"/>
        <v>98894388011.926743</v>
      </c>
      <c r="L89" s="37">
        <f t="shared" si="17"/>
        <v>96386846572.618668</v>
      </c>
      <c r="M89" s="34">
        <f t="shared" si="3"/>
        <v>6074998953.3918295</v>
      </c>
      <c r="N89" s="34">
        <f t="shared" si="4"/>
        <v>0</v>
      </c>
      <c r="O89" s="34">
        <f t="shared" si="5"/>
        <v>6074998953.3918295</v>
      </c>
      <c r="P89" s="34">
        <f t="shared" si="22"/>
        <v>607499895.33918297</v>
      </c>
      <c r="Q89" s="38">
        <f t="shared" si="6"/>
        <v>5440161562.7623835</v>
      </c>
      <c r="R89" s="39">
        <f t="shared" si="7"/>
        <v>2720080781.3811917</v>
      </c>
      <c r="S89" s="34">
        <f t="shared" si="8"/>
        <v>2720080781.3811917</v>
      </c>
      <c r="T89" s="40">
        <f t="shared" si="23"/>
        <v>10129361647.101799</v>
      </c>
      <c r="U89" s="272">
        <f t="shared" si="9"/>
        <v>2.6988780705650929E-3</v>
      </c>
      <c r="V89" s="282">
        <f t="shared" si="10"/>
        <v>8.2915402718993825</v>
      </c>
      <c r="W89" s="290">
        <f>(L89+Norway!L89)</f>
        <v>308008401173.38611</v>
      </c>
      <c r="X89" s="291">
        <f t="shared" si="11"/>
        <v>154004200586.69305</v>
      </c>
      <c r="Y89" s="292">
        <f>(R89+Norway!R89)</f>
        <v>3957015570.1951141</v>
      </c>
      <c r="Z89" s="293">
        <f t="shared" si="12"/>
        <v>1978507785.0975571</v>
      </c>
      <c r="AA89" s="294">
        <f>((S89+Norway!S89)/(T89*(U89+Norway!U89))/12)</f>
        <v>33.69713527759103</v>
      </c>
      <c r="AB89" s="295">
        <f>(Q89+Norway!Q89)</f>
        <v>17809509450.901608</v>
      </c>
    </row>
    <row r="90" spans="1:28" ht="15.75" customHeight="1">
      <c r="A90" s="31" t="s">
        <v>123</v>
      </c>
      <c r="B90" s="32">
        <v>2106</v>
      </c>
      <c r="C90" s="274">
        <f t="shared" si="13"/>
        <v>1.984714905435289E-5</v>
      </c>
      <c r="D90" s="271">
        <f t="shared" si="20"/>
        <v>1.984714905435289E-5</v>
      </c>
      <c r="E90" s="34">
        <f>ABS(Norway!E90)</f>
        <v>0</v>
      </c>
      <c r="F90" s="42">
        <v>500</v>
      </c>
      <c r="G90" s="34">
        <f t="shared" si="0"/>
        <v>9923574.5271764454</v>
      </c>
      <c r="H90" s="34">
        <f t="shared" si="1"/>
        <v>9873956.654540563</v>
      </c>
      <c r="I90" s="35">
        <f t="shared" si="21"/>
        <v>1</v>
      </c>
      <c r="J90" s="36">
        <f t="shared" si="2"/>
        <v>9873956.654540563</v>
      </c>
      <c r="K90" s="34">
        <f t="shared" si="16"/>
        <v>99511761863.920471</v>
      </c>
      <c r="L90" s="37">
        <f t="shared" si="17"/>
        <v>96955718314.400101</v>
      </c>
      <c r="M90" s="34">
        <f t="shared" si="3"/>
        <v>6110926072.7040234</v>
      </c>
      <c r="N90" s="34">
        <f t="shared" si="4"/>
        <v>0</v>
      </c>
      <c r="O90" s="34">
        <f t="shared" si="5"/>
        <v>6110926072.7040234</v>
      </c>
      <c r="P90" s="34">
        <f t="shared" si="22"/>
        <v>611092607.27040231</v>
      </c>
      <c r="Q90" s="38">
        <f t="shared" si="6"/>
        <v>5472334298.1064529</v>
      </c>
      <c r="R90" s="39">
        <f t="shared" si="7"/>
        <v>2736167149.0532265</v>
      </c>
      <c r="S90" s="34">
        <f t="shared" si="8"/>
        <v>2736167149.0532265</v>
      </c>
      <c r="T90" s="40">
        <f t="shared" si="23"/>
        <v>10119232285.454699</v>
      </c>
      <c r="U90" s="272">
        <f t="shared" si="9"/>
        <v>2.6988780705650929E-3</v>
      </c>
      <c r="V90" s="282">
        <f t="shared" si="10"/>
        <v>8.3489247864720983</v>
      </c>
      <c r="W90" s="290">
        <f>(L90+Norway!L90)</f>
        <v>309426682393.02856</v>
      </c>
      <c r="X90" s="291">
        <f t="shared" si="11"/>
        <v>154713341196.51428</v>
      </c>
      <c r="Y90" s="292">
        <f>(R90+Norway!R90)</f>
        <v>3971016482.9746456</v>
      </c>
      <c r="Z90" s="293">
        <f t="shared" si="12"/>
        <v>1985508241.4873228</v>
      </c>
      <c r="AA90" s="294">
        <f>((S90+Norway!S90)/(T90*(U90+Norway!U90))/12)</f>
        <v>33.724333696614032</v>
      </c>
      <c r="AB90" s="295">
        <f>(Q90+Norway!Q90)</f>
        <v>17820827637.320648</v>
      </c>
    </row>
    <row r="91" spans="1:28" ht="15.75" customHeight="1">
      <c r="A91" s="31" t="s">
        <v>124</v>
      </c>
      <c r="B91" s="32">
        <v>2107</v>
      </c>
      <c r="C91" s="274">
        <f t="shared" si="13"/>
        <v>1.7862434148917601E-5</v>
      </c>
      <c r="D91" s="271">
        <f t="shared" si="20"/>
        <v>1.7862434148917601E-5</v>
      </c>
      <c r="E91" s="34">
        <f>ABS(Norway!E91)</f>
        <v>0</v>
      </c>
      <c r="F91" s="42">
        <v>500</v>
      </c>
      <c r="G91" s="34">
        <f t="shared" si="0"/>
        <v>8931217.0744588003</v>
      </c>
      <c r="H91" s="34">
        <f t="shared" si="1"/>
        <v>8886560.9890865069</v>
      </c>
      <c r="I91" s="35">
        <f t="shared" si="21"/>
        <v>1</v>
      </c>
      <c r="J91" s="36">
        <f t="shared" si="2"/>
        <v>8886560.9890865069</v>
      </c>
      <c r="K91" s="34">
        <f t="shared" si="16"/>
        <v>100131741032.17996</v>
      </c>
      <c r="L91" s="37">
        <f t="shared" si="17"/>
        <v>97526909633.918274</v>
      </c>
      <c r="M91" s="34">
        <f t="shared" si="3"/>
        <v>6146992541.132966</v>
      </c>
      <c r="N91" s="34">
        <f t="shared" si="4"/>
        <v>0</v>
      </c>
      <c r="O91" s="34">
        <f t="shared" si="5"/>
        <v>6146992541.132966</v>
      </c>
      <c r="P91" s="34">
        <f t="shared" si="22"/>
        <v>614699254.11329663</v>
      </c>
      <c r="Q91" s="38">
        <f t="shared" si="6"/>
        <v>5504631820.5845709</v>
      </c>
      <c r="R91" s="39">
        <f t="shared" si="7"/>
        <v>2752315910.2922854</v>
      </c>
      <c r="S91" s="34">
        <f t="shared" si="8"/>
        <v>2752315910.2922854</v>
      </c>
      <c r="T91" s="40">
        <f t="shared" si="23"/>
        <v>10109113053.169245</v>
      </c>
      <c r="U91" s="272">
        <f t="shared" si="9"/>
        <v>2.6988780705650929E-3</v>
      </c>
      <c r="V91" s="282">
        <f t="shared" si="10"/>
        <v>8.4066064501958415</v>
      </c>
      <c r="W91" s="290">
        <f>(L91+Norway!L91)</f>
        <v>310915380651.34729</v>
      </c>
      <c r="X91" s="291">
        <f t="shared" si="11"/>
        <v>155457690325.67365</v>
      </c>
      <c r="Y91" s="292">
        <f>(R91+Norway!R91)</f>
        <v>3985420046.3737202</v>
      </c>
      <c r="Z91" s="293">
        <f t="shared" si="12"/>
        <v>1992710023.1868601</v>
      </c>
      <c r="AA91" s="294">
        <f>((S91+Norway!S91)/(T91*(U91+Norway!U91))/12)</f>
        <v>33.759169090047251</v>
      </c>
      <c r="AB91" s="295">
        <f>(Q91+Norway!Q91)</f>
        <v>17835673181.398918</v>
      </c>
    </row>
    <row r="92" spans="1:28" ht="15.75" customHeight="1">
      <c r="A92" s="31" t="s">
        <v>125</v>
      </c>
      <c r="B92" s="32">
        <v>2108</v>
      </c>
      <c r="C92" s="274">
        <f t="shared" si="13"/>
        <v>1.6076190734025843E-5</v>
      </c>
      <c r="D92" s="271">
        <f t="shared" si="20"/>
        <v>1.6076190734025843E-5</v>
      </c>
      <c r="E92" s="34">
        <f>ABS(Norway!E92)</f>
        <v>0</v>
      </c>
      <c r="F92" s="42">
        <v>500</v>
      </c>
      <c r="G92" s="34">
        <f t="shared" si="0"/>
        <v>8038095.3670129217</v>
      </c>
      <c r="H92" s="34">
        <f t="shared" si="1"/>
        <v>7997904.8901778571</v>
      </c>
      <c r="I92" s="35">
        <f t="shared" si="21"/>
        <v>1</v>
      </c>
      <c r="J92" s="36">
        <f t="shared" si="2"/>
        <v>7997904.8901778571</v>
      </c>
      <c r="K92" s="34">
        <f t="shared" si="16"/>
        <v>100754438191.18344</v>
      </c>
      <c r="L92" s="37">
        <f t="shared" si="17"/>
        <v>98100531989.525299</v>
      </c>
      <c r="M92" s="34">
        <f t="shared" si="3"/>
        <v>6183206070.7904186</v>
      </c>
      <c r="N92" s="34">
        <f t="shared" si="4"/>
        <v>0</v>
      </c>
      <c r="O92" s="34">
        <f t="shared" si="5"/>
        <v>6183206070.7904186</v>
      </c>
      <c r="P92" s="34">
        <f t="shared" si="22"/>
        <v>618320607.07904184</v>
      </c>
      <c r="Q92" s="38">
        <f t="shared" si="6"/>
        <v>5537061036.3928204</v>
      </c>
      <c r="R92" s="39">
        <f t="shared" si="7"/>
        <v>2768530518.1964102</v>
      </c>
      <c r="S92" s="34">
        <f t="shared" si="8"/>
        <v>2768530518.1964102</v>
      </c>
      <c r="T92" s="40">
        <f t="shared" si="23"/>
        <v>10099003940.116077</v>
      </c>
      <c r="U92" s="272">
        <f t="shared" si="9"/>
        <v>2.6988780705650929E-3</v>
      </c>
      <c r="V92" s="282">
        <f t="shared" si="10"/>
        <v>8.4645965488443817</v>
      </c>
      <c r="W92" s="290">
        <f>(L92+Norway!L92)</f>
        <v>312475609227.95093</v>
      </c>
      <c r="X92" s="291">
        <f t="shared" si="11"/>
        <v>156237804613.97546</v>
      </c>
      <c r="Y92" s="292">
        <f>(R92+Norway!R92)</f>
        <v>4000228938.1195221</v>
      </c>
      <c r="Z92" s="293">
        <f t="shared" si="12"/>
        <v>2000114469.059761</v>
      </c>
      <c r="AA92" s="294">
        <f>((S92+Norway!S92)/(T92*(U92+Norway!U92))/12)</f>
        <v>33.801655742624114</v>
      </c>
      <c r="AB92" s="295">
        <f>(Q92+Norway!Q92)</f>
        <v>17854045235.623936</v>
      </c>
    </row>
    <row r="93" spans="1:28" ht="15.75" customHeight="1">
      <c r="A93" s="31" t="s">
        <v>126</v>
      </c>
      <c r="B93" s="32">
        <v>2109</v>
      </c>
      <c r="C93" s="274">
        <f t="shared" si="13"/>
        <v>1.4468571660623259E-5</v>
      </c>
      <c r="D93" s="271">
        <f t="shared" si="20"/>
        <v>1.4468571660623259E-5</v>
      </c>
      <c r="E93" s="34">
        <f>ABS(Norway!E93)</f>
        <v>0</v>
      </c>
      <c r="F93" s="42">
        <v>500</v>
      </c>
      <c r="G93" s="34">
        <f t="shared" si="0"/>
        <v>7234285.830311629</v>
      </c>
      <c r="H93" s="34">
        <f t="shared" si="1"/>
        <v>7198114.4011600707</v>
      </c>
      <c r="I93" s="35">
        <f t="shared" si="21"/>
        <v>1</v>
      </c>
      <c r="J93" s="36">
        <f t="shared" si="2"/>
        <v>7198114.4011600707</v>
      </c>
      <c r="K93" s="34">
        <f t="shared" si="16"/>
        <v>101379956912.66364</v>
      </c>
      <c r="L93" s="37">
        <f t="shared" si="17"/>
        <v>98676687685.649994</v>
      </c>
      <c r="M93" s="34">
        <f t="shared" si="3"/>
        <v>6219573728.1359034</v>
      </c>
      <c r="N93" s="34">
        <f t="shared" si="4"/>
        <v>0</v>
      </c>
      <c r="O93" s="34">
        <f t="shared" si="5"/>
        <v>6219573728.1359034</v>
      </c>
      <c r="P93" s="34">
        <f t="shared" si="22"/>
        <v>621957372.81359041</v>
      </c>
      <c r="Q93" s="38">
        <f t="shared" si="6"/>
        <v>5569628273.545702</v>
      </c>
      <c r="R93" s="39">
        <f t="shared" si="7"/>
        <v>2784814136.772851</v>
      </c>
      <c r="S93" s="34">
        <f t="shared" si="8"/>
        <v>2784814136.772851</v>
      </c>
      <c r="T93" s="40">
        <f t="shared" si="23"/>
        <v>10088904936.175962</v>
      </c>
      <c r="U93" s="272">
        <f t="shared" si="9"/>
        <v>2.6988780705650929E-3</v>
      </c>
      <c r="V93" s="282">
        <f t="shared" si="10"/>
        <v>8.5229055270547285</v>
      </c>
      <c r="W93" s="290">
        <f>(L93+Norway!L93)</f>
        <v>314108520778.29114</v>
      </c>
      <c r="X93" s="291">
        <f t="shared" si="11"/>
        <v>157054260389.14557</v>
      </c>
      <c r="Y93" s="292">
        <f>(R93+Norway!R93)</f>
        <v>4015445629.5391264</v>
      </c>
      <c r="Z93" s="293">
        <f t="shared" si="12"/>
        <v>2007722814.7695632</v>
      </c>
      <c r="AA93" s="294">
        <f>((S93+Norway!S93)/(T93*(U93+Norway!U93))/12)</f>
        <v>33.851809061998843</v>
      </c>
      <c r="AB93" s="295">
        <f>(Q93+Norway!Q93)</f>
        <v>17875943201.208458</v>
      </c>
    </row>
    <row r="94" spans="1:28" ht="15.75" customHeight="1">
      <c r="A94" s="31" t="s">
        <v>127</v>
      </c>
      <c r="B94" s="32">
        <v>2110</v>
      </c>
      <c r="C94" s="274">
        <f t="shared" si="13"/>
        <v>1.3021714494560933E-5</v>
      </c>
      <c r="D94" s="271">
        <f t="shared" si="20"/>
        <v>1.3021714494560933E-5</v>
      </c>
      <c r="E94" s="34">
        <f>ABS(Norway!E94)</f>
        <v>0</v>
      </c>
      <c r="F94" s="42">
        <v>500</v>
      </c>
      <c r="G94" s="34">
        <f t="shared" si="0"/>
        <v>6510857.2472804664</v>
      </c>
      <c r="H94" s="34">
        <f t="shared" si="1"/>
        <v>6478302.9610440638</v>
      </c>
      <c r="I94" s="35">
        <f t="shared" si="21"/>
        <v>1</v>
      </c>
      <c r="J94" s="36">
        <f t="shared" si="2"/>
        <v>6478302.9610440638</v>
      </c>
      <c r="K94" s="34">
        <f t="shared" si="16"/>
        <v>102008392588.43826</v>
      </c>
      <c r="L94" s="37">
        <f t="shared" si="17"/>
        <v>99255470799.743912</v>
      </c>
      <c r="M94" s="34">
        <f t="shared" si="3"/>
        <v>6256101999.2702093</v>
      </c>
      <c r="N94" s="34">
        <f t="shared" si="4"/>
        <v>0</v>
      </c>
      <c r="O94" s="34">
        <f t="shared" si="5"/>
        <v>6256101999.2702093</v>
      </c>
      <c r="P94" s="34">
        <f t="shared" si="22"/>
        <v>625610199.92702091</v>
      </c>
      <c r="Q94" s="38">
        <f t="shared" si="6"/>
        <v>5602339340.3464727</v>
      </c>
      <c r="R94" s="39">
        <f t="shared" si="7"/>
        <v>2801169670.1732364</v>
      </c>
      <c r="S94" s="34">
        <f t="shared" si="8"/>
        <v>2801169670.1732364</v>
      </c>
      <c r="T94" s="40">
        <f t="shared" si="23"/>
        <v>10078816031.239788</v>
      </c>
      <c r="U94" s="272">
        <f t="shared" si="9"/>
        <v>2.6988780705650929E-3</v>
      </c>
      <c r="V94" s="282">
        <f t="shared" si="10"/>
        <v>8.5815430735704563</v>
      </c>
      <c r="W94" s="290">
        <f>(L94+Norway!L94)</f>
        <v>315815311662.4472</v>
      </c>
      <c r="X94" s="291">
        <f t="shared" si="11"/>
        <v>157907655831.2236</v>
      </c>
      <c r="Y94" s="292">
        <f>(R94+Norway!R94)</f>
        <v>4031072482.7652054</v>
      </c>
      <c r="Z94" s="293">
        <f t="shared" si="12"/>
        <v>2015536241.3826027</v>
      </c>
      <c r="AA94" s="294">
        <f>((S94+Norway!S94)/(T94*(U94+Norway!U94))/12)</f>
        <v>33.90964715132268</v>
      </c>
      <c r="AB94" s="295">
        <f>(Q94+Norway!Q94)</f>
        <v>17901367466.266163</v>
      </c>
    </row>
    <row r="95" spans="1:28" ht="15.75" customHeight="1">
      <c r="A95" s="31" t="s">
        <v>128</v>
      </c>
      <c r="B95" s="32">
        <v>2111</v>
      </c>
      <c r="C95" s="274">
        <f t="shared" si="13"/>
        <v>1.1719543045104839E-5</v>
      </c>
      <c r="D95" s="271">
        <f t="shared" si="20"/>
        <v>1.1719543045104839E-5</v>
      </c>
      <c r="E95" s="34">
        <f>ABS(Norway!E95)</f>
        <v>0</v>
      </c>
      <c r="F95" s="42">
        <v>500</v>
      </c>
      <c r="G95" s="34">
        <f t="shared" si="0"/>
        <v>5859771.5225524195</v>
      </c>
      <c r="H95" s="34">
        <f t="shared" si="1"/>
        <v>5830472.6649396578</v>
      </c>
      <c r="I95" s="35">
        <f t="shared" si="21"/>
        <v>1</v>
      </c>
      <c r="J95" s="36">
        <f t="shared" si="2"/>
        <v>5830472.6649396578</v>
      </c>
      <c r="K95" s="34">
        <f t="shared" si="16"/>
        <v>102639833261.03021</v>
      </c>
      <c r="L95" s="37">
        <f t="shared" si="17"/>
        <v>99836968016.599701</v>
      </c>
      <c r="M95" s="34">
        <f t="shared" si="3"/>
        <v>6292796848.703764</v>
      </c>
      <c r="N95" s="34">
        <f t="shared" si="4"/>
        <v>0</v>
      </c>
      <c r="O95" s="34">
        <f t="shared" si="5"/>
        <v>6292796848.703764</v>
      </c>
      <c r="P95" s="34">
        <f t="shared" si="22"/>
        <v>629279684.87037647</v>
      </c>
      <c r="Q95" s="38">
        <f t="shared" si="6"/>
        <v>5635199578.0142202</v>
      </c>
      <c r="R95" s="39">
        <f t="shared" si="7"/>
        <v>2817599789.0071101</v>
      </c>
      <c r="S95" s="34">
        <f t="shared" si="8"/>
        <v>2817599789.0071101</v>
      </c>
      <c r="T95" s="40">
        <f t="shared" si="23"/>
        <v>10068737215.208549</v>
      </c>
      <c r="U95" s="272">
        <f t="shared" si="9"/>
        <v>2.6988780705650929E-3</v>
      </c>
      <c r="V95" s="282">
        <f t="shared" si="10"/>
        <v>8.6405181980503336</v>
      </c>
      <c r="W95" s="290">
        <f>(L95+Norway!L95)</f>
        <v>317597226113.8064</v>
      </c>
      <c r="X95" s="291">
        <f t="shared" si="11"/>
        <v>158798613056.9032</v>
      </c>
      <c r="Y95" s="292">
        <f>(R95+Norway!R95)</f>
        <v>4047111788.7098818</v>
      </c>
      <c r="Z95" s="293">
        <f t="shared" si="12"/>
        <v>2023555894.3549409</v>
      </c>
      <c r="AA95" s="294">
        <f>((S95+Norway!S95)/(T95*(U95+Norway!U95))/12)</f>
        <v>33.975191143869701</v>
      </c>
      <c r="AB95" s="295">
        <f>(Q95+Norway!Q95)</f>
        <v>17930319575.041939</v>
      </c>
    </row>
    <row r="96" spans="1:28" ht="15.75" customHeight="1">
      <c r="A96" s="31" t="s">
        <v>129</v>
      </c>
      <c r="B96" s="32">
        <v>2112</v>
      </c>
      <c r="C96" s="274">
        <f t="shared" si="13"/>
        <v>1.0547588740594356E-5</v>
      </c>
      <c r="D96" s="271">
        <f t="shared" si="20"/>
        <v>1.0547588740594356E-5</v>
      </c>
      <c r="E96" s="34">
        <f>ABS(Norway!E96)</f>
        <v>0</v>
      </c>
      <c r="F96" s="42">
        <v>500</v>
      </c>
      <c r="G96" s="34">
        <f t="shared" si="0"/>
        <v>5273794.3702971786</v>
      </c>
      <c r="H96" s="34">
        <f t="shared" si="1"/>
        <v>5247425.3984456928</v>
      </c>
      <c r="I96" s="35">
        <f t="shared" si="21"/>
        <v>1</v>
      </c>
      <c r="J96" s="36">
        <f t="shared" si="2"/>
        <v>5247425.3984456928</v>
      </c>
      <c r="K96" s="34">
        <f t="shared" si="16"/>
        <v>103274360371.29904</v>
      </c>
      <c r="L96" s="37">
        <f t="shared" si="17"/>
        <v>100421259379.3051</v>
      </c>
      <c r="M96" s="34">
        <f t="shared" si="3"/>
        <v>6329663772.2524204</v>
      </c>
      <c r="N96" s="34">
        <f t="shared" si="4"/>
        <v>0</v>
      </c>
      <c r="O96" s="34">
        <f t="shared" si="5"/>
        <v>6329663772.2524204</v>
      </c>
      <c r="P96" s="34">
        <f t="shared" si="22"/>
        <v>632966377.22524202</v>
      </c>
      <c r="Q96" s="38">
        <f t="shared" si="6"/>
        <v>5668213908.052043</v>
      </c>
      <c r="R96" s="39">
        <f t="shared" si="7"/>
        <v>2834106954.0260215</v>
      </c>
      <c r="S96" s="34">
        <f t="shared" si="8"/>
        <v>2834106954.0260215</v>
      </c>
      <c r="T96" s="40">
        <f t="shared" si="23"/>
        <v>10058668477.993341</v>
      </c>
      <c r="U96" s="272">
        <f t="shared" si="9"/>
        <v>2.6988780705650929E-3</v>
      </c>
      <c r="V96" s="282">
        <f t="shared" si="10"/>
        <v>8.6998393002782279</v>
      </c>
      <c r="W96" s="290">
        <f>(L96+Norway!L96)</f>
        <v>319455560241.30206</v>
      </c>
      <c r="X96" s="291">
        <f t="shared" si="11"/>
        <v>159727780120.65103</v>
      </c>
      <c r="Y96" s="292">
        <f>(R96+Norway!R96)</f>
        <v>4070434286.5651693</v>
      </c>
      <c r="Z96" s="293">
        <f t="shared" si="12"/>
        <v>2035217143.2825847</v>
      </c>
      <c r="AA96" s="294">
        <f>((S96+Norway!S96)/(T96*(U96+Norway!U96))/12)</f>
        <v>34.199894865364335</v>
      </c>
      <c r="AB96" s="295">
        <f>(Q96+Norway!Q96)</f>
        <v>18031487233.443523</v>
      </c>
    </row>
    <row r="97" spans="1:28" ht="15.75" customHeight="1">
      <c r="A97" s="31" t="s">
        <v>130</v>
      </c>
      <c r="B97" s="32">
        <v>2113</v>
      </c>
      <c r="C97" s="274">
        <f t="shared" si="13"/>
        <v>9.4928298665349213E-6</v>
      </c>
      <c r="D97" s="271">
        <f t="shared" si="20"/>
        <v>9.4928298665349213E-6</v>
      </c>
      <c r="E97" s="34">
        <f>ABS(Norway!E97)</f>
        <v>0</v>
      </c>
      <c r="F97" s="42">
        <v>500</v>
      </c>
      <c r="G97" s="34">
        <f t="shared" si="0"/>
        <v>4746414.9332674611</v>
      </c>
      <c r="H97" s="34">
        <f t="shared" si="1"/>
        <v>4722682.858601124</v>
      </c>
      <c r="I97" s="35">
        <f t="shared" si="21"/>
        <v>1</v>
      </c>
      <c r="J97" s="36">
        <f t="shared" si="2"/>
        <v>4722682.858601124</v>
      </c>
      <c r="K97" s="34">
        <f t="shared" si="16"/>
        <v>103912049431.38287</v>
      </c>
      <c r="L97" s="37">
        <f t="shared" si="17"/>
        <v>101008418965.16924</v>
      </c>
      <c r="M97" s="34">
        <f t="shared" si="3"/>
        <v>6366707844.6479435</v>
      </c>
      <c r="N97" s="34">
        <f t="shared" si="4"/>
        <v>0</v>
      </c>
      <c r="O97" s="34">
        <f t="shared" si="5"/>
        <v>6366707844.6479435</v>
      </c>
      <c r="P97" s="34">
        <f t="shared" si="22"/>
        <v>636670784.4647944</v>
      </c>
      <c r="Q97" s="38">
        <f t="shared" si="6"/>
        <v>5701386874.8822336</v>
      </c>
      <c r="R97" s="39">
        <f t="shared" si="7"/>
        <v>2850693437.4411168</v>
      </c>
      <c r="S97" s="34">
        <f t="shared" si="8"/>
        <v>2850693437.4411168</v>
      </c>
      <c r="T97" s="40">
        <f t="shared" si="23"/>
        <v>10048609809.515348</v>
      </c>
      <c r="U97" s="272">
        <f t="shared" si="9"/>
        <v>2.6988780705650929E-3</v>
      </c>
      <c r="V97" s="282">
        <f t="shared" si="10"/>
        <v>8.759514232527378</v>
      </c>
      <c r="W97" s="290">
        <f>(L97+Norway!L97)</f>
        <v>321322670410.77173</v>
      </c>
      <c r="X97" s="291">
        <f t="shared" si="11"/>
        <v>160661335205.38586</v>
      </c>
      <c r="Y97" s="292">
        <f>(R97+Norway!R97)</f>
        <v>4094254109.5560789</v>
      </c>
      <c r="Z97" s="293">
        <f t="shared" si="12"/>
        <v>2047127054.7780395</v>
      </c>
      <c r="AA97" s="294">
        <f>((S97+Norway!S97)/(T97*(U97+Norway!U97))/12)</f>
        <v>34.434433910063937</v>
      </c>
      <c r="AB97" s="295">
        <f>(Q97+Norway!Q97)</f>
        <v>18136993596.031853</v>
      </c>
    </row>
    <row r="98" spans="1:28" ht="15.75" customHeight="1">
      <c r="A98" s="31" t="s">
        <v>131</v>
      </c>
      <c r="B98" s="32">
        <v>2114</v>
      </c>
      <c r="C98" s="274">
        <f t="shared" si="13"/>
        <v>8.54354687988143E-6</v>
      </c>
      <c r="D98" s="271">
        <f t="shared" si="20"/>
        <v>8.54354687988143E-6</v>
      </c>
      <c r="E98" s="34">
        <f>ABS(Norway!E98)</f>
        <v>0</v>
      </c>
      <c r="F98" s="42">
        <v>500</v>
      </c>
      <c r="G98" s="34">
        <f t="shared" si="0"/>
        <v>4271773.4399407152</v>
      </c>
      <c r="H98" s="34">
        <f t="shared" si="1"/>
        <v>4250414.5727410112</v>
      </c>
      <c r="I98" s="35">
        <f t="shared" si="21"/>
        <v>1</v>
      </c>
      <c r="J98" s="36">
        <f t="shared" si="2"/>
        <v>4250414.5727410112</v>
      </c>
      <c r="K98" s="34">
        <f t="shared" si="16"/>
        <v>104552970630.42041</v>
      </c>
      <c r="L98" s="37">
        <f t="shared" si="17"/>
        <v>101598515494.12468</v>
      </c>
      <c r="M98" s="34">
        <f t="shared" si="3"/>
        <v>6403933762.3917294</v>
      </c>
      <c r="N98" s="34">
        <f t="shared" si="4"/>
        <v>0</v>
      </c>
      <c r="O98" s="34">
        <f t="shared" si="5"/>
        <v>6403933762.3917294</v>
      </c>
      <c r="P98" s="34">
        <f t="shared" si="22"/>
        <v>640393376.23917294</v>
      </c>
      <c r="Q98" s="38">
        <f t="shared" si="6"/>
        <v>5734722684.2217932</v>
      </c>
      <c r="R98" s="39">
        <f t="shared" si="7"/>
        <v>2867361342.1108966</v>
      </c>
      <c r="S98" s="34">
        <f t="shared" si="8"/>
        <v>2867361342.1108966</v>
      </c>
      <c r="T98" s="40">
        <f t="shared" si="23"/>
        <v>10038561199.705833</v>
      </c>
      <c r="U98" s="272">
        <f t="shared" si="9"/>
        <v>2.6988780705650929E-3</v>
      </c>
      <c r="V98" s="282">
        <f t="shared" si="10"/>
        <v>8.8195503557575616</v>
      </c>
      <c r="W98" s="290">
        <f>(L98+Norway!L98)</f>
        <v>323199195140.68225</v>
      </c>
      <c r="X98" s="291">
        <f t="shared" si="11"/>
        <v>161599597570.34113</v>
      </c>
      <c r="Y98" s="292">
        <f>(R98+Norway!R98)</f>
        <v>4118188895.2657614</v>
      </c>
      <c r="Z98" s="293">
        <f t="shared" si="12"/>
        <v>2059094447.6328807</v>
      </c>
      <c r="AA98" s="294">
        <f>((S98+Norway!S98)/(T98*(U98+Norway!U98))/12)</f>
        <v>34.670349057445812</v>
      </c>
      <c r="AB98" s="295">
        <f>(Q98+Norway!Q98)</f>
        <v>18242998215.770443</v>
      </c>
    </row>
    <row r="99" spans="1:28" ht="15.75" customHeight="1">
      <c r="A99" s="31" t="s">
        <v>132</v>
      </c>
      <c r="B99" s="32">
        <v>2115</v>
      </c>
      <c r="C99" s="274">
        <f t="shared" si="13"/>
        <v>7.689192191893287E-6</v>
      </c>
      <c r="D99" s="271">
        <f t="shared" si="20"/>
        <v>7.689192191893287E-6</v>
      </c>
      <c r="E99" s="34">
        <f>ABS(Norway!E99)</f>
        <v>0</v>
      </c>
      <c r="F99" s="42">
        <v>500</v>
      </c>
      <c r="G99" s="34">
        <f t="shared" si="0"/>
        <v>3844596.0959466435</v>
      </c>
      <c r="H99" s="34">
        <f t="shared" si="1"/>
        <v>3825373.1154669104</v>
      </c>
      <c r="I99" s="35">
        <f t="shared" si="21"/>
        <v>1</v>
      </c>
      <c r="J99" s="36">
        <f t="shared" si="2"/>
        <v>3825373.1154669104</v>
      </c>
      <c r="K99" s="34">
        <f t="shared" si="16"/>
        <v>105197189379.77504</v>
      </c>
      <c r="L99" s="37">
        <f t="shared" si="17"/>
        <v>102191612876.35757</v>
      </c>
      <c r="M99" s="34">
        <f t="shared" si="3"/>
        <v>6441345882.3275042</v>
      </c>
      <c r="N99" s="34">
        <f t="shared" si="4"/>
        <v>0</v>
      </c>
      <c r="O99" s="34">
        <f t="shared" si="5"/>
        <v>6441345882.3275042</v>
      </c>
      <c r="P99" s="34">
        <f t="shared" si="22"/>
        <v>644134588.23275042</v>
      </c>
      <c r="Q99" s="38">
        <f t="shared" si="6"/>
        <v>5768225237.624279</v>
      </c>
      <c r="R99" s="39">
        <f t="shared" si="7"/>
        <v>2884112618.8121395</v>
      </c>
      <c r="S99" s="34">
        <f t="shared" si="8"/>
        <v>2884112618.8121395</v>
      </c>
      <c r="T99" s="40">
        <f t="shared" si="23"/>
        <v>10028522638.506128</v>
      </c>
      <c r="U99" s="272">
        <f t="shared" si="9"/>
        <v>2.6988780705650929E-3</v>
      </c>
      <c r="V99" s="282">
        <f t="shared" si="10"/>
        <v>8.8799545902563555</v>
      </c>
      <c r="W99" s="290">
        <f>(L99+Norway!L99)</f>
        <v>325085328119.23181</v>
      </c>
      <c r="X99" s="291">
        <f t="shared" si="11"/>
        <v>162542664059.61591</v>
      </c>
      <c r="Y99" s="292">
        <f>(R99+Norway!R99)</f>
        <v>4142243829.4850807</v>
      </c>
      <c r="Z99" s="293">
        <f t="shared" si="12"/>
        <v>2071121914.7425404</v>
      </c>
      <c r="AA99" s="294">
        <f>((S99+Norway!S99)/(T99*(U99+Norway!U99))/12)</f>
        <v>34.907720099026157</v>
      </c>
      <c r="AB99" s="295">
        <f>(Q99+Norway!Q99)</f>
        <v>18349537344.353691</v>
      </c>
    </row>
    <row r="100" spans="1:28" ht="15.75" customHeight="1">
      <c r="A100" s="31" t="s">
        <v>133</v>
      </c>
      <c r="B100" s="32">
        <v>2116</v>
      </c>
      <c r="C100" s="274">
        <f t="shared" si="13"/>
        <v>6.9202729727039583E-6</v>
      </c>
      <c r="D100" s="271">
        <f t="shared" si="20"/>
        <v>6.9202729727039583E-6</v>
      </c>
      <c r="E100" s="34">
        <f>ABS(Norway!E100)</f>
        <v>0</v>
      </c>
      <c r="F100" s="42">
        <v>500</v>
      </c>
      <c r="G100" s="34">
        <f t="shared" si="0"/>
        <v>3460136.486351979</v>
      </c>
      <c r="H100" s="34">
        <f t="shared" si="1"/>
        <v>3442835.8039202192</v>
      </c>
      <c r="I100" s="35">
        <f t="shared" si="21"/>
        <v>1</v>
      </c>
      <c r="J100" s="36">
        <f t="shared" si="2"/>
        <v>3442835.8039202192</v>
      </c>
      <c r="K100" s="34">
        <f t="shared" si="16"/>
        <v>105844766803.81172</v>
      </c>
      <c r="L100" s="37">
        <f t="shared" si="17"/>
        <v>102787770705.24406</v>
      </c>
      <c r="M100" s="34">
        <f t="shared" si="3"/>
        <v>6478948256.3610697</v>
      </c>
      <c r="N100" s="34">
        <f t="shared" si="4"/>
        <v>0</v>
      </c>
      <c r="O100" s="34">
        <f t="shared" si="5"/>
        <v>6478948256.3610697</v>
      </c>
      <c r="P100" s="34">
        <f t="shared" si="22"/>
        <v>647894825.63610697</v>
      </c>
      <c r="Q100" s="38">
        <f t="shared" si="6"/>
        <v>5801898163.5713377</v>
      </c>
      <c r="R100" s="39">
        <f t="shared" si="7"/>
        <v>2900949081.7856688</v>
      </c>
      <c r="S100" s="34">
        <f t="shared" si="8"/>
        <v>2900949081.7856688</v>
      </c>
      <c r="T100" s="40">
        <f t="shared" si="23"/>
        <v>10018494115.867622</v>
      </c>
      <c r="U100" s="272">
        <f t="shared" si="9"/>
        <v>2.6988780705650929E-3</v>
      </c>
      <c r="V100" s="282">
        <f t="shared" si="10"/>
        <v>8.9407334612751868</v>
      </c>
      <c r="W100" s="290">
        <f>(L100+Norway!L100)</f>
        <v>326981252705.63831</v>
      </c>
      <c r="X100" s="291">
        <f t="shared" si="11"/>
        <v>163490626352.81915</v>
      </c>
      <c r="Y100" s="292">
        <f>(R100+Norway!R100)</f>
        <v>4166421463.2656298</v>
      </c>
      <c r="Z100" s="293">
        <f t="shared" si="12"/>
        <v>2083210731.6328149</v>
      </c>
      <c r="AA100" s="294">
        <f>((S100+Norway!S100)/(T100*(U100+Norway!U100))/12)</f>
        <v>35.146571503930197</v>
      </c>
      <c r="AB100" s="295">
        <f>(Q100+Norway!Q100)</f>
        <v>18456621978.370949</v>
      </c>
    </row>
    <row r="101" spans="1:28" ht="15.75" customHeight="1">
      <c r="A101" s="31" t="s">
        <v>134</v>
      </c>
      <c r="B101" s="32">
        <v>2117</v>
      </c>
      <c r="C101" s="274">
        <f t="shared" si="13"/>
        <v>6.2282456754335628E-6</v>
      </c>
      <c r="D101" s="271">
        <f t="shared" si="20"/>
        <v>6.2282456754335628E-6</v>
      </c>
      <c r="E101" s="34">
        <f>ABS(Norway!E101)</f>
        <v>0</v>
      </c>
      <c r="F101" s="42">
        <v>500</v>
      </c>
      <c r="G101" s="34">
        <f t="shared" si="0"/>
        <v>3114122.8377167815</v>
      </c>
      <c r="H101" s="34">
        <f t="shared" si="1"/>
        <v>3098552.2235281975</v>
      </c>
      <c r="I101" s="35">
        <f t="shared" si="21"/>
        <v>1</v>
      </c>
      <c r="J101" s="36">
        <f t="shared" si="2"/>
        <v>3098552.2235281975</v>
      </c>
      <c r="K101" s="34">
        <f t="shared" si="16"/>
        <v>106495760181.67136</v>
      </c>
      <c r="L101" s="37">
        <f t="shared" si="17"/>
        <v>103387044701.06215</v>
      </c>
      <c r="M101" s="34">
        <f t="shared" si="3"/>
        <v>6516744662.7124739</v>
      </c>
      <c r="N101" s="34">
        <f t="shared" si="4"/>
        <v>0</v>
      </c>
      <c r="O101" s="34">
        <f t="shared" si="5"/>
        <v>6516744662.7124739</v>
      </c>
      <c r="P101" s="34">
        <f t="shared" si="22"/>
        <v>651674466.27124739</v>
      </c>
      <c r="Q101" s="38">
        <f t="shared" si="6"/>
        <v>5835744845.4590206</v>
      </c>
      <c r="R101" s="39">
        <f t="shared" si="7"/>
        <v>2917872422.7295103</v>
      </c>
      <c r="S101" s="34">
        <f t="shared" si="8"/>
        <v>2917872422.7295103</v>
      </c>
      <c r="T101" s="40">
        <f t="shared" si="23"/>
        <v>10008475621.751757</v>
      </c>
      <c r="U101" s="272">
        <f t="shared" si="9"/>
        <v>2.6988780705650929E-3</v>
      </c>
      <c r="V101" s="282">
        <f t="shared" si="10"/>
        <v>9.0018931401562892</v>
      </c>
      <c r="W101" s="290">
        <f>(L101+Norway!L101)</f>
        <v>328887140544.32172</v>
      </c>
      <c r="X101" s="291">
        <f t="shared" si="11"/>
        <v>164443570272.16086</v>
      </c>
      <c r="Y101" s="292">
        <f>(R101+Norway!R101)</f>
        <v>4190724190.9822884</v>
      </c>
      <c r="Z101" s="293">
        <f t="shared" si="12"/>
        <v>2095362095.4911442</v>
      </c>
      <c r="AA101" s="294">
        <f>((S101+Norway!S101)/(T101*(U101+Norway!U101))/12)</f>
        <v>35.386926773398692</v>
      </c>
      <c r="AB101" s="295">
        <f>(Q101+Norway!Q101)</f>
        <v>18564262527.986801</v>
      </c>
    </row>
    <row r="102" spans="1:28" ht="15.75" customHeight="1">
      <c r="A102" s="31" t="s">
        <v>135</v>
      </c>
      <c r="B102" s="32">
        <v>2118</v>
      </c>
      <c r="C102" s="274">
        <f t="shared" si="13"/>
        <v>5.6054211078902064E-6</v>
      </c>
      <c r="D102" s="271">
        <f t="shared" si="20"/>
        <v>5.6054211078902064E-6</v>
      </c>
      <c r="E102" s="34">
        <f>ABS(Norway!E102)</f>
        <v>0</v>
      </c>
      <c r="F102" s="42">
        <v>500</v>
      </c>
      <c r="G102" s="34">
        <f t="shared" si="0"/>
        <v>2802710.5539451032</v>
      </c>
      <c r="H102" s="34">
        <f t="shared" si="1"/>
        <v>2788697.0011753775</v>
      </c>
      <c r="I102" s="35">
        <f t="shared" si="21"/>
        <v>1</v>
      </c>
      <c r="J102" s="36">
        <f t="shared" si="2"/>
        <v>2788697.0011753775</v>
      </c>
      <c r="K102" s="34">
        <f t="shared" si="16"/>
        <v>107150223344.94377</v>
      </c>
      <c r="L102" s="37">
        <f t="shared" si="17"/>
        <v>103989487110.4024</v>
      </c>
      <c r="M102" s="34">
        <f t="shared" si="3"/>
        <v>6554738634.0473404</v>
      </c>
      <c r="N102" s="34">
        <f t="shared" si="4"/>
        <v>0</v>
      </c>
      <c r="O102" s="34">
        <f t="shared" si="5"/>
        <v>6554738634.0473404</v>
      </c>
      <c r="P102" s="34">
        <f t="shared" si="22"/>
        <v>655473863.40473413</v>
      </c>
      <c r="Q102" s="38">
        <f t="shared" si="6"/>
        <v>5869768446.7893934</v>
      </c>
      <c r="R102" s="39">
        <f t="shared" si="7"/>
        <v>2934884223.3946967</v>
      </c>
      <c r="S102" s="34">
        <f t="shared" si="8"/>
        <v>2934884223.3946967</v>
      </c>
      <c r="T102" s="40">
        <f t="shared" si="23"/>
        <v>9998467146.1300068</v>
      </c>
      <c r="U102" s="272">
        <f t="shared" si="9"/>
        <v>2.6988780705650929E-3</v>
      </c>
      <c r="V102" s="282">
        <f t="shared" si="10"/>
        <v>9.0634394813974506</v>
      </c>
      <c r="W102" s="290">
        <f>(L102+Norway!L102)</f>
        <v>330803152790.35767</v>
      </c>
      <c r="X102" s="291">
        <f t="shared" si="11"/>
        <v>165401576395.17883</v>
      </c>
      <c r="Y102" s="292">
        <f>(R102+Norway!R102)</f>
        <v>4215154252.5419273</v>
      </c>
      <c r="Z102" s="293">
        <f t="shared" si="12"/>
        <v>2107577126.2709637</v>
      </c>
      <c r="AA102" s="294">
        <f>((S102+Norway!S102)/(T102*(U102+Norway!U102))/12)</f>
        <v>35.62880823637019</v>
      </c>
      <c r="AB102" s="295">
        <f>(Q102+Norway!Q102)</f>
        <v>18672468738.261703</v>
      </c>
    </row>
    <row r="103" spans="1:28" ht="15.75" customHeight="1">
      <c r="A103" s="31" t="s">
        <v>136</v>
      </c>
      <c r="B103" s="32">
        <v>2119</v>
      </c>
      <c r="C103" s="274">
        <f t="shared" si="13"/>
        <v>5.0448789971011863E-6</v>
      </c>
      <c r="D103" s="271">
        <f t="shared" si="20"/>
        <v>5.0448789971011863E-6</v>
      </c>
      <c r="E103" s="34">
        <f>ABS(Norway!E103)</f>
        <v>0</v>
      </c>
      <c r="F103" s="42">
        <v>500</v>
      </c>
      <c r="G103" s="34">
        <f t="shared" si="0"/>
        <v>2522439.4985505934</v>
      </c>
      <c r="H103" s="34">
        <f t="shared" si="1"/>
        <v>2509827.3010578402</v>
      </c>
      <c r="I103" s="35">
        <f t="shared" si="21"/>
        <v>1</v>
      </c>
      <c r="J103" s="36">
        <f t="shared" si="2"/>
        <v>2509827.3010578402</v>
      </c>
      <c r="K103" s="34">
        <f t="shared" si="16"/>
        <v>107808207035.64957</v>
      </c>
      <c r="L103" s="37">
        <f t="shared" si="17"/>
        <v>104595147065.70766</v>
      </c>
      <c r="M103" s="34">
        <f t="shared" si="3"/>
        <v>6592933482.7995119</v>
      </c>
      <c r="N103" s="34">
        <f t="shared" si="4"/>
        <v>0</v>
      </c>
      <c r="O103" s="34">
        <f t="shared" si="5"/>
        <v>6592933482.7995119</v>
      </c>
      <c r="P103" s="34">
        <f t="shared" si="22"/>
        <v>659293348.27995121</v>
      </c>
      <c r="Q103" s="38">
        <f t="shared" si="6"/>
        <v>5903971933.8469629</v>
      </c>
      <c r="R103" s="39">
        <f t="shared" si="7"/>
        <v>2951985966.9234815</v>
      </c>
      <c r="S103" s="34">
        <f t="shared" si="8"/>
        <v>2951985966.9234815</v>
      </c>
      <c r="T103" s="40">
        <f t="shared" si="23"/>
        <v>9988468678.9838772</v>
      </c>
      <c r="U103" s="272">
        <f t="shared" si="9"/>
        <v>2.6988780705650929E-3</v>
      </c>
      <c r="V103" s="282">
        <f t="shared" si="10"/>
        <v>9.1253780560573023</v>
      </c>
      <c r="W103" s="290">
        <f>(L103+Norway!L103)</f>
        <v>332729441197.03082</v>
      </c>
      <c r="X103" s="291">
        <f t="shared" si="11"/>
        <v>166364720598.51541</v>
      </c>
      <c r="Y103" s="292">
        <f>(R103+Norway!R103)</f>
        <v>4239713749.4114571</v>
      </c>
      <c r="Z103" s="293">
        <f t="shared" si="12"/>
        <v>2119856874.7057285</v>
      </c>
      <c r="AA103" s="294">
        <f>((S103+Norway!S103)/(T103*(U103+Norway!U103))/12)</f>
        <v>35.872237175485189</v>
      </c>
      <c r="AB103" s="295">
        <f>(Q103+Norway!Q103)</f>
        <v>18781249758.726719</v>
      </c>
    </row>
    <row r="104" spans="1:28" ht="15.75" customHeight="1">
      <c r="A104" s="31" t="s">
        <v>137</v>
      </c>
      <c r="B104" s="32">
        <v>2120</v>
      </c>
      <c r="C104" s="274">
        <f t="shared" si="13"/>
        <v>4.5403910973910675E-6</v>
      </c>
      <c r="D104" s="271">
        <f t="shared" si="20"/>
        <v>4.5403910973910675E-6</v>
      </c>
      <c r="E104" s="34">
        <f>ABS(Norway!E104)</f>
        <v>0</v>
      </c>
      <c r="F104" s="42">
        <v>500</v>
      </c>
      <c r="G104" s="34">
        <f t="shared" si="0"/>
        <v>2270195.548695534</v>
      </c>
      <c r="H104" s="34">
        <f t="shared" si="1"/>
        <v>2258844.5709520564</v>
      </c>
      <c r="I104" s="35">
        <f t="shared" si="21"/>
        <v>1</v>
      </c>
      <c r="J104" s="36">
        <f t="shared" si="2"/>
        <v>2258844.5709520564</v>
      </c>
      <c r="K104" s="34">
        <f t="shared" si="16"/>
        <v>108469759228.50047</v>
      </c>
      <c r="L104" s="37">
        <f t="shared" si="17"/>
        <v>105204070908.92929</v>
      </c>
      <c r="M104" s="34">
        <f t="shared" si="3"/>
        <v>6631332323.9658651</v>
      </c>
      <c r="N104" s="34">
        <f t="shared" si="4"/>
        <v>0</v>
      </c>
      <c r="O104" s="34">
        <f t="shared" si="5"/>
        <v>6631332323.9658651</v>
      </c>
      <c r="P104" s="34">
        <f t="shared" si="22"/>
        <v>663133232.39658654</v>
      </c>
      <c r="Q104" s="38">
        <f t="shared" si="6"/>
        <v>5938358096.1114321</v>
      </c>
      <c r="R104" s="39">
        <f t="shared" si="7"/>
        <v>2969179048.055716</v>
      </c>
      <c r="S104" s="34">
        <f t="shared" si="8"/>
        <v>2969179048.055716</v>
      </c>
      <c r="T104" s="40">
        <f t="shared" si="23"/>
        <v>9978480210.3048935</v>
      </c>
      <c r="U104" s="272">
        <f t="shared" si="9"/>
        <v>2.6988780705650929E-3</v>
      </c>
      <c r="V104" s="282">
        <f t="shared" si="10"/>
        <v>9.1877141818637718</v>
      </c>
      <c r="W104" s="290">
        <f>(L104+Norway!L104)</f>
        <v>334666149094.95642</v>
      </c>
      <c r="X104" s="291">
        <f t="shared" si="11"/>
        <v>167333074547.47821</v>
      </c>
      <c r="Y104" s="292">
        <f>(R104+Norway!R104)</f>
        <v>4264404658.9574795</v>
      </c>
      <c r="Z104" s="293">
        <f t="shared" si="12"/>
        <v>2132202329.4787397</v>
      </c>
      <c r="AA104" s="294">
        <f>((S104+Norway!S104)/(T104*(U104+Norway!U104))/12)</f>
        <v>36.117233938701368</v>
      </c>
      <c r="AB104" s="295">
        <f>(Q104+Norway!Q104)</f>
        <v>18890614205.129066</v>
      </c>
    </row>
    <row r="105" spans="1:28" ht="15.75" customHeight="1">
      <c r="A105" s="31" t="s">
        <v>138</v>
      </c>
      <c r="B105" s="32">
        <v>2121</v>
      </c>
      <c r="C105" s="274">
        <f t="shared" si="13"/>
        <v>4.0863519876519612E-6</v>
      </c>
      <c r="D105" s="271">
        <f t="shared" si="20"/>
        <v>4.0863519876519612E-6</v>
      </c>
      <c r="E105" s="34">
        <f>ABS(Norway!E105)</f>
        <v>0</v>
      </c>
      <c r="F105" s="42">
        <v>500</v>
      </c>
      <c r="G105" s="34">
        <f t="shared" si="0"/>
        <v>2043175.9938259807</v>
      </c>
      <c r="H105" s="34">
        <f t="shared" si="1"/>
        <v>2032960.1138568509</v>
      </c>
      <c r="I105" s="35">
        <f t="shared" si="21"/>
        <v>1</v>
      </c>
      <c r="J105" s="36">
        <f t="shared" si="2"/>
        <v>2032960.1138568509</v>
      </c>
      <c r="K105" s="34">
        <f t="shared" si="16"/>
        <v>109134925421.01093</v>
      </c>
      <c r="L105" s="37">
        <f t="shared" si="17"/>
        <v>105816302482.88902</v>
      </c>
      <c r="M105" s="34">
        <f t="shared" si="3"/>
        <v>6669938095.6261168</v>
      </c>
      <c r="N105" s="34">
        <f t="shared" si="4"/>
        <v>0</v>
      </c>
      <c r="O105" s="34">
        <f t="shared" si="5"/>
        <v>6669938095.6261168</v>
      </c>
      <c r="P105" s="34">
        <f t="shared" si="22"/>
        <v>666993809.5626117</v>
      </c>
      <c r="Q105" s="38">
        <f t="shared" si="6"/>
        <v>5972929564.6331873</v>
      </c>
      <c r="R105" s="39">
        <f t="shared" si="7"/>
        <v>2986464782.3165936</v>
      </c>
      <c r="S105" s="34">
        <f t="shared" si="8"/>
        <v>2986464782.3165936</v>
      </c>
      <c r="T105" s="40">
        <f t="shared" si="23"/>
        <v>9968501730.0945892</v>
      </c>
      <c r="U105" s="272">
        <f t="shared" si="9"/>
        <v>2.6988780705650929E-3</v>
      </c>
      <c r="V105" s="282">
        <f t="shared" si="10"/>
        <v>9.2504529503525852</v>
      </c>
      <c r="W105" s="290">
        <f>(L105+Norway!L105)</f>
        <v>336613412273.5144</v>
      </c>
      <c r="X105" s="291">
        <f t="shared" si="11"/>
        <v>168306706136.7572</v>
      </c>
      <c r="Y105" s="292">
        <f>(R105+Norway!R105)</f>
        <v>4289228847.3554173</v>
      </c>
      <c r="Z105" s="293">
        <f t="shared" si="12"/>
        <v>2144614423.6777086</v>
      </c>
      <c r="AA105" s="294">
        <f>((S105+Norway!S105)/(T105*(U105+Norway!U105))/12)</f>
        <v>36.363818039914129</v>
      </c>
      <c r="AB105" s="295">
        <f>(Q105+Norway!Q105)</f>
        <v>19000570215.021423</v>
      </c>
    </row>
    <row r="106" spans="1:28" ht="15.75" customHeight="1">
      <c r="A106" s="31" t="s">
        <v>139</v>
      </c>
      <c r="B106" s="32">
        <v>2122</v>
      </c>
      <c r="C106" s="274">
        <f t="shared" si="13"/>
        <v>3.677716788886765E-6</v>
      </c>
      <c r="D106" s="271">
        <f t="shared" si="20"/>
        <v>3.677716788886765E-6</v>
      </c>
      <c r="E106" s="34">
        <f>ABS(Norway!E106)</f>
        <v>0</v>
      </c>
      <c r="F106" s="42">
        <v>500</v>
      </c>
      <c r="G106" s="34">
        <f t="shared" si="0"/>
        <v>1838858.3944433825</v>
      </c>
      <c r="H106" s="34">
        <f t="shared" si="1"/>
        <v>1829664.1024711656</v>
      </c>
      <c r="I106" s="35">
        <f t="shared" si="21"/>
        <v>1</v>
      </c>
      <c r="J106" s="36">
        <f t="shared" si="2"/>
        <v>1829664.1024711656</v>
      </c>
      <c r="K106" s="34">
        <f t="shared" si="16"/>
        <v>109803748894.67601</v>
      </c>
      <c r="L106" s="37">
        <f t="shared" si="17"/>
        <v>106431883393.57584</v>
      </c>
      <c r="M106" s="34">
        <f t="shared" si="3"/>
        <v>6708753577.415164</v>
      </c>
      <c r="N106" s="34">
        <f t="shared" si="4"/>
        <v>0</v>
      </c>
      <c r="O106" s="34">
        <f t="shared" si="5"/>
        <v>6708753577.415164</v>
      </c>
      <c r="P106" s="34">
        <f t="shared" si="22"/>
        <v>670875357.74151647</v>
      </c>
      <c r="Q106" s="38">
        <f t="shared" si="6"/>
        <v>6007688828.5752792</v>
      </c>
      <c r="R106" s="39">
        <f t="shared" si="7"/>
        <v>3003844414.2876396</v>
      </c>
      <c r="S106" s="34">
        <f t="shared" si="8"/>
        <v>3003844414.2876396</v>
      </c>
      <c r="T106" s="40">
        <f t="shared" si="23"/>
        <v>9958533228.3644962</v>
      </c>
      <c r="U106" s="272">
        <f t="shared" si="9"/>
        <v>2.6988780705650929E-3</v>
      </c>
      <c r="V106" s="282">
        <f t="shared" si="10"/>
        <v>9.313599251330233</v>
      </c>
      <c r="W106" s="290">
        <f>(L106+Norway!L106)</f>
        <v>338571359774.36737</v>
      </c>
      <c r="X106" s="291">
        <f t="shared" si="11"/>
        <v>169285679887.18369</v>
      </c>
      <c r="Y106" s="292">
        <f>(R106+Norway!R106)</f>
        <v>4314188081.2106209</v>
      </c>
      <c r="Z106" s="293">
        <f t="shared" si="12"/>
        <v>2157094040.6053104</v>
      </c>
      <c r="AA106" s="294">
        <f>((S106+Norway!S106)/(T106*(U106+Norway!U106))/12)</f>
        <v>36.6120082496602</v>
      </c>
      <c r="AB106" s="295">
        <f>(Q106+Norway!Q106)</f>
        <v>19111125497.805096</v>
      </c>
    </row>
    <row r="107" spans="1:28" ht="15.75" customHeight="1">
      <c r="A107" s="31" t="s">
        <v>140</v>
      </c>
      <c r="B107" s="32">
        <v>2123</v>
      </c>
      <c r="C107" s="274">
        <f t="shared" si="13"/>
        <v>3.3099451099980885E-6</v>
      </c>
      <c r="D107" s="271">
        <f t="shared" si="20"/>
        <v>3.3099451099980885E-6</v>
      </c>
      <c r="E107" s="34">
        <f>ABS(Norway!E107)</f>
        <v>0</v>
      </c>
      <c r="F107" s="42">
        <v>500</v>
      </c>
      <c r="G107" s="34">
        <f t="shared" si="0"/>
        <v>1654972.5549990444</v>
      </c>
      <c r="H107" s="34">
        <f t="shared" si="1"/>
        <v>1646697.6922240492</v>
      </c>
      <c r="I107" s="35">
        <f t="shared" si="21"/>
        <v>1</v>
      </c>
      <c r="J107" s="36">
        <f t="shared" si="2"/>
        <v>1646697.6922240492</v>
      </c>
      <c r="K107" s="34">
        <f t="shared" si="16"/>
        <v>110476270950.10976</v>
      </c>
      <c r="L107" s="37">
        <f t="shared" si="17"/>
        <v>107050853246.28508</v>
      </c>
      <c r="M107" s="34">
        <f t="shared" si="3"/>
        <v>6747781407.1527081</v>
      </c>
      <c r="N107" s="34">
        <f t="shared" si="4"/>
        <v>0</v>
      </c>
      <c r="O107" s="34">
        <f t="shared" si="5"/>
        <v>6747781407.1527081</v>
      </c>
      <c r="P107" s="34">
        <f t="shared" si="22"/>
        <v>674778140.71527088</v>
      </c>
      <c r="Q107" s="38">
        <f t="shared" si="6"/>
        <v>6042638250.1052494</v>
      </c>
      <c r="R107" s="39">
        <f t="shared" si="7"/>
        <v>3021319125.0526247</v>
      </c>
      <c r="S107" s="34">
        <f t="shared" si="8"/>
        <v>3021319125.0526247</v>
      </c>
      <c r="T107" s="40">
        <f t="shared" si="23"/>
        <v>9948574695.1361332</v>
      </c>
      <c r="U107" s="272">
        <f t="shared" si="9"/>
        <v>2.6988780705650929E-3</v>
      </c>
      <c r="V107" s="282">
        <f t="shared" si="10"/>
        <v>9.3771577949265836</v>
      </c>
      <c r="W107" s="290">
        <f>(L107+Norway!L107)</f>
        <v>340540114605.85571</v>
      </c>
      <c r="X107" s="291">
        <f t="shared" si="11"/>
        <v>170270057302.92786</v>
      </c>
      <c r="Y107" s="292">
        <f>(R107+Norway!R107)</f>
        <v>4339284038.020277</v>
      </c>
      <c r="Z107" s="293">
        <f t="shared" si="12"/>
        <v>2169642019.0101385</v>
      </c>
      <c r="AA107" s="294">
        <f>((S107+Norway!S107)/(T107*(U107+Norway!U107))/12)</f>
        <v>36.861822676887236</v>
      </c>
      <c r="AB107" s="295">
        <f>(Q107+Norway!Q107)</f>
        <v>19222287379.781773</v>
      </c>
    </row>
    <row r="108" spans="1:28" ht="15.75" customHeight="1">
      <c r="A108" s="31" t="s">
        <v>141</v>
      </c>
      <c r="B108" s="32">
        <v>2124</v>
      </c>
      <c r="C108" s="274">
        <f t="shared" si="13"/>
        <v>2.9789505989982795E-6</v>
      </c>
      <c r="D108" s="271">
        <f t="shared" si="20"/>
        <v>2.9789505989982795E-6</v>
      </c>
      <c r="E108" s="34">
        <f>ABS(Norway!E108)</f>
        <v>0</v>
      </c>
      <c r="F108" s="42">
        <v>500</v>
      </c>
      <c r="G108" s="34">
        <f t="shared" si="0"/>
        <v>1489475.2994991397</v>
      </c>
      <c r="H108" s="34">
        <f t="shared" si="1"/>
        <v>1482027.923001644</v>
      </c>
      <c r="I108" s="35">
        <f t="shared" si="21"/>
        <v>1</v>
      </c>
      <c r="J108" s="36">
        <f t="shared" si="2"/>
        <v>1482027.923001644</v>
      </c>
      <c r="K108" s="34">
        <f t="shared" si="16"/>
        <v>111152531118.74803</v>
      </c>
      <c r="L108" s="37">
        <f t="shared" si="17"/>
        <v>107673249858.2159</v>
      </c>
      <c r="M108" s="34">
        <f t="shared" si="3"/>
        <v>6787024095.8144741</v>
      </c>
      <c r="N108" s="34">
        <f t="shared" si="4"/>
        <v>0</v>
      </c>
      <c r="O108" s="34">
        <f t="shared" si="5"/>
        <v>6787024095.8144741</v>
      </c>
      <c r="P108" s="34">
        <f t="shared" si="22"/>
        <v>678702409.58144748</v>
      </c>
      <c r="Q108" s="38">
        <f t="shared" si="6"/>
        <v>6077780077.8018618</v>
      </c>
      <c r="R108" s="39">
        <f t="shared" si="7"/>
        <v>3038890038.9009309</v>
      </c>
      <c r="S108" s="34">
        <f t="shared" si="8"/>
        <v>3038890038.9009309</v>
      </c>
      <c r="T108" s="40">
        <f t="shared" si="23"/>
        <v>9938626120.4409981</v>
      </c>
      <c r="U108" s="272">
        <f t="shared" si="9"/>
        <v>2.6988780705650929E-3</v>
      </c>
      <c r="V108" s="282">
        <f t="shared" si="10"/>
        <v>9.4411331314761622</v>
      </c>
      <c r="W108" s="290">
        <f>(L108+Norway!L108)</f>
        <v>342519794386.18225</v>
      </c>
      <c r="X108" s="291">
        <f t="shared" si="11"/>
        <v>171259897193.09113</v>
      </c>
      <c r="Y108" s="292">
        <f>(R108+Norway!R108)</f>
        <v>4364518315.5920525</v>
      </c>
      <c r="Z108" s="293">
        <f t="shared" si="12"/>
        <v>2182259157.7960262</v>
      </c>
      <c r="AA108" s="294">
        <f>((S108+Norway!S108)/(T108*(U108+Norway!U108))/12)</f>
        <v>37.113278842675513</v>
      </c>
      <c r="AB108" s="295">
        <f>(Q108+Norway!Q108)</f>
        <v>19334062844.713074</v>
      </c>
    </row>
    <row r="109" spans="1:28" ht="15.75" customHeight="1">
      <c r="A109" s="31" t="s">
        <v>142</v>
      </c>
      <c r="B109" s="32">
        <v>2125</v>
      </c>
      <c r="C109" s="274">
        <f t="shared" si="13"/>
        <v>2.6810555390984517E-6</v>
      </c>
      <c r="D109" s="271">
        <f t="shared" si="20"/>
        <v>2.6810555390984517E-6</v>
      </c>
      <c r="E109" s="34">
        <f>ABS(Norway!E109)</f>
        <v>0</v>
      </c>
      <c r="F109" s="42">
        <v>500</v>
      </c>
      <c r="G109" s="34">
        <f t="shared" si="0"/>
        <v>1340527.7695492257</v>
      </c>
      <c r="H109" s="34">
        <f t="shared" si="1"/>
        <v>1333825.1307014795</v>
      </c>
      <c r="I109" s="35">
        <f t="shared" si="21"/>
        <v>1</v>
      </c>
      <c r="J109" s="36">
        <f t="shared" si="2"/>
        <v>1333825.1307014795</v>
      </c>
      <c r="K109" s="34">
        <f t="shared" si="16"/>
        <v>111832567353.46019</v>
      </c>
      <c r="L109" s="37">
        <f t="shared" si="17"/>
        <v>108299109449.88159</v>
      </c>
      <c r="M109" s="34">
        <f t="shared" si="3"/>
        <v>6826484041.0108881</v>
      </c>
      <c r="N109" s="34">
        <f t="shared" si="4"/>
        <v>0</v>
      </c>
      <c r="O109" s="34">
        <f t="shared" si="5"/>
        <v>6826484041.0108881</v>
      </c>
      <c r="P109" s="34">
        <f t="shared" si="22"/>
        <v>682648404.10108888</v>
      </c>
      <c r="Q109" s="38">
        <f t="shared" si="6"/>
        <v>6113116458.7252502</v>
      </c>
      <c r="R109" s="39">
        <f t="shared" si="7"/>
        <v>3056558229.3626251</v>
      </c>
      <c r="S109" s="34">
        <f t="shared" si="8"/>
        <v>3056558229.3626251</v>
      </c>
      <c r="T109" s="40">
        <f t="shared" si="23"/>
        <v>9928687494.3205585</v>
      </c>
      <c r="U109" s="272">
        <f t="shared" si="9"/>
        <v>2.6988780705650929E-3</v>
      </c>
      <c r="V109" s="282">
        <f t="shared" si="10"/>
        <v>9.5055296694433125</v>
      </c>
      <c r="W109" s="290">
        <f>(L109+Norway!L109)</f>
        <v>344510511922.5105</v>
      </c>
      <c r="X109" s="291">
        <f t="shared" si="11"/>
        <v>172255255961.25525</v>
      </c>
      <c r="Y109" s="292">
        <f>(R109+Norway!R109)</f>
        <v>4389892440.523818</v>
      </c>
      <c r="Z109" s="293">
        <f t="shared" si="12"/>
        <v>2194946220.261909</v>
      </c>
      <c r="AA109" s="294">
        <f>((S109+Norway!S109)/(T109*(U109+Norway!U109))/12)</f>
        <v>37.366393746709086</v>
      </c>
      <c r="AB109" s="295">
        <f>(Q109+Norway!Q109)</f>
        <v>19446458570.337181</v>
      </c>
    </row>
    <row r="110" spans="1:28" ht="15.75" customHeight="1">
      <c r="A110" s="31" t="s">
        <v>143</v>
      </c>
      <c r="B110" s="32">
        <v>2126</v>
      </c>
      <c r="C110" s="274">
        <f t="shared" si="13"/>
        <v>2.4129499851886065E-6</v>
      </c>
      <c r="D110" s="271">
        <f t="shared" si="20"/>
        <v>2.4129499851886065E-6</v>
      </c>
      <c r="E110" s="34">
        <f>ABS(Norway!E110)</f>
        <v>0</v>
      </c>
      <c r="F110" s="42">
        <v>500</v>
      </c>
      <c r="G110" s="34">
        <f t="shared" si="0"/>
        <v>1206474.9925943033</v>
      </c>
      <c r="H110" s="34">
        <f t="shared" si="1"/>
        <v>1200442.6176313318</v>
      </c>
      <c r="I110" s="35">
        <f t="shared" si="21"/>
        <v>1</v>
      </c>
      <c r="J110" s="36">
        <f t="shared" si="2"/>
        <v>1200442.6176313318</v>
      </c>
      <c r="K110" s="34">
        <f t="shared" si="16"/>
        <v>112516416200.17891</v>
      </c>
      <c r="L110" s="37">
        <f t="shared" si="17"/>
        <v>108928466817.45201</v>
      </c>
      <c r="M110" s="34">
        <f t="shared" si="3"/>
        <v>6866163539.1224928</v>
      </c>
      <c r="N110" s="34">
        <f t="shared" si="4"/>
        <v>0</v>
      </c>
      <c r="O110" s="34">
        <f t="shared" si="5"/>
        <v>6866163539.1224928</v>
      </c>
      <c r="P110" s="34">
        <f t="shared" si="22"/>
        <v>686616353.91224933</v>
      </c>
      <c r="Q110" s="38">
        <f t="shared" si="6"/>
        <v>6148649449.2841921</v>
      </c>
      <c r="R110" s="39">
        <f t="shared" si="7"/>
        <v>3074324724.642096</v>
      </c>
      <c r="S110" s="34">
        <f t="shared" si="8"/>
        <v>3074324724.642096</v>
      </c>
      <c r="T110" s="40">
        <f t="shared" si="23"/>
        <v>9918758806.8262386</v>
      </c>
      <c r="U110" s="272">
        <f t="shared" si="9"/>
        <v>2.6988780705650929E-3</v>
      </c>
      <c r="V110" s="282">
        <f t="shared" si="10"/>
        <v>9.5703516915852429</v>
      </c>
      <c r="W110" s="290">
        <f>(L110+Norway!L110)</f>
        <v>346512375732.38452</v>
      </c>
      <c r="X110" s="291">
        <f t="shared" si="11"/>
        <v>173256187866.19226</v>
      </c>
      <c r="Y110" s="292">
        <f>(R110+Norway!R110)</f>
        <v>4415407875.8383722</v>
      </c>
      <c r="Z110" s="293">
        <f t="shared" si="12"/>
        <v>2207703937.9191861</v>
      </c>
      <c r="AA110" s="294">
        <f>((S110+Norway!S110)/(T110*(U110+Norway!U110))/12)</f>
        <v>37.621183927215959</v>
      </c>
      <c r="AB110" s="295">
        <f>(Q110+Norway!Q110)</f>
        <v>19559480961.246956</v>
      </c>
    </row>
    <row r="111" spans="1:28" ht="15.75" customHeight="1">
      <c r="A111" s="31" t="s">
        <v>144</v>
      </c>
      <c r="B111" s="32">
        <v>2127</v>
      </c>
      <c r="C111" s="274">
        <f t="shared" si="13"/>
        <v>2.1716549866697459E-6</v>
      </c>
      <c r="D111" s="271">
        <f t="shared" si="20"/>
        <v>2.1716549866697459E-6</v>
      </c>
      <c r="E111" s="34">
        <f>ABS(Norway!E111)</f>
        <v>0</v>
      </c>
      <c r="F111" s="42">
        <v>500</v>
      </c>
      <c r="G111" s="34">
        <f t="shared" si="0"/>
        <v>1085827.4933348729</v>
      </c>
      <c r="H111" s="34">
        <f t="shared" si="1"/>
        <v>1080398.3558681984</v>
      </c>
      <c r="I111" s="35">
        <f t="shared" si="21"/>
        <v>1</v>
      </c>
      <c r="J111" s="36">
        <f t="shared" si="2"/>
        <v>1080398.3558681984</v>
      </c>
      <c r="K111" s="34">
        <f t="shared" si="16"/>
        <v>113204112952.44702</v>
      </c>
      <c r="L111" s="37">
        <f t="shared" si="17"/>
        <v>109561355487.93527</v>
      </c>
      <c r="M111" s="34">
        <f t="shared" si="3"/>
        <v>6906064796.2264576</v>
      </c>
      <c r="N111" s="34">
        <f t="shared" si="4"/>
        <v>0</v>
      </c>
      <c r="O111" s="34">
        <f t="shared" si="5"/>
        <v>6906064796.2264576</v>
      </c>
      <c r="P111" s="34">
        <f t="shared" si="22"/>
        <v>690606479.62264585</v>
      </c>
      <c r="Q111" s="38">
        <f t="shared" si="6"/>
        <v>6184381025.020792</v>
      </c>
      <c r="R111" s="39">
        <f t="shared" si="7"/>
        <v>3092190512.510396</v>
      </c>
      <c r="S111" s="34">
        <f t="shared" si="8"/>
        <v>3092190512.510396</v>
      </c>
      <c r="T111" s="40">
        <f t="shared" si="23"/>
        <v>9908840048.019413</v>
      </c>
      <c r="U111" s="272">
        <f t="shared" si="9"/>
        <v>2.6988780705650929E-3</v>
      </c>
      <c r="V111" s="282">
        <f t="shared" si="10"/>
        <v>9.6356033695276331</v>
      </c>
      <c r="W111" s="290">
        <f>(L111+Norway!L111)</f>
        <v>348525490513.24182</v>
      </c>
      <c r="X111" s="291">
        <f t="shared" si="11"/>
        <v>174262745256.62091</v>
      </c>
      <c r="Y111" s="292">
        <f>(R111+Norway!R111)</f>
        <v>4441066027.8576584</v>
      </c>
      <c r="Z111" s="293">
        <f t="shared" si="12"/>
        <v>2220533013.9288292</v>
      </c>
      <c r="AA111" s="294">
        <f>((S111+Norway!S111)/(T111*(U111+Norway!U111))/12)</f>
        <v>37.877665515024269</v>
      </c>
      <c r="AB111" s="295">
        <f>(Q111+Norway!Q111)</f>
        <v>19673136178.493408</v>
      </c>
    </row>
    <row r="112" spans="1:28" ht="15.75" customHeight="1">
      <c r="A112" s="31" t="s">
        <v>145</v>
      </c>
      <c r="B112" s="32">
        <v>2128</v>
      </c>
      <c r="C112" s="274">
        <f t="shared" si="13"/>
        <v>1.9544894880027711E-6</v>
      </c>
      <c r="D112" s="271">
        <f t="shared" si="20"/>
        <v>1.9544894880027711E-6</v>
      </c>
      <c r="E112" s="34">
        <f>ABS(Norway!E112)</f>
        <v>0</v>
      </c>
      <c r="F112" s="42">
        <v>500</v>
      </c>
      <c r="G112" s="34">
        <f t="shared" si="0"/>
        <v>977244.74400138564</v>
      </c>
      <c r="H112" s="34">
        <f t="shared" si="1"/>
        <v>972358.52028137876</v>
      </c>
      <c r="I112" s="35">
        <f t="shared" si="21"/>
        <v>1</v>
      </c>
      <c r="J112" s="36">
        <f t="shared" si="2"/>
        <v>972358.52028137876</v>
      </c>
      <c r="K112" s="34">
        <f t="shared" si="16"/>
        <v>113895691790.58995</v>
      </c>
      <c r="L112" s="37">
        <f t="shared" si="17"/>
        <v>110197807858.91516</v>
      </c>
      <c r="M112" s="34">
        <f t="shared" si="3"/>
        <v>6946189937.9350958</v>
      </c>
      <c r="N112" s="34">
        <f t="shared" si="4"/>
        <v>0</v>
      </c>
      <c r="O112" s="34">
        <f t="shared" si="5"/>
        <v>6946189937.9350958</v>
      </c>
      <c r="P112" s="34">
        <f t="shared" si="22"/>
        <v>694618993.7935096</v>
      </c>
      <c r="Q112" s="38">
        <f t="shared" si="6"/>
        <v>6220313089.4208784</v>
      </c>
      <c r="R112" s="39">
        <f t="shared" si="7"/>
        <v>3110156544.7104392</v>
      </c>
      <c r="S112" s="34">
        <f t="shared" si="8"/>
        <v>3110156544.7104392</v>
      </c>
      <c r="T112" s="40">
        <f t="shared" si="23"/>
        <v>9898931207.9713955</v>
      </c>
      <c r="U112" s="272">
        <f t="shared" si="9"/>
        <v>2.6988780705650929E-3</v>
      </c>
      <c r="V112" s="282">
        <f t="shared" si="10"/>
        <v>9.7012887769102321</v>
      </c>
      <c r="W112" s="290">
        <f>(L112+Norway!L112)</f>
        <v>350549957565.20923</v>
      </c>
      <c r="X112" s="291">
        <f t="shared" si="11"/>
        <v>175274978782.60461</v>
      </c>
      <c r="Y112" s="292">
        <f>(R112+Norway!R112)</f>
        <v>4466868252.3925667</v>
      </c>
      <c r="Z112" s="293">
        <f t="shared" si="12"/>
        <v>2233434126.1962833</v>
      </c>
      <c r="AA112" s="294">
        <f>((S112+Norway!S112)/(T112*(U112+Norway!U112))/12)</f>
        <v>38.135854282318434</v>
      </c>
      <c r="AB112" s="295">
        <f>(Q112+Norway!Q112)</f>
        <v>19787430166.242149</v>
      </c>
    </row>
    <row r="113" spans="1:28" ht="15.75" customHeight="1">
      <c r="A113" s="31" t="s">
        <v>146</v>
      </c>
      <c r="B113" s="32">
        <v>2129</v>
      </c>
      <c r="C113" s="274">
        <f t="shared" si="13"/>
        <v>1.759040539202494E-6</v>
      </c>
      <c r="D113" s="271">
        <f t="shared" si="20"/>
        <v>1.759040539202494E-6</v>
      </c>
      <c r="E113" s="34">
        <f>ABS(Norway!E113)</f>
        <v>0</v>
      </c>
      <c r="F113" s="42">
        <v>500</v>
      </c>
      <c r="G113" s="34">
        <f t="shared" si="0"/>
        <v>879520.26960124704</v>
      </c>
      <c r="H113" s="34">
        <f t="shared" si="1"/>
        <v>875122.66825324076</v>
      </c>
      <c r="I113" s="35">
        <f t="shared" si="21"/>
        <v>1</v>
      </c>
      <c r="J113" s="36">
        <f t="shared" si="2"/>
        <v>875122.66825324076</v>
      </c>
      <c r="K113" s="34">
        <f t="shared" si="16"/>
        <v>114591185907.05171</v>
      </c>
      <c r="L113" s="37">
        <f t="shared" si="17"/>
        <v>110837855324.38924</v>
      </c>
      <c r="M113" s="34">
        <f t="shared" si="3"/>
        <v>6986541018.2552214</v>
      </c>
      <c r="N113" s="34">
        <f t="shared" si="4"/>
        <v>0</v>
      </c>
      <c r="O113" s="34">
        <f t="shared" si="5"/>
        <v>6986541018.2552214</v>
      </c>
      <c r="P113" s="34">
        <f t="shared" si="22"/>
        <v>698654101.82552218</v>
      </c>
      <c r="Q113" s="38">
        <f t="shared" si="6"/>
        <v>6256447481.8475504</v>
      </c>
      <c r="R113" s="39">
        <f t="shared" si="7"/>
        <v>3128223740.9237752</v>
      </c>
      <c r="S113" s="34">
        <f t="shared" si="8"/>
        <v>3128223740.9237752</v>
      </c>
      <c r="T113" s="40">
        <f t="shared" si="23"/>
        <v>9889032276.7634258</v>
      </c>
      <c r="U113" s="272">
        <f t="shared" si="9"/>
        <v>2.6988780705650929E-3</v>
      </c>
      <c r="V113" s="282">
        <f t="shared" si="10"/>
        <v>9.7674119012442695</v>
      </c>
      <c r="W113" s="290">
        <f>(L113+Norway!L113)</f>
        <v>352585875171.85632</v>
      </c>
      <c r="X113" s="291">
        <f t="shared" si="11"/>
        <v>176292937585.92816</v>
      </c>
      <c r="Y113" s="292">
        <f>(R113+Norway!R113)</f>
        <v>4492815860.3167686</v>
      </c>
      <c r="Z113" s="293">
        <f t="shared" si="12"/>
        <v>2246407930.1583843</v>
      </c>
      <c r="AA113" s="294">
        <f>((S113+Norway!S113)/(T113*(U113+Norway!U113))/12)</f>
        <v>38.395765686620514</v>
      </c>
      <c r="AB113" s="295">
        <f>(Q113+Norway!Q113)</f>
        <v>19902368675.777485</v>
      </c>
    </row>
    <row r="114" spans="1:28" ht="15.75" customHeight="1">
      <c r="A114" s="31" t="s">
        <v>147</v>
      </c>
      <c r="B114" s="32">
        <v>2130</v>
      </c>
      <c r="C114" s="274">
        <f t="shared" si="13"/>
        <v>1.5831364852822448E-6</v>
      </c>
      <c r="D114" s="271">
        <f t="shared" si="20"/>
        <v>1.5831364852822448E-6</v>
      </c>
      <c r="E114" s="34">
        <f>ABS(Norway!E114)</f>
        <v>0</v>
      </c>
      <c r="F114" s="42">
        <v>500</v>
      </c>
      <c r="G114" s="34">
        <f t="shared" si="0"/>
        <v>791568.24264112231</v>
      </c>
      <c r="H114" s="34">
        <f t="shared" si="1"/>
        <v>787610.40142791672</v>
      </c>
      <c r="I114" s="35">
        <f t="shared" si="21"/>
        <v>1</v>
      </c>
      <c r="J114" s="36">
        <f t="shared" si="2"/>
        <v>787610.40142791672</v>
      </c>
      <c r="K114" s="34">
        <f t="shared" si="16"/>
        <v>115290627619.27866</v>
      </c>
      <c r="L114" s="37">
        <f t="shared" si="17"/>
        <v>111481528388.09789</v>
      </c>
      <c r="M114" s="34">
        <f t="shared" si="3"/>
        <v>7027120027.5662775</v>
      </c>
      <c r="N114" s="34">
        <f t="shared" si="4"/>
        <v>0</v>
      </c>
      <c r="O114" s="34">
        <f t="shared" si="5"/>
        <v>7027120027.5662775</v>
      </c>
      <c r="P114" s="34">
        <f t="shared" si="22"/>
        <v>702712002.7566278</v>
      </c>
      <c r="Q114" s="38">
        <f t="shared" si="6"/>
        <v>6292785984.6856012</v>
      </c>
      <c r="R114" s="39">
        <f t="shared" si="7"/>
        <v>3146392992.3428006</v>
      </c>
      <c r="S114" s="34">
        <f t="shared" si="8"/>
        <v>3146392992.3428006</v>
      </c>
      <c r="T114" s="40">
        <f t="shared" si="23"/>
        <v>9879143244.4866638</v>
      </c>
      <c r="U114" s="272">
        <f t="shared" si="9"/>
        <v>2.6988780705650929E-3</v>
      </c>
      <c r="V114" s="282">
        <f t="shared" si="10"/>
        <v>9.8339766546093959</v>
      </c>
      <c r="W114" s="290">
        <f>(L114+Norway!L114)</f>
        <v>354633338943.11096</v>
      </c>
      <c r="X114" s="291">
        <f t="shared" si="11"/>
        <v>177316669471.55548</v>
      </c>
      <c r="Y114" s="292">
        <f>(R114+Norway!R114)</f>
        <v>4518910122.5861998</v>
      </c>
      <c r="Z114" s="293">
        <f t="shared" si="12"/>
        <v>2259455061.2930999</v>
      </c>
      <c r="AA114" s="294">
        <f>((S114+Norway!S114)/(T114*(U114+Norway!U114))/12)</f>
        <v>38.657414910470656</v>
      </c>
      <c r="AB114" s="295">
        <f>(Q114+Norway!Q114)</f>
        <v>20017957287.119591</v>
      </c>
    </row>
    <row r="115" spans="1:28" ht="15.75" customHeight="1">
      <c r="A115" s="31" t="s">
        <v>148</v>
      </c>
      <c r="B115" s="32">
        <v>2131</v>
      </c>
      <c r="C115" s="274">
        <f t="shared" si="13"/>
        <v>1.4248228367540204E-6</v>
      </c>
      <c r="D115" s="271">
        <f t="shared" si="20"/>
        <v>1.4248228367540204E-6</v>
      </c>
      <c r="E115" s="34">
        <f>ABS(Norway!E115)</f>
        <v>0</v>
      </c>
      <c r="F115" s="42">
        <v>500</v>
      </c>
      <c r="G115" s="34">
        <f t="shared" si="0"/>
        <v>712411.41837701015</v>
      </c>
      <c r="H115" s="34">
        <f t="shared" si="1"/>
        <v>708849.36128512514</v>
      </c>
      <c r="I115" s="35">
        <f t="shared" si="21"/>
        <v>1</v>
      </c>
      <c r="J115" s="36">
        <f t="shared" si="2"/>
        <v>708849.36128512514</v>
      </c>
      <c r="K115" s="34">
        <f t="shared" si="16"/>
        <v>115994048471.39656</v>
      </c>
      <c r="L115" s="37">
        <f t="shared" si="17"/>
        <v>112128856765.59569</v>
      </c>
      <c r="M115" s="34">
        <f t="shared" si="3"/>
        <v>7067928899.8054056</v>
      </c>
      <c r="N115" s="34">
        <f t="shared" si="4"/>
        <v>0</v>
      </c>
      <c r="O115" s="34">
        <f t="shared" si="5"/>
        <v>7067928899.8054056</v>
      </c>
      <c r="P115" s="34">
        <f t="shared" si="22"/>
        <v>706792889.98054063</v>
      </c>
      <c r="Q115" s="38">
        <f t="shared" si="6"/>
        <v>6329330329.7757406</v>
      </c>
      <c r="R115" s="39">
        <f t="shared" si="7"/>
        <v>3164665164.8878703</v>
      </c>
      <c r="S115" s="34">
        <f t="shared" si="8"/>
        <v>3164665164.8878703</v>
      </c>
      <c r="T115" s="40">
        <f t="shared" si="23"/>
        <v>9869264101.242178</v>
      </c>
      <c r="U115" s="272">
        <f t="shared" si="9"/>
        <v>2.6988780705650929E-3</v>
      </c>
      <c r="V115" s="282">
        <f t="shared" si="10"/>
        <v>9.9009868833053094</v>
      </c>
      <c r="W115" s="290">
        <f>(L115+Norway!L115)</f>
        <v>356692442124.12299</v>
      </c>
      <c r="X115" s="291">
        <f t="shared" si="11"/>
        <v>178346221062.06149</v>
      </c>
      <c r="Y115" s="292">
        <f>(R115+Norway!R115)</f>
        <v>4545152274.7596397</v>
      </c>
      <c r="Z115" s="293">
        <f t="shared" si="12"/>
        <v>2272576137.3798199</v>
      </c>
      <c r="AA115" s="294">
        <f>((S115+Norway!S115)/(T115*(U115+Norway!U115))/12)</f>
        <v>38.920816897232925</v>
      </c>
      <c r="AB115" s="295">
        <f>(Q115+Norway!Q115)</f>
        <v>20134201428.493439</v>
      </c>
    </row>
    <row r="116" spans="1:28" ht="15.75" customHeight="1">
      <c r="A116" s="31" t="s">
        <v>149</v>
      </c>
      <c r="B116" s="32">
        <v>2132</v>
      </c>
      <c r="C116" s="274">
        <f t="shared" si="13"/>
        <v>1.2823405530786184E-6</v>
      </c>
      <c r="D116" s="271">
        <f t="shared" si="20"/>
        <v>1.2823405530786184E-6</v>
      </c>
      <c r="E116" s="34">
        <f>ABS(Norway!E116)</f>
        <v>0</v>
      </c>
      <c r="F116" s="42">
        <v>500</v>
      </c>
      <c r="G116" s="34">
        <f t="shared" si="0"/>
        <v>641170.27653930918</v>
      </c>
      <c r="H116" s="34">
        <f t="shared" si="1"/>
        <v>637964.42515661265</v>
      </c>
      <c r="I116" s="35">
        <f t="shared" si="21"/>
        <v>1</v>
      </c>
      <c r="J116" s="36">
        <f t="shared" si="2"/>
        <v>637964.42515661265</v>
      </c>
      <c r="K116" s="34">
        <f t="shared" si="16"/>
        <v>116701479325.80226</v>
      </c>
      <c r="L116" s="37">
        <f t="shared" si="17"/>
        <v>112779869476.19139</v>
      </c>
      <c r="M116" s="34">
        <f t="shared" si="3"/>
        <v>7108969518.9387665</v>
      </c>
      <c r="N116" s="34">
        <f t="shared" si="4"/>
        <v>0</v>
      </c>
      <c r="O116" s="34">
        <f t="shared" si="5"/>
        <v>7108969518.9387665</v>
      </c>
      <c r="P116" s="34">
        <f t="shared" si="22"/>
        <v>710896951.89387667</v>
      </c>
      <c r="Q116" s="38">
        <f t="shared" si="6"/>
        <v>6366082204.2096653</v>
      </c>
      <c r="R116" s="39">
        <f t="shared" si="7"/>
        <v>3183041102.1048326</v>
      </c>
      <c r="S116" s="34">
        <f t="shared" si="8"/>
        <v>3183041102.1048326</v>
      </c>
      <c r="T116" s="40">
        <f t="shared" si="23"/>
        <v>9859394837.1409378</v>
      </c>
      <c r="U116" s="272">
        <f t="shared" si="9"/>
        <v>2.6988780705650929E-3</v>
      </c>
      <c r="V116" s="282">
        <f t="shared" si="10"/>
        <v>9.9684463765617171</v>
      </c>
      <c r="W116" s="290">
        <f>(L116+Norway!L116)</f>
        <v>358763275873.4823</v>
      </c>
      <c r="X116" s="291">
        <f t="shared" si="11"/>
        <v>179381637936.74115</v>
      </c>
      <c r="Y116" s="292">
        <f>(R116+Norway!R116)</f>
        <v>4571543521.0703106</v>
      </c>
      <c r="Z116" s="293">
        <f t="shared" si="12"/>
        <v>2285771760.5351553</v>
      </c>
      <c r="AA116" s="294">
        <f>((S116+Norway!S116)/(T116*(U116+Norway!U116))/12)</f>
        <v>39.185986383411183</v>
      </c>
      <c r="AB116" s="295">
        <f>(Q116+Norway!Q116)</f>
        <v>20251106393.864445</v>
      </c>
    </row>
    <row r="117" spans="1:28" ht="15.75" customHeight="1">
      <c r="A117" s="31" t="s">
        <v>150</v>
      </c>
      <c r="B117" s="32">
        <v>2133</v>
      </c>
      <c r="C117" s="274">
        <f t="shared" si="13"/>
        <v>1.1541064977707566E-6</v>
      </c>
      <c r="D117" s="271">
        <f t="shared" si="20"/>
        <v>1.1541064977707566E-6</v>
      </c>
      <c r="E117" s="34">
        <f>ABS(Norway!E117)</f>
        <v>0</v>
      </c>
      <c r="F117" s="42">
        <v>500</v>
      </c>
      <c r="G117" s="34">
        <f t="shared" si="0"/>
        <v>577053.24888537836</v>
      </c>
      <c r="H117" s="34">
        <f t="shared" si="1"/>
        <v>574167.98264095141</v>
      </c>
      <c r="I117" s="35">
        <f t="shared" si="21"/>
        <v>1</v>
      </c>
      <c r="J117" s="36">
        <f t="shared" si="2"/>
        <v>574167.98264095141</v>
      </c>
      <c r="K117" s="34">
        <f t="shared" si="16"/>
        <v>117412950445.67877</v>
      </c>
      <c r="L117" s="37">
        <f t="shared" si="17"/>
        <v>113434594925.76987</v>
      </c>
      <c r="M117" s="34">
        <f t="shared" si="3"/>
        <v>7150243724.790534</v>
      </c>
      <c r="N117" s="34">
        <f t="shared" si="4"/>
        <v>0</v>
      </c>
      <c r="O117" s="34">
        <f t="shared" si="5"/>
        <v>7150243724.790534</v>
      </c>
      <c r="P117" s="34">
        <f t="shared" si="22"/>
        <v>715024372.4790535</v>
      </c>
      <c r="Q117" s="38">
        <f t="shared" si="6"/>
        <v>6403043255.5499229</v>
      </c>
      <c r="R117" s="39">
        <f t="shared" si="7"/>
        <v>3201521627.7749615</v>
      </c>
      <c r="S117" s="34">
        <f t="shared" si="8"/>
        <v>3201521627.7749615</v>
      </c>
      <c r="T117" s="40">
        <f t="shared" si="23"/>
        <v>9849535442.3037987</v>
      </c>
      <c r="U117" s="272">
        <f t="shared" si="9"/>
        <v>2.6988780705650929E-3</v>
      </c>
      <c r="V117" s="282">
        <f t="shared" si="10"/>
        <v>10.036358874400056</v>
      </c>
      <c r="W117" s="290">
        <f>(L117+Norway!L117)</f>
        <v>360845929513.85681</v>
      </c>
      <c r="X117" s="291">
        <f t="shared" si="11"/>
        <v>180422964756.92841</v>
      </c>
      <c r="Y117" s="292">
        <f>(R117+Norway!R117)</f>
        <v>4598085038.0933886</v>
      </c>
      <c r="Z117" s="293">
        <f t="shared" si="12"/>
        <v>2299042519.0466943</v>
      </c>
      <c r="AA117" s="294">
        <f>((S117+Norway!S117)/(T117*(U117+Norway!U117))/12)</f>
        <v>39.452937927821104</v>
      </c>
      <c r="AB117" s="295">
        <f>(Q117+Norway!Q117)</f>
        <v>20368677358.734192</v>
      </c>
    </row>
    <row r="118" spans="1:28" ht="15.75" customHeight="1">
      <c r="A118" s="31" t="s">
        <v>151</v>
      </c>
      <c r="B118" s="32">
        <v>2134</v>
      </c>
      <c r="C118" s="274">
        <f t="shared" si="13"/>
        <v>1.038695847993681E-6</v>
      </c>
      <c r="D118" s="271">
        <f t="shared" si="20"/>
        <v>1.038695847993681E-6</v>
      </c>
      <c r="E118" s="34">
        <f>ABS(Norway!E118)</f>
        <v>0</v>
      </c>
      <c r="F118" s="42">
        <v>500</v>
      </c>
      <c r="G118" s="34">
        <f t="shared" si="0"/>
        <v>519347.92399684049</v>
      </c>
      <c r="H118" s="34">
        <f t="shared" si="1"/>
        <v>516751.18437685625</v>
      </c>
      <c r="I118" s="35">
        <f t="shared" si="21"/>
        <v>1</v>
      </c>
      <c r="J118" s="36">
        <f t="shared" si="2"/>
        <v>516751.18437685625</v>
      </c>
      <c r="K118" s="34">
        <f t="shared" si="16"/>
        <v>118128491569.34219</v>
      </c>
      <c r="L118" s="37">
        <f t="shared" si="17"/>
        <v>114093060981.40858</v>
      </c>
      <c r="M118" s="34">
        <f t="shared" si="3"/>
        <v>7191753318.2938089</v>
      </c>
      <c r="N118" s="34">
        <f t="shared" si="4"/>
        <v>0</v>
      </c>
      <c r="O118" s="34">
        <f t="shared" si="5"/>
        <v>7191753318.2938089</v>
      </c>
      <c r="P118" s="34">
        <f t="shared" si="22"/>
        <v>719175331.82938099</v>
      </c>
      <c r="Q118" s="38">
        <f t="shared" si="6"/>
        <v>6440215096.5321054</v>
      </c>
      <c r="R118" s="39">
        <f t="shared" si="7"/>
        <v>3220107548.2660527</v>
      </c>
      <c r="S118" s="34">
        <f t="shared" si="8"/>
        <v>3220107548.2660527</v>
      </c>
      <c r="T118" s="40">
        <f t="shared" si="23"/>
        <v>9839685906.861496</v>
      </c>
      <c r="U118" s="272">
        <f t="shared" si="9"/>
        <v>2.6988780705650929E-3</v>
      </c>
      <c r="V118" s="282">
        <f t="shared" si="10"/>
        <v>10.104728074731153</v>
      </c>
      <c r="W118" s="290">
        <f>(L118+Norway!L118)</f>
        <v>362940490757.81055</v>
      </c>
      <c r="X118" s="291">
        <f t="shared" si="11"/>
        <v>181470245378.90527</v>
      </c>
      <c r="Y118" s="292">
        <f>(R118+Norway!R118)</f>
        <v>4624777978.0498791</v>
      </c>
      <c r="Z118" s="293">
        <f t="shared" si="12"/>
        <v>2312388989.0249395</v>
      </c>
      <c r="AA118" s="294">
        <f>((S118+Norway!S118)/(T118*(U118+Norway!U118))/12)</f>
        <v>39.721685937930211</v>
      </c>
      <c r="AB118" s="295">
        <f>(Q118+Norway!Q118)</f>
        <v>20486919394.370369</v>
      </c>
    </row>
    <row r="119" spans="1:28" ht="15.75" customHeight="1">
      <c r="A119" s="31" t="s">
        <v>152</v>
      </c>
      <c r="B119" s="32">
        <v>2135</v>
      </c>
      <c r="C119" s="274">
        <f t="shared" si="13"/>
        <v>9.3482626319431297E-7</v>
      </c>
      <c r="D119" s="271">
        <f t="shared" si="20"/>
        <v>9.3482626319431297E-7</v>
      </c>
      <c r="E119" s="34">
        <f>ABS(Norway!E119)</f>
        <v>0</v>
      </c>
      <c r="F119" s="42">
        <v>500</v>
      </c>
      <c r="G119" s="34">
        <f t="shared" si="0"/>
        <v>467413.13159715646</v>
      </c>
      <c r="H119" s="34">
        <f t="shared" si="1"/>
        <v>465076.06593917066</v>
      </c>
      <c r="I119" s="35">
        <f t="shared" si="21"/>
        <v>1</v>
      </c>
      <c r="J119" s="36">
        <f t="shared" si="2"/>
        <v>465076.06593917066</v>
      </c>
      <c r="K119" s="34">
        <f t="shared" si="16"/>
        <v>118848131977.2375</v>
      </c>
      <c r="L119" s="37">
        <f t="shared" si="17"/>
        <v>114755295038.60925</v>
      </c>
      <c r="M119" s="34">
        <f t="shared" si="3"/>
        <v>7233500066.2213039</v>
      </c>
      <c r="N119" s="34">
        <f t="shared" si="4"/>
        <v>0</v>
      </c>
      <c r="O119" s="34">
        <f t="shared" si="5"/>
        <v>7233500066.2213039</v>
      </c>
      <c r="P119" s="34">
        <f t="shared" si="22"/>
        <v>723350006.62213039</v>
      </c>
      <c r="Q119" s="38">
        <f t="shared" si="6"/>
        <v>6477599309.301178</v>
      </c>
      <c r="R119" s="39">
        <f t="shared" si="7"/>
        <v>3238799654.650589</v>
      </c>
      <c r="S119" s="34">
        <f t="shared" si="8"/>
        <v>3238799654.650589</v>
      </c>
      <c r="T119" s="40">
        <f t="shared" si="23"/>
        <v>9829846220.9546356</v>
      </c>
      <c r="U119" s="272">
        <f t="shared" si="9"/>
        <v>2.6988780705650929E-3</v>
      </c>
      <c r="V119" s="282">
        <f t="shared" si="10"/>
        <v>10.173557639764642</v>
      </c>
      <c r="W119" s="290">
        <f>(L119+Norway!L119)</f>
        <v>365047045911.28455</v>
      </c>
      <c r="X119" s="291">
        <f t="shared" si="11"/>
        <v>182523522955.64227</v>
      </c>
      <c r="Y119" s="292">
        <f>(R119+Norway!R119)</f>
        <v>4651623471.7832184</v>
      </c>
      <c r="Z119" s="293">
        <f t="shared" si="12"/>
        <v>2325811735.8916092</v>
      </c>
      <c r="AA119" s="294">
        <f>((S119+Norway!S119)/(T119*(U119+Norway!U119))/12)</f>
        <v>39.992244693647194</v>
      </c>
      <c r="AB119" s="295">
        <f>(Q119+Norway!Q119)</f>
        <v>20605837480.627464</v>
      </c>
    </row>
    <row r="120" spans="1:28" ht="15.75" customHeight="1">
      <c r="A120" s="31" t="s">
        <v>153</v>
      </c>
      <c r="B120" s="32">
        <v>2136</v>
      </c>
      <c r="C120" s="274">
        <f t="shared" si="13"/>
        <v>8.4134363687488169E-7</v>
      </c>
      <c r="D120" s="271">
        <f t="shared" si="20"/>
        <v>8.4134363687488169E-7</v>
      </c>
      <c r="E120" s="34">
        <f>ABS(Norway!E120)</f>
        <v>0</v>
      </c>
      <c r="F120" s="42">
        <v>500</v>
      </c>
      <c r="G120" s="34">
        <f t="shared" si="0"/>
        <v>420671.81843744084</v>
      </c>
      <c r="H120" s="34">
        <f t="shared" si="1"/>
        <v>418568.45934525365</v>
      </c>
      <c r="I120" s="35">
        <f t="shared" si="21"/>
        <v>1</v>
      </c>
      <c r="J120" s="36">
        <f t="shared" si="2"/>
        <v>418568.45934525365</v>
      </c>
      <c r="K120" s="34">
        <f t="shared" si="16"/>
        <v>119571900552.31898</v>
      </c>
      <c r="L120" s="37">
        <f t="shared" si="17"/>
        <v>115421324081.8839</v>
      </c>
      <c r="M120" s="34">
        <f t="shared" si="3"/>
        <v>7275485705.4478264</v>
      </c>
      <c r="N120" s="34">
        <f t="shared" si="4"/>
        <v>0</v>
      </c>
      <c r="O120" s="34">
        <f t="shared" si="5"/>
        <v>7275485705.4478264</v>
      </c>
      <c r="P120" s="34">
        <f t="shared" si="22"/>
        <v>727548570.54478264</v>
      </c>
      <c r="Q120" s="38">
        <f t="shared" si="6"/>
        <v>6515197449.228528</v>
      </c>
      <c r="R120" s="39">
        <f t="shared" si="7"/>
        <v>3257598724.614264</v>
      </c>
      <c r="S120" s="34">
        <f t="shared" si="8"/>
        <v>3257598724.614264</v>
      </c>
      <c r="T120" s="40">
        <f t="shared" si="23"/>
        <v>9820016374.7336826</v>
      </c>
      <c r="U120" s="272">
        <f t="shared" si="9"/>
        <v>2.6988780705650929E-3</v>
      </c>
      <c r="V120" s="282">
        <f t="shared" si="10"/>
        <v>10.242851201798397</v>
      </c>
      <c r="W120" s="290">
        <f>(L120+Norway!L120)</f>
        <v>367165680056.97607</v>
      </c>
      <c r="X120" s="291">
        <f t="shared" si="11"/>
        <v>183582840028.48804</v>
      </c>
      <c r="Y120" s="292">
        <f>(R120+Norway!R120)</f>
        <v>4678622631.4413519</v>
      </c>
      <c r="Z120" s="293">
        <f t="shared" si="12"/>
        <v>2339311315.7206759</v>
      </c>
      <c r="AA120" s="294">
        <f>((S120+Norway!S120)/(T120*(U120+Norway!U120))/12)</f>
        <v>40.264628368813497</v>
      </c>
      <c r="AB120" s="295">
        <f>(Q120+Norway!Q120)</f>
        <v>20725436517.499405</v>
      </c>
    </row>
    <row r="121" spans="1:28" ht="15.75" customHeight="1">
      <c r="A121" s="31" t="s">
        <v>154</v>
      </c>
      <c r="B121" s="32">
        <v>2137</v>
      </c>
      <c r="C121" s="274">
        <f t="shared" si="13"/>
        <v>7.5720927318739354E-7</v>
      </c>
      <c r="D121" s="271">
        <f t="shared" si="20"/>
        <v>7.5720927318739354E-7</v>
      </c>
      <c r="E121" s="34">
        <f>ABS(Norway!E121)</f>
        <v>0</v>
      </c>
      <c r="F121" s="42">
        <v>500</v>
      </c>
      <c r="G121" s="34">
        <f t="shared" si="0"/>
        <v>378604.63659369678</v>
      </c>
      <c r="H121" s="34">
        <f t="shared" si="1"/>
        <v>376711.61341072829</v>
      </c>
      <c r="I121" s="35">
        <f t="shared" si="21"/>
        <v>1</v>
      </c>
      <c r="J121" s="36">
        <f t="shared" si="2"/>
        <v>376711.61341072829</v>
      </c>
      <c r="K121" s="34">
        <f t="shared" si="16"/>
        <v>120299825834.47717</v>
      </c>
      <c r="L121" s="37">
        <f t="shared" si="17"/>
        <v>116091174739.36006</v>
      </c>
      <c r="M121" s="34">
        <f t="shared" si="3"/>
        <v>7317711946.7914391</v>
      </c>
      <c r="N121" s="34">
        <f t="shared" si="4"/>
        <v>0</v>
      </c>
      <c r="O121" s="34">
        <f t="shared" si="5"/>
        <v>7317711946.7914391</v>
      </c>
      <c r="P121" s="34">
        <f t="shared" si="22"/>
        <v>731771194.67914391</v>
      </c>
      <c r="Q121" s="38">
        <f t="shared" si="6"/>
        <v>6553011048.3517332</v>
      </c>
      <c r="R121" s="39">
        <f t="shared" si="7"/>
        <v>3276505524.1758666</v>
      </c>
      <c r="S121" s="34">
        <f t="shared" si="8"/>
        <v>3276505524.1758666</v>
      </c>
      <c r="T121" s="40">
        <f t="shared" si="23"/>
        <v>9810196358.3589497</v>
      </c>
      <c r="U121" s="272">
        <f t="shared" si="9"/>
        <v>2.6988780705650929E-3</v>
      </c>
      <c r="V121" s="282">
        <f t="shared" si="10"/>
        <v>10.312612368449619</v>
      </c>
      <c r="W121" s="290">
        <f>(L121+Norway!L121)</f>
        <v>369296477219.62817</v>
      </c>
      <c r="X121" s="291">
        <f t="shared" si="11"/>
        <v>184648238609.81409</v>
      </c>
      <c r="Y121" s="292">
        <f>(R121+Norway!R121)</f>
        <v>4705776552.893774</v>
      </c>
      <c r="Z121" s="293">
        <f t="shared" si="12"/>
        <v>2352888276.446887</v>
      </c>
      <c r="AA121" s="294">
        <f>((S121+Norway!S121)/(T121*(U121+Norway!U121))/12)</f>
        <v>40.538851050625361</v>
      </c>
      <c r="AB121" s="295">
        <f>(Q121+Norway!Q121)</f>
        <v>20845721335.5308</v>
      </c>
    </row>
    <row r="122" spans="1:28" ht="15.75" customHeight="1">
      <c r="A122" s="31" t="s">
        <v>155</v>
      </c>
      <c r="B122" s="32">
        <v>2138</v>
      </c>
      <c r="C122" s="274">
        <f t="shared" si="13"/>
        <v>6.8148834586865423E-7</v>
      </c>
      <c r="D122" s="271">
        <f t="shared" si="20"/>
        <v>6.8148834586865423E-7</v>
      </c>
      <c r="E122" s="34">
        <f>ABS(Norway!E122)</f>
        <v>0</v>
      </c>
      <c r="F122" s="42">
        <v>500</v>
      </c>
      <c r="G122" s="34">
        <f t="shared" si="0"/>
        <v>340744.1729343271</v>
      </c>
      <c r="H122" s="34">
        <f t="shared" si="1"/>
        <v>339040.45206965547</v>
      </c>
      <c r="I122" s="35">
        <f t="shared" si="21"/>
        <v>1</v>
      </c>
      <c r="J122" s="36">
        <f t="shared" si="2"/>
        <v>339040.45206965547</v>
      </c>
      <c r="K122" s="34">
        <f t="shared" si="16"/>
        <v>121031936069.60838</v>
      </c>
      <c r="L122" s="37">
        <f t="shared" si="17"/>
        <v>116764873332.00403</v>
      </c>
      <c r="M122" s="34">
        <f t="shared" si="3"/>
        <v>7360180478.4754276</v>
      </c>
      <c r="N122" s="34">
        <f t="shared" si="4"/>
        <v>0</v>
      </c>
      <c r="O122" s="34">
        <f t="shared" si="5"/>
        <v>7360180478.4754276</v>
      </c>
      <c r="P122" s="34">
        <f t="shared" si="22"/>
        <v>736018047.84754276</v>
      </c>
      <c r="Q122" s="38">
        <f t="shared" si="6"/>
        <v>6591041618.4747458</v>
      </c>
      <c r="R122" s="39">
        <f t="shared" si="7"/>
        <v>3295520809.2373729</v>
      </c>
      <c r="S122" s="34">
        <f t="shared" si="8"/>
        <v>3295520809.2373729</v>
      </c>
      <c r="T122" s="40">
        <f t="shared" si="23"/>
        <v>9800386162.0005913</v>
      </c>
      <c r="U122" s="272">
        <f t="shared" si="9"/>
        <v>2.6988780705650929E-3</v>
      </c>
      <c r="V122" s="282">
        <f t="shared" si="10"/>
        <v>10.382844727382905</v>
      </c>
      <c r="W122" s="290">
        <f>(L122+Norway!L122)</f>
        <v>371439520515.03845</v>
      </c>
      <c r="X122" s="291">
        <f t="shared" si="11"/>
        <v>185719760257.51923</v>
      </c>
      <c r="Y122" s="292">
        <f>(R122+Norway!R122)</f>
        <v>4733086317.9100208</v>
      </c>
      <c r="Z122" s="293">
        <f t="shared" si="12"/>
        <v>2366543158.9550104</v>
      </c>
      <c r="AA122" s="294">
        <f>((S122+Norway!S122)/(T122*(U122+Norway!U122))/12)</f>
        <v>40.814926757191863</v>
      </c>
      <c r="AB122" s="295">
        <f>(Q122+Norway!Q122)</f>
        <v>20966696705.201221</v>
      </c>
    </row>
    <row r="123" spans="1:28" ht="15.75" customHeight="1">
      <c r="A123" s="31" t="s">
        <v>156</v>
      </c>
      <c r="B123" s="32">
        <v>2139</v>
      </c>
      <c r="C123" s="274">
        <f t="shared" si="13"/>
        <v>6.1333951128178879E-7</v>
      </c>
      <c r="D123" s="271">
        <f t="shared" si="20"/>
        <v>6.1333951128178879E-7</v>
      </c>
      <c r="E123" s="34">
        <f>ABS(Norway!E123)</f>
        <v>0</v>
      </c>
      <c r="F123" s="42">
        <v>500</v>
      </c>
      <c r="G123" s="34">
        <f t="shared" si="0"/>
        <v>306669.75564089441</v>
      </c>
      <c r="H123" s="34">
        <f t="shared" si="1"/>
        <v>305136.40686268994</v>
      </c>
      <c r="I123" s="35">
        <f t="shared" si="21"/>
        <v>1</v>
      </c>
      <c r="J123" s="36">
        <f t="shared" si="2"/>
        <v>305136.40686268994</v>
      </c>
      <c r="K123" s="34">
        <f t="shared" si="16"/>
        <v>121768259253.86279</v>
      </c>
      <c r="L123" s="37">
        <f t="shared" si="17"/>
        <v>117442445918.00032</v>
      </c>
      <c r="M123" s="34">
        <f t="shared" si="3"/>
        <v>7402892969.2490549</v>
      </c>
      <c r="N123" s="34">
        <f t="shared" si="4"/>
        <v>0</v>
      </c>
      <c r="O123" s="34">
        <f t="shared" si="5"/>
        <v>7402892969.2490549</v>
      </c>
      <c r="P123" s="34">
        <f t="shared" si="22"/>
        <v>740289296.92490554</v>
      </c>
      <c r="Q123" s="38">
        <f t="shared" si="6"/>
        <v>6629290653.9625282</v>
      </c>
      <c r="R123" s="39">
        <f t="shared" si="7"/>
        <v>3314645326.9812641</v>
      </c>
      <c r="S123" s="34">
        <f t="shared" si="8"/>
        <v>3314645326.9812641</v>
      </c>
      <c r="T123" s="40">
        <f t="shared" si="23"/>
        <v>9790585775.8385925</v>
      </c>
      <c r="U123" s="272">
        <f t="shared" si="9"/>
        <v>2.6988780705650929E-3</v>
      </c>
      <c r="V123" s="282">
        <f t="shared" si="10"/>
        <v>10.45355185058534</v>
      </c>
      <c r="W123" s="290">
        <f>(L123+Norway!L123)</f>
        <v>373594892284.41888</v>
      </c>
      <c r="X123" s="291">
        <f t="shared" si="11"/>
        <v>186797446142.20944</v>
      </c>
      <c r="Y123" s="292">
        <f>(R123+Norway!R123)</f>
        <v>4760552996.1235266</v>
      </c>
      <c r="Z123" s="293">
        <f t="shared" si="12"/>
        <v>2380276498.0617633</v>
      </c>
      <c r="AA123" s="294">
        <f>((S123+Norway!S123)/(T123*(U123+Norway!U123))/12)</f>
        <v>41.092869453413947</v>
      </c>
      <c r="AB123" s="295">
        <f>(Q123+Norway!Q123)</f>
        <v>21088367345.385155</v>
      </c>
    </row>
    <row r="124" spans="1:28" ht="15.75" customHeight="1">
      <c r="A124" s="31" t="s">
        <v>157</v>
      </c>
      <c r="B124" s="32">
        <v>2140</v>
      </c>
      <c r="C124" s="274">
        <f t="shared" si="13"/>
        <v>5.5200556015360997E-7</v>
      </c>
      <c r="D124" s="271">
        <f t="shared" si="20"/>
        <v>5.5200556015360997E-7</v>
      </c>
      <c r="E124" s="34">
        <f>ABS(Norway!E124)</f>
        <v>0</v>
      </c>
      <c r="F124" s="42">
        <v>500</v>
      </c>
      <c r="G124" s="34">
        <f t="shared" si="0"/>
        <v>276002.78007680498</v>
      </c>
      <c r="H124" s="34">
        <f t="shared" si="1"/>
        <v>274622.76617642096</v>
      </c>
      <c r="I124" s="35">
        <f t="shared" si="21"/>
        <v>1</v>
      </c>
      <c r="J124" s="36">
        <f t="shared" si="2"/>
        <v>274622.76617642096</v>
      </c>
      <c r="K124" s="34">
        <f t="shared" si="16"/>
        <v>122508823173.55388</v>
      </c>
      <c r="L124" s="37">
        <f t="shared" si="17"/>
        <v>118123918332.77257</v>
      </c>
      <c r="M124" s="34">
        <f t="shared" si="3"/>
        <v>7445851071.2012205</v>
      </c>
      <c r="N124" s="34">
        <f t="shared" si="4"/>
        <v>0</v>
      </c>
      <c r="O124" s="34">
        <f t="shared" si="5"/>
        <v>7445851071.2012205</v>
      </c>
      <c r="P124" s="34">
        <f t="shared" si="22"/>
        <v>744585107.12012208</v>
      </c>
      <c r="Q124" s="38">
        <f t="shared" si="6"/>
        <v>6667759634.2606926</v>
      </c>
      <c r="R124" s="39">
        <f t="shared" si="7"/>
        <v>3333879817.1303463</v>
      </c>
      <c r="S124" s="34">
        <f t="shared" si="8"/>
        <v>3333879817.1303463</v>
      </c>
      <c r="T124" s="40">
        <f t="shared" si="23"/>
        <v>9780795190.0627556</v>
      </c>
      <c r="U124" s="272">
        <f t="shared" si="9"/>
        <v>2.6988780705650929E-3</v>
      </c>
      <c r="V124" s="282">
        <f t="shared" si="10"/>
        <v>10.524737298233577</v>
      </c>
      <c r="W124" s="290">
        <f>(L124+Norway!L124)</f>
        <v>375762674215.57037</v>
      </c>
      <c r="X124" s="291">
        <f t="shared" si="11"/>
        <v>187881337107.78519</v>
      </c>
      <c r="Y124" s="292">
        <f>(R124+Norway!R124)</f>
        <v>4788177646.8022966</v>
      </c>
      <c r="Z124" s="293">
        <f t="shared" si="12"/>
        <v>2394088823.4011483</v>
      </c>
      <c r="AA124" s="294">
        <f>((S124+Norway!S124)/(T124*(U124+Norway!U124))/12)</f>
        <v>41.372693065351491</v>
      </c>
      <c r="AB124" s="295">
        <f>(Q124+Norway!Q124)</f>
        <v>21210737930.980194</v>
      </c>
    </row>
    <row r="125" spans="1:28" ht="15.75" customHeight="1">
      <c r="A125" s="31" t="s">
        <v>158</v>
      </c>
      <c r="B125" s="32">
        <v>2141</v>
      </c>
      <c r="C125" s="274">
        <f t="shared" si="13"/>
        <v>4.9680500413824901E-7</v>
      </c>
      <c r="D125" s="271">
        <f t="shared" si="20"/>
        <v>4.9680500413824901E-7</v>
      </c>
      <c r="E125" s="34">
        <f>ABS(Norway!E125)</f>
        <v>0</v>
      </c>
      <c r="F125" s="42">
        <v>500</v>
      </c>
      <c r="G125" s="34">
        <f t="shared" si="0"/>
        <v>248402.50206912449</v>
      </c>
      <c r="H125" s="34">
        <f t="shared" si="1"/>
        <v>247160.48955877885</v>
      </c>
      <c r="I125" s="35">
        <f t="shared" si="21"/>
        <v>1</v>
      </c>
      <c r="J125" s="36">
        <f t="shared" si="2"/>
        <v>247160.48955877885</v>
      </c>
      <c r="K125" s="34">
        <f t="shared" si="16"/>
        <v>123253655441.16356</v>
      </c>
      <c r="L125" s="37">
        <f t="shared" si="17"/>
        <v>118809316225.08206</v>
      </c>
      <c r="M125" s="34">
        <f t="shared" si="3"/>
        <v>7489056422.297781</v>
      </c>
      <c r="N125" s="34">
        <f t="shared" si="4"/>
        <v>0</v>
      </c>
      <c r="O125" s="34">
        <f t="shared" si="5"/>
        <v>7489056422.297781</v>
      </c>
      <c r="P125" s="34">
        <f t="shared" si="22"/>
        <v>748905642.22977817</v>
      </c>
      <c r="Q125" s="38">
        <f t="shared" si="6"/>
        <v>6706450026.1676626</v>
      </c>
      <c r="R125" s="39">
        <f t="shared" si="7"/>
        <v>3353225013.0838313</v>
      </c>
      <c r="S125" s="34">
        <f t="shared" si="8"/>
        <v>3353225013.0838313</v>
      </c>
      <c r="T125" s="40">
        <f t="shared" si="23"/>
        <v>9771014394.872694</v>
      </c>
      <c r="U125" s="272">
        <f t="shared" si="9"/>
        <v>2.6988780705650929E-3</v>
      </c>
      <c r="V125" s="282">
        <f t="shared" si="10"/>
        <v>10.596404622193386</v>
      </c>
      <c r="W125" s="290">
        <f>(L125+Norway!L125)</f>
        <v>377942947452.19482</v>
      </c>
      <c r="X125" s="291">
        <f t="shared" si="11"/>
        <v>188971473726.09741</v>
      </c>
      <c r="Y125" s="292">
        <f>(R125+Norway!R125)</f>
        <v>4815961320.4457397</v>
      </c>
      <c r="Z125" s="293">
        <f t="shared" si="12"/>
        <v>2407980660.2228699</v>
      </c>
      <c r="AA125" s="294">
        <f>((S125+Norway!S125)/(T125*(U125+Norway!U125))/12)</f>
        <v>41.654411493228309</v>
      </c>
      <c r="AB125" s="295">
        <f>(Q125+Norway!Q125)</f>
        <v>21333813099.786743</v>
      </c>
    </row>
    <row r="126" spans="1:28" ht="15.75" customHeight="1">
      <c r="A126" s="31" t="s">
        <v>159</v>
      </c>
      <c r="B126" s="32">
        <v>2142</v>
      </c>
      <c r="C126" s="274">
        <f t="shared" si="13"/>
        <v>4.4712450372442411E-7</v>
      </c>
      <c r="D126" s="271">
        <f t="shared" si="20"/>
        <v>4.4712450372442411E-7</v>
      </c>
      <c r="E126" s="34">
        <f>ABS(Norway!E126)</f>
        <v>0</v>
      </c>
      <c r="F126" s="42">
        <v>500</v>
      </c>
      <c r="G126" s="34">
        <f t="shared" si="0"/>
        <v>223562.25186221206</v>
      </c>
      <c r="H126" s="34">
        <f t="shared" si="1"/>
        <v>222444.44060290098</v>
      </c>
      <c r="I126" s="35">
        <f t="shared" si="21"/>
        <v>1</v>
      </c>
      <c r="J126" s="36">
        <f t="shared" si="2"/>
        <v>222444.44060290098</v>
      </c>
      <c r="K126" s="34">
        <f t="shared" si="16"/>
        <v>124002783527.83394</v>
      </c>
      <c r="L126" s="37">
        <f t="shared" si="17"/>
        <v>119498665089.59657</v>
      </c>
      <c r="M126" s="34">
        <f t="shared" si="3"/>
        <v>7532510648.6702023</v>
      </c>
      <c r="N126" s="34">
        <f t="shared" si="4"/>
        <v>0</v>
      </c>
      <c r="O126" s="34">
        <f t="shared" si="5"/>
        <v>7532510648.6702023</v>
      </c>
      <c r="P126" s="34">
        <f t="shared" si="22"/>
        <v>753251064.86702025</v>
      </c>
      <c r="Q126" s="38">
        <f t="shared" si="6"/>
        <v>6745363285.8841658</v>
      </c>
      <c r="R126" s="39">
        <f t="shared" si="7"/>
        <v>3372681642.9420829</v>
      </c>
      <c r="S126" s="34">
        <f t="shared" si="8"/>
        <v>3372681642.9420829</v>
      </c>
      <c r="T126" s="40">
        <f t="shared" si="23"/>
        <v>9761243380.4778233</v>
      </c>
      <c r="U126" s="272">
        <f t="shared" si="9"/>
        <v>2.6988780705650929E-3</v>
      </c>
      <c r="V126" s="282">
        <f t="shared" si="10"/>
        <v>10.668557369188333</v>
      </c>
      <c r="W126" s="290">
        <f>(L126+Norway!L126)</f>
        <v>380135792692.53003</v>
      </c>
      <c r="X126" s="291">
        <f t="shared" si="11"/>
        <v>190067896346.26501</v>
      </c>
      <c r="Y126" s="292">
        <f>(R126+Norway!R126)</f>
        <v>4843905060.2250786</v>
      </c>
      <c r="Z126" s="293">
        <f t="shared" si="12"/>
        <v>2421952530.1125393</v>
      </c>
      <c r="AA126" s="294">
        <f>((S126+Norway!S126)/(T126*(U126+Norway!U126))/12)</f>
        <v>41.938038623210922</v>
      </c>
      <c r="AB126" s="295">
        <f>(Q126+Norway!Q126)</f>
        <v>21457597458.714127</v>
      </c>
    </row>
    <row r="127" spans="1:28" ht="15.75" customHeight="1">
      <c r="A127" s="31" t="s">
        <v>160</v>
      </c>
      <c r="B127" s="32">
        <v>2143</v>
      </c>
      <c r="C127" s="274">
        <f t="shared" si="13"/>
        <v>4.0241205335198168E-7</v>
      </c>
      <c r="D127" s="271">
        <f t="shared" si="20"/>
        <v>4.0241205335198168E-7</v>
      </c>
      <c r="E127" s="34">
        <f>ABS(Norway!E127)</f>
        <v>0</v>
      </c>
      <c r="F127" s="42">
        <v>500</v>
      </c>
      <c r="G127" s="34">
        <f t="shared" si="0"/>
        <v>201206.02667599084</v>
      </c>
      <c r="H127" s="34">
        <f t="shared" si="1"/>
        <v>200199.9965426109</v>
      </c>
      <c r="I127" s="35">
        <f t="shared" si="21"/>
        <v>1</v>
      </c>
      <c r="J127" s="36">
        <f t="shared" si="2"/>
        <v>200199.9965426109</v>
      </c>
      <c r="K127" s="34">
        <f t="shared" si="16"/>
        <v>124756234792.69749</v>
      </c>
      <c r="L127" s="37">
        <f t="shared" si="17"/>
        <v>120191990296.2829</v>
      </c>
      <c r="M127" s="34">
        <f t="shared" si="3"/>
        <v>7576215366.6804228</v>
      </c>
      <c r="N127" s="34">
        <f t="shared" si="4"/>
        <v>0</v>
      </c>
      <c r="O127" s="34">
        <f t="shared" si="5"/>
        <v>7576215366.6804228</v>
      </c>
      <c r="P127" s="34">
        <f t="shared" si="22"/>
        <v>757621536.6680423</v>
      </c>
      <c r="Q127" s="38">
        <f t="shared" si="6"/>
        <v>6784500860.862319</v>
      </c>
      <c r="R127" s="39">
        <f t="shared" si="7"/>
        <v>3392250430.4311595</v>
      </c>
      <c r="S127" s="34">
        <f t="shared" si="8"/>
        <v>3392250430.4311595</v>
      </c>
      <c r="T127" s="40">
        <f t="shared" si="23"/>
        <v>9751482137.0973473</v>
      </c>
      <c r="U127" s="272">
        <f t="shared" si="9"/>
        <v>2.6988780705650929E-3</v>
      </c>
      <c r="V127" s="282">
        <f t="shared" si="10"/>
        <v>10.741199083670351</v>
      </c>
      <c r="W127" s="290">
        <f>(L127+Norway!L127)</f>
        <v>382341290278.37787</v>
      </c>
      <c r="X127" s="291">
        <f t="shared" si="11"/>
        <v>191170645139.18893</v>
      </c>
      <c r="Y127" s="292">
        <f>(R127+Norway!R127)</f>
        <v>4872009903.2829857</v>
      </c>
      <c r="Z127" s="293">
        <f t="shared" si="12"/>
        <v>2436004951.6414928</v>
      </c>
      <c r="AA127" s="294">
        <f>((S127+Norway!S127)/(T127*(U127+Norway!U127))/12)</f>
        <v>42.223588338082635</v>
      </c>
      <c r="AB127" s="295">
        <f>(Q127+Norway!Q127)</f>
        <v>21582095589.380585</v>
      </c>
    </row>
    <row r="128" spans="1:28" ht="15.75" customHeight="1">
      <c r="A128" s="31" t="s">
        <v>161</v>
      </c>
      <c r="B128" s="32">
        <v>2144</v>
      </c>
      <c r="C128" s="274">
        <f t="shared" si="13"/>
        <v>3.6217084801678351E-7</v>
      </c>
      <c r="D128" s="271">
        <f t="shared" si="20"/>
        <v>3.6217084801678351E-7</v>
      </c>
      <c r="E128" s="34">
        <f>ABS(Norway!E128)</f>
        <v>0</v>
      </c>
      <c r="F128" s="42">
        <v>500</v>
      </c>
      <c r="G128" s="34">
        <f t="shared" si="0"/>
        <v>181085.42400839177</v>
      </c>
      <c r="H128" s="34">
        <f t="shared" si="1"/>
        <v>180179.99688834982</v>
      </c>
      <c r="I128" s="35">
        <f t="shared" si="21"/>
        <v>1</v>
      </c>
      <c r="J128" s="36">
        <f t="shared" si="2"/>
        <v>180179.99688834982</v>
      </c>
      <c r="K128" s="34">
        <f t="shared" si="16"/>
        <v>125514036509.36243</v>
      </c>
      <c r="L128" s="37">
        <f t="shared" si="17"/>
        <v>120889317116.94136</v>
      </c>
      <c r="M128" s="34">
        <f t="shared" si="3"/>
        <v>7620172184.7843351</v>
      </c>
      <c r="N128" s="34">
        <f t="shared" si="4"/>
        <v>0</v>
      </c>
      <c r="O128" s="34">
        <f t="shared" si="5"/>
        <v>7620172184.7843351</v>
      </c>
      <c r="P128" s="34">
        <f t="shared" si="22"/>
        <v>762017218.47843361</v>
      </c>
      <c r="Q128" s="38">
        <f t="shared" si="6"/>
        <v>6823864191.4743719</v>
      </c>
      <c r="R128" s="39">
        <f t="shared" si="7"/>
        <v>3411932095.737186</v>
      </c>
      <c r="S128" s="34">
        <f t="shared" si="8"/>
        <v>3411932095.737186</v>
      </c>
      <c r="T128" s="40">
        <f t="shared" si="23"/>
        <v>9741730654.9602509</v>
      </c>
      <c r="U128" s="272">
        <f t="shared" si="9"/>
        <v>2.6988780705650929E-3</v>
      </c>
      <c r="V128" s="282">
        <f t="shared" si="10"/>
        <v>10.814333310421929</v>
      </c>
      <c r="W128" s="290">
        <f>(L128+Norway!L128)</f>
        <v>384559520275.48804</v>
      </c>
      <c r="X128" s="291">
        <f t="shared" si="11"/>
        <v>192279760137.74402</v>
      </c>
      <c r="Y128" s="292">
        <f>(R128+Norway!R128)</f>
        <v>4900276881.9065304</v>
      </c>
      <c r="Z128" s="293">
        <f t="shared" si="12"/>
        <v>2450138440.9532652</v>
      </c>
      <c r="AA128" s="294">
        <f>((S128+Norway!S128)/(T128*(U128+Norway!U128))/12)</f>
        <v>42.511074526923089</v>
      </c>
      <c r="AB128" s="295">
        <f>(Q128+Norway!Q128)</f>
        <v>21707312053.16782</v>
      </c>
    </row>
    <row r="129" spans="1:28" ht="15.75" customHeight="1">
      <c r="A129" s="31" t="s">
        <v>162</v>
      </c>
      <c r="B129" s="32">
        <v>2145</v>
      </c>
      <c r="C129" s="274">
        <f t="shared" si="13"/>
        <v>3.2595376321510515E-7</v>
      </c>
      <c r="D129" s="271">
        <f t="shared" si="20"/>
        <v>3.2595376321510515E-7</v>
      </c>
      <c r="E129" s="34">
        <f>ABS(Norway!E129)</f>
        <v>0</v>
      </c>
      <c r="F129" s="42">
        <v>500</v>
      </c>
      <c r="G129" s="34">
        <f t="shared" si="0"/>
        <v>162976.88160755255</v>
      </c>
      <c r="H129" s="34">
        <f t="shared" si="1"/>
        <v>162161.99719951479</v>
      </c>
      <c r="I129" s="35">
        <f t="shared" si="21"/>
        <v>1</v>
      </c>
      <c r="J129" s="36">
        <f t="shared" si="2"/>
        <v>162161.99719951479</v>
      </c>
      <c r="K129" s="34">
        <f t="shared" si="16"/>
        <v>126276215889.83806</v>
      </c>
      <c r="L129" s="37">
        <f t="shared" si="17"/>
        <v>121590670749.16829</v>
      </c>
      <c r="M129" s="34">
        <f t="shared" si="3"/>
        <v>7664382705.2140818</v>
      </c>
      <c r="N129" s="34">
        <f t="shared" si="4"/>
        <v>0</v>
      </c>
      <c r="O129" s="34">
        <f t="shared" si="5"/>
        <v>7664382705.2140818</v>
      </c>
      <c r="P129" s="34">
        <f t="shared" si="22"/>
        <v>766438270.5214082</v>
      </c>
      <c r="Q129" s="38">
        <f t="shared" si="6"/>
        <v>6863454712.5192099</v>
      </c>
      <c r="R129" s="39">
        <f t="shared" si="7"/>
        <v>3431727356.2596049</v>
      </c>
      <c r="S129" s="34">
        <f t="shared" si="8"/>
        <v>3431727356.2596049</v>
      </c>
      <c r="T129" s="40">
        <f t="shared" si="23"/>
        <v>9731988924.3052921</v>
      </c>
      <c r="U129" s="272">
        <f t="shared" si="9"/>
        <v>2.6988780705650929E-3</v>
      </c>
      <c r="V129" s="282">
        <f t="shared" si="10"/>
        <v>10.887963596916634</v>
      </c>
      <c r="W129" s="290">
        <f>(L129+Norway!L129)</f>
        <v>386790562546.16248</v>
      </c>
      <c r="X129" s="291">
        <f t="shared" si="11"/>
        <v>193395281273.08124</v>
      </c>
      <c r="Y129" s="292">
        <f>(R129+Norway!R129)</f>
        <v>4928707024.5861588</v>
      </c>
      <c r="Z129" s="293">
        <f t="shared" si="12"/>
        <v>2464353512.2930794</v>
      </c>
      <c r="AA129" s="294">
        <f>((S129+Norway!S129)/(T129*(U129+Norway!U129))/12)</f>
        <v>42.800511093892162</v>
      </c>
      <c r="AB129" s="295">
        <f>(Q129+Norway!Q129)</f>
        <v>21833251395.784748</v>
      </c>
    </row>
    <row r="130" spans="1:28" ht="15.75" customHeight="1">
      <c r="A130" s="31" t="s">
        <v>163</v>
      </c>
      <c r="B130" s="32">
        <v>2146</v>
      </c>
      <c r="C130" s="274">
        <f t="shared" si="13"/>
        <v>2.9335838689359466E-7</v>
      </c>
      <c r="D130" s="271">
        <f t="shared" si="20"/>
        <v>2.9335838689359466E-7</v>
      </c>
      <c r="E130" s="34">
        <f>ABS(Norway!E130)</f>
        <v>0</v>
      </c>
      <c r="F130" s="42">
        <v>500</v>
      </c>
      <c r="G130" s="34">
        <f t="shared" si="0"/>
        <v>146679.19344679732</v>
      </c>
      <c r="H130" s="34">
        <f t="shared" si="1"/>
        <v>145945.79747956333</v>
      </c>
      <c r="I130" s="35">
        <f t="shared" si="21"/>
        <v>1</v>
      </c>
      <c r="J130" s="36">
        <f t="shared" si="2"/>
        <v>145945.79747956333</v>
      </c>
      <c r="K130" s="34">
        <f t="shared" si="16"/>
        <v>127042800106.15695</v>
      </c>
      <c r="L130" s="37">
        <f t="shared" si="17"/>
        <v>122296076338.00444</v>
      </c>
      <c r="M130" s="34">
        <f t="shared" si="3"/>
        <v>7708848525.4972696</v>
      </c>
      <c r="N130" s="34">
        <f t="shared" si="4"/>
        <v>0</v>
      </c>
      <c r="O130" s="34">
        <f t="shared" si="5"/>
        <v>7708848525.4972696</v>
      </c>
      <c r="P130" s="34">
        <f t="shared" si="22"/>
        <v>770884852.54972696</v>
      </c>
      <c r="Q130" s="38">
        <f t="shared" si="6"/>
        <v>6903273854.5828047</v>
      </c>
      <c r="R130" s="39">
        <f t="shared" si="7"/>
        <v>3451636927.2914023</v>
      </c>
      <c r="S130" s="34">
        <f t="shared" si="8"/>
        <v>3451636927.2914023</v>
      </c>
      <c r="T130" s="40">
        <f t="shared" si="23"/>
        <v>9722256935.3809872</v>
      </c>
      <c r="U130" s="272">
        <f t="shared" si="9"/>
        <v>2.6988780705650929E-3</v>
      </c>
      <c r="V130" s="282">
        <f t="shared" si="10"/>
        <v>10.962093495461945</v>
      </c>
      <c r="W130" s="290">
        <f>(L130+Norway!L130)</f>
        <v>389034496814.86035</v>
      </c>
      <c r="X130" s="291">
        <f t="shared" si="11"/>
        <v>194517248407.43018</v>
      </c>
      <c r="Y130" s="292">
        <f>(R130+Norway!R130)</f>
        <v>4957301356.9720831</v>
      </c>
      <c r="Z130" s="293">
        <f t="shared" si="12"/>
        <v>2478650678.4860415</v>
      </c>
      <c r="AA130" s="294">
        <f>((S130+Norway!S130)/(T130*(U130+Norway!U130))/12)</f>
        <v>43.091911966207427</v>
      </c>
      <c r="AB130" s="295">
        <f>(Q130+Norway!Q130)</f>
        <v>21959918151.38961</v>
      </c>
    </row>
    <row r="131" spans="1:28" ht="15.75" customHeight="1">
      <c r="A131" s="31" t="s">
        <v>164</v>
      </c>
      <c r="B131" s="32">
        <v>2147</v>
      </c>
      <c r="C131" s="274">
        <f t="shared" si="13"/>
        <v>2.6402254820423519E-7</v>
      </c>
      <c r="D131" s="271">
        <f t="shared" si="20"/>
        <v>2.6402254820423519E-7</v>
      </c>
      <c r="E131" s="34">
        <f>ABS(Norway!E131)</f>
        <v>0</v>
      </c>
      <c r="F131" s="42">
        <v>500</v>
      </c>
      <c r="G131" s="34">
        <f t="shared" si="0"/>
        <v>132011.2741021176</v>
      </c>
      <c r="H131" s="34">
        <f t="shared" si="1"/>
        <v>131351.21773160703</v>
      </c>
      <c r="I131" s="35">
        <f t="shared" si="21"/>
        <v>1</v>
      </c>
      <c r="J131" s="36">
        <f t="shared" si="2"/>
        <v>131351.21773160703</v>
      </c>
      <c r="K131" s="34">
        <f t="shared" si="16"/>
        <v>127813816309.92441</v>
      </c>
      <c r="L131" s="37">
        <f t="shared" si="17"/>
        <v>123005558995.50102</v>
      </c>
      <c r="M131" s="34">
        <f t="shared" si="3"/>
        <v>7753571239.8294811</v>
      </c>
      <c r="N131" s="34">
        <f t="shared" si="4"/>
        <v>0</v>
      </c>
      <c r="O131" s="34">
        <f t="shared" si="5"/>
        <v>7753571239.8294811</v>
      </c>
      <c r="P131" s="34">
        <f t="shared" si="22"/>
        <v>775357123.98294818</v>
      </c>
      <c r="Q131" s="38">
        <f t="shared" si="6"/>
        <v>6943323045.2672997</v>
      </c>
      <c r="R131" s="39">
        <f t="shared" si="7"/>
        <v>3471661522.6336498</v>
      </c>
      <c r="S131" s="34">
        <f t="shared" si="8"/>
        <v>3471661522.6336498</v>
      </c>
      <c r="T131" s="40">
        <f t="shared" si="23"/>
        <v>9712534678.4456081</v>
      </c>
      <c r="U131" s="272">
        <f t="shared" si="9"/>
        <v>2.6988780705650929E-3</v>
      </c>
      <c r="V131" s="282">
        <f t="shared" si="10"/>
        <v>11.036726565146168</v>
      </c>
      <c r="W131" s="290">
        <f>(L131+Norway!L131)</f>
        <v>391291402727.50568</v>
      </c>
      <c r="X131" s="291">
        <f t="shared" si="11"/>
        <v>195645701363.75284</v>
      </c>
      <c r="Y131" s="292">
        <f>(R131+Norway!R131)</f>
        <v>4986060902.7383852</v>
      </c>
      <c r="Z131" s="293">
        <f t="shared" si="12"/>
        <v>2493030451.3691926</v>
      </c>
      <c r="AA131" s="294">
        <f>((S131+Norway!S131)/(T131*(U131+Norway!U131))/12)</f>
        <v>43.385291101395531</v>
      </c>
      <c r="AB131" s="295">
        <f>(Q131+Norway!Q131)</f>
        <v>22087316846.314651</v>
      </c>
    </row>
    <row r="132" spans="1:28" ht="15.75" customHeight="1">
      <c r="A132" s="31" t="s">
        <v>165</v>
      </c>
      <c r="B132" s="32">
        <v>2148</v>
      </c>
      <c r="C132" s="274">
        <f t="shared" si="13"/>
        <v>2.3762029338381168E-7</v>
      </c>
      <c r="D132" s="271">
        <f t="shared" si="20"/>
        <v>2.3762029338381168E-7</v>
      </c>
      <c r="E132" s="34">
        <f>ABS(Norway!E132)</f>
        <v>0</v>
      </c>
      <c r="F132" s="42">
        <v>500</v>
      </c>
      <c r="G132" s="34">
        <f t="shared" si="0"/>
        <v>118810.14669190584</v>
      </c>
      <c r="H132" s="34">
        <f t="shared" si="1"/>
        <v>118216.09595844631</v>
      </c>
      <c r="I132" s="35">
        <f t="shared" si="21"/>
        <v>1</v>
      </c>
      <c r="J132" s="36">
        <f t="shared" si="2"/>
        <v>118216.09595844631</v>
      </c>
      <c r="K132" s="34">
        <f t="shared" si="16"/>
        <v>128589291650.00331</v>
      </c>
      <c r="L132" s="37">
        <f t="shared" si="17"/>
        <v>123719143818.41214</v>
      </c>
      <c r="M132" s="34">
        <f t="shared" si="3"/>
        <v>7798552440.314765</v>
      </c>
      <c r="N132" s="34">
        <f t="shared" si="4"/>
        <v>0</v>
      </c>
      <c r="O132" s="34">
        <f t="shared" si="5"/>
        <v>7798552440.314765</v>
      </c>
      <c r="P132" s="34">
        <f t="shared" si="22"/>
        <v>779855244.0314765</v>
      </c>
      <c r="Q132" s="38">
        <f t="shared" si="6"/>
        <v>6983603710.3018723</v>
      </c>
      <c r="R132" s="39">
        <f t="shared" si="7"/>
        <v>3491801855.1509361</v>
      </c>
      <c r="S132" s="34">
        <f t="shared" si="8"/>
        <v>3491801855.1509361</v>
      </c>
      <c r="T132" s="40">
        <f t="shared" si="23"/>
        <v>9702822143.7671642</v>
      </c>
      <c r="U132" s="272">
        <f t="shared" si="9"/>
        <v>2.6988780705650929E-3</v>
      </c>
      <c r="V132" s="282">
        <f t="shared" si="10"/>
        <v>11.111866373608953</v>
      </c>
      <c r="W132" s="290">
        <f>(L132+Norway!L132)</f>
        <v>393561359905.1272</v>
      </c>
      <c r="X132" s="291">
        <f t="shared" si="11"/>
        <v>196780679952.5636</v>
      </c>
      <c r="Y132" s="292">
        <f>(R132+Norway!R132)</f>
        <v>5014986684.3640804</v>
      </c>
      <c r="Z132" s="293">
        <f t="shared" si="12"/>
        <v>2507493342.1820402</v>
      </c>
      <c r="AA132" s="294">
        <f>((S132+Norway!S132)/(T132*(U132+Norway!U132))/12)</f>
        <v>43.680662493889962</v>
      </c>
      <c r="AB132" s="295">
        <f>(Q132+Norway!Q132)</f>
        <v>22215452002.433311</v>
      </c>
    </row>
    <row r="133" spans="1:28" ht="15.75" customHeight="1">
      <c r="A133" s="31" t="s">
        <v>166</v>
      </c>
      <c r="B133" s="32">
        <v>2149</v>
      </c>
      <c r="C133" s="274">
        <f t="shared" si="13"/>
        <v>2.1385826404543052E-7</v>
      </c>
      <c r="D133" s="271">
        <f t="shared" si="20"/>
        <v>2.1385826404543052E-7</v>
      </c>
      <c r="E133" s="34">
        <f>ABS(Norway!E133)</f>
        <v>0</v>
      </c>
      <c r="F133" s="42">
        <v>500</v>
      </c>
      <c r="G133" s="34">
        <f t="shared" si="0"/>
        <v>106929.13202271526</v>
      </c>
      <c r="H133" s="34">
        <f t="shared" si="1"/>
        <v>106394.48636260169</v>
      </c>
      <c r="I133" s="35">
        <f t="shared" si="21"/>
        <v>1</v>
      </c>
      <c r="J133" s="36">
        <f t="shared" si="2"/>
        <v>106394.48636260169</v>
      </c>
      <c r="K133" s="34">
        <f t="shared" si="16"/>
        <v>129369253288.52115</v>
      </c>
      <c r="L133" s="37">
        <f t="shared" si="17"/>
        <v>124436855904.20152</v>
      </c>
      <c r="M133" s="34">
        <f t="shared" si="3"/>
        <v>7843793718.0873299</v>
      </c>
      <c r="N133" s="34">
        <f t="shared" si="4"/>
        <v>0</v>
      </c>
      <c r="O133" s="34">
        <f t="shared" si="5"/>
        <v>7843793718.0873299</v>
      </c>
      <c r="P133" s="34">
        <f t="shared" si="22"/>
        <v>784379371.80873299</v>
      </c>
      <c r="Q133" s="38">
        <f t="shared" si="6"/>
        <v>7024117274.547204</v>
      </c>
      <c r="R133" s="39">
        <f t="shared" si="7"/>
        <v>3512058637.273602</v>
      </c>
      <c r="S133" s="34">
        <f t="shared" si="8"/>
        <v>3512058637.273602</v>
      </c>
      <c r="T133" s="40">
        <f t="shared" si="23"/>
        <v>9693119321.6233978</v>
      </c>
      <c r="U133" s="272">
        <f t="shared" si="9"/>
        <v>2.6988780705650929E-3</v>
      </c>
      <c r="V133" s="282">
        <f t="shared" si="10"/>
        <v>11.187516498652911</v>
      </c>
      <c r="W133" s="290">
        <f>(L133+Norway!L133)</f>
        <v>395844447992.40094</v>
      </c>
      <c r="X133" s="291">
        <f t="shared" si="11"/>
        <v>197922223996.20047</v>
      </c>
      <c r="Y133" s="292">
        <f>(R133+Norway!R133)</f>
        <v>5044079723.8394442</v>
      </c>
      <c r="Z133" s="293">
        <f t="shared" si="12"/>
        <v>2522039861.9197221</v>
      </c>
      <c r="AA133" s="294">
        <f>((S133+Norway!S133)/(T133*(U133+Norway!U133))/12)</f>
        <v>43.978040181040136</v>
      </c>
      <c r="AB133" s="295">
        <f>(Q133+Norway!Q133)</f>
        <v>22344328140.205624</v>
      </c>
    </row>
    <row r="134" spans="1:28" ht="15.75" customHeight="1">
      <c r="A134" s="31" t="s">
        <v>167</v>
      </c>
      <c r="B134" s="32">
        <v>2150</v>
      </c>
      <c r="C134" s="274">
        <f t="shared" si="13"/>
        <v>1.9247243764088747E-7</v>
      </c>
      <c r="D134" s="271">
        <f t="shared" si="20"/>
        <v>1.9247243764088747E-7</v>
      </c>
      <c r="E134" s="34">
        <f>ABS(Norway!E134)</f>
        <v>0</v>
      </c>
      <c r="F134" s="42">
        <v>500</v>
      </c>
      <c r="G134" s="34">
        <f t="shared" si="0"/>
        <v>96236.218820443726</v>
      </c>
      <c r="H134" s="34">
        <f t="shared" si="1"/>
        <v>95755.037726341514</v>
      </c>
      <c r="I134" s="35">
        <f t="shared" si="21"/>
        <v>1</v>
      </c>
      <c r="J134" s="36">
        <f t="shared" si="2"/>
        <v>95755.037726341514</v>
      </c>
      <c r="K134" s="34">
        <f t="shared" si="16"/>
        <v>130153728415.3676</v>
      </c>
      <c r="L134" s="37">
        <f t="shared" si="17"/>
        <v>125158720365.53246</v>
      </c>
      <c r="M134" s="34">
        <f t="shared" si="3"/>
        <v>7889296664.326376</v>
      </c>
      <c r="N134" s="34">
        <f t="shared" si="4"/>
        <v>0</v>
      </c>
      <c r="O134" s="34">
        <f t="shared" si="5"/>
        <v>7889296664.326376</v>
      </c>
      <c r="P134" s="34">
        <f t="shared" si="22"/>
        <v>788929666.43263769</v>
      </c>
      <c r="Q134" s="38">
        <f t="shared" si="6"/>
        <v>7064865162.9042692</v>
      </c>
      <c r="R134" s="39">
        <f t="shared" si="7"/>
        <v>3532432581.4521346</v>
      </c>
      <c r="S134" s="34">
        <f t="shared" si="8"/>
        <v>3532432581.4521346</v>
      </c>
      <c r="T134" s="40">
        <f t="shared" si="23"/>
        <v>9683426202.301775</v>
      </c>
      <c r="U134" s="272">
        <f t="shared" si="9"/>
        <v>2.6988780705650929E-3</v>
      </c>
      <c r="V134" s="282">
        <f t="shared" si="10"/>
        <v>11.263680529712337</v>
      </c>
      <c r="W134" s="290">
        <f>(L134+Norway!L134)</f>
        <v>398140746701.60486</v>
      </c>
      <c r="X134" s="291">
        <f t="shared" si="11"/>
        <v>199070373350.80243</v>
      </c>
      <c r="Y134" s="292">
        <f>(R134+Norway!R134)</f>
        <v>5073341043.3051243</v>
      </c>
      <c r="Z134" s="293">
        <f t="shared" si="12"/>
        <v>2536670521.6525621</v>
      </c>
      <c r="AA134" s="294">
        <f>((S134+Norway!S134)/(T134*(U134+Norway!U134))/12)</f>
        <v>44.277438248591004</v>
      </c>
      <c r="AB134" s="295">
        <f>(Q134+Norway!Q134)</f>
        <v>22473949781.434162</v>
      </c>
    </row>
    <row r="135" spans="1:28" ht="15.75" customHeight="1">
      <c r="A135" s="31" t="s">
        <v>168</v>
      </c>
      <c r="B135" s="32">
        <v>2151</v>
      </c>
      <c r="C135" s="274">
        <f t="shared" si="13"/>
        <v>1.7322519387679872E-7</v>
      </c>
      <c r="D135" s="271">
        <f t="shared" si="20"/>
        <v>1.7322519387679872E-7</v>
      </c>
      <c r="E135" s="34">
        <f>ABS(Norway!E135)</f>
        <v>0</v>
      </c>
      <c r="F135" s="42">
        <v>500</v>
      </c>
      <c r="G135" s="34">
        <f t="shared" si="0"/>
        <v>86612.596938399365</v>
      </c>
      <c r="H135" s="34">
        <f t="shared" si="1"/>
        <v>86179.533953707374</v>
      </c>
      <c r="I135" s="35">
        <f t="shared" si="21"/>
        <v>1</v>
      </c>
      <c r="J135" s="36">
        <f t="shared" si="2"/>
        <v>86179.533953707374</v>
      </c>
      <c r="K135" s="34">
        <f t="shared" si="16"/>
        <v>130942744261.33418</v>
      </c>
      <c r="L135" s="37">
        <f t="shared" si="17"/>
        <v>125884762343.3933</v>
      </c>
      <c r="M135" s="34">
        <f t="shared" si="3"/>
        <v>7935062871.174757</v>
      </c>
      <c r="N135" s="34">
        <f t="shared" si="4"/>
        <v>0</v>
      </c>
      <c r="O135" s="34">
        <f t="shared" si="5"/>
        <v>7935062871.174757</v>
      </c>
      <c r="P135" s="34">
        <f t="shared" si="22"/>
        <v>793506287.11747575</v>
      </c>
      <c r="Q135" s="38">
        <f t="shared" si="6"/>
        <v>7105848801.1369953</v>
      </c>
      <c r="R135" s="39">
        <f t="shared" si="7"/>
        <v>3552924400.5684977</v>
      </c>
      <c r="S135" s="34">
        <f t="shared" si="8"/>
        <v>3552924400.5684977</v>
      </c>
      <c r="T135" s="40">
        <f t="shared" si="23"/>
        <v>9673742776.099474</v>
      </c>
      <c r="U135" s="272">
        <f t="shared" si="9"/>
        <v>2.6988780705650929E-3</v>
      </c>
      <c r="V135" s="282">
        <f t="shared" si="10"/>
        <v>11.340362069193182</v>
      </c>
      <c r="W135" s="290">
        <f>(L135+Norway!L135)</f>
        <v>400450335852.44702</v>
      </c>
      <c r="X135" s="291">
        <f t="shared" si="11"/>
        <v>200225167926.22351</v>
      </c>
      <c r="Y135" s="292">
        <f>(R135+Norway!R135)</f>
        <v>5102771665.6307583</v>
      </c>
      <c r="Z135" s="293">
        <f t="shared" si="12"/>
        <v>2551385832.8153791</v>
      </c>
      <c r="AA135" s="294">
        <f>((S135+Norway!S135)/(T135*(U135+Norway!U135))/12)</f>
        <v>44.578870835685812</v>
      </c>
      <c r="AB135" s="295">
        <f>(Q135+Norway!Q135)</f>
        <v>22604321451.759605</v>
      </c>
    </row>
    <row r="136" spans="1:28" ht="15.75" customHeight="1">
      <c r="A136" s="31" t="s">
        <v>169</v>
      </c>
      <c r="B136" s="32">
        <v>2152</v>
      </c>
      <c r="C136" s="274">
        <f t="shared" si="13"/>
        <v>1.5590267448911886E-7</v>
      </c>
      <c r="D136" s="271">
        <f t="shared" si="20"/>
        <v>1.5590267448911886E-7</v>
      </c>
      <c r="E136" s="34">
        <f>ABS(Norway!E136)</f>
        <v>0</v>
      </c>
      <c r="F136" s="42">
        <v>500</v>
      </c>
      <c r="G136" s="34">
        <f t="shared" si="0"/>
        <v>77951.337244559429</v>
      </c>
      <c r="H136" s="34">
        <f t="shared" si="1"/>
        <v>77561.580558336631</v>
      </c>
      <c r="I136" s="35">
        <f t="shared" si="21"/>
        <v>1</v>
      </c>
      <c r="J136" s="36">
        <f t="shared" si="2"/>
        <v>77561.580558336631</v>
      </c>
      <c r="K136" s="34">
        <f t="shared" si="16"/>
        <v>131736328110.03221</v>
      </c>
      <c r="L136" s="37">
        <f t="shared" si="17"/>
        <v>126615007018.99529</v>
      </c>
      <c r="M136" s="34">
        <f t="shared" si="3"/>
        <v>7981093932.5711346</v>
      </c>
      <c r="N136" s="34">
        <f t="shared" si="4"/>
        <v>0</v>
      </c>
      <c r="O136" s="34">
        <f t="shared" si="5"/>
        <v>7981093932.5711346</v>
      </c>
      <c r="P136" s="34">
        <f t="shared" si="22"/>
        <v>798109393.25711346</v>
      </c>
      <c r="Q136" s="38">
        <f t="shared" si="6"/>
        <v>7147069616.6174507</v>
      </c>
      <c r="R136" s="39">
        <f t="shared" si="7"/>
        <v>3573534808.3087254</v>
      </c>
      <c r="S136" s="34">
        <f t="shared" si="8"/>
        <v>3573534808.3087254</v>
      </c>
      <c r="T136" s="40">
        <f t="shared" si="23"/>
        <v>9664069033.3233757</v>
      </c>
      <c r="U136" s="272">
        <f t="shared" si="9"/>
        <v>2.6988780705650929E-3</v>
      </c>
      <c r="V136" s="282">
        <f t="shared" si="10"/>
        <v>11.417564733697219</v>
      </c>
      <c r="W136" s="290">
        <f>(L136+Norway!L136)</f>
        <v>402773295408.18109</v>
      </c>
      <c r="X136" s="291">
        <f t="shared" si="11"/>
        <v>201386647704.09055</v>
      </c>
      <c r="Y136" s="292">
        <f>(R136+Norway!R136)</f>
        <v>5132372614.9391727</v>
      </c>
      <c r="Z136" s="293">
        <f t="shared" si="12"/>
        <v>2566186307.4695864</v>
      </c>
      <c r="AA136" s="294">
        <f>((S136+Norway!S136)/(T136*(U136+Norway!U136))/12)</f>
        <v>44.882352139439739</v>
      </c>
      <c r="AB136" s="295">
        <f>(Q136+Norway!Q136)</f>
        <v>22735447682.921921</v>
      </c>
    </row>
    <row r="137" spans="1:28" ht="15.75" customHeight="1">
      <c r="A137" s="31" t="s">
        <v>170</v>
      </c>
      <c r="B137" s="32">
        <v>2153</v>
      </c>
      <c r="C137" s="274">
        <f t="shared" si="13"/>
        <v>1.4031240704020697E-7</v>
      </c>
      <c r="D137" s="271">
        <f t="shared" si="20"/>
        <v>1.4031240704020697E-7</v>
      </c>
      <c r="E137" s="34">
        <f>ABS(Norway!E137)</f>
        <v>0</v>
      </c>
      <c r="F137" s="42">
        <v>500</v>
      </c>
      <c r="G137" s="34">
        <f t="shared" si="0"/>
        <v>70156.203520103489</v>
      </c>
      <c r="H137" s="34">
        <f t="shared" si="1"/>
        <v>69805.422502502974</v>
      </c>
      <c r="I137" s="35">
        <f t="shared" si="21"/>
        <v>1</v>
      </c>
      <c r="J137" s="36">
        <f t="shared" si="2"/>
        <v>69805.422502502974</v>
      </c>
      <c r="K137" s="34">
        <f t="shared" si="16"/>
        <v>132534507308.71182</v>
      </c>
      <c r="L137" s="37">
        <f t="shared" si="17"/>
        <v>127349479624.56607</v>
      </c>
      <c r="M137" s="34">
        <f t="shared" si="3"/>
        <v>8027391445.0043011</v>
      </c>
      <c r="N137" s="34">
        <f t="shared" si="4"/>
        <v>0</v>
      </c>
      <c r="O137" s="34">
        <f t="shared" si="5"/>
        <v>8027391445.0043011</v>
      </c>
      <c r="P137" s="34">
        <f t="shared" si="22"/>
        <v>802739144.50043011</v>
      </c>
      <c r="Q137" s="38">
        <f t="shared" si="6"/>
        <v>7188529039.0013514</v>
      </c>
      <c r="R137" s="39">
        <f t="shared" si="7"/>
        <v>3594264519.5006757</v>
      </c>
      <c r="S137" s="34">
        <f t="shared" si="8"/>
        <v>3594264519.5006757</v>
      </c>
      <c r="T137" s="40">
        <f t="shared" si="23"/>
        <v>9654404964.2900543</v>
      </c>
      <c r="U137" s="272">
        <f t="shared" si="9"/>
        <v>2.6988780705650929E-3</v>
      </c>
      <c r="V137" s="282">
        <f t="shared" si="10"/>
        <v>11.495292155142003</v>
      </c>
      <c r="W137" s="290">
        <f>(L137+Norway!L137)</f>
        <v>405109705508.38208</v>
      </c>
      <c r="X137" s="291">
        <f t="shared" si="11"/>
        <v>202554852754.19104</v>
      </c>
      <c r="Y137" s="292">
        <f>(R137+Norway!R137)</f>
        <v>5162144917.0816269</v>
      </c>
      <c r="Z137" s="293">
        <f t="shared" si="12"/>
        <v>2581072458.5408134</v>
      </c>
      <c r="AA137" s="294">
        <f>((S137+Norway!S137)/(T137*(U137+Norway!U137))/12)</f>
        <v>45.187896419127505</v>
      </c>
      <c r="AB137" s="295">
        <f>(Q137+Norway!Q137)</f>
        <v>22867333014.810856</v>
      </c>
    </row>
    <row r="138" spans="1:28" ht="15.75" customHeight="1">
      <c r="A138" s="31" t="s">
        <v>171</v>
      </c>
      <c r="B138" s="32">
        <v>2154</v>
      </c>
      <c r="C138" s="274">
        <f t="shared" si="13"/>
        <v>1.2628116633618628E-7</v>
      </c>
      <c r="D138" s="271">
        <f t="shared" si="20"/>
        <v>1.2628116633618628E-7</v>
      </c>
      <c r="E138" s="34">
        <f>ABS(Norway!E138)</f>
        <v>0</v>
      </c>
      <c r="F138" s="42">
        <v>500</v>
      </c>
      <c r="G138" s="34">
        <f t="shared" si="0"/>
        <v>63140.583168093144</v>
      </c>
      <c r="H138" s="34">
        <f t="shared" si="1"/>
        <v>62824.880252252675</v>
      </c>
      <c r="I138" s="35">
        <f t="shared" si="21"/>
        <v>1</v>
      </c>
      <c r="J138" s="36">
        <f t="shared" si="2"/>
        <v>62824.880252252675</v>
      </c>
      <c r="K138" s="34">
        <f t="shared" si="16"/>
        <v>133337309278.0925</v>
      </c>
      <c r="L138" s="37">
        <f t="shared" si="17"/>
        <v>128088205453.14978</v>
      </c>
      <c r="M138" s="34">
        <f t="shared" si="3"/>
        <v>8073957008.1974888</v>
      </c>
      <c r="N138" s="34">
        <f t="shared" si="4"/>
        <v>0</v>
      </c>
      <c r="O138" s="34">
        <f t="shared" si="5"/>
        <v>8073957008.1974888</v>
      </c>
      <c r="P138" s="34">
        <f t="shared" si="22"/>
        <v>807395700.81974888</v>
      </c>
      <c r="Q138" s="38">
        <f t="shared" si="6"/>
        <v>7230228500.8408508</v>
      </c>
      <c r="R138" s="39">
        <f t="shared" si="7"/>
        <v>3615114250.4204254</v>
      </c>
      <c r="S138" s="34">
        <f t="shared" si="8"/>
        <v>3615114250.4204254</v>
      </c>
      <c r="T138" s="40">
        <f t="shared" si="23"/>
        <v>9644750559.3257656</v>
      </c>
      <c r="U138" s="272">
        <f t="shared" si="9"/>
        <v>2.6988780705650929E-3</v>
      </c>
      <c r="V138" s="282">
        <f t="shared" si="10"/>
        <v>11.573547981786994</v>
      </c>
      <c r="W138" s="290">
        <f>(L138+Norway!L138)</f>
        <v>407459646498.71808</v>
      </c>
      <c r="X138" s="291">
        <f t="shared" si="11"/>
        <v>203729823249.35904</v>
      </c>
      <c r="Y138" s="292">
        <f>(R138+Norway!R138)</f>
        <v>5192089600.0690145</v>
      </c>
      <c r="Z138" s="293">
        <f t="shared" si="12"/>
        <v>2596044800.0345073</v>
      </c>
      <c r="AA138" s="294">
        <f>((S138+Norway!S138)/(T138*(U138+Norway!U138))/12)</f>
        <v>45.49551800002363</v>
      </c>
      <c r="AB138" s="295">
        <f>(Q138+Norway!Q138)</f>
        <v>22999981997.32674</v>
      </c>
    </row>
    <row r="139" spans="1:28" ht="15.75" customHeight="1">
      <c r="A139" s="31" t="s">
        <v>172</v>
      </c>
      <c r="B139" s="32">
        <v>2155</v>
      </c>
      <c r="C139" s="274">
        <f t="shared" si="13"/>
        <v>1.1365304970256765E-7</v>
      </c>
      <c r="D139" s="271">
        <f t="shared" si="20"/>
        <v>1.1365304970256765E-7</v>
      </c>
      <c r="E139" s="34">
        <f>ABS(Norway!E139)</f>
        <v>0</v>
      </c>
      <c r="F139" s="42">
        <v>500</v>
      </c>
      <c r="G139" s="34">
        <f t="shared" si="0"/>
        <v>56826.52485128383</v>
      </c>
      <c r="H139" s="34">
        <f t="shared" si="1"/>
        <v>56542.392227027412</v>
      </c>
      <c r="I139" s="35">
        <f t="shared" si="21"/>
        <v>1</v>
      </c>
      <c r="J139" s="36">
        <f t="shared" si="2"/>
        <v>56542.392227027412</v>
      </c>
      <c r="K139" s="34">
        <f t="shared" si="16"/>
        <v>134144761521.30447</v>
      </c>
      <c r="L139" s="37">
        <f t="shared" si="17"/>
        <v>128831209867.51358</v>
      </c>
      <c r="M139" s="34">
        <f t="shared" si="3"/>
        <v>8120792225.7296963</v>
      </c>
      <c r="N139" s="34">
        <f t="shared" si="4"/>
        <v>0</v>
      </c>
      <c r="O139" s="34">
        <f t="shared" si="5"/>
        <v>8120792225.7296963</v>
      </c>
      <c r="P139" s="34">
        <f t="shared" si="22"/>
        <v>812079222.57296968</v>
      </c>
      <c r="Q139" s="38">
        <f t="shared" si="6"/>
        <v>7272169438.1409435</v>
      </c>
      <c r="R139" s="39">
        <f t="shared" si="7"/>
        <v>3636084719.0704718</v>
      </c>
      <c r="S139" s="34">
        <f t="shared" si="8"/>
        <v>3636084719.0704718</v>
      </c>
      <c r="T139" s="40">
        <f t="shared" si="23"/>
        <v>9635105808.7664413</v>
      </c>
      <c r="U139" s="272">
        <f t="shared" si="9"/>
        <v>2.6988780705650929E-3</v>
      </c>
      <c r="V139" s="282">
        <f t="shared" si="10"/>
        <v>11.652335879175366</v>
      </c>
      <c r="W139" s="290">
        <f>(L139+Norway!L139)</f>
        <v>409823198958.01929</v>
      </c>
      <c r="X139" s="291">
        <f t="shared" si="11"/>
        <v>204911599479.00964</v>
      </c>
      <c r="Y139" s="292">
        <f>(R139+Norway!R139)</f>
        <v>5222207694.4634542</v>
      </c>
      <c r="Z139" s="293">
        <f t="shared" si="12"/>
        <v>2611103847.2317271</v>
      </c>
      <c r="AA139" s="294">
        <f>((S139+Norway!S139)/(T139*(U139+Norway!U139))/12)</f>
        <v>45.805231276930073</v>
      </c>
      <c r="AB139" s="295">
        <f>(Q139+Norway!Q139)</f>
        <v>23133399192.07077</v>
      </c>
    </row>
    <row r="140" spans="1:28" ht="15.75" customHeight="1">
      <c r="A140" s="31" t="s">
        <v>173</v>
      </c>
      <c r="B140" s="32">
        <v>2156</v>
      </c>
      <c r="C140" s="274">
        <f t="shared" si="13"/>
        <v>1.0228774473231089E-7</v>
      </c>
      <c r="D140" s="271">
        <f t="shared" si="20"/>
        <v>1.0228774473231089E-7</v>
      </c>
      <c r="E140" s="34">
        <f>ABS(Norway!E140)</f>
        <v>0</v>
      </c>
      <c r="F140" s="42">
        <v>500</v>
      </c>
      <c r="G140" s="34">
        <f t="shared" si="0"/>
        <v>51143.872366155447</v>
      </c>
      <c r="H140" s="34">
        <f t="shared" si="1"/>
        <v>50888.153004324668</v>
      </c>
      <c r="I140" s="35">
        <f t="shared" si="21"/>
        <v>1</v>
      </c>
      <c r="J140" s="36">
        <f t="shared" si="2"/>
        <v>50888.153004324668</v>
      </c>
      <c r="K140" s="34">
        <f t="shared" si="16"/>
        <v>134956891632.03044</v>
      </c>
      <c r="L140" s="37">
        <f t="shared" si="17"/>
        <v>129578518308.25044</v>
      </c>
      <c r="M140" s="34">
        <f t="shared" si="3"/>
        <v>8167898705.6003609</v>
      </c>
      <c r="N140" s="34">
        <f t="shared" si="4"/>
        <v>0</v>
      </c>
      <c r="O140" s="34">
        <f t="shared" si="5"/>
        <v>8167898705.6003609</v>
      </c>
      <c r="P140" s="34">
        <f t="shared" si="22"/>
        <v>816789870.56003618</v>
      </c>
      <c r="Q140" s="38">
        <f t="shared" si="6"/>
        <v>7314353290.8651237</v>
      </c>
      <c r="R140" s="39">
        <f t="shared" si="7"/>
        <v>3657176645.4325619</v>
      </c>
      <c r="S140" s="34">
        <f t="shared" si="8"/>
        <v>3657176645.4325619</v>
      </c>
      <c r="T140" s="40">
        <f t="shared" si="23"/>
        <v>9625470702.9576759</v>
      </c>
      <c r="U140" s="272">
        <f t="shared" si="9"/>
        <v>2.6988780705650929E-3</v>
      </c>
      <c r="V140" s="282">
        <f t="shared" si="10"/>
        <v>11.731659530999858</v>
      </c>
      <c r="W140" s="290">
        <f>(L140+Norway!L140)</f>
        <v>412200443722.91718</v>
      </c>
      <c r="X140" s="291">
        <f t="shared" si="11"/>
        <v>206100221861.45859</v>
      </c>
      <c r="Y140" s="292">
        <f>(R140+Norway!R140)</f>
        <v>5252500233.7342348</v>
      </c>
      <c r="Z140" s="293">
        <f t="shared" si="12"/>
        <v>2626250116.8671174</v>
      </c>
      <c r="AA140" s="294">
        <f>((S140+Norway!S140)/(T140*(U140+Norway!U140))/12)</f>
        <v>46.117050717422956</v>
      </c>
      <c r="AB140" s="295">
        <f>(Q140+Norway!Q140)</f>
        <v>23267589173.881855</v>
      </c>
    </row>
    <row r="141" spans="1:28" ht="15.75" customHeight="1">
      <c r="A141" s="31" t="s">
        <v>174</v>
      </c>
      <c r="B141" s="32">
        <v>2157</v>
      </c>
      <c r="C141" s="274">
        <f t="shared" si="13"/>
        <v>9.2058970259079798E-8</v>
      </c>
      <c r="D141" s="271">
        <f t="shared" si="20"/>
        <v>9.2058970259079798E-8</v>
      </c>
      <c r="E141" s="34">
        <f>ABS(Norway!E141)</f>
        <v>0</v>
      </c>
      <c r="F141" s="42">
        <v>500</v>
      </c>
      <c r="G141" s="34">
        <f t="shared" si="0"/>
        <v>46029.485129539906</v>
      </c>
      <c r="H141" s="34">
        <f t="shared" si="1"/>
        <v>45799.337703892204</v>
      </c>
      <c r="I141" s="35">
        <f t="shared" si="21"/>
        <v>1</v>
      </c>
      <c r="J141" s="36">
        <f t="shared" si="2"/>
        <v>45799.337703892204</v>
      </c>
      <c r="K141" s="34">
        <f t="shared" si="16"/>
        <v>135773727301.92819</v>
      </c>
      <c r="L141" s="37">
        <f t="shared" si="17"/>
        <v>130330156301.15913</v>
      </c>
      <c r="M141" s="34">
        <f t="shared" si="3"/>
        <v>8215278060.7430782</v>
      </c>
      <c r="N141" s="34">
        <f t="shared" si="4"/>
        <v>0</v>
      </c>
      <c r="O141" s="34">
        <f t="shared" si="5"/>
        <v>8215278060.7430782</v>
      </c>
      <c r="P141" s="34">
        <f t="shared" si="22"/>
        <v>821527806.07430792</v>
      </c>
      <c r="Q141" s="38">
        <f t="shared" si="6"/>
        <v>7356781503.3954258</v>
      </c>
      <c r="R141" s="39">
        <f t="shared" si="7"/>
        <v>3678390751.6977129</v>
      </c>
      <c r="S141" s="34">
        <f t="shared" si="8"/>
        <v>3678390751.6977129</v>
      </c>
      <c r="T141" s="40">
        <f t="shared" si="23"/>
        <v>9615845232.2547188</v>
      </c>
      <c r="U141" s="272">
        <f t="shared" si="9"/>
        <v>2.6988780705650929E-3</v>
      </c>
      <c r="V141" s="282">
        <f t="shared" si="10"/>
        <v>11.811522639900438</v>
      </c>
      <c r="W141" s="290">
        <f>(L141+Norway!L141)</f>
        <v>414591461910.29791</v>
      </c>
      <c r="X141" s="291">
        <f t="shared" si="11"/>
        <v>207295730955.14896</v>
      </c>
      <c r="Y141" s="292">
        <f>(R141+Norway!R141)</f>
        <v>5282968254.5817213</v>
      </c>
      <c r="Z141" s="293">
        <f t="shared" si="12"/>
        <v>2641484127.2908607</v>
      </c>
      <c r="AA141" s="294">
        <f>((S141+Norway!S141)/(T141*(U141+Norway!U141))/12)</f>
        <v>46.430990864846507</v>
      </c>
      <c r="AB141" s="295">
        <f>(Q141+Norway!Q141)</f>
        <v>23402556532.235504</v>
      </c>
    </row>
    <row r="142" spans="1:28" ht="15.75" customHeight="1">
      <c r="A142" s="31" t="s">
        <v>175</v>
      </c>
      <c r="B142" s="32">
        <v>2158</v>
      </c>
      <c r="C142" s="274">
        <f t="shared" si="13"/>
        <v>8.285307323317182E-8</v>
      </c>
      <c r="D142" s="271">
        <f t="shared" si="20"/>
        <v>8.285307323317182E-8</v>
      </c>
      <c r="E142" s="34">
        <f>ABS(Norway!E142)</f>
        <v>0</v>
      </c>
      <c r="F142" s="42">
        <v>500</v>
      </c>
      <c r="G142" s="34">
        <f t="shared" si="0"/>
        <v>41426.536616585909</v>
      </c>
      <c r="H142" s="34">
        <f t="shared" si="1"/>
        <v>41219.403933502981</v>
      </c>
      <c r="I142" s="35">
        <f t="shared" si="21"/>
        <v>1</v>
      </c>
      <c r="J142" s="36">
        <f t="shared" si="2"/>
        <v>41219.403933502981</v>
      </c>
      <c r="K142" s="34">
        <f t="shared" si="16"/>
        <v>136595296327.40643</v>
      </c>
      <c r="L142" s="37">
        <f t="shared" si="17"/>
        <v>131086149463.97406</v>
      </c>
      <c r="M142" s="34">
        <f t="shared" si="3"/>
        <v>8262931909.4934893</v>
      </c>
      <c r="N142" s="34">
        <f t="shared" si="4"/>
        <v>0</v>
      </c>
      <c r="O142" s="34">
        <f t="shared" si="5"/>
        <v>8262931909.4934893</v>
      </c>
      <c r="P142" s="34">
        <f t="shared" si="22"/>
        <v>826293190.94934893</v>
      </c>
      <c r="Q142" s="38">
        <f t="shared" si="6"/>
        <v>7399455524.9514189</v>
      </c>
      <c r="R142" s="39">
        <f t="shared" si="7"/>
        <v>3699727762.4757094</v>
      </c>
      <c r="S142" s="34">
        <f t="shared" si="8"/>
        <v>3699727762.4757094</v>
      </c>
      <c r="T142" s="40">
        <f t="shared" si="23"/>
        <v>9606229387.0224648</v>
      </c>
      <c r="U142" s="272">
        <f t="shared" si="9"/>
        <v>2.6988780705650929E-3</v>
      </c>
      <c r="V142" s="282">
        <f t="shared" si="10"/>
        <v>11.891928928200542</v>
      </c>
      <c r="W142" s="290">
        <f>(L142+Norway!L142)</f>
        <v>416996334937.78955</v>
      </c>
      <c r="X142" s="291">
        <f t="shared" si="11"/>
        <v>208498167468.89478</v>
      </c>
      <c r="Y142" s="292">
        <f>(R142+Norway!R142)</f>
        <v>5313612797.2324266</v>
      </c>
      <c r="Z142" s="293">
        <f t="shared" si="12"/>
        <v>2656806398.6162133</v>
      </c>
      <c r="AA142" s="294">
        <f>((S142+Norway!S142)/(T142*(U142+Norway!U142))/12)</f>
        <v>46.747066341079694</v>
      </c>
      <c r="AB142" s="295">
        <f>(Q142+Norway!Q142)</f>
        <v>23538305872.518593</v>
      </c>
    </row>
    <row r="143" spans="1:28" ht="15.75" customHeight="1">
      <c r="A143" s="31" t="s">
        <v>176</v>
      </c>
      <c r="B143" s="32">
        <v>2159</v>
      </c>
      <c r="C143" s="274">
        <f t="shared" si="13"/>
        <v>7.4567765909854646E-8</v>
      </c>
      <c r="D143" s="271">
        <f t="shared" si="20"/>
        <v>7.4567765909854646E-8</v>
      </c>
      <c r="E143" s="34">
        <f>ABS(Norway!E143)</f>
        <v>0</v>
      </c>
      <c r="F143" s="42">
        <v>500</v>
      </c>
      <c r="G143" s="34">
        <f t="shared" si="0"/>
        <v>37283.882954927321</v>
      </c>
      <c r="H143" s="34">
        <f t="shared" si="1"/>
        <v>37097.463540152683</v>
      </c>
      <c r="I143" s="35">
        <f t="shared" si="21"/>
        <v>1</v>
      </c>
      <c r="J143" s="36">
        <f t="shared" si="2"/>
        <v>37097.463540152683</v>
      </c>
      <c r="K143" s="34">
        <f t="shared" si="16"/>
        <v>137421626615.81934</v>
      </c>
      <c r="L143" s="37">
        <f t="shared" si="17"/>
        <v>131846523512.51077</v>
      </c>
      <c r="M143" s="34">
        <f t="shared" si="3"/>
        <v>8310861876.015955</v>
      </c>
      <c r="N143" s="34">
        <f t="shared" si="4"/>
        <v>0</v>
      </c>
      <c r="O143" s="34">
        <f t="shared" si="5"/>
        <v>8310861876.015955</v>
      </c>
      <c r="P143" s="34">
        <f t="shared" si="22"/>
        <v>831086187.60159552</v>
      </c>
      <c r="Q143" s="38">
        <f t="shared" si="6"/>
        <v>7442376809.9722872</v>
      </c>
      <c r="R143" s="39">
        <f t="shared" si="7"/>
        <v>3721188404.9861436</v>
      </c>
      <c r="S143" s="34">
        <f t="shared" si="8"/>
        <v>3721188404.9861436</v>
      </c>
      <c r="T143" s="40">
        <f t="shared" si="23"/>
        <v>9596623157.6354427</v>
      </c>
      <c r="U143" s="272">
        <f t="shared" si="9"/>
        <v>2.6988780705650929E-3</v>
      </c>
      <c r="V143" s="282">
        <f t="shared" si="10"/>
        <v>11.972882138588155</v>
      </c>
      <c r="W143" s="290">
        <f>(L143+Norway!L143)</f>
        <v>419415144542.48279</v>
      </c>
      <c r="X143" s="291">
        <f t="shared" si="11"/>
        <v>209707572271.24139</v>
      </c>
      <c r="Y143" s="292">
        <f>(R143+Norway!R143)</f>
        <v>5344434905.7081671</v>
      </c>
      <c r="Z143" s="293">
        <f t="shared" si="12"/>
        <v>2672217452.8540835</v>
      </c>
      <c r="AA143" s="294">
        <f>((S143+Norway!S143)/(T143*(U143+Norway!U143))/12)</f>
        <v>47.065291849098806</v>
      </c>
      <c r="AB143" s="295">
        <f>(Q143+Norway!Q143)</f>
        <v>23674841817.19252</v>
      </c>
    </row>
    <row r="144" spans="1:28" ht="15.75" customHeight="1">
      <c r="A144" s="31" t="s">
        <v>177</v>
      </c>
      <c r="B144" s="32">
        <v>2160</v>
      </c>
      <c r="C144" s="274">
        <f t="shared" si="13"/>
        <v>6.7110989318869177E-8</v>
      </c>
      <c r="D144" s="271">
        <f t="shared" si="20"/>
        <v>6.7110989318869177E-8</v>
      </c>
      <c r="E144" s="34">
        <f>ABS(Norway!E144)</f>
        <v>0</v>
      </c>
      <c r="F144" s="42">
        <v>500</v>
      </c>
      <c r="G144" s="34">
        <f t="shared" si="0"/>
        <v>33555.494659434589</v>
      </c>
      <c r="H144" s="34">
        <f t="shared" si="1"/>
        <v>33387.717186137415</v>
      </c>
      <c r="I144" s="35">
        <f t="shared" si="21"/>
        <v>1</v>
      </c>
      <c r="J144" s="36">
        <f t="shared" si="2"/>
        <v>33387.717186137415</v>
      </c>
      <c r="K144" s="34">
        <f t="shared" si="16"/>
        <v>138252746191.13812</v>
      </c>
      <c r="L144" s="37">
        <f t="shared" si="17"/>
        <v>132611304266.28564</v>
      </c>
      <c r="M144" s="34">
        <f t="shared" si="3"/>
        <v>8359069590.6931829</v>
      </c>
      <c r="N144" s="34">
        <f t="shared" si="4"/>
        <v>0</v>
      </c>
      <c r="O144" s="34">
        <f t="shared" si="5"/>
        <v>8359069590.6931829</v>
      </c>
      <c r="P144" s="34">
        <f t="shared" si="22"/>
        <v>835906959.06931829</v>
      </c>
      <c r="Q144" s="38">
        <f t="shared" si="6"/>
        <v>7485546818.4657459</v>
      </c>
      <c r="R144" s="39">
        <f t="shared" si="7"/>
        <v>3742773409.232873</v>
      </c>
      <c r="S144" s="34">
        <f t="shared" si="8"/>
        <v>3742773409.232873</v>
      </c>
      <c r="T144" s="40">
        <f t="shared" si="23"/>
        <v>9587026534.477808</v>
      </c>
      <c r="U144" s="272">
        <f t="shared" si="9"/>
        <v>2.6988780705650929E-3</v>
      </c>
      <c r="V144" s="282">
        <f t="shared" si="10"/>
        <v>12.054386034747337</v>
      </c>
      <c r="W144" s="290">
        <f>(L144+Norway!L144)</f>
        <v>421847972798.06201</v>
      </c>
      <c r="X144" s="291">
        <f t="shared" si="11"/>
        <v>210923986399.03101</v>
      </c>
      <c r="Y144" s="292">
        <f>(R144+Norway!R144)</f>
        <v>5375435628.071909</v>
      </c>
      <c r="Z144" s="293">
        <f t="shared" si="12"/>
        <v>2687717814.0359545</v>
      </c>
      <c r="AA144" s="294">
        <f>((S144+Norway!S144)/(T144*(U144+Norway!U144))/12)</f>
        <v>47.385682175356301</v>
      </c>
      <c r="AB144" s="295">
        <f>(Q144+Norway!Q144)</f>
        <v>23812169006.856102</v>
      </c>
    </row>
    <row r="145" spans="1:28" ht="15.75" customHeight="1">
      <c r="A145" s="31" t="s">
        <v>178</v>
      </c>
      <c r="B145" s="32">
        <v>2161</v>
      </c>
      <c r="C145" s="274">
        <f t="shared" si="13"/>
        <v>6.0399890386982258E-8</v>
      </c>
      <c r="D145" s="271">
        <f t="shared" si="20"/>
        <v>6.0399890386982258E-8</v>
      </c>
      <c r="E145" s="34">
        <f>ABS(Norway!E145)</f>
        <v>0</v>
      </c>
      <c r="F145" s="42">
        <v>500</v>
      </c>
      <c r="G145" s="34">
        <f t="shared" si="0"/>
        <v>30199.94519349113</v>
      </c>
      <c r="H145" s="34">
        <f t="shared" si="1"/>
        <v>30048.945467523674</v>
      </c>
      <c r="I145" s="35">
        <f t="shared" si="21"/>
        <v>1</v>
      </c>
      <c r="J145" s="36">
        <f t="shared" si="2"/>
        <v>30048.945467523674</v>
      </c>
      <c r="K145" s="34">
        <f t="shared" si="16"/>
        <v>139088683199.15289</v>
      </c>
      <c r="L145" s="37">
        <f t="shared" si="17"/>
        <v>133380517653.66328</v>
      </c>
      <c r="M145" s="34">
        <f t="shared" si="3"/>
        <v>8407556690.4825096</v>
      </c>
      <c r="N145" s="34">
        <f t="shared" si="4"/>
        <v>0</v>
      </c>
      <c r="O145" s="34">
        <f t="shared" si="5"/>
        <v>8407556690.4825096</v>
      </c>
      <c r="P145" s="34">
        <f t="shared" si="22"/>
        <v>840755669.04825103</v>
      </c>
      <c r="Q145" s="38">
        <f t="shared" si="6"/>
        <v>7528967016.3270874</v>
      </c>
      <c r="R145" s="39">
        <f t="shared" si="7"/>
        <v>3764483508.1635437</v>
      </c>
      <c r="S145" s="34">
        <f t="shared" si="8"/>
        <v>3764483508.1635437</v>
      </c>
      <c r="T145" s="40">
        <f t="shared" si="23"/>
        <v>9577439507.9433308</v>
      </c>
      <c r="U145" s="272">
        <f t="shared" si="9"/>
        <v>2.6988780705650929E-3</v>
      </c>
      <c r="V145" s="282">
        <f t="shared" si="10"/>
        <v>12.136444401945162</v>
      </c>
      <c r="W145" s="290">
        <f>(L145+Norway!L145)</f>
        <v>424294902130.508</v>
      </c>
      <c r="X145" s="291">
        <f t="shared" si="11"/>
        <v>212147451065.254</v>
      </c>
      <c r="Y145" s="292">
        <f>(R145+Norway!R145)</f>
        <v>5406616016.652648</v>
      </c>
      <c r="Z145" s="293">
        <f t="shared" si="12"/>
        <v>2703308008.326324</v>
      </c>
      <c r="AA145" s="294">
        <f>((S145+Norway!S145)/(T145*(U145+Norway!U145))/12)</f>
        <v>47.708252191994937</v>
      </c>
      <c r="AB145" s="295">
        <f>(Q145+Norway!Q145)</f>
        <v>23950292101.218128</v>
      </c>
    </row>
    <row r="146" spans="1:28" ht="15.75" customHeight="1">
      <c r="A146" s="31" t="s">
        <v>179</v>
      </c>
      <c r="B146" s="32">
        <v>2162</v>
      </c>
      <c r="C146" s="274">
        <f t="shared" si="13"/>
        <v>5.4359901348284036E-8</v>
      </c>
      <c r="D146" s="271">
        <f t="shared" si="20"/>
        <v>5.4359901348284036E-8</v>
      </c>
      <c r="E146" s="34">
        <f>ABS(Norway!E146)</f>
        <v>0</v>
      </c>
      <c r="F146" s="42">
        <v>500</v>
      </c>
      <c r="G146" s="34">
        <f t="shared" si="0"/>
        <v>27179.950674142015</v>
      </c>
      <c r="H146" s="34">
        <f t="shared" si="1"/>
        <v>27044.050920771304</v>
      </c>
      <c r="I146" s="35">
        <f t="shared" si="21"/>
        <v>1</v>
      </c>
      <c r="J146" s="36">
        <f t="shared" si="2"/>
        <v>27044.050920771304</v>
      </c>
      <c r="K146" s="34">
        <f t="shared" si="16"/>
        <v>139929465912.25208</v>
      </c>
      <c r="L146" s="37">
        <f t="shared" si="17"/>
        <v>134154189716.57907</v>
      </c>
      <c r="M146" s="34">
        <f t="shared" si="3"/>
        <v>8456324819.2422523</v>
      </c>
      <c r="N146" s="34">
        <f t="shared" si="4"/>
        <v>0</v>
      </c>
      <c r="O146" s="34">
        <f t="shared" si="5"/>
        <v>8456324819.2422523</v>
      </c>
      <c r="P146" s="34">
        <f t="shared" si="22"/>
        <v>845632481.92422533</v>
      </c>
      <c r="Q146" s="38">
        <f t="shared" si="6"/>
        <v>7572638875.6314373</v>
      </c>
      <c r="R146" s="39">
        <f t="shared" si="7"/>
        <v>3786319437.8157187</v>
      </c>
      <c r="S146" s="34">
        <f t="shared" si="8"/>
        <v>3786319437.8157187</v>
      </c>
      <c r="T146" s="40">
        <f t="shared" si="23"/>
        <v>9567862068.4353886</v>
      </c>
      <c r="U146" s="272">
        <f t="shared" si="9"/>
        <v>2.6988780705650929E-3</v>
      </c>
      <c r="V146" s="282">
        <f t="shared" si="10"/>
        <v>12.219061047578704</v>
      </c>
      <c r="W146" s="290">
        <f>(L146+Norway!L146)</f>
        <v>426756015332.51721</v>
      </c>
      <c r="X146" s="291">
        <f t="shared" si="11"/>
        <v>213378007666.25861</v>
      </c>
      <c r="Y146" s="292">
        <f>(R146+Norway!R146)</f>
        <v>5437977128.2514706</v>
      </c>
      <c r="Z146" s="293">
        <f t="shared" si="12"/>
        <v>2718988564.1257353</v>
      </c>
      <c r="AA146" s="294">
        <f>((S146+Norway!S146)/(T146*(U146+Norway!U146))/12)</f>
        <v>48.033016858913861</v>
      </c>
      <c r="AB146" s="295">
        <f>(Q146+Norway!Q146)</f>
        <v>24089215779.988953</v>
      </c>
    </row>
    <row r="147" spans="1:28" ht="15.75" customHeight="1">
      <c r="A147" s="31" t="s">
        <v>180</v>
      </c>
      <c r="B147" s="32">
        <v>2163</v>
      </c>
      <c r="C147" s="274">
        <f t="shared" si="13"/>
        <v>4.8923911213455635E-8</v>
      </c>
      <c r="D147" s="271">
        <f t="shared" si="20"/>
        <v>4.8923911213455635E-8</v>
      </c>
      <c r="E147" s="34">
        <f>ABS(Norway!E147)</f>
        <v>0</v>
      </c>
      <c r="F147" s="42">
        <v>500</v>
      </c>
      <c r="G147" s="34">
        <f t="shared" si="0"/>
        <v>24461.955606727817</v>
      </c>
      <c r="H147" s="34">
        <f t="shared" si="1"/>
        <v>24339.645828694178</v>
      </c>
      <c r="I147" s="35">
        <f t="shared" si="21"/>
        <v>1</v>
      </c>
      <c r="J147" s="36">
        <f t="shared" si="2"/>
        <v>24339.645828694178</v>
      </c>
      <c r="K147" s="34">
        <f t="shared" si="16"/>
        <v>140775122733.82214</v>
      </c>
      <c r="L147" s="37">
        <f t="shared" si="17"/>
        <v>134932346614.88005</v>
      </c>
      <c r="M147" s="34">
        <f t="shared" si="3"/>
        <v>8505375628.0311127</v>
      </c>
      <c r="N147" s="34">
        <f t="shared" si="4"/>
        <v>0</v>
      </c>
      <c r="O147" s="34">
        <f t="shared" si="5"/>
        <v>8505375628.0311127</v>
      </c>
      <c r="P147" s="34">
        <f t="shared" si="22"/>
        <v>850537562.80311131</v>
      </c>
      <c r="Q147" s="38">
        <f t="shared" si="6"/>
        <v>7616563874.9018612</v>
      </c>
      <c r="R147" s="39">
        <f t="shared" si="7"/>
        <v>3808281937.4509306</v>
      </c>
      <c r="S147" s="34">
        <f t="shared" si="8"/>
        <v>3808281937.4509306</v>
      </c>
      <c r="T147" s="40">
        <f t="shared" si="23"/>
        <v>9558294206.3669548</v>
      </c>
      <c r="U147" s="272">
        <f t="shared" si="9"/>
        <v>2.6988780705650929E-3</v>
      </c>
      <c r="V147" s="282">
        <f t="shared" si="10"/>
        <v>12.30223980168603</v>
      </c>
      <c r="W147" s="290">
        <f>(L147+Norway!L147)</f>
        <v>429231395576.7663</v>
      </c>
      <c r="X147" s="291">
        <f t="shared" si="11"/>
        <v>214615697788.38315</v>
      </c>
      <c r="Y147" s="292">
        <f>(R147+Norway!R147)</f>
        <v>5469520024.3306503</v>
      </c>
      <c r="Z147" s="293">
        <f t="shared" si="12"/>
        <v>2734760012.1653252</v>
      </c>
      <c r="AA147" s="294">
        <f>((S147+Norway!S147)/(T147*(U147+Norway!U147))/12)</f>
        <v>48.359991225701783</v>
      </c>
      <c r="AB147" s="295">
        <f>(Q147+Norway!Q147)</f>
        <v>24228944743.699062</v>
      </c>
    </row>
    <row r="148" spans="1:28" ht="15.75" customHeight="1">
      <c r="A148" s="31" t="s">
        <v>181</v>
      </c>
      <c r="B148" s="32">
        <v>2164</v>
      </c>
      <c r="C148" s="274">
        <f t="shared" si="13"/>
        <v>4.4031520092110074E-8</v>
      </c>
      <c r="D148" s="271">
        <f t="shared" si="20"/>
        <v>4.4031520092110074E-8</v>
      </c>
      <c r="E148" s="34">
        <f>ABS(Norway!E148)</f>
        <v>0</v>
      </c>
      <c r="F148" s="42">
        <v>500</v>
      </c>
      <c r="G148" s="34">
        <f t="shared" si="0"/>
        <v>22015.760046055038</v>
      </c>
      <c r="H148" s="34">
        <f t="shared" si="1"/>
        <v>21905.681245824762</v>
      </c>
      <c r="I148" s="35">
        <f t="shared" si="21"/>
        <v>1</v>
      </c>
      <c r="J148" s="36">
        <f t="shared" si="2"/>
        <v>21905.681245824762</v>
      </c>
      <c r="K148" s="34">
        <f t="shared" si="16"/>
        <v>141625682202.30649</v>
      </c>
      <c r="L148" s="37">
        <f t="shared" si="17"/>
        <v>135715014630.32274</v>
      </c>
      <c r="M148" s="34">
        <f t="shared" si="3"/>
        <v>8554710775.3833952</v>
      </c>
      <c r="N148" s="34">
        <f t="shared" si="4"/>
        <v>0</v>
      </c>
      <c r="O148" s="34">
        <f t="shared" si="5"/>
        <v>8554710775.3833952</v>
      </c>
      <c r="P148" s="34">
        <f t="shared" si="22"/>
        <v>855471077.53833961</v>
      </c>
      <c r="Q148" s="38">
        <f t="shared" si="6"/>
        <v>7660743499.3558302</v>
      </c>
      <c r="R148" s="39">
        <f t="shared" si="7"/>
        <v>3830371749.6779151</v>
      </c>
      <c r="S148" s="34">
        <f t="shared" si="8"/>
        <v>3830371749.6779151</v>
      </c>
      <c r="T148" s="40">
        <f t="shared" si="23"/>
        <v>9548735912.1605892</v>
      </c>
      <c r="U148" s="272">
        <f t="shared" si="9"/>
        <v>2.6988780705650929E-3</v>
      </c>
      <c r="V148" s="282">
        <f t="shared" si="10"/>
        <v>12.385984517425038</v>
      </c>
      <c r="W148" s="290">
        <f>(L148+Norway!L148)</f>
        <v>431721126428.14038</v>
      </c>
      <c r="X148" s="291">
        <f t="shared" si="11"/>
        <v>215860563214.07019</v>
      </c>
      <c r="Y148" s="292">
        <f>(R148+Norway!R148)</f>
        <v>5501245771.1875553</v>
      </c>
      <c r="Z148" s="293">
        <f t="shared" si="12"/>
        <v>2750622885.5937777</v>
      </c>
      <c r="AA148" s="294">
        <f>((S148+Norway!S148)/(T148*(U148+Norway!U148))/12)</f>
        <v>48.689190433450982</v>
      </c>
      <c r="AB148" s="295">
        <f>(Q148+Norway!Q148)</f>
        <v>24369483714.452232</v>
      </c>
    </row>
    <row r="149" spans="1:28" ht="15.75" customHeight="1">
      <c r="A149" s="31" t="s">
        <v>182</v>
      </c>
      <c r="B149" s="32">
        <v>2165</v>
      </c>
      <c r="C149" s="274">
        <f t="shared" si="13"/>
        <v>3.9628368082899069E-8</v>
      </c>
      <c r="D149" s="271">
        <f t="shared" si="20"/>
        <v>3.9628368082899069E-8</v>
      </c>
      <c r="E149" s="34">
        <f>ABS(Norway!E149)</f>
        <v>0</v>
      </c>
      <c r="F149" s="42">
        <v>500</v>
      </c>
      <c r="G149" s="34">
        <f t="shared" si="0"/>
        <v>19814.184041449535</v>
      </c>
      <c r="H149" s="34">
        <f t="shared" si="1"/>
        <v>19715.113121242288</v>
      </c>
      <c r="I149" s="35">
        <f t="shared" si="21"/>
        <v>1</v>
      </c>
      <c r="J149" s="36">
        <f t="shared" si="2"/>
        <v>19715.113121242288</v>
      </c>
      <c r="K149" s="34">
        <f t="shared" si="16"/>
        <v>142481172994.95795</v>
      </c>
      <c r="L149" s="37">
        <f t="shared" si="17"/>
        <v>136502220170.26273</v>
      </c>
      <c r="M149" s="34">
        <f t="shared" si="3"/>
        <v>8604331927.5624619</v>
      </c>
      <c r="N149" s="34">
        <f t="shared" si="4"/>
        <v>0</v>
      </c>
      <c r="O149" s="34">
        <f t="shared" si="5"/>
        <v>8604331927.5624619</v>
      </c>
      <c r="P149" s="34">
        <f t="shared" si="22"/>
        <v>860433192.75624621</v>
      </c>
      <c r="Q149" s="38">
        <f t="shared" si="6"/>
        <v>7705179241.132184</v>
      </c>
      <c r="R149" s="39">
        <f t="shared" si="7"/>
        <v>3852589620.566092</v>
      </c>
      <c r="S149" s="34">
        <f t="shared" si="8"/>
        <v>3852589620.566092</v>
      </c>
      <c r="T149" s="40">
        <f t="shared" si="23"/>
        <v>9539187176.2484303</v>
      </c>
      <c r="U149" s="272">
        <f t="shared" si="9"/>
        <v>2.6988780705650929E-3</v>
      </c>
      <c r="V149" s="282">
        <f t="shared" si="10"/>
        <v>12.470299071523307</v>
      </c>
      <c r="W149" s="290">
        <f>(L149+Norway!L149)</f>
        <v>434225291855.02966</v>
      </c>
      <c r="X149" s="291">
        <f t="shared" si="11"/>
        <v>217112645927.51483</v>
      </c>
      <c r="Y149" s="292">
        <f>(R149+Norway!R149)</f>
        <v>5533155440.1148472</v>
      </c>
      <c r="Z149" s="293">
        <f t="shared" si="12"/>
        <v>2766577720.0574236</v>
      </c>
      <c r="AA149" s="294">
        <f>((S149+Norway!S149)/(T149*(U149+Norway!U149))/12)</f>
        <v>49.020629716464299</v>
      </c>
      <c r="AB149" s="295">
        <f>(Q149+Norway!Q149)</f>
        <v>24510837436.61974</v>
      </c>
    </row>
    <row r="150" spans="1:28" ht="15.75" customHeight="1">
      <c r="A150" s="31" t="s">
        <v>183</v>
      </c>
      <c r="B150" s="32">
        <v>2166</v>
      </c>
      <c r="C150" s="274">
        <f t="shared" si="13"/>
        <v>3.5665531274609163E-8</v>
      </c>
      <c r="D150" s="271">
        <f t="shared" si="20"/>
        <v>3.5665531274609163E-8</v>
      </c>
      <c r="E150" s="34">
        <f>ABS(Norway!E150)</f>
        <v>0</v>
      </c>
      <c r="F150" s="42">
        <v>500</v>
      </c>
      <c r="G150" s="34">
        <f t="shared" si="0"/>
        <v>17832.765637304583</v>
      </c>
      <c r="H150" s="34">
        <f t="shared" si="1"/>
        <v>17743.601809118059</v>
      </c>
      <c r="I150" s="35">
        <f t="shared" si="21"/>
        <v>1</v>
      </c>
      <c r="J150" s="36">
        <f t="shared" si="2"/>
        <v>17743.601809118059</v>
      </c>
      <c r="K150" s="34">
        <f t="shared" si="16"/>
        <v>143341623931.31601</v>
      </c>
      <c r="L150" s="37">
        <f t="shared" si="17"/>
        <v>137293989771.06747</v>
      </c>
      <c r="M150" s="34">
        <f t="shared" si="3"/>
        <v>8654240758.7946568</v>
      </c>
      <c r="N150" s="34">
        <f t="shared" si="4"/>
        <v>0</v>
      </c>
      <c r="O150" s="34">
        <f t="shared" si="5"/>
        <v>8654240758.7946568</v>
      </c>
      <c r="P150" s="34">
        <f t="shared" si="22"/>
        <v>865424075.8794657</v>
      </c>
      <c r="Q150" s="38">
        <f t="shared" si="6"/>
        <v>7749872599.5006151</v>
      </c>
      <c r="R150" s="39">
        <f t="shared" si="7"/>
        <v>3874936299.7503076</v>
      </c>
      <c r="S150" s="34">
        <f t="shared" si="8"/>
        <v>3874936299.7503076</v>
      </c>
      <c r="T150" s="40">
        <f t="shared" si="23"/>
        <v>9529647989.0721836</v>
      </c>
      <c r="U150" s="272">
        <f t="shared" si="9"/>
        <v>2.6988780705650929E-3</v>
      </c>
      <c r="V150" s="282">
        <f t="shared" si="10"/>
        <v>12.555187364702066</v>
      </c>
      <c r="W150" s="290">
        <f>(L150+Norway!L150)</f>
        <v>436743976239.78931</v>
      </c>
      <c r="X150" s="291">
        <f t="shared" si="11"/>
        <v>218371988119.89465</v>
      </c>
      <c r="Y150" s="292">
        <f>(R150+Norway!R150)</f>
        <v>5565250107.5484209</v>
      </c>
      <c r="Z150" s="293">
        <f t="shared" si="12"/>
        <v>2782625053.7742105</v>
      </c>
      <c r="AA150" s="294">
        <f>((S150+Norway!S150)/(T150*(U150+Norway!U150))/12)</f>
        <v>49.35432440386645</v>
      </c>
      <c r="AB150" s="295">
        <f>(Q150+Norway!Q150)</f>
        <v>24653010677.48175</v>
      </c>
    </row>
    <row r="151" spans="1:28" ht="15.75" customHeight="1">
      <c r="A151" s="31" t="s">
        <v>184</v>
      </c>
      <c r="B151" s="32">
        <v>2167</v>
      </c>
      <c r="C151" s="274">
        <f t="shared" si="13"/>
        <v>3.2098978147148246E-8</v>
      </c>
      <c r="D151" s="271">
        <f t="shared" si="20"/>
        <v>3.2098978147148246E-8</v>
      </c>
      <c r="E151" s="34">
        <f>ABS(Norway!E151)</f>
        <v>0</v>
      </c>
      <c r="F151" s="42">
        <v>500</v>
      </c>
      <c r="G151" s="34">
        <f t="shared" si="0"/>
        <v>16049.489073574121</v>
      </c>
      <c r="H151" s="34">
        <f t="shared" si="1"/>
        <v>15969.24162820625</v>
      </c>
      <c r="I151" s="35">
        <f t="shared" si="21"/>
        <v>1</v>
      </c>
      <c r="J151" s="36">
        <f t="shared" si="2"/>
        <v>15969.24162820625</v>
      </c>
      <c r="K151" s="34">
        <f t="shared" si="16"/>
        <v>144207063976.4371</v>
      </c>
      <c r="L151" s="37">
        <f t="shared" si="17"/>
        <v>138090350101.28049</v>
      </c>
      <c r="M151" s="34">
        <f t="shared" si="3"/>
        <v>8704438951.4856777</v>
      </c>
      <c r="N151" s="34">
        <f t="shared" si="4"/>
        <v>0</v>
      </c>
      <c r="O151" s="34">
        <f t="shared" si="5"/>
        <v>8704438951.4856777</v>
      </c>
      <c r="P151" s="34">
        <f t="shared" si="22"/>
        <v>870443895.1485678</v>
      </c>
      <c r="Q151" s="38">
        <f t="shared" si="6"/>
        <v>7794825081.0554237</v>
      </c>
      <c r="R151" s="39">
        <f t="shared" si="7"/>
        <v>3897412540.5277119</v>
      </c>
      <c r="S151" s="34">
        <f t="shared" si="8"/>
        <v>3897412540.5277119</v>
      </c>
      <c r="T151" s="40">
        <f t="shared" si="23"/>
        <v>9520118341.0831127</v>
      </c>
      <c r="U151" s="272">
        <f t="shared" si="9"/>
        <v>2.6988780705650929E-3</v>
      </c>
      <c r="V151" s="282">
        <f t="shared" si="10"/>
        <v>12.64065332207692</v>
      </c>
      <c r="W151" s="290">
        <f>(L151+Norway!L151)</f>
        <v>439277264388.44849</v>
      </c>
      <c r="X151" s="291">
        <f t="shared" si="11"/>
        <v>219638632194.22424</v>
      </c>
      <c r="Y151" s="292">
        <f>(R151+Norway!R151)</f>
        <v>5597530855.2042866</v>
      </c>
      <c r="Z151" s="293">
        <f t="shared" si="12"/>
        <v>2798765427.6021433</v>
      </c>
      <c r="AA151" s="294">
        <f>((S151+Norway!S151)/(T151*(U151+Norway!U151))/12)</f>
        <v>49.690289921129335</v>
      </c>
      <c r="AB151" s="295">
        <f>(Q151+Norway!Q151)</f>
        <v>24796008227.821167</v>
      </c>
    </row>
    <row r="152" spans="1:28" ht="15.75" customHeight="1">
      <c r="A152" s="31" t="s">
        <v>185</v>
      </c>
      <c r="B152" s="32">
        <v>2168</v>
      </c>
      <c r="C152" s="274">
        <f t="shared" si="13"/>
        <v>2.8889080332433423E-8</v>
      </c>
      <c r="D152" s="271">
        <f t="shared" si="20"/>
        <v>2.8889080332433423E-8</v>
      </c>
      <c r="E152" s="34">
        <f>ABS(Norway!E152)</f>
        <v>0</v>
      </c>
      <c r="F152" s="42">
        <v>500</v>
      </c>
      <c r="G152" s="34">
        <f t="shared" si="0"/>
        <v>14444.540166216711</v>
      </c>
      <c r="H152" s="34">
        <f t="shared" si="1"/>
        <v>14372.317465385628</v>
      </c>
      <c r="I152" s="35">
        <f t="shared" si="21"/>
        <v>1</v>
      </c>
      <c r="J152" s="36">
        <f t="shared" si="2"/>
        <v>14372.317465385628</v>
      </c>
      <c r="K152" s="34">
        <f t="shared" si="16"/>
        <v>145077522243.90314</v>
      </c>
      <c r="L152" s="37">
        <f t="shared" si="17"/>
        <v>138891327964.56216</v>
      </c>
      <c r="M152" s="34">
        <f t="shared" si="3"/>
        <v>8754928196.4211826</v>
      </c>
      <c r="N152" s="34">
        <f t="shared" si="4"/>
        <v>0</v>
      </c>
      <c r="O152" s="34">
        <f t="shared" si="5"/>
        <v>8754928196.4211826</v>
      </c>
      <c r="P152" s="34">
        <f t="shared" si="22"/>
        <v>875492819.64211833</v>
      </c>
      <c r="Q152" s="38">
        <f t="shared" si="6"/>
        <v>7840038199.8951693</v>
      </c>
      <c r="R152" s="39">
        <f t="shared" si="7"/>
        <v>3920019099.9475846</v>
      </c>
      <c r="S152" s="34">
        <f t="shared" si="8"/>
        <v>3920019099.9475846</v>
      </c>
      <c r="T152" s="40">
        <f t="shared" si="23"/>
        <v>9510598222.7420311</v>
      </c>
      <c r="U152" s="272">
        <f t="shared" si="9"/>
        <v>2.6988780705650929E-3</v>
      </c>
      <c r="V152" s="282">
        <f t="shared" si="10"/>
        <v>12.726700893537791</v>
      </c>
      <c r="W152" s="290">
        <f>(L152+Norway!L152)</f>
        <v>441825241539.74365</v>
      </c>
      <c r="X152" s="291">
        <f t="shared" si="11"/>
        <v>220912620769.87183</v>
      </c>
      <c r="Y152" s="292">
        <f>(R152+Norway!R152)</f>
        <v>5629998770.2055521</v>
      </c>
      <c r="Z152" s="293">
        <f t="shared" si="12"/>
        <v>2814999385.1027761</v>
      </c>
      <c r="AA152" s="294">
        <f>((S152+Norway!S152)/(T152*(U152+Norway!U152))/12)</f>
        <v>50.028541791520752</v>
      </c>
      <c r="AB152" s="295">
        <f>(Q152+Norway!Q152)</f>
        <v>24939834902.474842</v>
      </c>
    </row>
    <row r="153" spans="1:28" ht="15.75" customHeight="1">
      <c r="A153" s="31" t="s">
        <v>186</v>
      </c>
      <c r="B153" s="32">
        <v>2169</v>
      </c>
      <c r="C153" s="274">
        <f t="shared" si="13"/>
        <v>2.6000172299190083E-8</v>
      </c>
      <c r="D153" s="271">
        <f t="shared" si="20"/>
        <v>2.6000172299190083E-8</v>
      </c>
      <c r="E153" s="34">
        <f>ABS(Norway!E153)</f>
        <v>0</v>
      </c>
      <c r="F153" s="42">
        <v>500</v>
      </c>
      <c r="G153" s="34">
        <f t="shared" si="0"/>
        <v>13000.086149595041</v>
      </c>
      <c r="H153" s="34">
        <f t="shared" si="1"/>
        <v>12935.085718847065</v>
      </c>
      <c r="I153" s="35">
        <f t="shared" si="21"/>
        <v>1</v>
      </c>
      <c r="J153" s="36">
        <f t="shared" si="2"/>
        <v>12935.085718847065</v>
      </c>
      <c r="K153" s="34">
        <f t="shared" si="16"/>
        <v>145953027998.63098</v>
      </c>
      <c r="L153" s="37">
        <f t="shared" si="17"/>
        <v>139696950302.43036</v>
      </c>
      <c r="M153" s="34">
        <f t="shared" si="3"/>
        <v>8805710192.9532413</v>
      </c>
      <c r="N153" s="34">
        <f t="shared" si="4"/>
        <v>0</v>
      </c>
      <c r="O153" s="34">
        <f t="shared" si="5"/>
        <v>8805710192.9532413</v>
      </c>
      <c r="P153" s="34">
        <f t="shared" si="22"/>
        <v>880571019.29532421</v>
      </c>
      <c r="Q153" s="38">
        <f t="shared" si="6"/>
        <v>7885513477.7896271</v>
      </c>
      <c r="R153" s="39">
        <f t="shared" si="7"/>
        <v>3942756738.8948135</v>
      </c>
      <c r="S153" s="34">
        <f t="shared" si="8"/>
        <v>3942756738.8948135</v>
      </c>
      <c r="T153" s="40">
        <f t="shared" si="23"/>
        <v>9501087624.5192909</v>
      </c>
      <c r="U153" s="272">
        <f t="shared" si="9"/>
        <v>2.6988780705650929E-3</v>
      </c>
      <c r="V153" s="282">
        <f t="shared" si="10"/>
        <v>12.81333405411022</v>
      </c>
      <c r="W153" s="290">
        <f>(L153+Norway!L153)</f>
        <v>444387993373.54895</v>
      </c>
      <c r="X153" s="291">
        <f t="shared" si="11"/>
        <v>222193996686.77448</v>
      </c>
      <c r="Y153" s="292">
        <f>(R153+Norway!R153)</f>
        <v>5662654945.2004995</v>
      </c>
      <c r="Z153" s="293">
        <f t="shared" si="12"/>
        <v>2831327472.6002498</v>
      </c>
      <c r="AA153" s="294">
        <f>((S153+Norway!S153)/(T153*(U153+Norway!U153))/12)</f>
        <v>50.369095637484179</v>
      </c>
      <c r="AB153" s="295">
        <f>(Q153+Norway!Q153)</f>
        <v>25084495540.846485</v>
      </c>
    </row>
    <row r="154" spans="1:28" ht="15.75" customHeight="1">
      <c r="A154" s="31" t="s">
        <v>187</v>
      </c>
      <c r="B154" s="32">
        <v>2170</v>
      </c>
      <c r="C154" s="274">
        <f t="shared" si="13"/>
        <v>2.3400155069271073E-8</v>
      </c>
      <c r="D154" s="271">
        <f t="shared" si="20"/>
        <v>2.3400155069271073E-8</v>
      </c>
      <c r="E154" s="34">
        <f>ABS(Norway!E154)</f>
        <v>0</v>
      </c>
      <c r="F154" s="42">
        <v>500</v>
      </c>
      <c r="G154" s="34">
        <f t="shared" si="0"/>
        <v>11700.077534635537</v>
      </c>
      <c r="H154" s="34">
        <f t="shared" si="1"/>
        <v>11641.57714696236</v>
      </c>
      <c r="I154" s="35">
        <f t="shared" si="21"/>
        <v>1</v>
      </c>
      <c r="J154" s="36">
        <f t="shared" si="2"/>
        <v>11641.57714696236</v>
      </c>
      <c r="K154" s="34">
        <f t="shared" si="16"/>
        <v>146833610659.50345</v>
      </c>
      <c r="L154" s="37">
        <f t="shared" si="17"/>
        <v>140507244196.82117</v>
      </c>
      <c r="M154" s="34">
        <f t="shared" si="3"/>
        <v>8856786649.1740837</v>
      </c>
      <c r="N154" s="34">
        <f t="shared" si="4"/>
        <v>0</v>
      </c>
      <c r="O154" s="34">
        <f t="shared" si="5"/>
        <v>8856786649.1740837</v>
      </c>
      <c r="P154" s="34">
        <f t="shared" si="22"/>
        <v>885678664.91740847</v>
      </c>
      <c r="Q154" s="38">
        <f t="shared" si="6"/>
        <v>7931252444.335392</v>
      </c>
      <c r="R154" s="39">
        <f t="shared" si="7"/>
        <v>3965626222.167696</v>
      </c>
      <c r="S154" s="34">
        <f t="shared" si="8"/>
        <v>3965626222.167696</v>
      </c>
      <c r="T154" s="40">
        <f t="shared" si="23"/>
        <v>9491586536.8947735</v>
      </c>
      <c r="U154" s="272">
        <f t="shared" si="9"/>
        <v>2.6988780705650929E-3</v>
      </c>
      <c r="V154" s="282">
        <f t="shared" si="10"/>
        <v>12.900556804300068</v>
      </c>
      <c r="W154" s="290">
        <f>(L154+Norway!L154)</f>
        <v>446965606018.76093</v>
      </c>
      <c r="X154" s="291">
        <f t="shared" si="11"/>
        <v>223482803009.38046</v>
      </c>
      <c r="Y154" s="292">
        <f>(R154+Norway!R154)</f>
        <v>5695500478.4726791</v>
      </c>
      <c r="Z154" s="293">
        <f t="shared" si="12"/>
        <v>2847750239.2363396</v>
      </c>
      <c r="AA154" s="294">
        <f>((S154+Norway!S154)/(T154*(U154+Norway!U154))/12)</f>
        <v>50.711967181957391</v>
      </c>
      <c r="AB154" s="295">
        <f>(Q154+Norway!Q154)</f>
        <v>25229995007.385227</v>
      </c>
    </row>
    <row r="155" spans="1:28" ht="15.75" customHeight="1">
      <c r="A155" s="31" t="s">
        <v>188</v>
      </c>
      <c r="B155" s="32">
        <v>2171</v>
      </c>
      <c r="C155" s="274">
        <f t="shared" si="13"/>
        <v>2.1060139562343965E-8</v>
      </c>
      <c r="D155" s="271">
        <f t="shared" si="20"/>
        <v>2.1060139562343965E-8</v>
      </c>
      <c r="E155" s="34">
        <f>ABS(Norway!E155)</f>
        <v>0</v>
      </c>
      <c r="F155" s="42">
        <v>500</v>
      </c>
      <c r="G155" s="34">
        <f t="shared" si="0"/>
        <v>10530.069781171984</v>
      </c>
      <c r="H155" s="34">
        <f t="shared" si="1"/>
        <v>10477.419432266124</v>
      </c>
      <c r="I155" s="35">
        <f t="shared" si="21"/>
        <v>1</v>
      </c>
      <c r="J155" s="36">
        <f t="shared" si="2"/>
        <v>10477.419432266124</v>
      </c>
      <c r="K155" s="34">
        <f t="shared" si="16"/>
        <v>147719299801.8403</v>
      </c>
      <c r="L155" s="37">
        <f t="shared" si="17"/>
        <v>141322236872.48843</v>
      </c>
      <c r="M155" s="34">
        <f t="shared" si="3"/>
        <v>8908159282.0784626</v>
      </c>
      <c r="N155" s="34">
        <f t="shared" si="4"/>
        <v>0</v>
      </c>
      <c r="O155" s="34">
        <f t="shared" si="5"/>
        <v>8908159282.0784626</v>
      </c>
      <c r="P155" s="34">
        <f t="shared" si="22"/>
        <v>890815928.20784628</v>
      </c>
      <c r="Q155" s="38">
        <f t="shared" si="6"/>
        <v>7977256637.101263</v>
      </c>
      <c r="R155" s="39">
        <f t="shared" si="7"/>
        <v>3988628318.5506315</v>
      </c>
      <c r="S155" s="34">
        <f t="shared" si="8"/>
        <v>3988628318.5506315</v>
      </c>
      <c r="T155" s="40">
        <f t="shared" si="23"/>
        <v>9482094950.3578796</v>
      </c>
      <c r="U155" s="272">
        <f t="shared" si="9"/>
        <v>2.6988780705650929E-3</v>
      </c>
      <c r="V155" s="282">
        <f t="shared" si="10"/>
        <v>12.988373170423353</v>
      </c>
      <c r="W155" s="290">
        <f>(L155+Norway!L155)</f>
        <v>449558166060.69812</v>
      </c>
      <c r="X155" s="291">
        <f t="shared" si="11"/>
        <v>224779083030.34906</v>
      </c>
      <c r="Y155" s="292">
        <f>(R155+Norway!R155)</f>
        <v>5728536474.0438395</v>
      </c>
      <c r="Z155" s="293">
        <f t="shared" si="12"/>
        <v>2864268237.0219197</v>
      </c>
      <c r="AA155" s="294">
        <f>((S155+Norway!S155)/(T155*(U155+Norway!U155))/12)</f>
        <v>51.057172249636103</v>
      </c>
      <c r="AB155" s="295">
        <f>(Q155+Norway!Q155)</f>
        <v>25376338192.03334</v>
      </c>
    </row>
    <row r="156" spans="1:28" ht="15.75" customHeight="1">
      <c r="A156" s="31" t="s">
        <v>189</v>
      </c>
      <c r="B156" s="32">
        <v>2172</v>
      </c>
      <c r="C156" s="274">
        <f t="shared" si="13"/>
        <v>1.8954125606109568E-8</v>
      </c>
      <c r="D156" s="271">
        <f t="shared" si="20"/>
        <v>1.8954125606109568E-8</v>
      </c>
      <c r="E156" s="34">
        <f>ABS(Norway!E156)</f>
        <v>0</v>
      </c>
      <c r="F156" s="42">
        <v>500</v>
      </c>
      <c r="G156" s="34">
        <f t="shared" si="0"/>
        <v>9477.0628030547832</v>
      </c>
      <c r="H156" s="34">
        <f t="shared" si="1"/>
        <v>9429.67748903951</v>
      </c>
      <c r="I156" s="35">
        <f t="shared" si="21"/>
        <v>1</v>
      </c>
      <c r="J156" s="36">
        <f t="shared" si="2"/>
        <v>9429.67748903951</v>
      </c>
      <c r="K156" s="34">
        <f t="shared" si="16"/>
        <v>148610125159.72565</v>
      </c>
      <c r="L156" s="37">
        <f t="shared" si="17"/>
        <v>142141955699.25861</v>
      </c>
      <c r="M156" s="34">
        <f t="shared" si="3"/>
        <v>8959829817.7157669</v>
      </c>
      <c r="N156" s="34">
        <f t="shared" si="4"/>
        <v>0</v>
      </c>
      <c r="O156" s="34">
        <f t="shared" si="5"/>
        <v>8959829817.7157669</v>
      </c>
      <c r="P156" s="34">
        <f t="shared" si="22"/>
        <v>895982981.77157676</v>
      </c>
      <c r="Q156" s="38">
        <f t="shared" si="6"/>
        <v>8023527601.7644691</v>
      </c>
      <c r="R156" s="39">
        <f t="shared" si="7"/>
        <v>4011763800.8822346</v>
      </c>
      <c r="S156" s="34">
        <f t="shared" si="8"/>
        <v>4011763800.8822346</v>
      </c>
      <c r="T156" s="40">
        <f t="shared" si="23"/>
        <v>9472612855.4075222</v>
      </c>
      <c r="U156" s="272">
        <f t="shared" si="9"/>
        <v>2.6988780705650929E-3</v>
      </c>
      <c r="V156" s="282">
        <f t="shared" si="10"/>
        <v>13.076787204922802</v>
      </c>
      <c r="W156" s="290">
        <f>(L156+Norway!L156)</f>
        <v>452165760548.06317</v>
      </c>
      <c r="X156" s="291">
        <f t="shared" si="11"/>
        <v>226082880274.03159</v>
      </c>
      <c r="Y156" s="292">
        <f>(R156+Norway!R156)</f>
        <v>5761764041.7704191</v>
      </c>
      <c r="Z156" s="293">
        <f t="shared" si="12"/>
        <v>2880882020.8852096</v>
      </c>
      <c r="AA156" s="294">
        <f>((S156+Norway!S156)/(T156*(U156+Norway!U156))/12)</f>
        <v>51.404726768188858</v>
      </c>
      <c r="AB156" s="295">
        <f>(Q156+Norway!Q156)</f>
        <v>25523530010.646313</v>
      </c>
    </row>
    <row r="157" spans="1:28" ht="15.75" customHeight="1">
      <c r="A157" s="31" t="s">
        <v>190</v>
      </c>
      <c r="B157" s="32">
        <v>2173</v>
      </c>
      <c r="C157" s="274">
        <f t="shared" si="13"/>
        <v>1.7058713045498612E-8</v>
      </c>
      <c r="D157" s="271">
        <f t="shared" si="20"/>
        <v>1.7058713045498612E-8</v>
      </c>
      <c r="E157" s="34">
        <f>ABS(Norway!E157)</f>
        <v>0</v>
      </c>
      <c r="F157" s="42">
        <v>500</v>
      </c>
      <c r="G157" s="34">
        <f t="shared" si="0"/>
        <v>8529.3565227493054</v>
      </c>
      <c r="H157" s="34">
        <f t="shared" si="1"/>
        <v>8486.7097401355586</v>
      </c>
      <c r="I157" s="35">
        <f t="shared" si="21"/>
        <v>1</v>
      </c>
      <c r="J157" s="36">
        <f t="shared" si="2"/>
        <v>8486.7097401355586</v>
      </c>
      <c r="K157" s="34">
        <f t="shared" si="16"/>
        <v>149506116628.20697</v>
      </c>
      <c r="L157" s="37">
        <f t="shared" si="17"/>
        <v>142966428194.15607</v>
      </c>
      <c r="M157" s="34">
        <f t="shared" si="3"/>
        <v>9011799991.3329945</v>
      </c>
      <c r="N157" s="34">
        <f t="shared" si="4"/>
        <v>0</v>
      </c>
      <c r="O157" s="34">
        <f t="shared" si="5"/>
        <v>9011799991.3329945</v>
      </c>
      <c r="P157" s="34">
        <f t="shared" si="22"/>
        <v>901179999.13329947</v>
      </c>
      <c r="Q157" s="38">
        <f t="shared" si="6"/>
        <v>8070066892.2386961</v>
      </c>
      <c r="R157" s="39">
        <f t="shared" si="7"/>
        <v>4035033446.119348</v>
      </c>
      <c r="S157" s="34">
        <f t="shared" si="8"/>
        <v>4035033446.119348</v>
      </c>
      <c r="T157" s="40">
        <f t="shared" si="23"/>
        <v>9463140242.5521164</v>
      </c>
      <c r="U157" s="272">
        <f t="shared" si="9"/>
        <v>2.6988780705650929E-3</v>
      </c>
      <c r="V157" s="282">
        <f t="shared" si="10"/>
        <v>13.165802986672643</v>
      </c>
      <c r="W157" s="290">
        <f>(L157+Norway!L157)</f>
        <v>454788476999.51428</v>
      </c>
      <c r="X157" s="291">
        <f t="shared" si="11"/>
        <v>227394238499.75714</v>
      </c>
      <c r="Y157" s="292">
        <f>(R157+Norway!R157)</f>
        <v>5795184297.4342899</v>
      </c>
      <c r="Z157" s="293">
        <f t="shared" si="12"/>
        <v>2897592148.717145</v>
      </c>
      <c r="AA157" s="294">
        <f>((S157+Norway!S157)/(T157*(U157+Norway!U157))/12)</f>
        <v>51.754646769428469</v>
      </c>
      <c r="AB157" s="295">
        <f>(Q157+Norway!Q157)</f>
        <v>25671575405.388119</v>
      </c>
    </row>
    <row r="158" spans="1:28" ht="15.75" customHeight="1">
      <c r="A158" s="31" t="s">
        <v>191</v>
      </c>
      <c r="B158" s="32">
        <v>2174</v>
      </c>
      <c r="C158" s="274">
        <f t="shared" si="13"/>
        <v>1.5352841740948752E-8</v>
      </c>
      <c r="D158" s="271">
        <f t="shared" si="20"/>
        <v>1.5352841740948752E-8</v>
      </c>
      <c r="E158" s="34">
        <f>ABS(Norway!E158)</f>
        <v>0</v>
      </c>
      <c r="F158" s="42">
        <v>500</v>
      </c>
      <c r="G158" s="34">
        <f t="shared" si="0"/>
        <v>7676.4208704743751</v>
      </c>
      <c r="H158" s="34">
        <f t="shared" si="1"/>
        <v>7638.0387661220029</v>
      </c>
      <c r="I158" s="35">
        <f t="shared" si="21"/>
        <v>1</v>
      </c>
      <c r="J158" s="36">
        <f t="shared" si="2"/>
        <v>7638.0387661220029</v>
      </c>
      <c r="K158" s="34">
        <f t="shared" si="16"/>
        <v>150407304265.37903</v>
      </c>
      <c r="L158" s="37">
        <f t="shared" si="17"/>
        <v>143795682023.41248</v>
      </c>
      <c r="M158" s="34">
        <f t="shared" si="3"/>
        <v>9064071547.5094948</v>
      </c>
      <c r="N158" s="34">
        <f t="shared" si="4"/>
        <v>0</v>
      </c>
      <c r="O158" s="34">
        <f t="shared" si="5"/>
        <v>9064071547.5094948</v>
      </c>
      <c r="P158" s="34">
        <f t="shared" si="22"/>
        <v>906407154.7509495</v>
      </c>
      <c r="Q158" s="38">
        <f t="shared" si="6"/>
        <v>8116876070.7947521</v>
      </c>
      <c r="R158" s="39">
        <f t="shared" si="7"/>
        <v>4058438035.3973761</v>
      </c>
      <c r="S158" s="34">
        <f t="shared" si="8"/>
        <v>4058438035.3973761</v>
      </c>
      <c r="T158" s="40">
        <f t="shared" si="23"/>
        <v>9453677102.3095646</v>
      </c>
      <c r="U158" s="272">
        <f t="shared" si="9"/>
        <v>2.6988780705650929E-3</v>
      </c>
      <c r="V158" s="282">
        <f t="shared" si="10"/>
        <v>13.255424621272882</v>
      </c>
      <c r="W158" s="290">
        <f>(L158+Norway!L158)</f>
        <v>457426403409.88635</v>
      </c>
      <c r="X158" s="291">
        <f t="shared" si="11"/>
        <v>228713201704.94318</v>
      </c>
      <c r="Y158" s="292">
        <f>(R158+Norway!R158)</f>
        <v>5828798362.8283329</v>
      </c>
      <c r="Z158" s="293">
        <f t="shared" si="12"/>
        <v>2914399181.4141665</v>
      </c>
      <c r="AA158" s="294">
        <f>((S158+Norway!S158)/(T158*(U158+Norway!U158))/12)</f>
        <v>52.106948390444749</v>
      </c>
      <c r="AB158" s="295">
        <f>(Q158+Norway!Q158)</f>
        <v>25820479345.104317</v>
      </c>
    </row>
    <row r="159" spans="1:28" ht="15.75" customHeight="1">
      <c r="A159" s="31" t="s">
        <v>192</v>
      </c>
      <c r="B159" s="32">
        <v>2175</v>
      </c>
      <c r="C159" s="274">
        <f t="shared" si="13"/>
        <v>1.3817557566853877E-8</v>
      </c>
      <c r="D159" s="271">
        <f t="shared" si="20"/>
        <v>1.3817557566853877E-8</v>
      </c>
      <c r="E159" s="34">
        <f>ABS(Norway!E159)</f>
        <v>0</v>
      </c>
      <c r="F159" s="42">
        <v>500</v>
      </c>
      <c r="G159" s="34">
        <f t="shared" si="0"/>
        <v>6908.7787834269384</v>
      </c>
      <c r="H159" s="34">
        <f t="shared" si="1"/>
        <v>6874.2348895098039</v>
      </c>
      <c r="I159" s="35">
        <f t="shared" si="21"/>
        <v>1</v>
      </c>
      <c r="J159" s="36">
        <f t="shared" si="2"/>
        <v>6874.2348895098039</v>
      </c>
      <c r="K159" s="34">
        <f t="shared" si="16"/>
        <v>151313718294.36487</v>
      </c>
      <c r="L159" s="37">
        <f t="shared" si="17"/>
        <v>144629745004.37213</v>
      </c>
      <c r="M159" s="34">
        <f t="shared" si="3"/>
        <v>9116646240.2843513</v>
      </c>
      <c r="N159" s="34">
        <f t="shared" si="4"/>
        <v>0</v>
      </c>
      <c r="O159" s="34">
        <f t="shared" si="5"/>
        <v>9116646240.2843513</v>
      </c>
      <c r="P159" s="34">
        <f t="shared" si="22"/>
        <v>911664624.02843523</v>
      </c>
      <c r="Q159" s="38">
        <f t="shared" si="6"/>
        <v>8163956708.1746368</v>
      </c>
      <c r="R159" s="39">
        <f t="shared" si="7"/>
        <v>4081978354.0873184</v>
      </c>
      <c r="S159" s="34">
        <f t="shared" si="8"/>
        <v>4081978354.0873184</v>
      </c>
      <c r="T159" s="40">
        <f t="shared" si="23"/>
        <v>9444223425.2072563</v>
      </c>
      <c r="U159" s="272">
        <f t="shared" si="9"/>
        <v>2.6988780705650929E-3</v>
      </c>
      <c r="V159" s="282">
        <f t="shared" si="10"/>
        <v>13.345656241334217</v>
      </c>
      <c r="W159" s="290">
        <f>(L159+Norway!L159)</f>
        <v>460079628256.09851</v>
      </c>
      <c r="X159" s="291">
        <f t="shared" si="11"/>
        <v>230039814128.04926</v>
      </c>
      <c r="Y159" s="292">
        <f>(R159+Norway!R159)</f>
        <v>5862607365.8373823</v>
      </c>
      <c r="Z159" s="293">
        <f t="shared" si="12"/>
        <v>2931303682.9186912</v>
      </c>
      <c r="AA159" s="294">
        <f>((S159+Norway!S159)/(T159*(U159+Norway!U159))/12)</f>
        <v>52.461647874702955</v>
      </c>
      <c r="AB159" s="295">
        <f>(Q159+Norway!Q159)</f>
        <v>25970246825.675274</v>
      </c>
    </row>
    <row r="160" spans="1:28" ht="15.75" customHeight="1">
      <c r="A160" s="31" t="s">
        <v>193</v>
      </c>
      <c r="B160" s="32">
        <v>2176</v>
      </c>
      <c r="C160" s="274">
        <f t="shared" si="13"/>
        <v>1.2435801810168489E-8</v>
      </c>
      <c r="D160" s="271">
        <f t="shared" si="20"/>
        <v>1.2435801810168489E-8</v>
      </c>
      <c r="E160" s="34">
        <f>ABS(Norway!E160)</f>
        <v>0</v>
      </c>
      <c r="F160" s="42">
        <v>500</v>
      </c>
      <c r="G160" s="34">
        <f t="shared" si="0"/>
        <v>6217.9009050842442</v>
      </c>
      <c r="H160" s="34">
        <f t="shared" si="1"/>
        <v>6186.8114005588232</v>
      </c>
      <c r="I160" s="35">
        <f t="shared" si="21"/>
        <v>1</v>
      </c>
      <c r="J160" s="36">
        <f t="shared" si="2"/>
        <v>6186.8114005588232</v>
      </c>
      <c r="K160" s="34">
        <f t="shared" si="16"/>
        <v>152225389105.20471</v>
      </c>
      <c r="L160" s="37">
        <f t="shared" si="17"/>
        <v>145468645107.30438</v>
      </c>
      <c r="M160" s="34">
        <f t="shared" si="3"/>
        <v>9169525833.2771931</v>
      </c>
      <c r="N160" s="34">
        <f t="shared" si="4"/>
        <v>0</v>
      </c>
      <c r="O160" s="34">
        <f t="shared" si="5"/>
        <v>9169525833.2771931</v>
      </c>
      <c r="P160" s="34">
        <f t="shared" si="22"/>
        <v>916952583.32771933</v>
      </c>
      <c r="Q160" s="38">
        <f t="shared" si="6"/>
        <v>8211310383.6997261</v>
      </c>
      <c r="R160" s="39">
        <f t="shared" si="7"/>
        <v>4105655191.8498631</v>
      </c>
      <c r="S160" s="34">
        <f t="shared" si="8"/>
        <v>4105655191.8498631</v>
      </c>
      <c r="T160" s="40">
        <f t="shared" si="23"/>
        <v>9434779201.7820492</v>
      </c>
      <c r="U160" s="272">
        <f t="shared" si="9"/>
        <v>2.6988780705650929E-3</v>
      </c>
      <c r="V160" s="282">
        <f t="shared" si="10"/>
        <v>13.436502006754717</v>
      </c>
      <c r="W160" s="290">
        <f>(L160+Norway!L160)</f>
        <v>462748240502.78143</v>
      </c>
      <c r="X160" s="291">
        <f t="shared" si="11"/>
        <v>231374120251.39072</v>
      </c>
      <c r="Y160" s="292">
        <f>(R160+Norway!R160)</f>
        <v>5896612440.5150414</v>
      </c>
      <c r="Z160" s="293">
        <f t="shared" si="12"/>
        <v>2948306220.2575207</v>
      </c>
      <c r="AA160" s="294">
        <f>((S160+Norway!S160)/(T160*(U160+Norway!U160))/12)</f>
        <v>52.818761573111978</v>
      </c>
      <c r="AB160" s="295">
        <f>(Q160+Norway!Q160)</f>
        <v>26120882870.351513</v>
      </c>
    </row>
    <row r="161" spans="1:28" ht="15.75" customHeight="1">
      <c r="A161" s="31" t="s">
        <v>194</v>
      </c>
      <c r="B161" s="32">
        <v>2177</v>
      </c>
      <c r="C161" s="274">
        <f t="shared" si="13"/>
        <v>1.1192221629151641E-8</v>
      </c>
      <c r="D161" s="271">
        <f t="shared" si="20"/>
        <v>1.1192221629151641E-8</v>
      </c>
      <c r="E161" s="34">
        <f>ABS(Norway!E161)</f>
        <v>0</v>
      </c>
      <c r="F161" s="42">
        <v>500</v>
      </c>
      <c r="G161" s="34">
        <f t="shared" si="0"/>
        <v>5596.1108145758208</v>
      </c>
      <c r="H161" s="34">
        <f t="shared" si="1"/>
        <v>5568.1302605029414</v>
      </c>
      <c r="I161" s="35">
        <f t="shared" si="21"/>
        <v>1</v>
      </c>
      <c r="J161" s="36">
        <f t="shared" si="2"/>
        <v>5568.1302605029414</v>
      </c>
      <c r="K161" s="34">
        <f t="shared" si="16"/>
        <v>153142347256.66269</v>
      </c>
      <c r="L161" s="37">
        <f t="shared" si="17"/>
        <v>146312410457.133</v>
      </c>
      <c r="M161" s="34">
        <f t="shared" si="3"/>
        <v>9222712099.8030968</v>
      </c>
      <c r="N161" s="34">
        <f t="shared" si="4"/>
        <v>0</v>
      </c>
      <c r="O161" s="34">
        <f t="shared" si="5"/>
        <v>9222712099.8030968</v>
      </c>
      <c r="P161" s="34">
        <f t="shared" si="22"/>
        <v>922271209.98030972</v>
      </c>
      <c r="Q161" s="38">
        <f t="shared" si="6"/>
        <v>8258938685.3736734</v>
      </c>
      <c r="R161" s="39">
        <f t="shared" si="7"/>
        <v>4129469342.6868367</v>
      </c>
      <c r="S161" s="34">
        <f t="shared" si="8"/>
        <v>4129469342.6868367</v>
      </c>
      <c r="T161" s="40">
        <f t="shared" si="23"/>
        <v>9425344422.5802689</v>
      </c>
      <c r="U161" s="272">
        <f t="shared" si="9"/>
        <v>2.6988780705650929E-3</v>
      </c>
      <c r="V161" s="282">
        <f t="shared" si="10"/>
        <v>13.527966104989199</v>
      </c>
      <c r="W161" s="290">
        <f>(L161+Norway!L161)</f>
        <v>465432329607.65405</v>
      </c>
      <c r="X161" s="291">
        <f t="shared" si="11"/>
        <v>232716164803.82703</v>
      </c>
      <c r="Y161" s="292">
        <f>(R161+Norway!R161)</f>
        <v>5930814727.1567955</v>
      </c>
      <c r="Z161" s="293">
        <f t="shared" si="12"/>
        <v>2965407363.5783978</v>
      </c>
      <c r="AA161" s="294">
        <f>((S161+Norway!S161)/(T161*(U161+Norway!U161))/12)</f>
        <v>53.17830594506551</v>
      </c>
      <c r="AB161" s="295">
        <f>(Q161+Norway!Q161)</f>
        <v>26272392530.073265</v>
      </c>
    </row>
    <row r="162" spans="1:28" ht="15.75" customHeight="1">
      <c r="A162" s="31" t="s">
        <v>195</v>
      </c>
      <c r="B162" s="32">
        <v>2178</v>
      </c>
      <c r="C162" s="274">
        <f t="shared" si="13"/>
        <v>1.0072999466236478E-8</v>
      </c>
      <c r="D162" s="271">
        <f t="shared" si="20"/>
        <v>1.0072999466236478E-8</v>
      </c>
      <c r="E162" s="34">
        <f>ABS(Norway!E162)</f>
        <v>0</v>
      </c>
      <c r="F162" s="42">
        <v>500</v>
      </c>
      <c r="G162" s="34">
        <f t="shared" si="0"/>
        <v>5036.4997331182385</v>
      </c>
      <c r="H162" s="34">
        <f t="shared" si="1"/>
        <v>5011.3172344526474</v>
      </c>
      <c r="I162" s="35">
        <f t="shared" si="21"/>
        <v>1</v>
      </c>
      <c r="J162" s="36">
        <f t="shared" si="2"/>
        <v>5011.3172344526474</v>
      </c>
      <c r="K162" s="34">
        <f t="shared" si="16"/>
        <v>154064623477.96024</v>
      </c>
      <c r="L162" s="37">
        <f t="shared" si="17"/>
        <v>147161069335.09134</v>
      </c>
      <c r="M162" s="34">
        <f t="shared" si="3"/>
        <v>9276206822.9822311</v>
      </c>
      <c r="N162" s="34">
        <f t="shared" si="4"/>
        <v>0</v>
      </c>
      <c r="O162" s="34">
        <f t="shared" si="5"/>
        <v>9276206822.9822311</v>
      </c>
      <c r="P162" s="34">
        <f t="shared" si="22"/>
        <v>927620682.29822314</v>
      </c>
      <c r="Q162" s="38">
        <f t="shared" si="6"/>
        <v>8306843209.980588</v>
      </c>
      <c r="R162" s="39">
        <f t="shared" si="7"/>
        <v>4153421604.990294</v>
      </c>
      <c r="S162" s="34">
        <f t="shared" si="8"/>
        <v>4153421604.990294</v>
      </c>
      <c r="T162" s="40">
        <f t="shared" si="23"/>
        <v>9415919078.15769</v>
      </c>
      <c r="U162" s="272">
        <f t="shared" si="9"/>
        <v>2.6988780705650929E-3</v>
      </c>
      <c r="V162" s="282">
        <f t="shared" si="10"/>
        <v>13.620052751312107</v>
      </c>
      <c r="W162" s="290">
        <f>(L162+Norway!L162)</f>
        <v>468131985526.67725</v>
      </c>
      <c r="X162" s="291">
        <f t="shared" si="11"/>
        <v>234065992763.33862</v>
      </c>
      <c r="Y162" s="292">
        <f>(R162+Norway!R162)</f>
        <v>5965215372.3698025</v>
      </c>
      <c r="Z162" s="293">
        <f t="shared" si="12"/>
        <v>2982607686.1849012</v>
      </c>
      <c r="AA162" s="294">
        <f>((S162+Norway!S162)/(T162*(U162+Norway!U162))/12)</f>
        <v>53.540297559459752</v>
      </c>
      <c r="AB162" s="295">
        <f>(Q162+Norway!Q162)</f>
        <v>26424780883.775677</v>
      </c>
    </row>
    <row r="163" spans="1:28" ht="15.75" customHeight="1">
      <c r="A163" s="31" t="s">
        <v>196</v>
      </c>
      <c r="B163" s="32">
        <v>2179</v>
      </c>
      <c r="C163" s="274">
        <f t="shared" si="13"/>
        <v>9.0656995196128296E-9</v>
      </c>
      <c r="D163" s="271">
        <f t="shared" si="20"/>
        <v>9.0656995196128296E-9</v>
      </c>
      <c r="E163" s="34">
        <f>ABS(Norway!E163)</f>
        <v>0</v>
      </c>
      <c r="F163" s="42">
        <v>500</v>
      </c>
      <c r="G163" s="34">
        <f t="shared" si="0"/>
        <v>4532.849759806415</v>
      </c>
      <c r="H163" s="34">
        <f t="shared" si="1"/>
        <v>4510.185511007383</v>
      </c>
      <c r="I163" s="35">
        <f t="shared" si="21"/>
        <v>1</v>
      </c>
      <c r="J163" s="36">
        <f t="shared" si="2"/>
        <v>4510.185511007383</v>
      </c>
      <c r="K163" s="34">
        <f t="shared" si="16"/>
        <v>154992248670.44397</v>
      </c>
      <c r="L163" s="37">
        <f t="shared" si="17"/>
        <v>148014650180.31128</v>
      </c>
      <c r="M163" s="34">
        <f t="shared" si="3"/>
        <v>9330011795.8447914</v>
      </c>
      <c r="N163" s="34">
        <f t="shared" si="4"/>
        <v>0</v>
      </c>
      <c r="O163" s="34">
        <f t="shared" si="5"/>
        <v>9330011795.8447914</v>
      </c>
      <c r="P163" s="34">
        <f t="shared" si="22"/>
        <v>933001179.58447921</v>
      </c>
      <c r="Q163" s="38">
        <f t="shared" si="6"/>
        <v>8355025563.1790104</v>
      </c>
      <c r="R163" s="39">
        <f t="shared" si="7"/>
        <v>4177512781.5895052</v>
      </c>
      <c r="S163" s="34">
        <f t="shared" si="8"/>
        <v>4177512781.5895052</v>
      </c>
      <c r="T163" s="40">
        <f t="shared" si="23"/>
        <v>9406503159.0795326</v>
      </c>
      <c r="U163" s="272">
        <f t="shared" si="9"/>
        <v>2.6988780705650929E-3</v>
      </c>
      <c r="V163" s="282">
        <f t="shared" si="10"/>
        <v>13.712766189074756</v>
      </c>
      <c r="W163" s="290">
        <f>(L163+Norway!L163)</f>
        <v>470847298719.00714</v>
      </c>
      <c r="X163" s="291">
        <f t="shared" si="11"/>
        <v>235423649359.50357</v>
      </c>
      <c r="Y163" s="292">
        <f>(R163+Norway!R163)</f>
        <v>5999815529.1397486</v>
      </c>
      <c r="Z163" s="293">
        <f t="shared" si="12"/>
        <v>2999907764.5698743</v>
      </c>
      <c r="AA163" s="294">
        <f>((S163+Norway!S163)/(T163*(U163+Norway!U163))/12)</f>
        <v>53.904753095690353</v>
      </c>
      <c r="AB163" s="295">
        <f>(Q163+Norway!Q163)</f>
        <v>26578053038.681442</v>
      </c>
    </row>
    <row r="164" spans="1:28" ht="15.75" customHeight="1">
      <c r="A164" s="31" t="s">
        <v>197</v>
      </c>
      <c r="B164" s="32">
        <v>2180</v>
      </c>
      <c r="C164" s="274">
        <f t="shared" si="13"/>
        <v>8.1591295676515475E-9</v>
      </c>
      <c r="D164" s="271">
        <f t="shared" si="20"/>
        <v>8.1591295676515475E-9</v>
      </c>
      <c r="E164" s="34">
        <f>ABS(Norway!E164)</f>
        <v>0</v>
      </c>
      <c r="F164" s="42">
        <v>500</v>
      </c>
      <c r="G164" s="34">
        <f t="shared" si="0"/>
        <v>4079.5647838257737</v>
      </c>
      <c r="H164" s="34">
        <f t="shared" si="1"/>
        <v>4059.1669599066449</v>
      </c>
      <c r="I164" s="35">
        <f t="shared" si="21"/>
        <v>1</v>
      </c>
      <c r="J164" s="36">
        <f t="shared" si="2"/>
        <v>4059.1669599066449</v>
      </c>
      <c r="K164" s="34">
        <f t="shared" si="16"/>
        <v>155925253909.1954</v>
      </c>
      <c r="L164" s="37">
        <f t="shared" si="17"/>
        <v>148873181591.35318</v>
      </c>
      <c r="M164" s="34">
        <f t="shared" si="3"/>
        <v>9384128821.4317341</v>
      </c>
      <c r="N164" s="34">
        <f t="shared" si="4"/>
        <v>0</v>
      </c>
      <c r="O164" s="34">
        <f t="shared" si="5"/>
        <v>9384128821.4317341</v>
      </c>
      <c r="P164" s="34">
        <f t="shared" si="22"/>
        <v>938412882.14317346</v>
      </c>
      <c r="Q164" s="38">
        <f t="shared" si="6"/>
        <v>8403487359.5921183</v>
      </c>
      <c r="R164" s="39">
        <f t="shared" si="7"/>
        <v>4201743679.7960591</v>
      </c>
      <c r="S164" s="34">
        <f t="shared" si="8"/>
        <v>4201743679.7960591</v>
      </c>
      <c r="T164" s="40">
        <f t="shared" si="23"/>
        <v>9397096655.920454</v>
      </c>
      <c r="U164" s="272">
        <f t="shared" si="9"/>
        <v>2.6988780705650929E-3</v>
      </c>
      <c r="V164" s="282">
        <f t="shared" si="10"/>
        <v>13.806110689957578</v>
      </c>
      <c r="W164" s="290">
        <f>(L164+Norway!L164)</f>
        <v>473578360151.77173</v>
      </c>
      <c r="X164" s="291">
        <f t="shared" si="11"/>
        <v>236789180075.88586</v>
      </c>
      <c r="Y164" s="292">
        <f>(R164+Norway!R164)</f>
        <v>6034616356.8950481</v>
      </c>
      <c r="Z164" s="293">
        <f t="shared" si="12"/>
        <v>3017308178.4475241</v>
      </c>
      <c r="AA164" s="294">
        <f>((S164+Norway!S164)/(T164*(U164+Norway!U164))/12)</f>
        <v>54.271689344631206</v>
      </c>
      <c r="AB164" s="295">
        <f>(Q164+Norway!Q164)</f>
        <v>26732214130.582012</v>
      </c>
    </row>
    <row r="165" spans="1:28" ht="15.75" customHeight="1">
      <c r="A165" s="31" t="s">
        <v>198</v>
      </c>
      <c r="B165" s="32">
        <v>2181</v>
      </c>
      <c r="C165" s="274">
        <f t="shared" si="13"/>
        <v>7.3432166108863929E-9</v>
      </c>
      <c r="D165" s="271">
        <f t="shared" si="20"/>
        <v>7.3432166108863929E-9</v>
      </c>
      <c r="E165" s="34">
        <f>ABS(Norway!E165)</f>
        <v>0</v>
      </c>
      <c r="F165" s="42">
        <v>500</v>
      </c>
      <c r="G165" s="34">
        <f t="shared" si="0"/>
        <v>3671.6083054431965</v>
      </c>
      <c r="H165" s="34">
        <f t="shared" si="1"/>
        <v>3653.2502639159807</v>
      </c>
      <c r="I165" s="35">
        <f t="shared" si="21"/>
        <v>1</v>
      </c>
      <c r="J165" s="36">
        <f t="shared" si="2"/>
        <v>3653.2502639159807</v>
      </c>
      <c r="K165" s="34">
        <f t="shared" si="16"/>
        <v>156863670444.58887</v>
      </c>
      <c r="L165" s="37">
        <f t="shared" si="17"/>
        <v>149736692327.68329</v>
      </c>
      <c r="M165" s="34">
        <f t="shared" si="3"/>
        <v>9438559712.8917904</v>
      </c>
      <c r="N165" s="34">
        <f t="shared" si="4"/>
        <v>0</v>
      </c>
      <c r="O165" s="34">
        <f t="shared" si="5"/>
        <v>9438559712.8917904</v>
      </c>
      <c r="P165" s="34">
        <f t="shared" si="22"/>
        <v>943855971.28917909</v>
      </c>
      <c r="Q165" s="38">
        <f t="shared" si="6"/>
        <v>8452230222.894598</v>
      </c>
      <c r="R165" s="39">
        <f t="shared" si="7"/>
        <v>4226115111.447299</v>
      </c>
      <c r="S165" s="34">
        <f t="shared" si="8"/>
        <v>4226115111.447299</v>
      </c>
      <c r="T165" s="40">
        <f t="shared" si="23"/>
        <v>9387699559.264534</v>
      </c>
      <c r="U165" s="272">
        <f t="shared" si="9"/>
        <v>2.6988780705650929E-3</v>
      </c>
      <c r="V165" s="282">
        <f t="shared" si="10"/>
        <v>13.900090554218048</v>
      </c>
      <c r="W165" s="290">
        <f>(L165+Norway!L165)</f>
        <v>476325261304.68854</v>
      </c>
      <c r="X165" s="291">
        <f t="shared" si="11"/>
        <v>238162630652.34427</v>
      </c>
      <c r="Y165" s="292">
        <f>(R165+Norway!R165)</f>
        <v>6069619021.568718</v>
      </c>
      <c r="Z165" s="293">
        <f t="shared" si="12"/>
        <v>3034809510.784359</v>
      </c>
      <c r="AA165" s="294">
        <f>((S165+Norway!S165)/(T165*(U165+Norway!U165))/12)</f>
        <v>54.641123209597339</v>
      </c>
      <c r="AB165" s="295">
        <f>(Q165+Norway!Q165)</f>
        <v>26887269324.108788</v>
      </c>
    </row>
    <row r="166" spans="1:28" ht="15.75" customHeight="1">
      <c r="A166" s="31" t="s">
        <v>199</v>
      </c>
      <c r="B166" s="32">
        <v>2182</v>
      </c>
      <c r="C166" s="274">
        <f t="shared" si="13"/>
        <v>6.6088949497977538E-9</v>
      </c>
      <c r="D166" s="271">
        <f t="shared" si="20"/>
        <v>6.6088949497977538E-9</v>
      </c>
      <c r="E166" s="34">
        <f>ABS(Norway!E166)</f>
        <v>0</v>
      </c>
      <c r="F166" s="42">
        <v>500</v>
      </c>
      <c r="G166" s="34">
        <f t="shared" si="0"/>
        <v>3304.4474748988769</v>
      </c>
      <c r="H166" s="34">
        <f t="shared" si="1"/>
        <v>3287.9252375243823</v>
      </c>
      <c r="I166" s="35">
        <f t="shared" si="21"/>
        <v>1</v>
      </c>
      <c r="J166" s="36">
        <f t="shared" si="2"/>
        <v>3287.9252375243823</v>
      </c>
      <c r="K166" s="34">
        <f t="shared" si="16"/>
        <v>157807529703.80328</v>
      </c>
      <c r="L166" s="37">
        <f t="shared" si="17"/>
        <v>150605211311.10428</v>
      </c>
      <c r="M166" s="34">
        <f t="shared" si="3"/>
        <v>9493306293.5751209</v>
      </c>
      <c r="N166" s="34">
        <f t="shared" si="4"/>
        <v>0</v>
      </c>
      <c r="O166" s="34">
        <f t="shared" si="5"/>
        <v>9493306293.5751209</v>
      </c>
      <c r="P166" s="34">
        <f t="shared" si="22"/>
        <v>949330629.35751212</v>
      </c>
      <c r="Q166" s="38">
        <f t="shared" si="6"/>
        <v>8501255785.8965206</v>
      </c>
      <c r="R166" s="39">
        <f t="shared" si="7"/>
        <v>4250627892.9482603</v>
      </c>
      <c r="S166" s="34">
        <f t="shared" si="8"/>
        <v>4250627892.9482603</v>
      </c>
      <c r="T166" s="40">
        <f t="shared" si="23"/>
        <v>9378311859.7052708</v>
      </c>
      <c r="U166" s="272">
        <f t="shared" si="9"/>
        <v>2.6988780705650929E-3</v>
      </c>
      <c r="V166" s="282">
        <f t="shared" si="10"/>
        <v>13.994710110934838</v>
      </c>
      <c r="W166" s="290">
        <f>(L166+Norway!L166)</f>
        <v>479088094174.54272</v>
      </c>
      <c r="X166" s="291">
        <f t="shared" si="11"/>
        <v>239544047087.27136</v>
      </c>
      <c r="Y166" s="292">
        <f>(R166+Norway!R166)</f>
        <v>6104824695.6581383</v>
      </c>
      <c r="Z166" s="293">
        <f t="shared" si="12"/>
        <v>3052412347.8290691</v>
      </c>
      <c r="AA166" s="294">
        <f>((S166+Norway!S166)/(T166*(U166+Norway!U166))/12)</f>
        <v>55.013071707294358</v>
      </c>
      <c r="AB166" s="295">
        <f>(Q166+Norway!Q166)</f>
        <v>27043223812.9953</v>
      </c>
    </row>
    <row r="167" spans="1:28" ht="15.75" customHeight="1">
      <c r="A167" s="31" t="s">
        <v>200</v>
      </c>
      <c r="B167" s="32">
        <v>2183</v>
      </c>
      <c r="C167" s="274">
        <f t="shared" si="13"/>
        <v>5.9480054548179786E-9</v>
      </c>
      <c r="D167" s="271">
        <f t="shared" si="20"/>
        <v>5.9480054548179786E-9</v>
      </c>
      <c r="E167" s="34">
        <f>ABS(Norway!E167)</f>
        <v>0</v>
      </c>
      <c r="F167" s="42">
        <v>500</v>
      </c>
      <c r="G167" s="34">
        <f t="shared" si="0"/>
        <v>2974.0027274089894</v>
      </c>
      <c r="H167" s="34">
        <f t="shared" si="1"/>
        <v>2959.1327137719445</v>
      </c>
      <c r="I167" s="35">
        <f t="shared" si="21"/>
        <v>1</v>
      </c>
      <c r="J167" s="36">
        <f t="shared" si="2"/>
        <v>2959.1327137719445</v>
      </c>
      <c r="K167" s="34">
        <f t="shared" si="16"/>
        <v>158756863292.29352</v>
      </c>
      <c r="L167" s="37">
        <f t="shared" si="17"/>
        <v>151478767627.14471</v>
      </c>
      <c r="M167" s="34">
        <f t="shared" si="3"/>
        <v>9548370397.1240101</v>
      </c>
      <c r="N167" s="34">
        <f t="shared" si="4"/>
        <v>0</v>
      </c>
      <c r="O167" s="34">
        <f t="shared" si="5"/>
        <v>9548370397.1240101</v>
      </c>
      <c r="P167" s="34">
        <f t="shared" si="22"/>
        <v>954837039.71240103</v>
      </c>
      <c r="Q167" s="38">
        <f t="shared" si="6"/>
        <v>8550565690.6245518</v>
      </c>
      <c r="R167" s="39">
        <f t="shared" si="7"/>
        <v>4275282845.3122759</v>
      </c>
      <c r="S167" s="34">
        <f t="shared" si="8"/>
        <v>4275282845.3122759</v>
      </c>
      <c r="T167" s="40">
        <f t="shared" si="23"/>
        <v>9368933547.8455658</v>
      </c>
      <c r="U167" s="272">
        <f t="shared" si="9"/>
        <v>2.6988780705650929E-3</v>
      </c>
      <c r="V167" s="282">
        <f t="shared" si="10"/>
        <v>14.089973718248658</v>
      </c>
      <c r="W167" s="290">
        <f>(L167+Norway!L167)</f>
        <v>481866951279.54028</v>
      </c>
      <c r="X167" s="291">
        <f t="shared" si="11"/>
        <v>240933475639.77014</v>
      </c>
      <c r="Y167" s="292">
        <f>(R167+Norway!R167)</f>
        <v>6140234558.2829628</v>
      </c>
      <c r="Z167" s="293">
        <f t="shared" si="12"/>
        <v>3070117279.1414814</v>
      </c>
      <c r="AA167" s="294">
        <f>((S167+Norway!S167)/(T167*(U167+Norway!U167))/12)</f>
        <v>55.387551968755872</v>
      </c>
      <c r="AB167" s="295">
        <f>(Q167+Norway!Q167)</f>
        <v>27200082820.331413</v>
      </c>
    </row>
    <row r="168" spans="1:28" ht="15.75" customHeight="1">
      <c r="A168" s="31" t="s">
        <v>201</v>
      </c>
      <c r="B168" s="32">
        <v>2184</v>
      </c>
      <c r="C168" s="274">
        <f t="shared" si="13"/>
        <v>5.3532049093361808E-9</v>
      </c>
      <c r="D168" s="271">
        <f t="shared" si="20"/>
        <v>5.3532049093361808E-9</v>
      </c>
      <c r="E168" s="34">
        <f>ABS(Norway!E168)</f>
        <v>0</v>
      </c>
      <c r="F168" s="42">
        <v>500</v>
      </c>
      <c r="G168" s="34">
        <f t="shared" si="0"/>
        <v>2676.6024546680901</v>
      </c>
      <c r="H168" s="34">
        <f t="shared" si="1"/>
        <v>2663.2194423947494</v>
      </c>
      <c r="I168" s="35">
        <f t="shared" si="21"/>
        <v>1</v>
      </c>
      <c r="J168" s="36">
        <f t="shared" si="2"/>
        <v>2663.2194423947494</v>
      </c>
      <c r="K168" s="34">
        <f t="shared" si="16"/>
        <v>159711702995.22537</v>
      </c>
      <c r="L168" s="37">
        <f t="shared" si="17"/>
        <v>152357390526.41153</v>
      </c>
      <c r="M168" s="34">
        <f t="shared" si="3"/>
        <v>9603753867.5609741</v>
      </c>
      <c r="N168" s="34">
        <f t="shared" si="4"/>
        <v>0</v>
      </c>
      <c r="O168" s="34">
        <f t="shared" si="5"/>
        <v>9603753867.5609741</v>
      </c>
      <c r="P168" s="34">
        <f t="shared" si="22"/>
        <v>960375386.75609744</v>
      </c>
      <c r="Q168" s="38">
        <f t="shared" si="6"/>
        <v>8600161588.4008522</v>
      </c>
      <c r="R168" s="39">
        <f t="shared" si="7"/>
        <v>4300080794.2004261</v>
      </c>
      <c r="S168" s="34">
        <f t="shared" si="8"/>
        <v>4300080794.2004261</v>
      </c>
      <c r="T168" s="40">
        <f t="shared" si="23"/>
        <v>9359564614.2977219</v>
      </c>
      <c r="U168" s="272">
        <f t="shared" si="9"/>
        <v>2.6988780705650929E-3</v>
      </c>
      <c r="V168" s="282">
        <f t="shared" si="10"/>
        <v>14.185885763600416</v>
      </c>
      <c r="W168" s="290">
        <f>(L168+Norway!L168)</f>
        <v>484661925663.5509</v>
      </c>
      <c r="X168" s="291">
        <f t="shared" si="11"/>
        <v>242330962831.77545</v>
      </c>
      <c r="Y168" s="292">
        <f>(R168+Norway!R168)</f>
        <v>6175849795.2413921</v>
      </c>
      <c r="Z168" s="293">
        <f t="shared" si="12"/>
        <v>3087924897.6206961</v>
      </c>
      <c r="AA168" s="294">
        <f>((S168+Norway!S168)/(T168*(U168+Norway!U168))/12)</f>
        <v>55.764581240271042</v>
      </c>
      <c r="AB168" s="295">
        <f>(Q168+Norway!Q168)</f>
        <v>27357851598.810513</v>
      </c>
    </row>
    <row r="169" spans="1:28" ht="15.75" customHeight="1">
      <c r="A169" s="31" t="s">
        <v>202</v>
      </c>
      <c r="B169" s="32">
        <v>2185</v>
      </c>
      <c r="C169" s="274">
        <f t="shared" si="13"/>
        <v>4.8178844184025626E-9</v>
      </c>
      <c r="D169" s="271">
        <f t="shared" si="20"/>
        <v>4.8178844184025626E-9</v>
      </c>
      <c r="E169" s="34">
        <f>ABS(Norway!E169)</f>
        <v>0</v>
      </c>
      <c r="F169" s="42">
        <v>500</v>
      </c>
      <c r="G169" s="34">
        <f t="shared" si="0"/>
        <v>2408.9422092012815</v>
      </c>
      <c r="H169" s="34">
        <f t="shared" si="1"/>
        <v>2396.8974981552751</v>
      </c>
      <c r="I169" s="35">
        <f t="shared" si="21"/>
        <v>1</v>
      </c>
      <c r="J169" s="36">
        <f t="shared" si="2"/>
        <v>2396.8974981552751</v>
      </c>
      <c r="K169" s="34">
        <f t="shared" si="16"/>
        <v>160672080778.87897</v>
      </c>
      <c r="L169" s="37">
        <f t="shared" si="17"/>
        <v>153241109425.9101</v>
      </c>
      <c r="M169" s="34">
        <f t="shared" si="3"/>
        <v>9659458559.3744907</v>
      </c>
      <c r="N169" s="34">
        <f t="shared" si="4"/>
        <v>0</v>
      </c>
      <c r="O169" s="34">
        <f t="shared" si="5"/>
        <v>9659458559.3744907</v>
      </c>
      <c r="P169" s="34">
        <f t="shared" si="22"/>
        <v>965945855.9374491</v>
      </c>
      <c r="Q169" s="38">
        <f t="shared" si="6"/>
        <v>8650045139.919857</v>
      </c>
      <c r="R169" s="39">
        <f t="shared" si="7"/>
        <v>4325022569.9599285</v>
      </c>
      <c r="S169" s="34">
        <f t="shared" si="8"/>
        <v>4325022569.9599285</v>
      </c>
      <c r="T169" s="40">
        <f t="shared" si="23"/>
        <v>9350205049.6834259</v>
      </c>
      <c r="U169" s="272">
        <f t="shared" si="9"/>
        <v>2.6988780705650929E-3</v>
      </c>
      <c r="V169" s="282">
        <f t="shared" si="10"/>
        <v>14.282450663966914</v>
      </c>
      <c r="W169" s="290">
        <f>(L169+Norway!L169)</f>
        <v>487473110900.25391</v>
      </c>
      <c r="X169" s="291">
        <f t="shared" si="11"/>
        <v>243736555450.12695</v>
      </c>
      <c r="Y169" s="292">
        <f>(R169+Norway!R169)</f>
        <v>6211671599.0649834</v>
      </c>
      <c r="Z169" s="293">
        <f t="shared" si="12"/>
        <v>3105835799.5324917</v>
      </c>
      <c r="AA169" s="294">
        <f>((S169+Norway!S169)/(T169*(U169+Norway!U169))/12)</f>
        <v>56.144176884303711</v>
      </c>
      <c r="AB169" s="295">
        <f>(Q169+Norway!Q169)</f>
        <v>27516535430.970402</v>
      </c>
    </row>
    <row r="170" spans="1:28" ht="15.75" customHeight="1">
      <c r="A170" s="31" t="s">
        <v>203</v>
      </c>
      <c r="B170" s="32">
        <v>2186</v>
      </c>
      <c r="C170" s="274">
        <f t="shared" si="13"/>
        <v>4.3360959765623063E-9</v>
      </c>
      <c r="D170" s="271">
        <f t="shared" si="20"/>
        <v>4.3360959765623063E-9</v>
      </c>
      <c r="E170" s="34">
        <f>ABS(Norway!E170)</f>
        <v>0</v>
      </c>
      <c r="F170" s="42">
        <v>500</v>
      </c>
      <c r="G170" s="34">
        <f t="shared" si="0"/>
        <v>2168.0479882811528</v>
      </c>
      <c r="H170" s="34">
        <f t="shared" si="1"/>
        <v>2157.207748339747</v>
      </c>
      <c r="I170" s="35">
        <f t="shared" si="21"/>
        <v>1</v>
      </c>
      <c r="J170" s="36">
        <f t="shared" si="2"/>
        <v>2157.207748339747</v>
      </c>
      <c r="K170" s="34">
        <f t="shared" si="16"/>
        <v>161638028792.02414</v>
      </c>
      <c r="L170" s="37">
        <f t="shared" si="17"/>
        <v>154129953910.33575</v>
      </c>
      <c r="M170" s="34">
        <f t="shared" si="3"/>
        <v>9715486337.6026993</v>
      </c>
      <c r="N170" s="34">
        <f t="shared" si="4"/>
        <v>0</v>
      </c>
      <c r="O170" s="34">
        <f t="shared" si="5"/>
        <v>9715486337.6026993</v>
      </c>
      <c r="P170" s="34">
        <f t="shared" si="22"/>
        <v>971548633.76027</v>
      </c>
      <c r="Q170" s="38">
        <f t="shared" si="6"/>
        <v>8700218015.3232174</v>
      </c>
      <c r="R170" s="39">
        <f t="shared" si="7"/>
        <v>4350109007.6616087</v>
      </c>
      <c r="S170" s="34">
        <f t="shared" si="8"/>
        <v>4350109007.6616087</v>
      </c>
      <c r="T170" s="40">
        <f t="shared" si="23"/>
        <v>9340854844.6337433</v>
      </c>
      <c r="U170" s="272">
        <f t="shared" si="9"/>
        <v>2.6988780705650929E-3</v>
      </c>
      <c r="V170" s="282">
        <f t="shared" si="10"/>
        <v>14.379672866094594</v>
      </c>
      <c r="W170" s="290">
        <f>(L170+Norway!L170)</f>
        <v>490300601097.19861</v>
      </c>
      <c r="X170" s="291">
        <f t="shared" si="11"/>
        <v>245150300548.5993</v>
      </c>
      <c r="Y170" s="292">
        <f>(R170+Norway!R170)</f>
        <v>6247701169.0721512</v>
      </c>
      <c r="Z170" s="293">
        <f t="shared" si="12"/>
        <v>3123850584.5360756</v>
      </c>
      <c r="AA170" s="294">
        <f>((S170+Norway!S170)/(T170*(U170+Norway!U170))/12)</f>
        <v>56.526356380404202</v>
      </c>
      <c r="AB170" s="295">
        <f>(Q170+Norway!Q170)</f>
        <v>27676139629.428642</v>
      </c>
    </row>
    <row r="171" spans="1:28" ht="15.75" customHeight="1">
      <c r="A171" s="31" t="s">
        <v>204</v>
      </c>
      <c r="B171" s="32">
        <v>2187</v>
      </c>
      <c r="C171" s="274">
        <f t="shared" si="13"/>
        <v>3.9024863789060758E-9</v>
      </c>
      <c r="D171" s="271">
        <f t="shared" si="20"/>
        <v>3.9024863789060758E-9</v>
      </c>
      <c r="E171" s="34">
        <f>ABS(Norway!E171)</f>
        <v>0</v>
      </c>
      <c r="F171" s="42">
        <v>500</v>
      </c>
      <c r="G171" s="34">
        <f t="shared" si="0"/>
        <v>1951.243189453038</v>
      </c>
      <c r="H171" s="34">
        <f t="shared" si="1"/>
        <v>1941.4869735057728</v>
      </c>
      <c r="I171" s="35">
        <f t="shared" si="21"/>
        <v>1</v>
      </c>
      <c r="J171" s="36">
        <f t="shared" si="2"/>
        <v>1941.4869735057728</v>
      </c>
      <c r="K171" s="34">
        <f t="shared" si="16"/>
        <v>162609579367.27139</v>
      </c>
      <c r="L171" s="37">
        <f t="shared" si="17"/>
        <v>155023953733.34021</v>
      </c>
      <c r="M171" s="34">
        <f t="shared" si="3"/>
        <v>9771839077.915287</v>
      </c>
      <c r="N171" s="34">
        <f t="shared" si="4"/>
        <v>0</v>
      </c>
      <c r="O171" s="34">
        <f t="shared" si="5"/>
        <v>9771839077.915287</v>
      </c>
      <c r="P171" s="34">
        <f t="shared" si="22"/>
        <v>977183907.7915287</v>
      </c>
      <c r="Q171" s="38">
        <f t="shared" si="6"/>
        <v>8750681894.27314</v>
      </c>
      <c r="R171" s="39">
        <f t="shared" si="7"/>
        <v>4375340947.13657</v>
      </c>
      <c r="S171" s="34">
        <f t="shared" si="8"/>
        <v>4375340947.13657</v>
      </c>
      <c r="T171" s="40">
        <f t="shared" si="23"/>
        <v>9331513989.7891102</v>
      </c>
      <c r="U171" s="272">
        <f t="shared" si="9"/>
        <v>2.6988780705650929E-3</v>
      </c>
      <c r="V171" s="282">
        <f t="shared" si="10"/>
        <v>14.47755684673163</v>
      </c>
      <c r="W171" s="290">
        <f>(L171+Norway!L171)</f>
        <v>493144490899.78906</v>
      </c>
      <c r="X171" s="291">
        <f t="shared" si="11"/>
        <v>246572245449.89453</v>
      </c>
      <c r="Y171" s="292">
        <f>(R171+Norway!R171)</f>
        <v>6283939711.4205685</v>
      </c>
      <c r="Z171" s="293">
        <f t="shared" si="12"/>
        <v>3141969855.7102842</v>
      </c>
      <c r="AA171" s="294">
        <f>((S171+Norway!S171)/(T171*(U171+Norway!U171))/12)</f>
        <v>56.911137326115629</v>
      </c>
      <c r="AB171" s="295">
        <f>(Q171+Norway!Q171)</f>
        <v>27836669537.113125</v>
      </c>
    </row>
    <row r="172" spans="1:28" ht="15.75" customHeight="1">
      <c r="A172" s="31" t="s">
        <v>205</v>
      </c>
      <c r="B172" s="32">
        <v>2188</v>
      </c>
      <c r="C172" s="274">
        <f t="shared" si="13"/>
        <v>3.5122377410154681E-9</v>
      </c>
      <c r="D172" s="271">
        <f t="shared" si="20"/>
        <v>3.5122377410154681E-9</v>
      </c>
      <c r="E172" s="34">
        <f>ABS(Norway!E172)</f>
        <v>0</v>
      </c>
      <c r="F172" s="42">
        <v>500</v>
      </c>
      <c r="G172" s="34">
        <f t="shared" si="0"/>
        <v>1756.1188705077341</v>
      </c>
      <c r="H172" s="34">
        <f t="shared" si="1"/>
        <v>1747.3382761551954</v>
      </c>
      <c r="I172" s="35">
        <f t="shared" si="21"/>
        <v>1</v>
      </c>
      <c r="J172" s="36">
        <f t="shared" si="2"/>
        <v>1747.3382761551954</v>
      </c>
      <c r="K172" s="34">
        <f t="shared" si="16"/>
        <v>163586765022.40121</v>
      </c>
      <c r="L172" s="37">
        <f t="shared" si="17"/>
        <v>155923138818.77582</v>
      </c>
      <c r="M172" s="34">
        <f t="shared" si="3"/>
        <v>9828518666.6937695</v>
      </c>
      <c r="N172" s="34">
        <f t="shared" si="4"/>
        <v>0</v>
      </c>
      <c r="O172" s="34">
        <f t="shared" si="5"/>
        <v>9828518666.6937695</v>
      </c>
      <c r="P172" s="34">
        <f t="shared" si="22"/>
        <v>982851866.66937697</v>
      </c>
      <c r="Q172" s="38">
        <f t="shared" si="6"/>
        <v>8801438466.024271</v>
      </c>
      <c r="R172" s="39">
        <f t="shared" si="7"/>
        <v>4400719233.0121355</v>
      </c>
      <c r="S172" s="34">
        <f t="shared" si="8"/>
        <v>4400719233.0121355</v>
      </c>
      <c r="T172" s="40">
        <f t="shared" si="23"/>
        <v>9322182475.7993221</v>
      </c>
      <c r="U172" s="272">
        <f t="shared" si="9"/>
        <v>2.6988780705650929E-3</v>
      </c>
      <c r="V172" s="282">
        <f t="shared" si="10"/>
        <v>14.57610711285867</v>
      </c>
      <c r="W172" s="290">
        <f>(L172+Norway!L172)</f>
        <v>496004875495.20374</v>
      </c>
      <c r="X172" s="291">
        <f t="shared" si="11"/>
        <v>248002437747.60187</v>
      </c>
      <c r="Y172" s="292">
        <f>(R172+Norway!R172)</f>
        <v>6320388439.158534</v>
      </c>
      <c r="Z172" s="293">
        <f t="shared" si="12"/>
        <v>3160194219.579267</v>
      </c>
      <c r="AA172" s="294">
        <f>((S172+Norway!S172)/(T172*(U172+Norway!U172))/12)</f>
        <v>57.298537437875218</v>
      </c>
      <c r="AB172" s="295">
        <f>(Q172+Norway!Q172)</f>
        <v>27998130527.488251</v>
      </c>
    </row>
    <row r="173" spans="1:28" ht="15.75" customHeight="1">
      <c r="A173" s="31" t="s">
        <v>206</v>
      </c>
      <c r="B173" s="32">
        <v>2189</v>
      </c>
      <c r="C173" s="274">
        <f t="shared" si="13"/>
        <v>3.1610139669139212E-9</v>
      </c>
      <c r="D173" s="271">
        <f t="shared" si="20"/>
        <v>3.1610139669139212E-9</v>
      </c>
      <c r="E173" s="34">
        <f>ABS(Norway!E173)</f>
        <v>0</v>
      </c>
      <c r="F173" s="42">
        <v>500</v>
      </c>
      <c r="G173" s="34">
        <f t="shared" si="0"/>
        <v>1580.5069834569606</v>
      </c>
      <c r="H173" s="34">
        <f t="shared" si="1"/>
        <v>1572.6044485396758</v>
      </c>
      <c r="I173" s="35">
        <f t="shared" si="21"/>
        <v>1</v>
      </c>
      <c r="J173" s="36">
        <f t="shared" si="2"/>
        <v>1572.6044485396758</v>
      </c>
      <c r="K173" s="34">
        <f t="shared" si="16"/>
        <v>164569618461.67505</v>
      </c>
      <c r="L173" s="37">
        <f t="shared" si="17"/>
        <v>156827539261.92062</v>
      </c>
      <c r="M173" s="34">
        <f t="shared" si="3"/>
        <v>9885527001.1103859</v>
      </c>
      <c r="N173" s="34">
        <f t="shared" si="4"/>
        <v>0</v>
      </c>
      <c r="O173" s="34">
        <f t="shared" si="5"/>
        <v>9885527001.1103859</v>
      </c>
      <c r="P173" s="34">
        <f t="shared" si="22"/>
        <v>988552700.11103868</v>
      </c>
      <c r="Q173" s="38">
        <f t="shared" si="6"/>
        <v>8852489429.4943504</v>
      </c>
      <c r="R173" s="39">
        <f t="shared" si="7"/>
        <v>4426244714.7471752</v>
      </c>
      <c r="S173" s="34">
        <f t="shared" si="8"/>
        <v>4426244714.7471752</v>
      </c>
      <c r="T173" s="40">
        <f t="shared" si="23"/>
        <v>9312860293.3235245</v>
      </c>
      <c r="U173" s="272">
        <f t="shared" si="9"/>
        <v>2.6988780705650929E-3</v>
      </c>
      <c r="V173" s="282">
        <f t="shared" si="10"/>
        <v>14.675328201918541</v>
      </c>
      <c r="W173" s="290">
        <f>(L173+Norway!L173)</f>
        <v>498881850616.25708</v>
      </c>
      <c r="X173" s="291">
        <f t="shared" si="11"/>
        <v>249440925308.12854</v>
      </c>
      <c r="Y173" s="292">
        <f>(R173+Norway!R173)</f>
        <v>6357048572.2754946</v>
      </c>
      <c r="Z173" s="293">
        <f t="shared" si="12"/>
        <v>3178524286.1377473</v>
      </c>
      <c r="AA173" s="294">
        <f>((S173+Norway!S173)/(T173*(U173+Norway!U173))/12)</f>
        <v>57.688574551912495</v>
      </c>
      <c r="AB173" s="295">
        <f>(Q173+Norway!Q173)</f>
        <v>28160528004.777542</v>
      </c>
    </row>
    <row r="174" spans="1:28" ht="15.75" customHeight="1">
      <c r="A174" s="31" t="s">
        <v>207</v>
      </c>
      <c r="B174" s="32">
        <v>2190</v>
      </c>
      <c r="C174" s="274">
        <f t="shared" si="13"/>
        <v>2.8449125702225293E-9</v>
      </c>
      <c r="D174" s="271">
        <f t="shared" si="20"/>
        <v>2.8449125702225293E-9</v>
      </c>
      <c r="E174" s="34">
        <f>ABS(Norway!E174)</f>
        <v>0</v>
      </c>
      <c r="F174" s="42">
        <v>500</v>
      </c>
      <c r="G174" s="34">
        <f t="shared" si="0"/>
        <v>1422.4562851112646</v>
      </c>
      <c r="H174" s="34">
        <f t="shared" si="1"/>
        <v>1415.3440036857082</v>
      </c>
      <c r="I174" s="35">
        <f t="shared" si="21"/>
        <v>1</v>
      </c>
      <c r="J174" s="36">
        <f t="shared" si="2"/>
        <v>1415.3440036857082</v>
      </c>
      <c r="K174" s="34">
        <f t="shared" si="16"/>
        <v>165558172577.1301</v>
      </c>
      <c r="L174" s="37">
        <f t="shared" si="17"/>
        <v>157737185330.68698</v>
      </c>
      <c r="M174" s="34">
        <f t="shared" si="3"/>
        <v>9942865989.2057667</v>
      </c>
      <c r="N174" s="34">
        <f t="shared" si="4"/>
        <v>0</v>
      </c>
      <c r="O174" s="34">
        <f t="shared" si="5"/>
        <v>9942865989.2057667</v>
      </c>
      <c r="P174" s="34">
        <f t="shared" si="22"/>
        <v>994286598.92057669</v>
      </c>
      <c r="Q174" s="38">
        <f t="shared" si="6"/>
        <v>8903836493.333765</v>
      </c>
      <c r="R174" s="39">
        <f t="shared" si="7"/>
        <v>4451918246.6668825</v>
      </c>
      <c r="S174" s="34">
        <f t="shared" si="8"/>
        <v>4451918246.6668825</v>
      </c>
      <c r="T174" s="40">
        <f t="shared" si="23"/>
        <v>9303547433.0302029</v>
      </c>
      <c r="U174" s="272">
        <f t="shared" si="9"/>
        <v>2.6988780705650929E-3</v>
      </c>
      <c r="V174" s="282">
        <f t="shared" si="10"/>
        <v>14.775224682045144</v>
      </c>
      <c r="W174" s="290">
        <f>(L174+Norway!L174)</f>
        <v>501775512545.2124</v>
      </c>
      <c r="X174" s="291">
        <f t="shared" si="11"/>
        <v>250887756272.6062</v>
      </c>
      <c r="Y174" s="292">
        <f>(R174+Norway!R174)</f>
        <v>6393921337.7517872</v>
      </c>
      <c r="Z174" s="293">
        <f t="shared" si="12"/>
        <v>3196960668.8758936</v>
      </c>
      <c r="AA174" s="294">
        <f>((S174+Norway!S174)/(T174*(U174+Norway!U174))/12)</f>
        <v>58.081266625144288</v>
      </c>
      <c r="AB174" s="295">
        <f>(Q174+Norway!Q174)</f>
        <v>28323867404.182808</v>
      </c>
    </row>
    <row r="175" spans="1:28" ht="15.75" customHeight="1">
      <c r="A175" s="31" t="s">
        <v>208</v>
      </c>
      <c r="B175" s="32">
        <v>2191</v>
      </c>
      <c r="C175" s="274">
        <f t="shared" si="13"/>
        <v>2.5604213132002766E-9</v>
      </c>
      <c r="D175" s="271">
        <f t="shared" si="20"/>
        <v>2.5604213132002766E-9</v>
      </c>
      <c r="E175" s="34">
        <f>ABS(Norway!E175)</f>
        <v>0</v>
      </c>
      <c r="F175" s="42">
        <v>500</v>
      </c>
      <c r="G175" s="34">
        <f t="shared" si="0"/>
        <v>1280.2106566001382</v>
      </c>
      <c r="H175" s="34">
        <f t="shared" si="1"/>
        <v>1273.8096033171375</v>
      </c>
      <c r="I175" s="35">
        <f t="shared" si="21"/>
        <v>1</v>
      </c>
      <c r="J175" s="36">
        <f t="shared" si="2"/>
        <v>1273.8096033171375</v>
      </c>
      <c r="K175" s="34">
        <f t="shared" si="16"/>
        <v>166552460449.86026</v>
      </c>
      <c r="L175" s="37">
        <f t="shared" si="17"/>
        <v>158652107466.81543</v>
      </c>
      <c r="M175" s="34">
        <f t="shared" si="3"/>
        <v>10000537549.965555</v>
      </c>
      <c r="N175" s="34">
        <f t="shared" si="4"/>
        <v>0</v>
      </c>
      <c r="O175" s="34">
        <f t="shared" si="5"/>
        <v>10000537549.965555</v>
      </c>
      <c r="P175" s="34">
        <f t="shared" si="22"/>
        <v>1000053754.9965556</v>
      </c>
      <c r="Q175" s="38">
        <f t="shared" si="6"/>
        <v>8955481375.994154</v>
      </c>
      <c r="R175" s="39">
        <f t="shared" si="7"/>
        <v>4477740687.997077</v>
      </c>
      <c r="S175" s="34">
        <f t="shared" si="8"/>
        <v>4477740687.997077</v>
      </c>
      <c r="T175" s="40">
        <f t="shared" si="23"/>
        <v>9294243885.5971737</v>
      </c>
      <c r="U175" s="272">
        <f t="shared" si="9"/>
        <v>2.6988780705650929E-3</v>
      </c>
      <c r="V175" s="282">
        <f t="shared" si="10"/>
        <v>14.875801152291752</v>
      </c>
      <c r="W175" s="290">
        <f>(L175+Norway!L175)</f>
        <v>504685958117.55157</v>
      </c>
      <c r="X175" s="291">
        <f t="shared" si="11"/>
        <v>252342979058.77579</v>
      </c>
      <c r="Y175" s="292">
        <f>(R175+Norway!R175)</f>
        <v>6431007969.607729</v>
      </c>
      <c r="Z175" s="293">
        <f t="shared" si="12"/>
        <v>3215503984.8038645</v>
      </c>
      <c r="AA175" s="294">
        <f>((S175+Norway!S175)/(T175*(U175+Norway!U175))/12)</f>
        <v>58.476631736068235</v>
      </c>
      <c r="AB175" s="295">
        <f>(Q175+Norway!Q175)</f>
        <v>28488154192.10067</v>
      </c>
    </row>
    <row r="176" spans="1:28" ht="15.75" customHeight="1">
      <c r="A176" s="31" t="s">
        <v>209</v>
      </c>
      <c r="B176" s="32">
        <v>2192</v>
      </c>
      <c r="C176" s="274">
        <f t="shared" si="13"/>
        <v>2.3043791818802489E-9</v>
      </c>
      <c r="D176" s="271">
        <f t="shared" si="20"/>
        <v>2.3043791818802489E-9</v>
      </c>
      <c r="E176" s="34">
        <f>ABS(Norway!E176)</f>
        <v>0</v>
      </c>
      <c r="F176" s="42">
        <v>500</v>
      </c>
      <c r="G176" s="34">
        <f t="shared" si="0"/>
        <v>1152.1895909401246</v>
      </c>
      <c r="H176" s="34">
        <f t="shared" si="1"/>
        <v>1146.4286429854239</v>
      </c>
      <c r="I176" s="35">
        <f t="shared" si="21"/>
        <v>1</v>
      </c>
      <c r="J176" s="36">
        <f t="shared" si="2"/>
        <v>1146.4286429854239</v>
      </c>
      <c r="K176" s="34">
        <f t="shared" si="16"/>
        <v>167552515351.28546</v>
      </c>
      <c r="L176" s="37">
        <f t="shared" si="17"/>
        <v>159572336287.05652</v>
      </c>
      <c r="M176" s="34">
        <f t="shared" si="3"/>
        <v>10058543613.396097</v>
      </c>
      <c r="N176" s="34">
        <f t="shared" si="4"/>
        <v>0</v>
      </c>
      <c r="O176" s="34">
        <f t="shared" si="5"/>
        <v>10058543613.396097</v>
      </c>
      <c r="P176" s="34">
        <f t="shared" si="22"/>
        <v>1005854361.3396097</v>
      </c>
      <c r="Q176" s="38">
        <f t="shared" si="6"/>
        <v>9007425805.7962055</v>
      </c>
      <c r="R176" s="39">
        <f t="shared" si="7"/>
        <v>4503712902.8981028</v>
      </c>
      <c r="S176" s="34">
        <f t="shared" si="8"/>
        <v>4503712902.8981028</v>
      </c>
      <c r="T176" s="40">
        <f t="shared" si="23"/>
        <v>9284949641.7115784</v>
      </c>
      <c r="U176" s="272">
        <f t="shared" si="9"/>
        <v>2.6988780705650929E-3</v>
      </c>
      <c r="V176" s="282">
        <f t="shared" si="10"/>
        <v>14.977062242858963</v>
      </c>
      <c r="W176" s="290">
        <f>(L176+Norway!L176)</f>
        <v>507613284725.7088</v>
      </c>
      <c r="X176" s="291">
        <f t="shared" si="11"/>
        <v>253806642362.8544</v>
      </c>
      <c r="Y176" s="292">
        <f>(R176+Norway!R176)</f>
        <v>6468309708.9521379</v>
      </c>
      <c r="Z176" s="293">
        <f t="shared" si="12"/>
        <v>3234154854.476069</v>
      </c>
      <c r="AA176" s="294">
        <f>((S176+Norway!S176)/(T176*(U176+Norway!U176))/12)</f>
        <v>58.874688085655151</v>
      </c>
      <c r="AB176" s="295">
        <f>(Q176+Norway!Q176)</f>
        <v>28653393866.336555</v>
      </c>
    </row>
    <row r="177" spans="1:28" ht="15.75" customHeight="1">
      <c r="A177" s="31" t="s">
        <v>210</v>
      </c>
      <c r="B177" s="32">
        <v>2193</v>
      </c>
      <c r="C177" s="274">
        <f t="shared" si="13"/>
        <v>2.0739412636922239E-9</v>
      </c>
      <c r="D177" s="271">
        <f t="shared" si="20"/>
        <v>2.0739412636922239E-9</v>
      </c>
      <c r="E177" s="34">
        <f>ABS(Norway!E177)</f>
        <v>0</v>
      </c>
      <c r="F177" s="42">
        <v>500</v>
      </c>
      <c r="G177" s="34">
        <f t="shared" si="0"/>
        <v>1036.9706318461119</v>
      </c>
      <c r="H177" s="34">
        <f t="shared" si="1"/>
        <v>1031.7857786868813</v>
      </c>
      <c r="I177" s="35">
        <f t="shared" si="21"/>
        <v>1</v>
      </c>
      <c r="J177" s="36">
        <f t="shared" si="2"/>
        <v>1031.7857786868813</v>
      </c>
      <c r="K177" s="34">
        <f t="shared" si="16"/>
        <v>168558370744.41083</v>
      </c>
      <c r="L177" s="37">
        <f t="shared" si="17"/>
        <v>160497902584.3418</v>
      </c>
      <c r="M177" s="34">
        <f t="shared" si="3"/>
        <v>10116886120.599382</v>
      </c>
      <c r="N177" s="34">
        <f t="shared" si="4"/>
        <v>0</v>
      </c>
      <c r="O177" s="34">
        <f t="shared" si="5"/>
        <v>10116886120.599382</v>
      </c>
      <c r="P177" s="34">
        <f t="shared" si="22"/>
        <v>1011688612.0599383</v>
      </c>
      <c r="Q177" s="38">
        <f t="shared" si="6"/>
        <v>9059671520.9967461</v>
      </c>
      <c r="R177" s="39">
        <f t="shared" si="7"/>
        <v>4529835760.498373</v>
      </c>
      <c r="S177" s="34">
        <f t="shared" si="8"/>
        <v>4529835760.498373</v>
      </c>
      <c r="T177" s="40">
        <f t="shared" si="23"/>
        <v>9275664692.0698681</v>
      </c>
      <c r="U177" s="272">
        <f t="shared" si="9"/>
        <v>2.6988780705650929E-3</v>
      </c>
      <c r="V177" s="282">
        <f t="shared" si="10"/>
        <v>15.079012615322469</v>
      </c>
      <c r="W177" s="290">
        <f>(L177+Norway!L177)</f>
        <v>510557590322.77264</v>
      </c>
      <c r="X177" s="291">
        <f t="shared" si="11"/>
        <v>255278795161.38632</v>
      </c>
      <c r="Y177" s="292">
        <f>(R177+Norway!R177)</f>
        <v>6505827804.0303688</v>
      </c>
      <c r="Z177" s="293">
        <f t="shared" si="12"/>
        <v>3252913902.0151844</v>
      </c>
      <c r="AA177" s="294">
        <f>((S177+Norway!S177)/(T177*(U177+Norway!U177))/12)</f>
        <v>59.275453998241183</v>
      </c>
      <c r="AB177" s="295">
        <f>(Q177+Norway!Q177)</f>
        <v>28819591956.3167</v>
      </c>
    </row>
    <row r="178" spans="1:28" ht="15.75" customHeight="1">
      <c r="A178" s="31" t="s">
        <v>211</v>
      </c>
      <c r="B178" s="32">
        <v>2194</v>
      </c>
      <c r="C178" s="274">
        <f t="shared" si="13"/>
        <v>1.8665471373230016E-9</v>
      </c>
      <c r="D178" s="271">
        <f t="shared" si="20"/>
        <v>1.8665471373230016E-9</v>
      </c>
      <c r="E178" s="34">
        <f>ABS(Norway!E178)</f>
        <v>0</v>
      </c>
      <c r="F178" s="42">
        <v>500</v>
      </c>
      <c r="G178" s="34">
        <f t="shared" si="0"/>
        <v>933.2735686615008</v>
      </c>
      <c r="H178" s="34">
        <f t="shared" si="1"/>
        <v>928.60720081819329</v>
      </c>
      <c r="I178" s="35">
        <f t="shared" si="21"/>
        <v>1</v>
      </c>
      <c r="J178" s="36">
        <f t="shared" si="2"/>
        <v>928.60720081819329</v>
      </c>
      <c r="K178" s="34">
        <f t="shared" si="16"/>
        <v>169570060285.07797</v>
      </c>
      <c r="L178" s="37">
        <f t="shared" si="17"/>
        <v>161428837328.94644</v>
      </c>
      <c r="M178" s="34">
        <f t="shared" si="3"/>
        <v>10175567023.847269</v>
      </c>
      <c r="N178" s="34">
        <f t="shared" si="4"/>
        <v>0</v>
      </c>
      <c r="O178" s="34">
        <f t="shared" si="5"/>
        <v>10175567023.847269</v>
      </c>
      <c r="P178" s="34">
        <f t="shared" si="22"/>
        <v>1017556702.384727</v>
      </c>
      <c r="Q178" s="38">
        <f t="shared" si="6"/>
        <v>9112220269.8552284</v>
      </c>
      <c r="R178" s="39">
        <f t="shared" si="7"/>
        <v>4556110134.9276142</v>
      </c>
      <c r="S178" s="34">
        <f t="shared" si="8"/>
        <v>4556110134.9276142</v>
      </c>
      <c r="T178" s="40">
        <f t="shared" si="23"/>
        <v>9266389027.3778</v>
      </c>
      <c r="U178" s="272">
        <f t="shared" si="9"/>
        <v>2.6988780705650929E-3</v>
      </c>
      <c r="V178" s="282">
        <f t="shared" si="10"/>
        <v>15.181656962860812</v>
      </c>
      <c r="W178" s="290">
        <f>(L178+Norway!L178)</f>
        <v>513518973426.16345</v>
      </c>
      <c r="X178" s="291">
        <f t="shared" si="11"/>
        <v>256759486713.08173</v>
      </c>
      <c r="Y178" s="292">
        <f>(R178+Norway!R178)</f>
        <v>6543563510.2719231</v>
      </c>
      <c r="Z178" s="293">
        <f t="shared" si="12"/>
        <v>3271781755.1359615</v>
      </c>
      <c r="AA178" s="294">
        <f>((S178+Norway!S178)/(T178*(U178+Norway!U178))/12)</f>
        <v>59.678947922419916</v>
      </c>
      <c r="AB178" s="295">
        <f>(Q178+Norway!Q178)</f>
        <v>28986754023.298321</v>
      </c>
    </row>
    <row r="179" spans="1:28" ht="15.75" customHeight="1">
      <c r="A179" s="31" t="s">
        <v>212</v>
      </c>
      <c r="B179" s="32">
        <v>2195</v>
      </c>
      <c r="C179" s="274">
        <f t="shared" si="13"/>
        <v>1.6798924235907014E-9</v>
      </c>
      <c r="D179" s="271">
        <f t="shared" si="20"/>
        <v>1.6798924235907014E-9</v>
      </c>
      <c r="E179" s="34">
        <f>ABS(Norway!E179)</f>
        <v>0</v>
      </c>
      <c r="F179" s="42">
        <v>500</v>
      </c>
      <c r="G179" s="34">
        <f t="shared" si="0"/>
        <v>839.94621179535068</v>
      </c>
      <c r="H179" s="34">
        <f t="shared" si="1"/>
        <v>835.74648073637388</v>
      </c>
      <c r="I179" s="35">
        <f t="shared" si="21"/>
        <v>1</v>
      </c>
      <c r="J179" s="36">
        <f t="shared" si="2"/>
        <v>835.74648073637388</v>
      </c>
      <c r="K179" s="34">
        <f t="shared" si="16"/>
        <v>170587617823.2092</v>
      </c>
      <c r="L179" s="37">
        <f t="shared" si="17"/>
        <v>162365171669.64413</v>
      </c>
      <c r="M179" s="34">
        <f t="shared" si="3"/>
        <v>10234588286.655205</v>
      </c>
      <c r="N179" s="34">
        <f t="shared" si="4"/>
        <v>0</v>
      </c>
      <c r="O179" s="34">
        <f t="shared" si="5"/>
        <v>10234588286.655205</v>
      </c>
      <c r="P179" s="34">
        <f t="shared" si="22"/>
        <v>1023458828.6655205</v>
      </c>
      <c r="Q179" s="38">
        <f t="shared" si="6"/>
        <v>9165073810.6997356</v>
      </c>
      <c r="R179" s="39">
        <f t="shared" si="7"/>
        <v>4582536905.3498678</v>
      </c>
      <c r="S179" s="34">
        <f t="shared" si="8"/>
        <v>4582536905.3498678</v>
      </c>
      <c r="T179" s="40">
        <f t="shared" si="23"/>
        <v>9257122638.3504238</v>
      </c>
      <c r="U179" s="272">
        <f t="shared" si="9"/>
        <v>2.6988780705650929E-3</v>
      </c>
      <c r="V179" s="282">
        <f t="shared" si="10"/>
        <v>15.285000010483285</v>
      </c>
      <c r="W179" s="290">
        <f>(L179+Norway!L179)</f>
        <v>516497533121.28894</v>
      </c>
      <c r="X179" s="291">
        <f t="shared" si="11"/>
        <v>258248766560.64447</v>
      </c>
      <c r="Y179" s="292">
        <f>(R179+Norway!R179)</f>
        <v>6581518090.3377342</v>
      </c>
      <c r="Z179" s="293">
        <f t="shared" si="12"/>
        <v>3290759045.1688671</v>
      </c>
      <c r="AA179" s="294">
        <f>((S179+Norway!S179)/(T179*(U179+Norway!U179))/12)</f>
        <v>60.085188431935769</v>
      </c>
      <c r="AB179" s="295">
        <f>(Q179+Norway!Q179)</f>
        <v>29154885660.5784</v>
      </c>
    </row>
    <row r="180" spans="1:28" ht="15.75" customHeight="1">
      <c r="A180" s="31" t="s">
        <v>213</v>
      </c>
      <c r="B180" s="32">
        <v>2196</v>
      </c>
      <c r="C180" s="274">
        <f t="shared" si="13"/>
        <v>1.5119031812316312E-9</v>
      </c>
      <c r="D180" s="271">
        <f t="shared" si="20"/>
        <v>1.5119031812316312E-9</v>
      </c>
      <c r="E180" s="34">
        <f>ABS(Norway!E180)</f>
        <v>0</v>
      </c>
      <c r="F180" s="42">
        <v>500</v>
      </c>
      <c r="G180" s="34">
        <f t="shared" si="0"/>
        <v>755.95159061581558</v>
      </c>
      <c r="H180" s="34">
        <f t="shared" si="1"/>
        <v>752.17183266273651</v>
      </c>
      <c r="I180" s="35">
        <f t="shared" si="21"/>
        <v>1</v>
      </c>
      <c r="J180" s="36">
        <f t="shared" si="2"/>
        <v>752.17183266273651</v>
      </c>
      <c r="K180" s="34">
        <f t="shared" si="16"/>
        <v>171611077404.04657</v>
      </c>
      <c r="L180" s="37">
        <f t="shared" si="17"/>
        <v>163306936934.85626</v>
      </c>
      <c r="M180" s="34">
        <f t="shared" si="3"/>
        <v>10293951883.855438</v>
      </c>
      <c r="N180" s="34">
        <f t="shared" si="4"/>
        <v>0</v>
      </c>
      <c r="O180" s="34">
        <f t="shared" si="5"/>
        <v>10293951883.855438</v>
      </c>
      <c r="P180" s="34">
        <f t="shared" si="22"/>
        <v>1029395188.3855438</v>
      </c>
      <c r="Q180" s="38">
        <f t="shared" si="6"/>
        <v>9218233911.9925442</v>
      </c>
      <c r="R180" s="39">
        <f t="shared" si="7"/>
        <v>4609116955.9962721</v>
      </c>
      <c r="S180" s="34">
        <f t="shared" si="8"/>
        <v>4609116955.9962721</v>
      </c>
      <c r="T180" s="40">
        <f t="shared" si="23"/>
        <v>9247865515.7120743</v>
      </c>
      <c r="U180" s="272">
        <f t="shared" si="9"/>
        <v>2.6988780705650929E-3</v>
      </c>
      <c r="V180" s="282">
        <f t="shared" si="10"/>
        <v>15.3890465152581</v>
      </c>
      <c r="W180" s="290">
        <f>(L180+Norway!L180)</f>
        <v>519493369065.1825</v>
      </c>
      <c r="X180" s="291">
        <f t="shared" si="11"/>
        <v>259746684532.59125</v>
      </c>
      <c r="Y180" s="292">
        <f>(R180+Norway!R180)</f>
        <v>6619692814.1671419</v>
      </c>
      <c r="Z180" s="293">
        <f t="shared" si="12"/>
        <v>3309846407.083571</v>
      </c>
      <c r="AA180" s="294">
        <f>((S180+Norway!S180)/(T180*(U180+Norway!U180))/12)</f>
        <v>60.494194226578493</v>
      </c>
      <c r="AB180" s="295">
        <f>(Q180+Norway!Q180)</f>
        <v>29323992493.701241</v>
      </c>
    </row>
    <row r="181" spans="1:28" ht="15.75" customHeight="1">
      <c r="A181" s="31" t="s">
        <v>214</v>
      </c>
      <c r="B181" s="32">
        <v>2197</v>
      </c>
      <c r="C181" s="274">
        <f t="shared" si="13"/>
        <v>1.3607128631084681E-9</v>
      </c>
      <c r="D181" s="271">
        <f t="shared" si="20"/>
        <v>1.3607128631084681E-9</v>
      </c>
      <c r="E181" s="34">
        <f>ABS(Norway!E181)</f>
        <v>0</v>
      </c>
      <c r="F181" s="42">
        <v>500</v>
      </c>
      <c r="G181" s="34">
        <f t="shared" si="0"/>
        <v>680.35643155423395</v>
      </c>
      <c r="H181" s="34">
        <f t="shared" si="1"/>
        <v>676.95464939646274</v>
      </c>
      <c r="I181" s="35">
        <f t="shared" si="21"/>
        <v>1</v>
      </c>
      <c r="J181" s="36">
        <f t="shared" si="2"/>
        <v>676.95464939646274</v>
      </c>
      <c r="K181" s="34">
        <f t="shared" si="16"/>
        <v>172640473269.38678</v>
      </c>
      <c r="L181" s="37">
        <f t="shared" si="17"/>
        <v>164254164633.79639</v>
      </c>
      <c r="M181" s="34">
        <f t="shared" si="3"/>
        <v>10353659801.669888</v>
      </c>
      <c r="N181" s="34">
        <f t="shared" si="4"/>
        <v>0</v>
      </c>
      <c r="O181" s="34">
        <f t="shared" si="5"/>
        <v>10353659801.669888</v>
      </c>
      <c r="P181" s="34">
        <f t="shared" si="22"/>
        <v>1035365980.1669888</v>
      </c>
      <c r="Q181" s="38">
        <f t="shared" si="6"/>
        <v>9271702352.3953838</v>
      </c>
      <c r="R181" s="39">
        <f t="shared" si="7"/>
        <v>4635851176.1976919</v>
      </c>
      <c r="S181" s="34">
        <f t="shared" si="8"/>
        <v>4635851176.1976919</v>
      </c>
      <c r="T181" s="40">
        <f t="shared" si="23"/>
        <v>9238617650.1963634</v>
      </c>
      <c r="U181" s="272">
        <f t="shared" si="9"/>
        <v>2.6988780705650929E-3</v>
      </c>
      <c r="V181" s="282">
        <f t="shared" si="10"/>
        <v>15.493801266541011</v>
      </c>
      <c r="W181" s="290">
        <f>(L181+Norway!L181)</f>
        <v>522506581490.12921</v>
      </c>
      <c r="X181" s="291">
        <f t="shared" si="11"/>
        <v>261253290745.06461</v>
      </c>
      <c r="Y181" s="292">
        <f>(R181+Norway!R181)</f>
        <v>6658088959.0246553</v>
      </c>
      <c r="Z181" s="293">
        <f t="shared" si="12"/>
        <v>3329044479.5123277</v>
      </c>
      <c r="AA181" s="294">
        <f>((S181+Norway!S181)/(T181*(U181+Norway!U181))/12)</f>
        <v>60.905984133079592</v>
      </c>
      <c r="AB181" s="295">
        <f>(Q181+Norway!Q181)</f>
        <v>29494080180.665016</v>
      </c>
    </row>
    <row r="182" spans="1:28" ht="15.75" customHeight="1">
      <c r="A182" s="31" t="s">
        <v>215</v>
      </c>
      <c r="B182" s="32">
        <v>2198</v>
      </c>
      <c r="C182" s="274">
        <f t="shared" si="13"/>
        <v>1.2246415767976214E-9</v>
      </c>
      <c r="D182" s="271">
        <f t="shared" si="20"/>
        <v>1.2246415767976214E-9</v>
      </c>
      <c r="E182" s="34">
        <f>ABS(Norway!E182)</f>
        <v>0</v>
      </c>
      <c r="F182" s="42">
        <v>500</v>
      </c>
      <c r="G182" s="34">
        <f t="shared" si="0"/>
        <v>612.32078839881069</v>
      </c>
      <c r="H182" s="34">
        <f t="shared" si="1"/>
        <v>609.25918445681668</v>
      </c>
      <c r="I182" s="35">
        <f t="shared" si="21"/>
        <v>1</v>
      </c>
      <c r="J182" s="36">
        <f t="shared" si="2"/>
        <v>609.25918445681668</v>
      </c>
      <c r="K182" s="34">
        <f t="shared" si="16"/>
        <v>173675839858.81296</v>
      </c>
      <c r="L182" s="37">
        <f t="shared" si="17"/>
        <v>165206886457.61096</v>
      </c>
      <c r="M182" s="34">
        <f t="shared" si="3"/>
        <v>10413714037.78269</v>
      </c>
      <c r="N182" s="34">
        <f t="shared" si="4"/>
        <v>0</v>
      </c>
      <c r="O182" s="34">
        <f t="shared" si="5"/>
        <v>10413714037.78269</v>
      </c>
      <c r="P182" s="34">
        <f t="shared" si="22"/>
        <v>1041371403.7782691</v>
      </c>
      <c r="Q182" s="38">
        <f t="shared" si="6"/>
        <v>9325480920.8343983</v>
      </c>
      <c r="R182" s="39">
        <f t="shared" si="7"/>
        <v>4662740460.4171991</v>
      </c>
      <c r="S182" s="34">
        <f t="shared" si="8"/>
        <v>4662740460.4171991</v>
      </c>
      <c r="T182" s="40">
        <f t="shared" si="23"/>
        <v>9229379032.5461674</v>
      </c>
      <c r="U182" s="272">
        <f t="shared" si="9"/>
        <v>2.6988780705650929E-3</v>
      </c>
      <c r="V182" s="282">
        <f t="shared" si="10"/>
        <v>15.599269086204432</v>
      </c>
      <c r="W182" s="290">
        <f>(L182+Norway!L182)</f>
        <v>525537271207.2807</v>
      </c>
      <c r="X182" s="291">
        <f t="shared" si="11"/>
        <v>262768635603.64035</v>
      </c>
      <c r="Y182" s="292">
        <f>(R182+Norway!R182)</f>
        <v>6696707809.5465231</v>
      </c>
      <c r="Z182" s="293">
        <f t="shared" si="12"/>
        <v>3348353904.7732615</v>
      </c>
      <c r="AA182" s="294">
        <f>((S182+Norway!S182)/(T182*(U182+Norway!U182))/12)</f>
        <v>61.320577106011065</v>
      </c>
      <c r="AB182" s="295">
        <f>(Q182+Norway!Q182)</f>
        <v>29665154412.12764</v>
      </c>
    </row>
    <row r="183" spans="1:28" ht="15.75" customHeight="1">
      <c r="A183" s="31" t="s">
        <v>216</v>
      </c>
      <c r="B183" s="32">
        <v>2199</v>
      </c>
      <c r="C183" s="274">
        <f t="shared" si="13"/>
        <v>1.1021774191178593E-9</v>
      </c>
      <c r="D183" s="271">
        <f t="shared" si="20"/>
        <v>1.1021774191178593E-9</v>
      </c>
      <c r="E183" s="34">
        <f>ABS(Norway!E183)</f>
        <v>0</v>
      </c>
      <c r="F183" s="42">
        <v>500</v>
      </c>
      <c r="G183" s="34">
        <f t="shared" si="0"/>
        <v>551.08870955892962</v>
      </c>
      <c r="H183" s="34">
        <f t="shared" si="1"/>
        <v>548.33326601113492</v>
      </c>
      <c r="I183" s="35">
        <f t="shared" si="21"/>
        <v>1</v>
      </c>
      <c r="J183" s="36">
        <f t="shared" si="2"/>
        <v>548.33326601113492</v>
      </c>
      <c r="K183" s="34">
        <f t="shared" si="16"/>
        <v>174717211810.92447</v>
      </c>
      <c r="L183" s="37">
        <f t="shared" si="17"/>
        <v>166165134280.51761</v>
      </c>
      <c r="M183" s="34">
        <f t="shared" si="3"/>
        <v>10474116601.412535</v>
      </c>
      <c r="N183" s="34">
        <f t="shared" si="4"/>
        <v>0</v>
      </c>
      <c r="O183" s="34">
        <f t="shared" si="5"/>
        <v>10474116601.412535</v>
      </c>
      <c r="P183" s="34">
        <f t="shared" si="22"/>
        <v>1047411660.1412535</v>
      </c>
      <c r="Q183" s="38">
        <f t="shared" si="6"/>
        <v>9379571416.5649261</v>
      </c>
      <c r="R183" s="39">
        <f t="shared" si="7"/>
        <v>4689785708.2824631</v>
      </c>
      <c r="S183" s="34">
        <f t="shared" si="8"/>
        <v>4689785708.2824631</v>
      </c>
      <c r="T183" s="40">
        <f t="shared" si="23"/>
        <v>9220149653.5136223</v>
      </c>
      <c r="U183" s="272">
        <f t="shared" si="9"/>
        <v>2.6988780705650929E-3</v>
      </c>
      <c r="V183" s="282">
        <f t="shared" si="10"/>
        <v>15.705454828867204</v>
      </c>
      <c r="W183" s="290">
        <f>(L183+Norway!L183)</f>
        <v>528585539610.26404</v>
      </c>
      <c r="X183" s="291">
        <f t="shared" si="11"/>
        <v>264292769805.13202</v>
      </c>
      <c r="Y183" s="292">
        <f>(R183+Norway!R183)</f>
        <v>6735550657.7871704</v>
      </c>
      <c r="Z183" s="293">
        <f t="shared" si="12"/>
        <v>3367775328.8935852</v>
      </c>
      <c r="AA183" s="294">
        <f>((S183+Norway!S183)/(T183*(U183+Norway!U183))/12)</f>
        <v>61.737992228686892</v>
      </c>
      <c r="AB183" s="295">
        <f>(Q183+Norway!Q183)</f>
        <v>29837220911.612</v>
      </c>
    </row>
    <row r="184" spans="1:28" ht="15.75" customHeight="1">
      <c r="A184" s="47" t="s">
        <v>217</v>
      </c>
      <c r="B184" s="48">
        <v>2200</v>
      </c>
      <c r="C184" s="275">
        <f t="shared" si="13"/>
        <v>9.9195967720607338E-10</v>
      </c>
      <c r="D184" s="271">
        <f t="shared" si="20"/>
        <v>9.9195967720607338E-10</v>
      </c>
      <c r="E184" s="34">
        <f>ABS(Norway!E184)</f>
        <v>0</v>
      </c>
      <c r="F184" s="42">
        <v>500</v>
      </c>
      <c r="G184" s="34">
        <f t="shared" si="0"/>
        <v>495.97983860303668</v>
      </c>
      <c r="H184" s="50">
        <f t="shared" si="1"/>
        <v>493.49993941002151</v>
      </c>
      <c r="I184" s="51">
        <f t="shared" si="21"/>
        <v>1</v>
      </c>
      <c r="J184" s="36">
        <f t="shared" si="2"/>
        <v>493.49993941002151</v>
      </c>
      <c r="K184" s="34">
        <f t="shared" si="16"/>
        <v>175764623964.56567</v>
      </c>
      <c r="L184" s="37">
        <f t="shared" si="17"/>
        <v>167128940160.94174</v>
      </c>
      <c r="M184" s="34">
        <f t="shared" si="3"/>
        <v>10534869513.384815</v>
      </c>
      <c r="N184" s="34">
        <f t="shared" si="4"/>
        <v>0</v>
      </c>
      <c r="O184" s="50">
        <f t="shared" si="5"/>
        <v>10534869513.384815</v>
      </c>
      <c r="P184" s="34">
        <f t="shared" si="22"/>
        <v>1053486951.3384815</v>
      </c>
      <c r="Q184" s="38">
        <f t="shared" si="6"/>
        <v>9433975649.2361012</v>
      </c>
      <c r="R184" s="39">
        <f t="shared" si="7"/>
        <v>4716987824.6180506</v>
      </c>
      <c r="S184" s="34">
        <f t="shared" si="8"/>
        <v>4716987824.6180506</v>
      </c>
      <c r="T184" s="40">
        <f t="shared" si="23"/>
        <v>9210929503.8601093</v>
      </c>
      <c r="U184" s="272">
        <f t="shared" si="9"/>
        <v>2.6988780705650929E-3</v>
      </c>
      <c r="V184" s="282">
        <f t="shared" si="10"/>
        <v>15.812363382125055</v>
      </c>
      <c r="W184" s="290">
        <f>(L184+Norway!L184)</f>
        <v>531651488678.78601</v>
      </c>
      <c r="X184" s="291">
        <f t="shared" si="11"/>
        <v>265825744339.39301</v>
      </c>
      <c r="Y184" s="292">
        <f>(R184+Norway!R184)</f>
        <v>6774618803.2655268</v>
      </c>
      <c r="Z184" s="293">
        <f t="shared" si="12"/>
        <v>3387309401.6327634</v>
      </c>
      <c r="AA184" s="294">
        <f>((S184+Norway!S184)/(T184*(U184+Norway!U184))/12)</f>
        <v>62.158248714067419</v>
      </c>
      <c r="AB184" s="295">
        <f>(Q184+Norway!Q184)</f>
        <v>30010285435.710861</v>
      </c>
    </row>
    <row r="185" spans="1:28" ht="15.75" customHeight="1">
      <c r="A185" s="4"/>
      <c r="B185" s="4"/>
      <c r="C185" s="4"/>
      <c r="D185" s="4"/>
      <c r="E185" s="4"/>
      <c r="F185" s="4"/>
      <c r="G185" s="4"/>
      <c r="H185" s="4"/>
      <c r="I185" s="4"/>
      <c r="J185" s="4"/>
      <c r="K185" s="4"/>
      <c r="L185" s="4"/>
      <c r="M185" s="4"/>
      <c r="N185" s="4"/>
      <c r="O185" s="4"/>
      <c r="P185" s="4"/>
      <c r="Q185" s="4"/>
      <c r="R185" s="4"/>
      <c r="S185" s="4"/>
      <c r="T185" s="53"/>
      <c r="U185" s="4"/>
      <c r="V185" s="4"/>
      <c r="W185" s="4"/>
      <c r="X185" s="4"/>
      <c r="Y185" s="4"/>
      <c r="Z185" s="4"/>
      <c r="AA185" s="4"/>
      <c r="AB185" s="4"/>
    </row>
    <row r="186" spans="1:28" ht="15.75" customHeight="1">
      <c r="A186" s="54" t="s">
        <v>218</v>
      </c>
      <c r="B186" s="55"/>
      <c r="C186" s="276">
        <f>SUM(C9:C184)</f>
        <v>1.0093803894637081</v>
      </c>
      <c r="D186" s="57"/>
      <c r="E186" s="57"/>
      <c r="F186" s="57" t="s">
        <v>219</v>
      </c>
      <c r="G186" s="58">
        <f>SUM(G8:G184)</f>
        <v>84333733330.35759</v>
      </c>
      <c r="H186" s="59"/>
      <c r="I186" s="59"/>
      <c r="J186" s="59"/>
      <c r="K186" s="59"/>
      <c r="L186" s="59"/>
      <c r="M186" s="59"/>
      <c r="N186" s="62"/>
      <c r="O186" s="63"/>
      <c r="P186" s="64" t="s">
        <v>221</v>
      </c>
      <c r="Q186" s="65">
        <f>SUM(Q8:Q184)</f>
        <v>1002089493643.662</v>
      </c>
      <c r="R186" s="59"/>
      <c r="S186" s="59"/>
      <c r="T186" s="66"/>
      <c r="U186" s="59"/>
      <c r="V186" s="59"/>
      <c r="W186" s="59"/>
      <c r="X186" s="59"/>
      <c r="Y186" s="59"/>
      <c r="Z186" s="59"/>
      <c r="AA186" s="59"/>
      <c r="AB186" s="59"/>
    </row>
    <row r="187" spans="1:28" ht="15.75" customHeight="1">
      <c r="A187" s="4"/>
      <c r="B187" s="4"/>
      <c r="C187" s="4"/>
      <c r="D187" s="4"/>
      <c r="E187" s="4"/>
      <c r="F187" s="4"/>
      <c r="G187" s="4"/>
      <c r="H187" s="4"/>
      <c r="I187" s="4"/>
      <c r="J187" s="4"/>
      <c r="K187" s="4"/>
      <c r="L187" s="4"/>
      <c r="M187" s="4"/>
      <c r="N187" s="4"/>
      <c r="O187" s="4"/>
      <c r="P187" s="4"/>
      <c r="Q187" s="4"/>
      <c r="R187" s="4"/>
      <c r="S187" s="4"/>
      <c r="T187" s="53"/>
      <c r="U187" s="4"/>
      <c r="V187" s="4"/>
      <c r="W187" s="4"/>
      <c r="X187" s="4"/>
      <c r="Y187" s="4"/>
      <c r="Z187" s="4"/>
      <c r="AA187" s="4"/>
      <c r="AB187" s="4"/>
    </row>
    <row r="188" spans="1:28" ht="15.75" customHeight="1">
      <c r="A188" s="4"/>
      <c r="B188" s="4"/>
      <c r="C188" s="4"/>
      <c r="D188" s="4"/>
      <c r="E188" s="4"/>
      <c r="F188" s="4"/>
      <c r="G188" s="4"/>
      <c r="H188" s="4"/>
      <c r="I188" s="4"/>
      <c r="J188" s="4"/>
      <c r="K188" s="4"/>
      <c r="L188" s="4"/>
      <c r="M188" s="4"/>
      <c r="N188" s="4"/>
      <c r="O188" s="4"/>
      <c r="P188" s="4"/>
      <c r="Q188" s="4"/>
      <c r="R188" s="4"/>
      <c r="S188" s="4"/>
      <c r="T188" s="53"/>
      <c r="U188" s="4"/>
      <c r="V188" s="4"/>
      <c r="W188" s="4"/>
      <c r="X188" s="4"/>
      <c r="Y188" s="4"/>
      <c r="Z188" s="4"/>
      <c r="AA188" s="4"/>
      <c r="AB188" s="4"/>
    </row>
    <row r="189" spans="1:28" ht="15.75" customHeight="1">
      <c r="A189" s="4"/>
      <c r="B189" s="4"/>
      <c r="C189" s="4"/>
      <c r="D189" s="4"/>
      <c r="E189" s="4"/>
      <c r="F189" s="4"/>
      <c r="G189" s="4"/>
      <c r="H189" s="4"/>
      <c r="I189" s="4"/>
      <c r="J189" s="4"/>
      <c r="K189" s="4"/>
      <c r="L189" s="4"/>
      <c r="M189" s="4"/>
      <c r="N189" s="4"/>
      <c r="O189" s="4"/>
      <c r="P189" s="4"/>
      <c r="Q189" s="4"/>
      <c r="R189" s="4"/>
      <c r="S189" s="4"/>
      <c r="T189" s="53"/>
      <c r="U189" s="4"/>
      <c r="V189" s="4"/>
      <c r="W189" s="4"/>
      <c r="X189" s="4"/>
      <c r="Y189" s="4"/>
      <c r="Z189" s="4"/>
      <c r="AA189" s="4"/>
      <c r="AB189" s="4"/>
    </row>
    <row r="190" spans="1:28" ht="15.75" customHeight="1">
      <c r="A190" s="4"/>
      <c r="B190" s="4"/>
      <c r="C190" s="4"/>
      <c r="D190" s="4"/>
      <c r="E190" s="4"/>
      <c r="F190" s="4"/>
      <c r="G190" s="4"/>
      <c r="H190" s="4"/>
      <c r="I190" s="4"/>
      <c r="J190" s="4"/>
      <c r="K190" s="4"/>
      <c r="L190" s="4"/>
      <c r="M190" s="4"/>
      <c r="N190" s="4"/>
      <c r="O190" s="4"/>
      <c r="P190" s="4"/>
      <c r="Q190" s="4"/>
      <c r="R190" s="4"/>
      <c r="S190" s="4"/>
      <c r="T190" s="53"/>
      <c r="U190" s="4"/>
      <c r="V190" s="4"/>
      <c r="W190" s="4"/>
      <c r="X190" s="4"/>
      <c r="Y190" s="4"/>
      <c r="Z190" s="4"/>
      <c r="AA190" s="4"/>
      <c r="AB190" s="4"/>
    </row>
    <row r="191" spans="1:28" ht="15.75" customHeight="1">
      <c r="A191" s="4"/>
      <c r="B191" s="4"/>
      <c r="C191" s="4"/>
      <c r="D191" s="4"/>
      <c r="E191" s="4"/>
      <c r="F191" s="4"/>
      <c r="G191" s="4"/>
      <c r="H191" s="4"/>
      <c r="I191" s="4"/>
      <c r="J191" s="4"/>
      <c r="K191" s="4"/>
      <c r="L191" s="4"/>
      <c r="M191" s="4"/>
      <c r="N191" s="4"/>
      <c r="O191" s="4"/>
      <c r="P191" s="4"/>
      <c r="Q191" s="4"/>
      <c r="R191" s="4"/>
      <c r="S191" s="4"/>
      <c r="T191" s="53"/>
      <c r="U191" s="4"/>
      <c r="V191" s="4"/>
      <c r="W191" s="4"/>
      <c r="X191" s="4"/>
      <c r="Y191" s="4"/>
      <c r="Z191" s="4"/>
      <c r="AA191" s="4"/>
      <c r="AB191" s="4"/>
    </row>
    <row r="192" spans="1:28" ht="15.75" customHeight="1">
      <c r="A192" s="4"/>
      <c r="B192" s="4"/>
      <c r="C192" s="4"/>
      <c r="D192" s="4"/>
      <c r="E192" s="4"/>
      <c r="F192" s="4"/>
      <c r="G192" s="4"/>
      <c r="H192" s="4"/>
      <c r="I192" s="4"/>
      <c r="J192" s="4"/>
      <c r="K192" s="4"/>
      <c r="L192" s="4"/>
      <c r="M192" s="4"/>
      <c r="N192" s="4"/>
      <c r="O192" s="4"/>
      <c r="P192" s="4"/>
      <c r="Q192" s="4"/>
      <c r="R192" s="4"/>
      <c r="S192" s="4"/>
      <c r="T192" s="53"/>
      <c r="U192" s="4"/>
      <c r="V192" s="4"/>
      <c r="W192" s="4"/>
      <c r="X192" s="4"/>
      <c r="Y192" s="4"/>
      <c r="Z192" s="4"/>
      <c r="AA192" s="4"/>
      <c r="AB192" s="4"/>
    </row>
    <row r="193" spans="1:28" ht="15.75" customHeight="1">
      <c r="A193" s="4"/>
      <c r="B193" s="4"/>
      <c r="C193" s="4"/>
      <c r="D193" s="4"/>
      <c r="E193" s="4"/>
      <c r="F193" s="4"/>
      <c r="G193" s="4"/>
      <c r="H193" s="4"/>
      <c r="I193" s="4"/>
      <c r="J193" s="4"/>
      <c r="K193" s="4"/>
      <c r="L193" s="4"/>
      <c r="M193" s="4"/>
      <c r="N193" s="4"/>
      <c r="O193" s="4"/>
      <c r="P193" s="4"/>
      <c r="Q193" s="4"/>
      <c r="R193" s="4"/>
      <c r="S193" s="4"/>
      <c r="T193" s="53"/>
      <c r="U193" s="4"/>
      <c r="V193" s="4"/>
      <c r="W193" s="4"/>
      <c r="X193" s="4"/>
      <c r="Y193" s="4"/>
      <c r="Z193" s="4"/>
      <c r="AA193" s="4"/>
      <c r="AB193" s="4"/>
    </row>
    <row r="194" spans="1:28" ht="15.75" customHeight="1">
      <c r="A194" s="4"/>
      <c r="B194" s="4"/>
      <c r="C194" s="4"/>
      <c r="D194" s="4"/>
      <c r="E194" s="4"/>
      <c r="F194" s="4"/>
      <c r="G194" s="4"/>
      <c r="H194" s="4"/>
      <c r="I194" s="4"/>
      <c r="J194" s="4"/>
      <c r="K194" s="4"/>
      <c r="L194" s="4"/>
      <c r="M194" s="4"/>
      <c r="N194" s="4"/>
      <c r="O194" s="4"/>
      <c r="P194" s="4"/>
      <c r="Q194" s="4"/>
      <c r="R194" s="4"/>
      <c r="S194" s="4"/>
      <c r="T194" s="53"/>
      <c r="U194" s="4"/>
      <c r="V194" s="4"/>
      <c r="W194" s="4"/>
      <c r="X194" s="4"/>
      <c r="Y194" s="4"/>
      <c r="Z194" s="4"/>
      <c r="AA194" s="4"/>
      <c r="AB194" s="4"/>
    </row>
    <row r="195" spans="1:28" ht="15.75" customHeight="1">
      <c r="A195" s="4"/>
      <c r="B195" s="4"/>
      <c r="C195" s="4"/>
      <c r="D195" s="4"/>
      <c r="E195" s="4"/>
      <c r="F195" s="4"/>
      <c r="G195" s="4"/>
      <c r="H195" s="4"/>
      <c r="I195" s="4"/>
      <c r="J195" s="4"/>
      <c r="K195" s="4"/>
      <c r="L195" s="4"/>
      <c r="M195" s="4"/>
      <c r="N195" s="4"/>
      <c r="O195" s="4"/>
      <c r="P195" s="4"/>
      <c r="Q195" s="4"/>
      <c r="R195" s="4"/>
      <c r="S195" s="4"/>
      <c r="T195" s="53"/>
      <c r="U195" s="4"/>
      <c r="V195" s="4"/>
      <c r="W195" s="4"/>
      <c r="X195" s="4"/>
      <c r="Y195" s="4"/>
      <c r="Z195" s="4"/>
      <c r="AA195" s="4"/>
      <c r="AB195" s="4"/>
    </row>
    <row r="196" spans="1:28" ht="15.75" customHeight="1">
      <c r="A196" s="4"/>
      <c r="B196" s="4"/>
      <c r="C196" s="4"/>
      <c r="D196" s="4"/>
      <c r="E196" s="4"/>
      <c r="F196" s="4"/>
      <c r="G196" s="4"/>
      <c r="H196" s="4"/>
      <c r="I196" s="4"/>
      <c r="J196" s="4"/>
      <c r="K196" s="4"/>
      <c r="L196" s="4"/>
      <c r="M196" s="4"/>
      <c r="N196" s="4"/>
      <c r="O196" s="4"/>
      <c r="P196" s="4"/>
      <c r="Q196" s="4"/>
      <c r="R196" s="4"/>
      <c r="S196" s="4"/>
      <c r="T196" s="53"/>
      <c r="U196" s="4"/>
      <c r="V196" s="4"/>
      <c r="W196" s="4"/>
      <c r="X196" s="4"/>
      <c r="Y196" s="4"/>
      <c r="Z196" s="4"/>
      <c r="AA196" s="4"/>
      <c r="AB196" s="4"/>
    </row>
    <row r="197" spans="1:28" ht="15.75" customHeight="1">
      <c r="A197" s="4"/>
      <c r="B197" s="4"/>
      <c r="C197" s="4"/>
      <c r="D197" s="4"/>
      <c r="E197" s="4"/>
      <c r="F197" s="4"/>
      <c r="G197" s="4"/>
      <c r="H197" s="4"/>
      <c r="I197" s="4"/>
      <c r="J197" s="4"/>
      <c r="K197" s="4"/>
      <c r="L197" s="4"/>
      <c r="M197" s="4"/>
      <c r="N197" s="4"/>
      <c r="O197" s="4"/>
      <c r="P197" s="4"/>
      <c r="Q197" s="4"/>
      <c r="R197" s="4"/>
      <c r="S197" s="4"/>
      <c r="T197" s="53"/>
      <c r="U197" s="4"/>
      <c r="V197" s="4"/>
      <c r="W197" s="4"/>
      <c r="X197" s="4"/>
      <c r="Y197" s="4"/>
      <c r="Z197" s="4"/>
      <c r="AA197" s="4"/>
      <c r="AB197" s="4"/>
    </row>
    <row r="198" spans="1:28" ht="15.75" customHeight="1">
      <c r="A198" s="4"/>
      <c r="B198" s="4"/>
      <c r="C198" s="4"/>
      <c r="D198" s="4"/>
      <c r="E198" s="4"/>
      <c r="F198" s="4"/>
      <c r="G198" s="4"/>
      <c r="H198" s="4"/>
      <c r="I198" s="4"/>
      <c r="J198" s="4"/>
      <c r="K198" s="4"/>
      <c r="L198" s="4"/>
      <c r="M198" s="4"/>
      <c r="N198" s="4"/>
      <c r="O198" s="4"/>
      <c r="P198" s="4"/>
      <c r="Q198" s="4"/>
      <c r="R198" s="4"/>
      <c r="S198" s="4"/>
      <c r="T198" s="53"/>
      <c r="U198" s="4"/>
      <c r="V198" s="4"/>
      <c r="W198" s="4"/>
      <c r="X198" s="4"/>
      <c r="Y198" s="4"/>
      <c r="Z198" s="4"/>
      <c r="AA198" s="4"/>
      <c r="AB198" s="4"/>
    </row>
    <row r="199" spans="1:28" ht="15.75" customHeight="1">
      <c r="A199" s="4"/>
      <c r="B199" s="4"/>
      <c r="C199" s="4"/>
      <c r="D199" s="4"/>
      <c r="E199" s="4"/>
      <c r="F199" s="4"/>
      <c r="G199" s="4"/>
      <c r="H199" s="4"/>
      <c r="I199" s="4"/>
      <c r="J199" s="4"/>
      <c r="K199" s="4"/>
      <c r="L199" s="4"/>
      <c r="M199" s="4"/>
      <c r="N199" s="4"/>
      <c r="O199" s="4"/>
      <c r="P199" s="4"/>
      <c r="Q199" s="4"/>
      <c r="R199" s="4"/>
      <c r="S199" s="4"/>
      <c r="T199" s="53"/>
      <c r="U199" s="4"/>
      <c r="V199" s="4"/>
      <c r="W199" s="4"/>
      <c r="X199" s="4"/>
      <c r="Y199" s="4"/>
      <c r="Z199" s="4"/>
      <c r="AA199" s="4"/>
      <c r="AB199" s="4"/>
    </row>
    <row r="200" spans="1:28" ht="15.75" customHeight="1">
      <c r="A200" s="4"/>
      <c r="B200" s="4"/>
      <c r="C200" s="4"/>
      <c r="D200" s="4"/>
      <c r="E200" s="4"/>
      <c r="F200" s="4"/>
      <c r="G200" s="4"/>
      <c r="H200" s="4"/>
      <c r="I200" s="4"/>
      <c r="J200" s="4"/>
      <c r="K200" s="4"/>
      <c r="L200" s="4"/>
      <c r="M200" s="4"/>
      <c r="N200" s="4"/>
      <c r="O200" s="4"/>
      <c r="P200" s="4"/>
      <c r="Q200" s="4"/>
      <c r="R200" s="4"/>
      <c r="S200" s="4"/>
      <c r="T200" s="53"/>
      <c r="U200" s="4"/>
      <c r="V200" s="4"/>
      <c r="W200" s="4"/>
      <c r="X200" s="4"/>
      <c r="Y200" s="4"/>
      <c r="Z200" s="4"/>
      <c r="AA200" s="4"/>
      <c r="AB200" s="4"/>
    </row>
    <row r="201" spans="1:28" ht="15.75" customHeight="1">
      <c r="A201" s="4"/>
      <c r="B201" s="4"/>
      <c r="C201" s="4"/>
      <c r="D201" s="4"/>
      <c r="E201" s="4"/>
      <c r="F201" s="4"/>
      <c r="G201" s="4"/>
      <c r="H201" s="4"/>
      <c r="I201" s="4"/>
      <c r="J201" s="4"/>
      <c r="K201" s="4"/>
      <c r="L201" s="4"/>
      <c r="M201" s="4"/>
      <c r="N201" s="4"/>
      <c r="O201" s="4"/>
      <c r="P201" s="4"/>
      <c r="Q201" s="4"/>
      <c r="R201" s="4"/>
      <c r="S201" s="4"/>
      <c r="T201" s="53"/>
      <c r="U201" s="4"/>
      <c r="V201" s="4"/>
      <c r="W201" s="4"/>
      <c r="X201" s="4"/>
      <c r="Y201" s="4"/>
      <c r="Z201" s="4"/>
      <c r="AA201" s="4"/>
      <c r="AB201" s="4"/>
    </row>
    <row r="202" spans="1:28" ht="15.75" customHeight="1">
      <c r="A202" s="4"/>
      <c r="B202" s="4"/>
      <c r="C202" s="4"/>
      <c r="D202" s="4"/>
      <c r="E202" s="4"/>
      <c r="F202" s="4"/>
      <c r="G202" s="4"/>
      <c r="H202" s="4"/>
      <c r="I202" s="4"/>
      <c r="J202" s="4"/>
      <c r="K202" s="4"/>
      <c r="L202" s="4"/>
      <c r="M202" s="4"/>
      <c r="N202" s="4"/>
      <c r="O202" s="4"/>
      <c r="P202" s="4"/>
      <c r="Q202" s="4"/>
      <c r="R202" s="4"/>
      <c r="S202" s="4"/>
      <c r="T202" s="53"/>
      <c r="U202" s="4"/>
      <c r="V202" s="4"/>
      <c r="W202" s="4"/>
      <c r="X202" s="4"/>
      <c r="Y202" s="4"/>
      <c r="Z202" s="4"/>
      <c r="AA202" s="4"/>
      <c r="AB202" s="4"/>
    </row>
    <row r="203" spans="1:28" ht="15.75" customHeight="1">
      <c r="A203" s="4"/>
      <c r="B203" s="4"/>
      <c r="C203" s="4"/>
      <c r="D203" s="4"/>
      <c r="E203" s="4"/>
      <c r="F203" s="4"/>
      <c r="G203" s="4"/>
      <c r="H203" s="4"/>
      <c r="I203" s="4"/>
      <c r="J203" s="4"/>
      <c r="K203" s="4"/>
      <c r="L203" s="4"/>
      <c r="M203" s="4"/>
      <c r="N203" s="4"/>
      <c r="O203" s="4"/>
      <c r="P203" s="4"/>
      <c r="Q203" s="4"/>
      <c r="R203" s="4"/>
      <c r="S203" s="4"/>
      <c r="T203" s="53"/>
      <c r="U203" s="4"/>
      <c r="V203" s="4"/>
      <c r="W203" s="4"/>
      <c r="X203" s="4"/>
      <c r="Y203" s="4"/>
      <c r="Z203" s="4"/>
      <c r="AA203" s="4"/>
      <c r="AB203" s="4"/>
    </row>
    <row r="204" spans="1:28" ht="15.75" customHeight="1">
      <c r="A204" s="4"/>
      <c r="B204" s="4"/>
      <c r="C204" s="4"/>
      <c r="D204" s="4"/>
      <c r="E204" s="4"/>
      <c r="F204" s="4"/>
      <c r="G204" s="4"/>
      <c r="H204" s="4"/>
      <c r="I204" s="4"/>
      <c r="J204" s="4"/>
      <c r="K204" s="4"/>
      <c r="L204" s="4"/>
      <c r="M204" s="4"/>
      <c r="N204" s="4"/>
      <c r="O204" s="4"/>
      <c r="P204" s="4"/>
      <c r="Q204" s="4"/>
      <c r="R204" s="4"/>
      <c r="S204" s="4"/>
      <c r="T204" s="53"/>
      <c r="U204" s="4"/>
      <c r="V204" s="4"/>
      <c r="W204" s="4"/>
      <c r="X204" s="4"/>
      <c r="Y204" s="4"/>
      <c r="Z204" s="4"/>
      <c r="AA204" s="4"/>
      <c r="AB204" s="4"/>
    </row>
    <row r="205" spans="1:28" ht="15.75" customHeight="1">
      <c r="A205" s="4"/>
      <c r="B205" s="4"/>
      <c r="C205" s="4"/>
      <c r="D205" s="4"/>
      <c r="E205" s="4"/>
      <c r="F205" s="4"/>
      <c r="G205" s="4"/>
      <c r="H205" s="4"/>
      <c r="I205" s="4"/>
      <c r="J205" s="4"/>
      <c r="K205" s="4"/>
      <c r="L205" s="4"/>
      <c r="M205" s="4"/>
      <c r="N205" s="4"/>
      <c r="O205" s="4"/>
      <c r="P205" s="4"/>
      <c r="Q205" s="4"/>
      <c r="R205" s="4"/>
      <c r="S205" s="4"/>
      <c r="T205" s="53"/>
      <c r="U205" s="4"/>
      <c r="V205" s="4"/>
      <c r="W205" s="4"/>
      <c r="X205" s="4"/>
      <c r="Y205" s="4"/>
      <c r="Z205" s="4"/>
      <c r="AA205" s="4"/>
      <c r="AB205" s="4"/>
    </row>
    <row r="206" spans="1:28" ht="15.75" customHeight="1">
      <c r="A206" s="4"/>
      <c r="B206" s="4"/>
      <c r="C206" s="4"/>
      <c r="D206" s="4"/>
      <c r="E206" s="4"/>
      <c r="F206" s="4"/>
      <c r="G206" s="4"/>
      <c r="H206" s="4"/>
      <c r="I206" s="4"/>
      <c r="J206" s="4"/>
      <c r="K206" s="4"/>
      <c r="L206" s="4"/>
      <c r="M206" s="4"/>
      <c r="N206" s="4"/>
      <c r="O206" s="4"/>
      <c r="P206" s="4"/>
      <c r="Q206" s="4"/>
      <c r="R206" s="4"/>
      <c r="S206" s="4"/>
      <c r="T206" s="53"/>
      <c r="U206" s="4"/>
      <c r="V206" s="4"/>
      <c r="W206" s="4"/>
      <c r="X206" s="4"/>
      <c r="Y206" s="4"/>
      <c r="Z206" s="4"/>
      <c r="AA206" s="4"/>
      <c r="AB206" s="4"/>
    </row>
    <row r="207" spans="1:28" ht="15.75" customHeight="1">
      <c r="A207" s="4"/>
      <c r="B207" s="4"/>
      <c r="C207" s="4"/>
      <c r="D207" s="4"/>
      <c r="E207" s="4"/>
      <c r="F207" s="4"/>
      <c r="G207" s="4"/>
      <c r="H207" s="4"/>
      <c r="I207" s="4"/>
      <c r="J207" s="4"/>
      <c r="K207" s="4"/>
      <c r="L207" s="4"/>
      <c r="M207" s="4"/>
      <c r="N207" s="4"/>
      <c r="O207" s="4"/>
      <c r="P207" s="4"/>
      <c r="Q207" s="4"/>
      <c r="R207" s="4"/>
      <c r="S207" s="4"/>
      <c r="T207" s="53"/>
      <c r="U207" s="4"/>
      <c r="V207" s="4"/>
      <c r="W207" s="4"/>
      <c r="X207" s="4"/>
      <c r="Y207" s="4"/>
      <c r="Z207" s="4"/>
      <c r="AA207" s="4"/>
      <c r="AB207" s="4"/>
    </row>
    <row r="208" spans="1:28" ht="15.75" customHeight="1">
      <c r="A208" s="4"/>
      <c r="B208" s="4"/>
      <c r="C208" s="4"/>
      <c r="D208" s="4"/>
      <c r="E208" s="4"/>
      <c r="F208" s="4"/>
      <c r="G208" s="4"/>
      <c r="H208" s="4"/>
      <c r="I208" s="4"/>
      <c r="J208" s="4"/>
      <c r="K208" s="4"/>
      <c r="L208" s="4"/>
      <c r="M208" s="4"/>
      <c r="N208" s="4"/>
      <c r="O208" s="4"/>
      <c r="P208" s="4"/>
      <c r="Q208" s="4"/>
      <c r="R208" s="4"/>
      <c r="S208" s="4"/>
      <c r="T208" s="53"/>
      <c r="U208" s="4"/>
      <c r="V208" s="4"/>
      <c r="W208" s="4"/>
      <c r="X208" s="4"/>
      <c r="Y208" s="4"/>
      <c r="Z208" s="4"/>
      <c r="AA208" s="4"/>
      <c r="AB208" s="4"/>
    </row>
    <row r="209" spans="1:28" ht="15.75" customHeight="1">
      <c r="A209" s="4"/>
      <c r="B209" s="4"/>
      <c r="C209" s="4"/>
      <c r="D209" s="4"/>
      <c r="E209" s="4"/>
      <c r="F209" s="4"/>
      <c r="G209" s="4"/>
      <c r="H209" s="4"/>
      <c r="I209" s="4"/>
      <c r="J209" s="4"/>
      <c r="K209" s="4"/>
      <c r="L209" s="4"/>
      <c r="M209" s="4"/>
      <c r="N209" s="4"/>
      <c r="O209" s="4"/>
      <c r="P209" s="4"/>
      <c r="Q209" s="4"/>
      <c r="R209" s="4"/>
      <c r="S209" s="4"/>
      <c r="T209" s="53"/>
      <c r="U209" s="4"/>
      <c r="V209" s="4"/>
      <c r="W209" s="4"/>
      <c r="X209" s="4"/>
      <c r="Y209" s="4"/>
      <c r="Z209" s="4"/>
      <c r="AA209" s="4"/>
      <c r="AB209" s="4"/>
    </row>
    <row r="210" spans="1:28" ht="15.75" customHeight="1">
      <c r="A210" s="4"/>
      <c r="B210" s="4"/>
      <c r="C210" s="4"/>
      <c r="D210" s="4"/>
      <c r="E210" s="4"/>
      <c r="F210" s="4"/>
      <c r="G210" s="4"/>
      <c r="H210" s="4"/>
      <c r="I210" s="4"/>
      <c r="J210" s="4"/>
      <c r="K210" s="4"/>
      <c r="L210" s="4"/>
      <c r="M210" s="4"/>
      <c r="N210" s="4"/>
      <c r="O210" s="4"/>
      <c r="P210" s="4"/>
      <c r="Q210" s="4"/>
      <c r="R210" s="4"/>
      <c r="S210" s="4"/>
      <c r="T210" s="53"/>
      <c r="U210" s="4"/>
      <c r="V210" s="4"/>
      <c r="W210" s="4"/>
      <c r="X210" s="4"/>
      <c r="Y210" s="4"/>
      <c r="Z210" s="4"/>
      <c r="AA210" s="4"/>
      <c r="AB210" s="4"/>
    </row>
    <row r="211" spans="1:28" ht="15.75" customHeight="1">
      <c r="A211" s="4"/>
      <c r="B211" s="4"/>
      <c r="C211" s="4"/>
      <c r="D211" s="4"/>
      <c r="E211" s="4"/>
      <c r="F211" s="4"/>
      <c r="G211" s="4"/>
      <c r="H211" s="4"/>
      <c r="I211" s="4"/>
      <c r="J211" s="4"/>
      <c r="K211" s="4"/>
      <c r="L211" s="4"/>
      <c r="M211" s="4"/>
      <c r="N211" s="4"/>
      <c r="O211" s="4"/>
      <c r="P211" s="4"/>
      <c r="Q211" s="4"/>
      <c r="R211" s="4"/>
      <c r="S211" s="4"/>
      <c r="T211" s="53"/>
      <c r="U211" s="4"/>
      <c r="V211" s="4"/>
      <c r="W211" s="4"/>
      <c r="X211" s="4"/>
      <c r="Y211" s="4"/>
      <c r="Z211" s="4"/>
      <c r="AA211" s="4"/>
      <c r="AB211" s="4"/>
    </row>
    <row r="212" spans="1:28" ht="15.75" customHeight="1">
      <c r="A212" s="4"/>
      <c r="B212" s="4"/>
      <c r="C212" s="4"/>
      <c r="D212" s="4"/>
      <c r="E212" s="4"/>
      <c r="F212" s="4"/>
      <c r="G212" s="4"/>
      <c r="H212" s="4"/>
      <c r="I212" s="4"/>
      <c r="J212" s="4"/>
      <c r="K212" s="4"/>
      <c r="L212" s="4"/>
      <c r="M212" s="4"/>
      <c r="N212" s="4"/>
      <c r="O212" s="4"/>
      <c r="P212" s="4"/>
      <c r="Q212" s="4"/>
      <c r="R212" s="4"/>
      <c r="S212" s="4"/>
      <c r="T212" s="53"/>
      <c r="U212" s="4"/>
      <c r="V212" s="4"/>
      <c r="W212" s="4"/>
      <c r="X212" s="4"/>
      <c r="Y212" s="4"/>
      <c r="Z212" s="4"/>
      <c r="AA212" s="4"/>
      <c r="AB212" s="4"/>
    </row>
    <row r="213" spans="1:28" ht="15.75" customHeight="1">
      <c r="A213" s="4"/>
      <c r="B213" s="4"/>
      <c r="C213" s="4"/>
      <c r="D213" s="4"/>
      <c r="E213" s="4"/>
      <c r="F213" s="4"/>
      <c r="G213" s="4"/>
      <c r="H213" s="4"/>
      <c r="I213" s="4"/>
      <c r="J213" s="4"/>
      <c r="K213" s="4"/>
      <c r="L213" s="4"/>
      <c r="M213" s="4"/>
      <c r="N213" s="4"/>
      <c r="O213" s="4"/>
      <c r="P213" s="4"/>
      <c r="Q213" s="4"/>
      <c r="R213" s="4"/>
      <c r="S213" s="4"/>
      <c r="T213" s="53"/>
      <c r="U213" s="4"/>
      <c r="V213" s="4"/>
      <c r="W213" s="4"/>
      <c r="X213" s="4"/>
      <c r="Y213" s="4"/>
      <c r="Z213" s="4"/>
      <c r="AA213" s="4"/>
      <c r="AB213" s="4"/>
    </row>
    <row r="214" spans="1:28" ht="15.75" customHeight="1">
      <c r="A214" s="4"/>
      <c r="B214" s="4"/>
      <c r="C214" s="4"/>
      <c r="D214" s="4"/>
      <c r="E214" s="4"/>
      <c r="F214" s="4"/>
      <c r="G214" s="4"/>
      <c r="H214" s="4"/>
      <c r="I214" s="4"/>
      <c r="J214" s="4"/>
      <c r="K214" s="4"/>
      <c r="L214" s="4"/>
      <c r="M214" s="4"/>
      <c r="N214" s="4"/>
      <c r="O214" s="4"/>
      <c r="P214" s="4"/>
      <c r="Q214" s="4"/>
      <c r="R214" s="4"/>
      <c r="S214" s="4"/>
      <c r="T214" s="53"/>
      <c r="U214" s="4"/>
      <c r="V214" s="4"/>
      <c r="W214" s="4"/>
      <c r="X214" s="4"/>
      <c r="Y214" s="4"/>
      <c r="Z214" s="4"/>
      <c r="AA214" s="4"/>
      <c r="AB214" s="4"/>
    </row>
    <row r="215" spans="1:28" ht="15.75" customHeight="1">
      <c r="A215" s="4"/>
      <c r="B215" s="4"/>
      <c r="C215" s="4"/>
      <c r="D215" s="4"/>
      <c r="E215" s="4"/>
      <c r="F215" s="4"/>
      <c r="G215" s="4"/>
      <c r="H215" s="4"/>
      <c r="I215" s="4"/>
      <c r="J215" s="4"/>
      <c r="K215" s="4"/>
      <c r="L215" s="4"/>
      <c r="M215" s="4"/>
      <c r="N215" s="4"/>
      <c r="O215" s="4"/>
      <c r="P215" s="4"/>
      <c r="Q215" s="4"/>
      <c r="R215" s="4"/>
      <c r="S215" s="4"/>
      <c r="T215" s="53"/>
      <c r="U215" s="4"/>
      <c r="V215" s="4"/>
      <c r="W215" s="4"/>
      <c r="X215" s="4"/>
      <c r="Y215" s="4"/>
      <c r="Z215" s="4"/>
      <c r="AA215" s="4"/>
      <c r="AB215" s="4"/>
    </row>
    <row r="216" spans="1:28" ht="15.75" customHeight="1">
      <c r="A216" s="4"/>
      <c r="B216" s="4"/>
      <c r="C216" s="4"/>
      <c r="D216" s="4"/>
      <c r="E216" s="4"/>
      <c r="F216" s="4"/>
      <c r="G216" s="4"/>
      <c r="H216" s="4"/>
      <c r="I216" s="4"/>
      <c r="J216" s="4"/>
      <c r="K216" s="4"/>
      <c r="L216" s="4"/>
      <c r="M216" s="4"/>
      <c r="N216" s="4"/>
      <c r="O216" s="4"/>
      <c r="P216" s="4"/>
      <c r="Q216" s="4"/>
      <c r="R216" s="4"/>
      <c r="S216" s="4"/>
      <c r="T216" s="53"/>
      <c r="U216" s="4"/>
      <c r="V216" s="4"/>
      <c r="W216" s="4"/>
      <c r="X216" s="4"/>
      <c r="Y216" s="4"/>
      <c r="Z216" s="4"/>
      <c r="AA216" s="4"/>
      <c r="AB216" s="4"/>
    </row>
    <row r="217" spans="1:28" ht="15.75" customHeight="1">
      <c r="A217" s="4"/>
      <c r="B217" s="4"/>
      <c r="C217" s="4"/>
      <c r="D217" s="4"/>
      <c r="E217" s="4"/>
      <c r="F217" s="4"/>
      <c r="G217" s="4"/>
      <c r="H217" s="4"/>
      <c r="I217" s="4"/>
      <c r="J217" s="4"/>
      <c r="K217" s="4"/>
      <c r="L217" s="4"/>
      <c r="M217" s="4"/>
      <c r="N217" s="4"/>
      <c r="O217" s="4"/>
      <c r="P217" s="4"/>
      <c r="Q217" s="4"/>
      <c r="R217" s="4"/>
      <c r="S217" s="4"/>
      <c r="T217" s="53"/>
      <c r="U217" s="4"/>
      <c r="V217" s="4"/>
      <c r="W217" s="4"/>
      <c r="X217" s="4"/>
      <c r="Y217" s="4"/>
      <c r="Z217" s="4"/>
      <c r="AA217" s="4"/>
      <c r="AB217" s="4"/>
    </row>
    <row r="218" spans="1:28" ht="15.75" customHeight="1">
      <c r="A218" s="4"/>
      <c r="B218" s="4"/>
      <c r="C218" s="4"/>
      <c r="D218" s="4"/>
      <c r="E218" s="4"/>
      <c r="F218" s="4"/>
      <c r="G218" s="4"/>
      <c r="H218" s="4"/>
      <c r="I218" s="4"/>
      <c r="J218" s="4"/>
      <c r="K218" s="4"/>
      <c r="L218" s="4"/>
      <c r="M218" s="4"/>
      <c r="N218" s="4"/>
      <c r="O218" s="4"/>
      <c r="P218" s="4"/>
      <c r="Q218" s="4"/>
      <c r="R218" s="4"/>
      <c r="S218" s="4"/>
      <c r="T218" s="53"/>
      <c r="U218" s="4"/>
      <c r="V218" s="4"/>
      <c r="W218" s="4"/>
      <c r="X218" s="4"/>
      <c r="Y218" s="4"/>
      <c r="Z218" s="4"/>
      <c r="AA218" s="4"/>
      <c r="AB218" s="4"/>
    </row>
    <row r="219" spans="1:28" ht="15.75" customHeight="1">
      <c r="A219" s="4"/>
      <c r="B219" s="4"/>
      <c r="C219" s="4"/>
      <c r="D219" s="4"/>
      <c r="E219" s="4"/>
      <c r="F219" s="4"/>
      <c r="G219" s="4"/>
      <c r="H219" s="4"/>
      <c r="I219" s="4"/>
      <c r="J219" s="4"/>
      <c r="K219" s="4"/>
      <c r="L219" s="4"/>
      <c r="M219" s="4"/>
      <c r="N219" s="4"/>
      <c r="O219" s="4"/>
      <c r="P219" s="4"/>
      <c r="Q219" s="4"/>
      <c r="R219" s="4"/>
      <c r="S219" s="4"/>
      <c r="T219" s="53"/>
      <c r="U219" s="4"/>
      <c r="V219" s="4"/>
      <c r="W219" s="4"/>
      <c r="X219" s="4"/>
      <c r="Y219" s="4"/>
      <c r="Z219" s="4"/>
      <c r="AA219" s="4"/>
      <c r="AB219" s="4"/>
    </row>
    <row r="220" spans="1:28" ht="15.75" customHeight="1">
      <c r="A220" s="4"/>
      <c r="B220" s="4"/>
      <c r="C220" s="4"/>
      <c r="D220" s="4"/>
      <c r="E220" s="4"/>
      <c r="F220" s="4"/>
      <c r="G220" s="4"/>
      <c r="H220" s="4"/>
      <c r="I220" s="4"/>
      <c r="J220" s="4"/>
      <c r="K220" s="4"/>
      <c r="L220" s="4"/>
      <c r="M220" s="4"/>
      <c r="N220" s="4"/>
      <c r="O220" s="4"/>
      <c r="P220" s="4"/>
      <c r="Q220" s="4"/>
      <c r="R220" s="4"/>
      <c r="S220" s="4"/>
      <c r="T220" s="53"/>
      <c r="U220" s="4"/>
      <c r="V220" s="4"/>
      <c r="W220" s="4"/>
      <c r="X220" s="4"/>
      <c r="Y220" s="4"/>
      <c r="Z220" s="4"/>
      <c r="AA220" s="4"/>
      <c r="AB220" s="4"/>
    </row>
    <row r="221" spans="1:28" ht="15.75" customHeight="1">
      <c r="A221" s="4"/>
      <c r="B221" s="4"/>
      <c r="C221" s="4"/>
      <c r="D221" s="4"/>
      <c r="E221" s="4"/>
      <c r="F221" s="4"/>
      <c r="G221" s="4"/>
      <c r="H221" s="4"/>
      <c r="I221" s="4"/>
      <c r="J221" s="4"/>
      <c r="K221" s="4"/>
      <c r="L221" s="4"/>
      <c r="M221" s="4"/>
      <c r="N221" s="4"/>
      <c r="O221" s="4"/>
      <c r="P221" s="4"/>
      <c r="Q221" s="4"/>
      <c r="R221" s="4"/>
      <c r="S221" s="4"/>
      <c r="T221" s="53"/>
      <c r="U221" s="4"/>
      <c r="V221" s="4"/>
      <c r="W221" s="4"/>
      <c r="X221" s="4"/>
      <c r="Y221" s="4"/>
      <c r="Z221" s="4"/>
      <c r="AA221" s="4"/>
      <c r="AB221" s="4"/>
    </row>
    <row r="222" spans="1:28" ht="15.75" customHeight="1">
      <c r="A222" s="4"/>
      <c r="B222" s="4"/>
      <c r="C222" s="4"/>
      <c r="D222" s="4"/>
      <c r="E222" s="4"/>
      <c r="F222" s="4"/>
      <c r="G222" s="4"/>
      <c r="H222" s="4"/>
      <c r="I222" s="4"/>
      <c r="J222" s="4"/>
      <c r="K222" s="4"/>
      <c r="L222" s="4"/>
      <c r="M222" s="4"/>
      <c r="N222" s="4"/>
      <c r="O222" s="4"/>
      <c r="P222" s="4"/>
      <c r="Q222" s="4"/>
      <c r="R222" s="4"/>
      <c r="S222" s="4"/>
      <c r="T222" s="53"/>
      <c r="U222" s="4"/>
      <c r="V222" s="4"/>
      <c r="W222" s="4"/>
      <c r="X222" s="4"/>
      <c r="Y222" s="4"/>
      <c r="Z222" s="4"/>
      <c r="AA222" s="4"/>
      <c r="AB222" s="4"/>
    </row>
    <row r="223" spans="1:28" ht="15.75" customHeight="1">
      <c r="A223" s="4"/>
      <c r="B223" s="4"/>
      <c r="C223" s="4"/>
      <c r="D223" s="4"/>
      <c r="E223" s="4"/>
      <c r="F223" s="4"/>
      <c r="G223" s="4"/>
      <c r="H223" s="4"/>
      <c r="I223" s="4"/>
      <c r="J223" s="4"/>
      <c r="K223" s="4"/>
      <c r="L223" s="4"/>
      <c r="M223" s="4"/>
      <c r="N223" s="4"/>
      <c r="O223" s="4"/>
      <c r="P223" s="4"/>
      <c r="Q223" s="4"/>
      <c r="R223" s="4"/>
      <c r="S223" s="4"/>
      <c r="T223" s="53"/>
      <c r="U223" s="4"/>
      <c r="V223" s="4"/>
      <c r="W223" s="4"/>
      <c r="X223" s="4"/>
      <c r="Y223" s="4"/>
      <c r="Z223" s="4"/>
      <c r="AA223" s="4"/>
      <c r="AB223" s="4"/>
    </row>
    <row r="224" spans="1:28" ht="15.75" customHeight="1">
      <c r="A224" s="4"/>
      <c r="B224" s="4"/>
      <c r="C224" s="4"/>
      <c r="D224" s="4"/>
      <c r="E224" s="4"/>
      <c r="F224" s="4"/>
      <c r="G224" s="4"/>
      <c r="H224" s="4"/>
      <c r="I224" s="4"/>
      <c r="J224" s="4"/>
      <c r="K224" s="4"/>
      <c r="L224" s="4"/>
      <c r="M224" s="4"/>
      <c r="N224" s="4"/>
      <c r="O224" s="4"/>
      <c r="P224" s="4"/>
      <c r="Q224" s="4"/>
      <c r="R224" s="4"/>
      <c r="S224" s="4"/>
      <c r="T224" s="53"/>
      <c r="U224" s="4"/>
      <c r="V224" s="4"/>
      <c r="W224" s="4"/>
      <c r="X224" s="4"/>
      <c r="Y224" s="4"/>
      <c r="Z224" s="4"/>
      <c r="AA224" s="4"/>
      <c r="AB224" s="4"/>
    </row>
    <row r="225" spans="1:28" ht="15.75" customHeight="1">
      <c r="A225" s="4"/>
      <c r="B225" s="4"/>
      <c r="C225" s="4"/>
      <c r="D225" s="4"/>
      <c r="E225" s="4"/>
      <c r="F225" s="4"/>
      <c r="G225" s="4"/>
      <c r="H225" s="4"/>
      <c r="I225" s="4"/>
      <c r="J225" s="4"/>
      <c r="K225" s="4"/>
      <c r="L225" s="4"/>
      <c r="M225" s="4"/>
      <c r="N225" s="4"/>
      <c r="O225" s="4"/>
      <c r="P225" s="4"/>
      <c r="Q225" s="4"/>
      <c r="R225" s="4"/>
      <c r="S225" s="4"/>
      <c r="T225" s="53"/>
      <c r="U225" s="4"/>
      <c r="V225" s="4"/>
      <c r="W225" s="4"/>
      <c r="X225" s="4"/>
      <c r="Y225" s="4"/>
      <c r="Z225" s="4"/>
      <c r="AA225" s="4"/>
      <c r="AB225" s="4"/>
    </row>
    <row r="226" spans="1:28" ht="15.75" customHeight="1">
      <c r="A226" s="4"/>
      <c r="B226" s="4"/>
      <c r="C226" s="4"/>
      <c r="D226" s="4"/>
      <c r="E226" s="4"/>
      <c r="F226" s="4"/>
      <c r="G226" s="4"/>
      <c r="H226" s="4"/>
      <c r="I226" s="4"/>
      <c r="J226" s="4"/>
      <c r="K226" s="4"/>
      <c r="L226" s="4"/>
      <c r="M226" s="4"/>
      <c r="N226" s="4"/>
      <c r="O226" s="4"/>
      <c r="P226" s="4"/>
      <c r="Q226" s="4"/>
      <c r="R226" s="4"/>
      <c r="S226" s="4"/>
      <c r="T226" s="53"/>
      <c r="U226" s="4"/>
      <c r="V226" s="4"/>
      <c r="W226" s="4"/>
      <c r="X226" s="4"/>
      <c r="Y226" s="4"/>
      <c r="Z226" s="4"/>
      <c r="AA226" s="4"/>
      <c r="AB226" s="4"/>
    </row>
    <row r="227" spans="1:28" ht="15.75" customHeight="1">
      <c r="A227" s="4"/>
      <c r="B227" s="4"/>
      <c r="C227" s="4"/>
      <c r="D227" s="4"/>
      <c r="E227" s="4"/>
      <c r="F227" s="4"/>
      <c r="G227" s="4"/>
      <c r="H227" s="4"/>
      <c r="I227" s="4"/>
      <c r="J227" s="4"/>
      <c r="K227" s="4"/>
      <c r="L227" s="4"/>
      <c r="M227" s="4"/>
      <c r="N227" s="4"/>
      <c r="O227" s="4"/>
      <c r="P227" s="4"/>
      <c r="Q227" s="4"/>
      <c r="R227" s="4"/>
      <c r="S227" s="4"/>
      <c r="T227" s="53"/>
      <c r="U227" s="4"/>
      <c r="V227" s="4"/>
      <c r="W227" s="4"/>
      <c r="X227" s="4"/>
      <c r="Y227" s="4"/>
      <c r="Z227" s="4"/>
      <c r="AA227" s="4"/>
      <c r="AB227" s="4"/>
    </row>
    <row r="228" spans="1:28" ht="15.75" customHeight="1">
      <c r="A228" s="4"/>
      <c r="B228" s="4"/>
      <c r="C228" s="4"/>
      <c r="D228" s="4"/>
      <c r="E228" s="4"/>
      <c r="F228" s="4"/>
      <c r="G228" s="4"/>
      <c r="H228" s="4"/>
      <c r="I228" s="4"/>
      <c r="J228" s="4"/>
      <c r="K228" s="4"/>
      <c r="L228" s="4"/>
      <c r="M228" s="4"/>
      <c r="N228" s="4"/>
      <c r="O228" s="4"/>
      <c r="P228" s="4"/>
      <c r="Q228" s="4"/>
      <c r="R228" s="4"/>
      <c r="S228" s="4"/>
      <c r="T228" s="53"/>
      <c r="U228" s="4"/>
      <c r="V228" s="4"/>
      <c r="W228" s="4"/>
      <c r="X228" s="4"/>
      <c r="Y228" s="4"/>
      <c r="Z228" s="4"/>
      <c r="AA228" s="4"/>
      <c r="AB228" s="4"/>
    </row>
    <row r="229" spans="1:28" ht="15.75" customHeight="1">
      <c r="A229" s="4"/>
      <c r="B229" s="4"/>
      <c r="C229" s="4"/>
      <c r="D229" s="4"/>
      <c r="E229" s="4"/>
      <c r="F229" s="4"/>
      <c r="G229" s="4"/>
      <c r="H229" s="4"/>
      <c r="I229" s="4"/>
      <c r="J229" s="4"/>
      <c r="K229" s="4"/>
      <c r="L229" s="4"/>
      <c r="M229" s="4"/>
      <c r="N229" s="4"/>
      <c r="O229" s="4"/>
      <c r="P229" s="4"/>
      <c r="Q229" s="4"/>
      <c r="R229" s="4"/>
      <c r="S229" s="4"/>
      <c r="T229" s="53"/>
      <c r="U229" s="4"/>
      <c r="V229" s="4"/>
      <c r="W229" s="4"/>
      <c r="X229" s="4"/>
      <c r="Y229" s="4"/>
      <c r="Z229" s="4"/>
      <c r="AA229" s="4"/>
      <c r="AB229" s="4"/>
    </row>
    <row r="230" spans="1:28" ht="15.75" customHeight="1">
      <c r="A230" s="4"/>
      <c r="B230" s="4"/>
      <c r="C230" s="4"/>
      <c r="D230" s="4"/>
      <c r="E230" s="4"/>
      <c r="F230" s="4"/>
      <c r="G230" s="4"/>
      <c r="H230" s="4"/>
      <c r="I230" s="4"/>
      <c r="J230" s="4"/>
      <c r="K230" s="4"/>
      <c r="L230" s="4"/>
      <c r="M230" s="4"/>
      <c r="N230" s="4"/>
      <c r="O230" s="4"/>
      <c r="P230" s="4"/>
      <c r="Q230" s="4"/>
      <c r="R230" s="4"/>
      <c r="S230" s="4"/>
      <c r="T230" s="53"/>
      <c r="U230" s="4"/>
      <c r="V230" s="4"/>
      <c r="W230" s="4"/>
      <c r="X230" s="4"/>
      <c r="Y230" s="4"/>
      <c r="Z230" s="4"/>
      <c r="AA230" s="4"/>
      <c r="AB230" s="4"/>
    </row>
    <row r="231" spans="1:28" ht="15.75" customHeight="1">
      <c r="A231" s="4"/>
      <c r="B231" s="4"/>
      <c r="C231" s="4"/>
      <c r="D231" s="4"/>
      <c r="E231" s="4"/>
      <c r="F231" s="4"/>
      <c r="G231" s="4"/>
      <c r="H231" s="4"/>
      <c r="I231" s="4"/>
      <c r="J231" s="4"/>
      <c r="K231" s="4"/>
      <c r="L231" s="4"/>
      <c r="M231" s="4"/>
      <c r="N231" s="4"/>
      <c r="O231" s="4"/>
      <c r="P231" s="4"/>
      <c r="Q231" s="4"/>
      <c r="R231" s="4"/>
      <c r="S231" s="4"/>
      <c r="T231" s="53"/>
      <c r="U231" s="4"/>
      <c r="V231" s="4"/>
      <c r="W231" s="4"/>
      <c r="X231" s="4"/>
      <c r="Y231" s="4"/>
      <c r="Z231" s="4"/>
      <c r="AA231" s="4"/>
      <c r="AB231" s="4"/>
    </row>
    <row r="232" spans="1:28" ht="15.75" customHeight="1">
      <c r="A232" s="4"/>
      <c r="B232" s="4"/>
      <c r="C232" s="4"/>
      <c r="D232" s="4"/>
      <c r="E232" s="4"/>
      <c r="F232" s="4"/>
      <c r="G232" s="4"/>
      <c r="H232" s="4"/>
      <c r="I232" s="4"/>
      <c r="J232" s="4"/>
      <c r="K232" s="4"/>
      <c r="L232" s="4"/>
      <c r="M232" s="4"/>
      <c r="N232" s="4"/>
      <c r="O232" s="4"/>
      <c r="P232" s="4"/>
      <c r="Q232" s="4"/>
      <c r="R232" s="4"/>
      <c r="S232" s="4"/>
      <c r="T232" s="53"/>
      <c r="U232" s="4"/>
      <c r="V232" s="4"/>
      <c r="W232" s="4"/>
      <c r="X232" s="4"/>
      <c r="Y232" s="4"/>
      <c r="Z232" s="4"/>
      <c r="AA232" s="4"/>
      <c r="AB232" s="4"/>
    </row>
    <row r="233" spans="1:28" ht="15.75" customHeight="1">
      <c r="A233" s="4"/>
      <c r="B233" s="4"/>
      <c r="C233" s="4"/>
      <c r="D233" s="4"/>
      <c r="E233" s="4"/>
      <c r="F233" s="4"/>
      <c r="G233" s="4"/>
      <c r="H233" s="4"/>
      <c r="I233" s="4"/>
      <c r="J233" s="4"/>
      <c r="K233" s="4"/>
      <c r="L233" s="4"/>
      <c r="M233" s="4"/>
      <c r="N233" s="4"/>
      <c r="O233" s="4"/>
      <c r="P233" s="4"/>
      <c r="Q233" s="4"/>
      <c r="R233" s="4"/>
      <c r="S233" s="4"/>
      <c r="T233" s="53"/>
      <c r="U233" s="4"/>
      <c r="V233" s="4"/>
      <c r="W233" s="4"/>
      <c r="X233" s="4"/>
      <c r="Y233" s="4"/>
      <c r="Z233" s="4"/>
      <c r="AA233" s="4"/>
      <c r="AB233" s="4"/>
    </row>
    <row r="234" spans="1:28" ht="15.75" customHeight="1">
      <c r="A234" s="4"/>
      <c r="B234" s="4"/>
      <c r="C234" s="4"/>
      <c r="D234" s="4"/>
      <c r="E234" s="4"/>
      <c r="F234" s="4"/>
      <c r="G234" s="4"/>
      <c r="H234" s="4"/>
      <c r="I234" s="4"/>
      <c r="J234" s="4"/>
      <c r="K234" s="4"/>
      <c r="L234" s="4"/>
      <c r="M234" s="4"/>
      <c r="N234" s="4"/>
      <c r="O234" s="4"/>
      <c r="P234" s="4"/>
      <c r="Q234" s="4"/>
      <c r="R234" s="4"/>
      <c r="S234" s="4"/>
      <c r="T234" s="53"/>
      <c r="U234" s="4"/>
      <c r="V234" s="4"/>
      <c r="W234" s="4"/>
      <c r="X234" s="4"/>
      <c r="Y234" s="4"/>
      <c r="Z234" s="4"/>
      <c r="AA234" s="4"/>
      <c r="AB234" s="4"/>
    </row>
    <row r="235" spans="1:28" ht="15.75" customHeight="1">
      <c r="A235" s="4"/>
      <c r="B235" s="4"/>
      <c r="C235" s="4"/>
      <c r="D235" s="4"/>
      <c r="E235" s="4"/>
      <c r="F235" s="4"/>
      <c r="G235" s="4"/>
      <c r="H235" s="4"/>
      <c r="I235" s="4"/>
      <c r="J235" s="4"/>
      <c r="K235" s="4"/>
      <c r="L235" s="4"/>
      <c r="M235" s="4"/>
      <c r="N235" s="4"/>
      <c r="O235" s="4"/>
      <c r="P235" s="4"/>
      <c r="Q235" s="4"/>
      <c r="R235" s="4"/>
      <c r="S235" s="4"/>
      <c r="T235" s="53"/>
      <c r="U235" s="4"/>
      <c r="V235" s="4"/>
      <c r="W235" s="4"/>
      <c r="X235" s="4"/>
      <c r="Y235" s="4"/>
      <c r="Z235" s="4"/>
      <c r="AA235" s="4"/>
      <c r="AB235" s="4"/>
    </row>
    <row r="236" spans="1:28" ht="15.75" customHeight="1">
      <c r="A236" s="4"/>
      <c r="B236" s="4"/>
      <c r="C236" s="4"/>
      <c r="D236" s="4"/>
      <c r="E236" s="4"/>
      <c r="F236" s="4"/>
      <c r="G236" s="4"/>
      <c r="H236" s="4"/>
      <c r="I236" s="4"/>
      <c r="J236" s="4"/>
      <c r="K236" s="4"/>
      <c r="L236" s="4"/>
      <c r="M236" s="4"/>
      <c r="N236" s="4"/>
      <c r="O236" s="4"/>
      <c r="P236" s="4"/>
      <c r="Q236" s="4"/>
      <c r="R236" s="4"/>
      <c r="S236" s="4"/>
      <c r="T236" s="53"/>
      <c r="U236" s="4"/>
      <c r="V236" s="4"/>
      <c r="W236" s="4"/>
      <c r="X236" s="4"/>
      <c r="Y236" s="4"/>
      <c r="Z236" s="4"/>
      <c r="AA236" s="4"/>
      <c r="AB236" s="4"/>
    </row>
    <row r="237" spans="1:28" ht="15.75" customHeight="1">
      <c r="A237" s="4"/>
      <c r="B237" s="4"/>
      <c r="C237" s="4"/>
      <c r="D237" s="4"/>
      <c r="E237" s="4"/>
      <c r="F237" s="4"/>
      <c r="G237" s="4"/>
      <c r="H237" s="4"/>
      <c r="I237" s="4"/>
      <c r="J237" s="4"/>
      <c r="K237" s="4"/>
      <c r="L237" s="4"/>
      <c r="M237" s="4"/>
      <c r="N237" s="4"/>
      <c r="O237" s="4"/>
      <c r="P237" s="4"/>
      <c r="Q237" s="4"/>
      <c r="R237" s="4"/>
      <c r="S237" s="4"/>
      <c r="T237" s="53"/>
      <c r="U237" s="4"/>
      <c r="V237" s="4"/>
      <c r="W237" s="4"/>
      <c r="X237" s="4"/>
      <c r="Y237" s="4"/>
      <c r="Z237" s="4"/>
      <c r="AA237" s="4"/>
      <c r="AB237" s="4"/>
    </row>
    <row r="238" spans="1:28" ht="15.75" customHeight="1">
      <c r="A238" s="4"/>
      <c r="B238" s="4"/>
      <c r="C238" s="4"/>
      <c r="D238" s="4"/>
      <c r="E238" s="4"/>
      <c r="F238" s="4"/>
      <c r="G238" s="4"/>
      <c r="H238" s="4"/>
      <c r="I238" s="4"/>
      <c r="J238" s="4"/>
      <c r="K238" s="4"/>
      <c r="L238" s="4"/>
      <c r="M238" s="4"/>
      <c r="N238" s="4"/>
      <c r="O238" s="4"/>
      <c r="P238" s="4"/>
      <c r="Q238" s="4"/>
      <c r="R238" s="4"/>
      <c r="S238" s="4"/>
      <c r="T238" s="53"/>
      <c r="U238" s="4"/>
      <c r="V238" s="4"/>
      <c r="W238" s="4"/>
      <c r="X238" s="4"/>
      <c r="Y238" s="4"/>
      <c r="Z238" s="4"/>
      <c r="AA238" s="4"/>
      <c r="AB238" s="4"/>
    </row>
    <row r="239" spans="1:28" ht="15.75" customHeight="1">
      <c r="A239" s="4"/>
      <c r="B239" s="4"/>
      <c r="C239" s="4"/>
      <c r="D239" s="4"/>
      <c r="E239" s="4"/>
      <c r="F239" s="4"/>
      <c r="G239" s="4"/>
      <c r="H239" s="4"/>
      <c r="I239" s="4"/>
      <c r="J239" s="4"/>
      <c r="K239" s="4"/>
      <c r="L239" s="4"/>
      <c r="M239" s="4"/>
      <c r="N239" s="4"/>
      <c r="O239" s="4"/>
      <c r="P239" s="4"/>
      <c r="Q239" s="4"/>
      <c r="R239" s="4"/>
      <c r="S239" s="4"/>
      <c r="T239" s="53"/>
      <c r="U239" s="4"/>
      <c r="V239" s="4"/>
      <c r="W239" s="4"/>
      <c r="X239" s="4"/>
      <c r="Y239" s="4"/>
      <c r="Z239" s="4"/>
      <c r="AA239" s="4"/>
      <c r="AB239" s="4"/>
    </row>
    <row r="240" spans="1:28" ht="15.75" customHeight="1">
      <c r="A240" s="4"/>
      <c r="B240" s="4"/>
      <c r="C240" s="4"/>
      <c r="D240" s="4"/>
      <c r="E240" s="4"/>
      <c r="F240" s="4"/>
      <c r="G240" s="4"/>
      <c r="H240" s="4"/>
      <c r="I240" s="4"/>
      <c r="J240" s="4"/>
      <c r="K240" s="4"/>
      <c r="L240" s="4"/>
      <c r="M240" s="4"/>
      <c r="N240" s="4"/>
      <c r="O240" s="4"/>
      <c r="P240" s="4"/>
      <c r="Q240" s="4"/>
      <c r="R240" s="4"/>
      <c r="S240" s="4"/>
      <c r="T240" s="53"/>
      <c r="U240" s="4"/>
      <c r="V240" s="4"/>
      <c r="W240" s="4"/>
      <c r="X240" s="4"/>
      <c r="Y240" s="4"/>
      <c r="Z240" s="4"/>
      <c r="AA240" s="4"/>
      <c r="AB240" s="4"/>
    </row>
    <row r="241" spans="1:28" ht="15.75" customHeight="1">
      <c r="A241" s="4"/>
      <c r="B241" s="4"/>
      <c r="C241" s="4"/>
      <c r="D241" s="4"/>
      <c r="E241" s="4"/>
      <c r="F241" s="4"/>
      <c r="G241" s="4"/>
      <c r="H241" s="4"/>
      <c r="I241" s="4"/>
      <c r="J241" s="4"/>
      <c r="K241" s="4"/>
      <c r="L241" s="4"/>
      <c r="M241" s="4"/>
      <c r="N241" s="4"/>
      <c r="O241" s="4"/>
      <c r="P241" s="4"/>
      <c r="Q241" s="4"/>
      <c r="R241" s="4"/>
      <c r="S241" s="4"/>
      <c r="T241" s="53"/>
      <c r="U241" s="4"/>
      <c r="V241" s="4"/>
      <c r="W241" s="4"/>
      <c r="X241" s="4"/>
      <c r="Y241" s="4"/>
      <c r="Z241" s="4"/>
      <c r="AA241" s="4"/>
      <c r="AB241" s="4"/>
    </row>
    <row r="242" spans="1:28" ht="15.75" customHeight="1">
      <c r="A242" s="4"/>
      <c r="B242" s="4"/>
      <c r="C242" s="4"/>
      <c r="D242" s="4"/>
      <c r="E242" s="4"/>
      <c r="F242" s="4"/>
      <c r="G242" s="4"/>
      <c r="H242" s="4"/>
      <c r="I242" s="4"/>
      <c r="J242" s="4"/>
      <c r="K242" s="4"/>
      <c r="L242" s="4"/>
      <c r="M242" s="4"/>
      <c r="N242" s="4"/>
      <c r="O242" s="4"/>
      <c r="P242" s="4"/>
      <c r="Q242" s="4"/>
      <c r="R242" s="4"/>
      <c r="S242" s="4"/>
      <c r="T242" s="53"/>
      <c r="U242" s="4"/>
      <c r="V242" s="4"/>
      <c r="W242" s="4"/>
      <c r="X242" s="4"/>
      <c r="Y242" s="4"/>
      <c r="Z242" s="4"/>
      <c r="AA242" s="4"/>
      <c r="AB242" s="4"/>
    </row>
    <row r="243" spans="1:28" ht="15.75" customHeight="1">
      <c r="A243" s="4"/>
      <c r="B243" s="4"/>
      <c r="C243" s="4"/>
      <c r="D243" s="4"/>
      <c r="E243" s="4"/>
      <c r="F243" s="4"/>
      <c r="G243" s="4"/>
      <c r="H243" s="4"/>
      <c r="I243" s="4"/>
      <c r="J243" s="4"/>
      <c r="K243" s="4"/>
      <c r="L243" s="4"/>
      <c r="M243" s="4"/>
      <c r="N243" s="4"/>
      <c r="O243" s="4"/>
      <c r="P243" s="4"/>
      <c r="Q243" s="4"/>
      <c r="R243" s="4"/>
      <c r="S243" s="4"/>
      <c r="T243" s="53"/>
      <c r="U243" s="4"/>
      <c r="V243" s="4"/>
      <c r="W243" s="4"/>
      <c r="X243" s="4"/>
      <c r="Y243" s="4"/>
      <c r="Z243" s="4"/>
      <c r="AA243" s="4"/>
      <c r="AB243" s="4"/>
    </row>
    <row r="244" spans="1:28" ht="15.75" customHeight="1">
      <c r="A244" s="4"/>
      <c r="B244" s="4"/>
      <c r="C244" s="4"/>
      <c r="D244" s="4"/>
      <c r="E244" s="4"/>
      <c r="F244" s="4"/>
      <c r="G244" s="4"/>
      <c r="H244" s="4"/>
      <c r="I244" s="4"/>
      <c r="J244" s="4"/>
      <c r="K244" s="4"/>
      <c r="L244" s="4"/>
      <c r="M244" s="4"/>
      <c r="N244" s="4"/>
      <c r="O244" s="4"/>
      <c r="P244" s="4"/>
      <c r="Q244" s="4"/>
      <c r="R244" s="4"/>
      <c r="S244" s="4"/>
      <c r="T244" s="53"/>
      <c r="U244" s="4"/>
      <c r="V244" s="4"/>
      <c r="W244" s="4"/>
      <c r="X244" s="4"/>
      <c r="Y244" s="4"/>
      <c r="Z244" s="4"/>
      <c r="AA244" s="4"/>
      <c r="AB244" s="4"/>
    </row>
    <row r="245" spans="1:28" ht="15.75" customHeight="1">
      <c r="A245" s="4"/>
      <c r="B245" s="4"/>
      <c r="C245" s="4"/>
      <c r="D245" s="4"/>
      <c r="E245" s="4"/>
      <c r="F245" s="4"/>
      <c r="G245" s="4"/>
      <c r="H245" s="4"/>
      <c r="I245" s="4"/>
      <c r="J245" s="4"/>
      <c r="K245" s="4"/>
      <c r="L245" s="4"/>
      <c r="M245" s="4"/>
      <c r="N245" s="4"/>
      <c r="O245" s="4"/>
      <c r="P245" s="4"/>
      <c r="Q245" s="4"/>
      <c r="R245" s="4"/>
      <c r="S245" s="4"/>
      <c r="T245" s="53"/>
      <c r="U245" s="4"/>
      <c r="V245" s="4"/>
      <c r="W245" s="4"/>
      <c r="X245" s="4"/>
      <c r="Y245" s="4"/>
      <c r="Z245" s="4"/>
      <c r="AA245" s="4"/>
      <c r="AB245" s="4"/>
    </row>
    <row r="246" spans="1:28" ht="15.75" customHeight="1">
      <c r="A246" s="4"/>
      <c r="B246" s="4"/>
      <c r="C246" s="4"/>
      <c r="D246" s="4"/>
      <c r="E246" s="4"/>
      <c r="F246" s="4"/>
      <c r="G246" s="4"/>
      <c r="H246" s="4"/>
      <c r="I246" s="4"/>
      <c r="J246" s="4"/>
      <c r="K246" s="4"/>
      <c r="L246" s="4"/>
      <c r="M246" s="4"/>
      <c r="N246" s="4"/>
      <c r="O246" s="4"/>
      <c r="P246" s="4"/>
      <c r="Q246" s="4"/>
      <c r="R246" s="4"/>
      <c r="S246" s="4"/>
      <c r="T246" s="53"/>
      <c r="U246" s="4"/>
      <c r="V246" s="4"/>
      <c r="W246" s="4"/>
      <c r="X246" s="4"/>
      <c r="Y246" s="4"/>
      <c r="Z246" s="4"/>
      <c r="AA246" s="4"/>
      <c r="AB246" s="4"/>
    </row>
    <row r="247" spans="1:28" ht="15.75" customHeight="1">
      <c r="A247" s="4"/>
      <c r="B247" s="4"/>
      <c r="C247" s="4"/>
      <c r="D247" s="4"/>
      <c r="E247" s="4"/>
      <c r="F247" s="4"/>
      <c r="G247" s="4"/>
      <c r="H247" s="4"/>
      <c r="I247" s="4"/>
      <c r="J247" s="4"/>
      <c r="K247" s="4"/>
      <c r="L247" s="4"/>
      <c r="M247" s="4"/>
      <c r="N247" s="4"/>
      <c r="O247" s="4"/>
      <c r="P247" s="4"/>
      <c r="Q247" s="4"/>
      <c r="R247" s="4"/>
      <c r="S247" s="4"/>
      <c r="T247" s="53"/>
      <c r="U247" s="4"/>
      <c r="V247" s="4"/>
      <c r="W247" s="4"/>
      <c r="X247" s="4"/>
      <c r="Y247" s="4"/>
      <c r="Z247" s="4"/>
      <c r="AA247" s="4"/>
      <c r="AB247" s="4"/>
    </row>
    <row r="248" spans="1:28" ht="15.75" customHeight="1">
      <c r="A248" s="4"/>
      <c r="B248" s="4"/>
      <c r="C248" s="4"/>
      <c r="D248" s="4"/>
      <c r="E248" s="4"/>
      <c r="F248" s="4"/>
      <c r="G248" s="4"/>
      <c r="H248" s="4"/>
      <c r="I248" s="4"/>
      <c r="J248" s="4"/>
      <c r="K248" s="4"/>
      <c r="L248" s="4"/>
      <c r="M248" s="4"/>
      <c r="N248" s="4"/>
      <c r="O248" s="4"/>
      <c r="P248" s="4"/>
      <c r="Q248" s="4"/>
      <c r="R248" s="4"/>
      <c r="S248" s="4"/>
      <c r="T248" s="53"/>
      <c r="U248" s="4"/>
      <c r="V248" s="4"/>
      <c r="W248" s="4"/>
      <c r="X248" s="4"/>
      <c r="Y248" s="4"/>
      <c r="Z248" s="4"/>
      <c r="AA248" s="4"/>
      <c r="AB248" s="4"/>
    </row>
    <row r="249" spans="1:28" ht="15.75" customHeight="1">
      <c r="A249" s="4"/>
      <c r="B249" s="4"/>
      <c r="C249" s="4"/>
      <c r="D249" s="4"/>
      <c r="E249" s="4"/>
      <c r="F249" s="4"/>
      <c r="G249" s="4"/>
      <c r="H249" s="4"/>
      <c r="I249" s="4"/>
      <c r="J249" s="4"/>
      <c r="K249" s="4"/>
      <c r="L249" s="4"/>
      <c r="M249" s="4"/>
      <c r="N249" s="4"/>
      <c r="O249" s="4"/>
      <c r="P249" s="4"/>
      <c r="Q249" s="4"/>
      <c r="R249" s="4"/>
      <c r="S249" s="4"/>
      <c r="T249" s="53"/>
      <c r="U249" s="4"/>
      <c r="V249" s="4"/>
      <c r="W249" s="4"/>
      <c r="X249" s="4"/>
      <c r="Y249" s="4"/>
      <c r="Z249" s="4"/>
      <c r="AA249" s="4"/>
      <c r="AB249" s="4"/>
    </row>
    <row r="250" spans="1:28" ht="15.75" customHeight="1">
      <c r="A250" s="4"/>
      <c r="B250" s="4"/>
      <c r="C250" s="4"/>
      <c r="D250" s="4"/>
      <c r="E250" s="4"/>
      <c r="F250" s="4"/>
      <c r="G250" s="4"/>
      <c r="H250" s="4"/>
      <c r="I250" s="4"/>
      <c r="J250" s="4"/>
      <c r="K250" s="4"/>
      <c r="L250" s="4"/>
      <c r="M250" s="4"/>
      <c r="N250" s="4"/>
      <c r="O250" s="4"/>
      <c r="P250" s="4"/>
      <c r="Q250" s="4"/>
      <c r="R250" s="4"/>
      <c r="S250" s="4"/>
      <c r="T250" s="53"/>
      <c r="U250" s="4"/>
      <c r="V250" s="4"/>
      <c r="W250" s="4"/>
      <c r="X250" s="4"/>
      <c r="Y250" s="4"/>
      <c r="Z250" s="4"/>
      <c r="AA250" s="4"/>
      <c r="AB250" s="4"/>
    </row>
    <row r="251" spans="1:28" ht="15.75" customHeight="1">
      <c r="A251" s="4"/>
      <c r="B251" s="4"/>
      <c r="C251" s="4"/>
      <c r="D251" s="4"/>
      <c r="E251" s="4"/>
      <c r="F251" s="4"/>
      <c r="G251" s="4"/>
      <c r="H251" s="4"/>
      <c r="I251" s="4"/>
      <c r="J251" s="4"/>
      <c r="K251" s="4"/>
      <c r="L251" s="4"/>
      <c r="M251" s="4"/>
      <c r="N251" s="4"/>
      <c r="O251" s="4"/>
      <c r="P251" s="4"/>
      <c r="Q251" s="4"/>
      <c r="R251" s="4"/>
      <c r="S251" s="4"/>
      <c r="T251" s="53"/>
      <c r="U251" s="4"/>
      <c r="V251" s="4"/>
      <c r="W251" s="4"/>
      <c r="X251" s="4"/>
      <c r="Y251" s="4"/>
      <c r="Z251" s="4"/>
      <c r="AA251" s="4"/>
      <c r="AB251" s="4"/>
    </row>
    <row r="252" spans="1:28" ht="15.75" customHeight="1">
      <c r="A252" s="4"/>
      <c r="B252" s="4"/>
      <c r="C252" s="4"/>
      <c r="D252" s="4"/>
      <c r="E252" s="4"/>
      <c r="F252" s="4"/>
      <c r="G252" s="4"/>
      <c r="H252" s="4"/>
      <c r="I252" s="4"/>
      <c r="J252" s="4"/>
      <c r="K252" s="4"/>
      <c r="L252" s="4"/>
      <c r="M252" s="4"/>
      <c r="N252" s="4"/>
      <c r="O252" s="4"/>
      <c r="P252" s="4"/>
      <c r="Q252" s="4"/>
      <c r="R252" s="4"/>
      <c r="S252" s="4"/>
      <c r="T252" s="53"/>
      <c r="U252" s="4"/>
      <c r="V252" s="4"/>
      <c r="W252" s="4"/>
      <c r="X252" s="4"/>
      <c r="Y252" s="4"/>
      <c r="Z252" s="4"/>
      <c r="AA252" s="4"/>
      <c r="AB252" s="4"/>
    </row>
    <row r="253" spans="1:28" ht="15.75" customHeight="1">
      <c r="A253" s="4"/>
      <c r="B253" s="4"/>
      <c r="C253" s="4"/>
      <c r="D253" s="4"/>
      <c r="E253" s="4"/>
      <c r="F253" s="4"/>
      <c r="G253" s="4"/>
      <c r="H253" s="4"/>
      <c r="I253" s="4"/>
      <c r="J253" s="4"/>
      <c r="K253" s="4"/>
      <c r="L253" s="4"/>
      <c r="M253" s="4"/>
      <c r="N253" s="4"/>
      <c r="O253" s="4"/>
      <c r="P253" s="4"/>
      <c r="Q253" s="4"/>
      <c r="R253" s="4"/>
      <c r="S253" s="4"/>
      <c r="T253" s="53"/>
      <c r="U253" s="4"/>
      <c r="V253" s="4"/>
      <c r="W253" s="4"/>
      <c r="X253" s="4"/>
      <c r="Y253" s="4"/>
      <c r="Z253" s="4"/>
      <c r="AA253" s="4"/>
      <c r="AB253" s="4"/>
    </row>
    <row r="254" spans="1:28" ht="15.75" customHeight="1">
      <c r="A254" s="4"/>
      <c r="B254" s="4"/>
      <c r="C254" s="4"/>
      <c r="D254" s="4"/>
      <c r="E254" s="4"/>
      <c r="F254" s="4"/>
      <c r="G254" s="4"/>
      <c r="H254" s="4"/>
      <c r="I254" s="4"/>
      <c r="J254" s="4"/>
      <c r="K254" s="4"/>
      <c r="L254" s="4"/>
      <c r="M254" s="4"/>
      <c r="N254" s="4"/>
      <c r="O254" s="4"/>
      <c r="P254" s="4"/>
      <c r="Q254" s="4"/>
      <c r="R254" s="4"/>
      <c r="S254" s="4"/>
      <c r="T254" s="53"/>
      <c r="U254" s="4"/>
      <c r="V254" s="4"/>
      <c r="W254" s="4"/>
      <c r="X254" s="4"/>
      <c r="Y254" s="4"/>
      <c r="Z254" s="4"/>
      <c r="AA254" s="4"/>
      <c r="AB254" s="4"/>
    </row>
    <row r="255" spans="1:28" ht="15.75" customHeight="1">
      <c r="A255" s="4"/>
      <c r="B255" s="4"/>
      <c r="C255" s="4"/>
      <c r="D255" s="4"/>
      <c r="E255" s="4"/>
      <c r="F255" s="4"/>
      <c r="G255" s="4"/>
      <c r="H255" s="4"/>
      <c r="I255" s="4"/>
      <c r="J255" s="4"/>
      <c r="K255" s="4"/>
      <c r="L255" s="4"/>
      <c r="M255" s="4"/>
      <c r="N255" s="4"/>
      <c r="O255" s="4"/>
      <c r="P255" s="4"/>
      <c r="Q255" s="4"/>
      <c r="R255" s="4"/>
      <c r="S255" s="4"/>
      <c r="T255" s="53"/>
      <c r="U255" s="4"/>
      <c r="V255" s="4"/>
      <c r="W255" s="4"/>
      <c r="X255" s="4"/>
      <c r="Y255" s="4"/>
      <c r="Z255" s="4"/>
      <c r="AA255" s="4"/>
      <c r="AB255" s="4"/>
    </row>
    <row r="256" spans="1:28" ht="15.75" customHeight="1">
      <c r="A256" s="4"/>
      <c r="B256" s="4"/>
      <c r="C256" s="4"/>
      <c r="D256" s="4"/>
      <c r="E256" s="4"/>
      <c r="F256" s="4"/>
      <c r="G256" s="4"/>
      <c r="H256" s="4"/>
      <c r="I256" s="4"/>
      <c r="J256" s="4"/>
      <c r="K256" s="4"/>
      <c r="L256" s="4"/>
      <c r="M256" s="4"/>
      <c r="N256" s="4"/>
      <c r="O256" s="4"/>
      <c r="P256" s="4"/>
      <c r="Q256" s="4"/>
      <c r="R256" s="4"/>
      <c r="S256" s="4"/>
      <c r="T256" s="53"/>
      <c r="U256" s="4"/>
      <c r="V256" s="4"/>
      <c r="W256" s="4"/>
      <c r="X256" s="4"/>
      <c r="Y256" s="4"/>
      <c r="Z256" s="4"/>
      <c r="AA256" s="4"/>
      <c r="AB256" s="4"/>
    </row>
    <row r="257" spans="1:28" ht="15.75" customHeight="1">
      <c r="A257" s="4"/>
      <c r="B257" s="4"/>
      <c r="C257" s="4"/>
      <c r="D257" s="4"/>
      <c r="E257" s="4"/>
      <c r="F257" s="4"/>
      <c r="G257" s="4"/>
      <c r="H257" s="4"/>
      <c r="I257" s="4"/>
      <c r="J257" s="4"/>
      <c r="K257" s="4"/>
      <c r="L257" s="4"/>
      <c r="M257" s="4"/>
      <c r="N257" s="4"/>
      <c r="O257" s="4"/>
      <c r="P257" s="4"/>
      <c r="Q257" s="4"/>
      <c r="R257" s="4"/>
      <c r="S257" s="4"/>
      <c r="T257" s="53"/>
      <c r="U257" s="4"/>
      <c r="V257" s="4"/>
      <c r="W257" s="4"/>
      <c r="X257" s="4"/>
      <c r="Y257" s="4"/>
      <c r="Z257" s="4"/>
      <c r="AA257" s="4"/>
      <c r="AB257" s="4"/>
    </row>
    <row r="258" spans="1:28" ht="15.75" customHeight="1">
      <c r="A258" s="4"/>
      <c r="B258" s="4"/>
      <c r="C258" s="4"/>
      <c r="D258" s="4"/>
      <c r="E258" s="4"/>
      <c r="F258" s="4"/>
      <c r="G258" s="4"/>
      <c r="H258" s="4"/>
      <c r="I258" s="4"/>
      <c r="J258" s="4"/>
      <c r="K258" s="4"/>
      <c r="L258" s="4"/>
      <c r="M258" s="4"/>
      <c r="N258" s="4"/>
      <c r="O258" s="4"/>
      <c r="P258" s="4"/>
      <c r="Q258" s="4"/>
      <c r="R258" s="4"/>
      <c r="S258" s="4"/>
      <c r="T258" s="53"/>
      <c r="U258" s="4"/>
      <c r="V258" s="4"/>
      <c r="W258" s="4"/>
      <c r="X258" s="4"/>
      <c r="Y258" s="4"/>
      <c r="Z258" s="4"/>
      <c r="AA258" s="4"/>
      <c r="AB258" s="4"/>
    </row>
    <row r="259" spans="1:28" ht="15.75" customHeight="1">
      <c r="A259" s="4"/>
      <c r="B259" s="4"/>
      <c r="C259" s="4"/>
      <c r="D259" s="4"/>
      <c r="E259" s="4"/>
      <c r="F259" s="4"/>
      <c r="G259" s="4"/>
      <c r="H259" s="4"/>
      <c r="I259" s="4"/>
      <c r="J259" s="4"/>
      <c r="K259" s="4"/>
      <c r="L259" s="4"/>
      <c r="M259" s="4"/>
      <c r="N259" s="4"/>
      <c r="O259" s="4"/>
      <c r="P259" s="4"/>
      <c r="Q259" s="4"/>
      <c r="R259" s="4"/>
      <c r="S259" s="4"/>
      <c r="T259" s="53"/>
      <c r="U259" s="4"/>
      <c r="V259" s="4"/>
      <c r="W259" s="4"/>
      <c r="X259" s="4"/>
      <c r="Y259" s="4"/>
      <c r="Z259" s="4"/>
      <c r="AA259" s="4"/>
      <c r="AB259" s="4"/>
    </row>
    <row r="260" spans="1:28" ht="15.75" customHeight="1">
      <c r="A260" s="4"/>
      <c r="B260" s="4"/>
      <c r="C260" s="4"/>
      <c r="D260" s="4"/>
      <c r="E260" s="4"/>
      <c r="F260" s="4"/>
      <c r="G260" s="4"/>
      <c r="H260" s="4"/>
      <c r="I260" s="4"/>
      <c r="J260" s="4"/>
      <c r="K260" s="4"/>
      <c r="L260" s="4"/>
      <c r="M260" s="4"/>
      <c r="N260" s="4"/>
      <c r="O260" s="4"/>
      <c r="P260" s="4"/>
      <c r="Q260" s="4"/>
      <c r="R260" s="4"/>
      <c r="S260" s="4"/>
      <c r="T260" s="53"/>
      <c r="U260" s="4"/>
      <c r="V260" s="4"/>
      <c r="W260" s="4"/>
      <c r="X260" s="4"/>
      <c r="Y260" s="4"/>
      <c r="Z260" s="4"/>
      <c r="AA260" s="4"/>
      <c r="AB260" s="4"/>
    </row>
    <row r="261" spans="1:28" ht="15.75" customHeight="1">
      <c r="A261" s="4"/>
      <c r="B261" s="4"/>
      <c r="C261" s="4"/>
      <c r="D261" s="4"/>
      <c r="E261" s="4"/>
      <c r="F261" s="4"/>
      <c r="G261" s="4"/>
      <c r="H261" s="4"/>
      <c r="I261" s="4"/>
      <c r="J261" s="4"/>
      <c r="K261" s="4"/>
      <c r="L261" s="4"/>
      <c r="M261" s="4"/>
      <c r="N261" s="4"/>
      <c r="O261" s="4"/>
      <c r="P261" s="4"/>
      <c r="Q261" s="4"/>
      <c r="R261" s="4"/>
      <c r="S261" s="4"/>
      <c r="T261" s="53"/>
      <c r="U261" s="4"/>
      <c r="V261" s="4"/>
      <c r="W261" s="4"/>
      <c r="X261" s="4"/>
      <c r="Y261" s="4"/>
      <c r="Z261" s="4"/>
      <c r="AA261" s="4"/>
      <c r="AB261" s="4"/>
    </row>
    <row r="262" spans="1:28" ht="15.75" customHeight="1">
      <c r="A262" s="4"/>
      <c r="B262" s="4"/>
      <c r="C262" s="4"/>
      <c r="D262" s="4"/>
      <c r="E262" s="4"/>
      <c r="F262" s="4"/>
      <c r="G262" s="4"/>
      <c r="H262" s="4"/>
      <c r="I262" s="4"/>
      <c r="J262" s="4"/>
      <c r="K262" s="4"/>
      <c r="L262" s="4"/>
      <c r="M262" s="4"/>
      <c r="N262" s="4"/>
      <c r="O262" s="4"/>
      <c r="P262" s="4"/>
      <c r="Q262" s="4"/>
      <c r="R262" s="4"/>
      <c r="S262" s="4"/>
      <c r="T262" s="53"/>
      <c r="U262" s="4"/>
      <c r="V262" s="4"/>
      <c r="W262" s="4"/>
      <c r="X262" s="4"/>
      <c r="Y262" s="4"/>
      <c r="Z262" s="4"/>
      <c r="AA262" s="4"/>
      <c r="AB262" s="4"/>
    </row>
    <row r="263" spans="1:28" ht="15.75" customHeight="1">
      <c r="A263" s="4"/>
      <c r="B263" s="4"/>
      <c r="C263" s="4"/>
      <c r="D263" s="4"/>
      <c r="E263" s="4"/>
      <c r="F263" s="4"/>
      <c r="G263" s="4"/>
      <c r="H263" s="4"/>
      <c r="I263" s="4"/>
      <c r="J263" s="4"/>
      <c r="K263" s="4"/>
      <c r="L263" s="4"/>
      <c r="M263" s="4"/>
      <c r="N263" s="4"/>
      <c r="O263" s="4"/>
      <c r="P263" s="4"/>
      <c r="Q263" s="4"/>
      <c r="R263" s="4"/>
      <c r="S263" s="4"/>
      <c r="T263" s="53"/>
      <c r="U263" s="4"/>
      <c r="V263" s="4"/>
      <c r="W263" s="4"/>
      <c r="X263" s="4"/>
      <c r="Y263" s="4"/>
      <c r="Z263" s="4"/>
      <c r="AA263" s="4"/>
      <c r="AB263" s="4"/>
    </row>
    <row r="264" spans="1:28" ht="15.75" customHeight="1">
      <c r="A264" s="4"/>
      <c r="B264" s="4"/>
      <c r="C264" s="4"/>
      <c r="D264" s="4"/>
      <c r="E264" s="4"/>
      <c r="F264" s="4"/>
      <c r="G264" s="4"/>
      <c r="H264" s="4"/>
      <c r="I264" s="4"/>
      <c r="J264" s="4"/>
      <c r="K264" s="4"/>
      <c r="L264" s="4"/>
      <c r="M264" s="4"/>
      <c r="N264" s="4"/>
      <c r="O264" s="4"/>
      <c r="P264" s="4"/>
      <c r="Q264" s="4"/>
      <c r="R264" s="4"/>
      <c r="S264" s="4"/>
      <c r="T264" s="53"/>
      <c r="U264" s="4"/>
      <c r="V264" s="4"/>
      <c r="W264" s="4"/>
      <c r="X264" s="4"/>
      <c r="Y264" s="4"/>
      <c r="Z264" s="4"/>
      <c r="AA264" s="4"/>
      <c r="AB264" s="4"/>
    </row>
    <row r="265" spans="1:28" ht="15.75" customHeight="1">
      <c r="A265" s="4"/>
      <c r="B265" s="4"/>
      <c r="C265" s="4"/>
      <c r="D265" s="4"/>
      <c r="E265" s="4"/>
      <c r="F265" s="4"/>
      <c r="G265" s="4"/>
      <c r="H265" s="4"/>
      <c r="I265" s="4"/>
      <c r="J265" s="4"/>
      <c r="K265" s="4"/>
      <c r="L265" s="4"/>
      <c r="M265" s="4"/>
      <c r="N265" s="4"/>
      <c r="O265" s="4"/>
      <c r="P265" s="4"/>
      <c r="Q265" s="4"/>
      <c r="R265" s="4"/>
      <c r="S265" s="4"/>
      <c r="T265" s="53"/>
      <c r="U265" s="4"/>
      <c r="V265" s="4"/>
      <c r="W265" s="4"/>
      <c r="X265" s="4"/>
      <c r="Y265" s="4"/>
      <c r="Z265" s="4"/>
      <c r="AA265" s="4"/>
      <c r="AB265" s="4"/>
    </row>
    <row r="266" spans="1:28" ht="15.75" customHeight="1">
      <c r="A266" s="4"/>
      <c r="B266" s="4"/>
      <c r="C266" s="4"/>
      <c r="D266" s="4"/>
      <c r="E266" s="4"/>
      <c r="F266" s="4"/>
      <c r="G266" s="4"/>
      <c r="H266" s="4"/>
      <c r="I266" s="4"/>
      <c r="J266" s="4"/>
      <c r="K266" s="4"/>
      <c r="L266" s="4"/>
      <c r="M266" s="4"/>
      <c r="N266" s="4"/>
      <c r="O266" s="4"/>
      <c r="P266" s="4"/>
      <c r="Q266" s="4"/>
      <c r="R266" s="4"/>
      <c r="S266" s="4"/>
      <c r="T266" s="53"/>
      <c r="U266" s="4"/>
      <c r="V266" s="4"/>
      <c r="W266" s="4"/>
      <c r="X266" s="4"/>
      <c r="Y266" s="4"/>
      <c r="Z266" s="4"/>
      <c r="AA266" s="4"/>
      <c r="AB266" s="4"/>
    </row>
    <row r="267" spans="1:28" ht="15.75" customHeight="1">
      <c r="A267" s="4"/>
      <c r="B267" s="4"/>
      <c r="C267" s="4"/>
      <c r="D267" s="4"/>
      <c r="E267" s="4"/>
      <c r="F267" s="4"/>
      <c r="G267" s="4"/>
      <c r="H267" s="4"/>
      <c r="I267" s="4"/>
      <c r="J267" s="4"/>
      <c r="K267" s="4"/>
      <c r="L267" s="4"/>
      <c r="M267" s="4"/>
      <c r="N267" s="4"/>
      <c r="O267" s="4"/>
      <c r="P267" s="4"/>
      <c r="Q267" s="4"/>
      <c r="R267" s="4"/>
      <c r="S267" s="4"/>
      <c r="T267" s="53"/>
      <c r="U267" s="4"/>
      <c r="V267" s="4"/>
      <c r="W267" s="4"/>
      <c r="X267" s="4"/>
      <c r="Y267" s="4"/>
      <c r="Z267" s="4"/>
      <c r="AA267" s="4"/>
      <c r="AB267" s="4"/>
    </row>
    <row r="268" spans="1:28" ht="15.75" customHeight="1">
      <c r="A268" s="4"/>
      <c r="B268" s="4"/>
      <c r="C268" s="4"/>
      <c r="D268" s="4"/>
      <c r="E268" s="4"/>
      <c r="F268" s="4"/>
      <c r="G268" s="4"/>
      <c r="H268" s="4"/>
      <c r="I268" s="4"/>
      <c r="J268" s="4"/>
      <c r="K268" s="4"/>
      <c r="L268" s="4"/>
      <c r="M268" s="4"/>
      <c r="N268" s="4"/>
      <c r="O268" s="4"/>
      <c r="P268" s="4"/>
      <c r="Q268" s="4"/>
      <c r="R268" s="4"/>
      <c r="S268" s="4"/>
      <c r="T268" s="53"/>
      <c r="U268" s="4"/>
      <c r="V268" s="4"/>
      <c r="W268" s="4"/>
      <c r="X268" s="4"/>
      <c r="Y268" s="4"/>
      <c r="Z268" s="4"/>
      <c r="AA268" s="4"/>
      <c r="AB268" s="4"/>
    </row>
    <row r="269" spans="1:28" ht="15.75" customHeight="1">
      <c r="A269" s="4"/>
      <c r="B269" s="4"/>
      <c r="C269" s="4"/>
      <c r="D269" s="4"/>
      <c r="E269" s="4"/>
      <c r="F269" s="4"/>
      <c r="G269" s="4"/>
      <c r="H269" s="4"/>
      <c r="I269" s="4"/>
      <c r="J269" s="4"/>
      <c r="K269" s="4"/>
      <c r="L269" s="4"/>
      <c r="M269" s="4"/>
      <c r="N269" s="4"/>
      <c r="O269" s="4"/>
      <c r="P269" s="4"/>
      <c r="Q269" s="4"/>
      <c r="R269" s="4"/>
      <c r="S269" s="4"/>
      <c r="T269" s="53"/>
      <c r="U269" s="4"/>
      <c r="V269" s="4"/>
      <c r="W269" s="4"/>
      <c r="X269" s="4"/>
      <c r="Y269" s="4"/>
      <c r="Z269" s="4"/>
      <c r="AA269" s="4"/>
      <c r="AB269" s="4"/>
    </row>
    <row r="270" spans="1:28" ht="15.75" customHeight="1">
      <c r="A270" s="4"/>
      <c r="B270" s="4"/>
      <c r="C270" s="4"/>
      <c r="D270" s="4"/>
      <c r="E270" s="4"/>
      <c r="F270" s="4"/>
      <c r="G270" s="4"/>
      <c r="H270" s="4"/>
      <c r="I270" s="4"/>
      <c r="J270" s="4"/>
      <c r="K270" s="4"/>
      <c r="L270" s="4"/>
      <c r="M270" s="4"/>
      <c r="N270" s="4"/>
      <c r="O270" s="4"/>
      <c r="P270" s="4"/>
      <c r="Q270" s="4"/>
      <c r="R270" s="4"/>
      <c r="S270" s="4"/>
      <c r="T270" s="53"/>
      <c r="U270" s="4"/>
      <c r="V270" s="4"/>
      <c r="W270" s="4"/>
      <c r="X270" s="4"/>
      <c r="Y270" s="4"/>
      <c r="Z270" s="4"/>
      <c r="AA270" s="4"/>
      <c r="AB270" s="4"/>
    </row>
    <row r="271" spans="1:28" ht="15.75" customHeight="1">
      <c r="A271" s="4"/>
      <c r="B271" s="4"/>
      <c r="C271" s="4"/>
      <c r="D271" s="4"/>
      <c r="E271" s="4"/>
      <c r="F271" s="4"/>
      <c r="G271" s="4"/>
      <c r="H271" s="4"/>
      <c r="I271" s="4"/>
      <c r="J271" s="4"/>
      <c r="K271" s="4"/>
      <c r="L271" s="4"/>
      <c r="M271" s="4"/>
      <c r="N271" s="4"/>
      <c r="O271" s="4"/>
      <c r="P271" s="4"/>
      <c r="Q271" s="4"/>
      <c r="R271" s="4"/>
      <c r="S271" s="4"/>
      <c r="T271" s="53"/>
      <c r="U271" s="4"/>
      <c r="V271" s="4"/>
      <c r="W271" s="4"/>
      <c r="X271" s="4"/>
      <c r="Y271" s="4"/>
      <c r="Z271" s="4"/>
      <c r="AA271" s="4"/>
      <c r="AB271" s="4"/>
    </row>
    <row r="272" spans="1:28" ht="15.75" customHeight="1">
      <c r="A272" s="4"/>
      <c r="B272" s="4"/>
      <c r="C272" s="4"/>
      <c r="D272" s="4"/>
      <c r="E272" s="4"/>
      <c r="F272" s="4"/>
      <c r="G272" s="4"/>
      <c r="H272" s="4"/>
      <c r="I272" s="4"/>
      <c r="J272" s="4"/>
      <c r="K272" s="4"/>
      <c r="L272" s="4"/>
      <c r="M272" s="4"/>
      <c r="N272" s="4"/>
      <c r="O272" s="4"/>
      <c r="P272" s="4"/>
      <c r="Q272" s="4"/>
      <c r="R272" s="4"/>
      <c r="S272" s="4"/>
      <c r="T272" s="53"/>
      <c r="U272" s="4"/>
      <c r="V272" s="4"/>
      <c r="W272" s="4"/>
      <c r="X272" s="4"/>
      <c r="Y272" s="4"/>
      <c r="Z272" s="4"/>
      <c r="AA272" s="4"/>
      <c r="AB272" s="4"/>
    </row>
    <row r="273" spans="1:28" ht="15.75" customHeight="1">
      <c r="A273" s="4"/>
      <c r="B273" s="4"/>
      <c r="C273" s="4"/>
      <c r="D273" s="4"/>
      <c r="E273" s="4"/>
      <c r="F273" s="4"/>
      <c r="G273" s="4"/>
      <c r="H273" s="4"/>
      <c r="I273" s="4"/>
      <c r="J273" s="4"/>
      <c r="K273" s="4"/>
      <c r="L273" s="4"/>
      <c r="M273" s="4"/>
      <c r="N273" s="4"/>
      <c r="O273" s="4"/>
      <c r="P273" s="4"/>
      <c r="Q273" s="4"/>
      <c r="R273" s="4"/>
      <c r="S273" s="4"/>
      <c r="T273" s="53"/>
      <c r="U273" s="4"/>
      <c r="V273" s="4"/>
      <c r="W273" s="4"/>
      <c r="X273" s="4"/>
      <c r="Y273" s="4"/>
      <c r="Z273" s="4"/>
      <c r="AA273" s="4"/>
      <c r="AB273" s="4"/>
    </row>
    <row r="274" spans="1:28" ht="15.75" customHeight="1">
      <c r="A274" s="4"/>
      <c r="B274" s="4"/>
      <c r="C274" s="4"/>
      <c r="D274" s="4"/>
      <c r="E274" s="4"/>
      <c r="F274" s="4"/>
      <c r="G274" s="4"/>
      <c r="H274" s="4"/>
      <c r="I274" s="4"/>
      <c r="J274" s="4"/>
      <c r="K274" s="4"/>
      <c r="L274" s="4"/>
      <c r="M274" s="4"/>
      <c r="N274" s="4"/>
      <c r="O274" s="4"/>
      <c r="P274" s="4"/>
      <c r="Q274" s="4"/>
      <c r="R274" s="4"/>
      <c r="S274" s="4"/>
      <c r="T274" s="53"/>
      <c r="U274" s="4"/>
      <c r="V274" s="4"/>
      <c r="W274" s="4"/>
      <c r="X274" s="4"/>
      <c r="Y274" s="4"/>
      <c r="Z274" s="4"/>
      <c r="AA274" s="4"/>
      <c r="AB274" s="4"/>
    </row>
    <row r="275" spans="1:28" ht="15.75" customHeight="1">
      <c r="A275" s="4"/>
      <c r="B275" s="4"/>
      <c r="C275" s="4"/>
      <c r="D275" s="4"/>
      <c r="E275" s="4"/>
      <c r="F275" s="4"/>
      <c r="G275" s="4"/>
      <c r="H275" s="4"/>
      <c r="I275" s="4"/>
      <c r="J275" s="4"/>
      <c r="K275" s="4"/>
      <c r="L275" s="4"/>
      <c r="M275" s="4"/>
      <c r="N275" s="4"/>
      <c r="O275" s="4"/>
      <c r="P275" s="4"/>
      <c r="Q275" s="4"/>
      <c r="R275" s="4"/>
      <c r="S275" s="4"/>
      <c r="T275" s="53"/>
      <c r="U275" s="4"/>
      <c r="V275" s="4"/>
      <c r="W275" s="4"/>
      <c r="X275" s="4"/>
      <c r="Y275" s="4"/>
      <c r="Z275" s="4"/>
      <c r="AA275" s="4"/>
      <c r="AB275" s="4"/>
    </row>
    <row r="276" spans="1:28" ht="15.75" customHeight="1">
      <c r="A276" s="4"/>
      <c r="B276" s="4"/>
      <c r="C276" s="4"/>
      <c r="D276" s="4"/>
      <c r="E276" s="4"/>
      <c r="F276" s="4"/>
      <c r="G276" s="4"/>
      <c r="H276" s="4"/>
      <c r="I276" s="4"/>
      <c r="J276" s="4"/>
      <c r="K276" s="4"/>
      <c r="L276" s="4"/>
      <c r="M276" s="4"/>
      <c r="N276" s="4"/>
      <c r="O276" s="4"/>
      <c r="P276" s="4"/>
      <c r="Q276" s="4"/>
      <c r="R276" s="4"/>
      <c r="S276" s="4"/>
      <c r="T276" s="53"/>
      <c r="U276" s="4"/>
      <c r="V276" s="4"/>
      <c r="W276" s="4"/>
      <c r="X276" s="4"/>
      <c r="Y276" s="4"/>
      <c r="Z276" s="4"/>
      <c r="AA276" s="4"/>
      <c r="AB276" s="4"/>
    </row>
    <row r="277" spans="1:28" ht="15.75" customHeight="1">
      <c r="A277" s="4"/>
      <c r="B277" s="4"/>
      <c r="C277" s="4"/>
      <c r="D277" s="4"/>
      <c r="E277" s="4"/>
      <c r="F277" s="4"/>
      <c r="G277" s="4"/>
      <c r="H277" s="4"/>
      <c r="I277" s="4"/>
      <c r="J277" s="4"/>
      <c r="K277" s="4"/>
      <c r="L277" s="4"/>
      <c r="M277" s="4"/>
      <c r="N277" s="4"/>
      <c r="O277" s="4"/>
      <c r="P277" s="4"/>
      <c r="Q277" s="4"/>
      <c r="R277" s="4"/>
      <c r="S277" s="4"/>
      <c r="T277" s="53"/>
      <c r="U277" s="4"/>
      <c r="V277" s="4"/>
      <c r="W277" s="4"/>
      <c r="X277" s="4"/>
      <c r="Y277" s="4"/>
      <c r="Z277" s="4"/>
      <c r="AA277" s="4"/>
      <c r="AB277" s="4"/>
    </row>
    <row r="278" spans="1:28" ht="15.75" customHeight="1">
      <c r="A278" s="4"/>
      <c r="B278" s="4"/>
      <c r="C278" s="4"/>
      <c r="D278" s="4"/>
      <c r="E278" s="4"/>
      <c r="F278" s="4"/>
      <c r="G278" s="4"/>
      <c r="H278" s="4"/>
      <c r="I278" s="4"/>
      <c r="J278" s="4"/>
      <c r="K278" s="4"/>
      <c r="L278" s="4"/>
      <c r="M278" s="4"/>
      <c r="N278" s="4"/>
      <c r="O278" s="4"/>
      <c r="P278" s="4"/>
      <c r="Q278" s="4"/>
      <c r="R278" s="4"/>
      <c r="S278" s="4"/>
      <c r="T278" s="53"/>
      <c r="U278" s="4"/>
      <c r="V278" s="4"/>
      <c r="W278" s="4"/>
      <c r="X278" s="4"/>
      <c r="Y278" s="4"/>
      <c r="Z278" s="4"/>
      <c r="AA278" s="4"/>
      <c r="AB278" s="4"/>
    </row>
    <row r="279" spans="1:28" ht="15.75" customHeight="1">
      <c r="A279" s="4"/>
      <c r="B279" s="4"/>
      <c r="C279" s="4"/>
      <c r="D279" s="4"/>
      <c r="E279" s="4"/>
      <c r="F279" s="4"/>
      <c r="G279" s="4"/>
      <c r="H279" s="4"/>
      <c r="I279" s="4"/>
      <c r="J279" s="4"/>
      <c r="K279" s="4"/>
      <c r="L279" s="4"/>
      <c r="M279" s="4"/>
      <c r="N279" s="4"/>
      <c r="O279" s="4"/>
      <c r="P279" s="4"/>
      <c r="Q279" s="4"/>
      <c r="R279" s="4"/>
      <c r="S279" s="4"/>
      <c r="T279" s="53"/>
      <c r="U279" s="4"/>
      <c r="V279" s="4"/>
      <c r="W279" s="4"/>
      <c r="X279" s="4"/>
      <c r="Y279" s="4"/>
      <c r="Z279" s="4"/>
      <c r="AA279" s="4"/>
      <c r="AB279" s="4"/>
    </row>
    <row r="280" spans="1:28" ht="15.75" customHeight="1">
      <c r="A280" s="4"/>
      <c r="B280" s="4"/>
      <c r="C280" s="4"/>
      <c r="D280" s="4"/>
      <c r="E280" s="4"/>
      <c r="F280" s="4"/>
      <c r="G280" s="4"/>
      <c r="H280" s="4"/>
      <c r="I280" s="4"/>
      <c r="J280" s="4"/>
      <c r="K280" s="4"/>
      <c r="L280" s="4"/>
      <c r="M280" s="4"/>
      <c r="N280" s="4"/>
      <c r="O280" s="4"/>
      <c r="P280" s="4"/>
      <c r="Q280" s="4"/>
      <c r="R280" s="4"/>
      <c r="S280" s="4"/>
      <c r="T280" s="53"/>
      <c r="U280" s="4"/>
      <c r="V280" s="4"/>
      <c r="W280" s="4"/>
      <c r="X280" s="4"/>
      <c r="Y280" s="4"/>
      <c r="Z280" s="4"/>
      <c r="AA280" s="4"/>
      <c r="AB280" s="4"/>
    </row>
    <row r="281" spans="1:28" ht="15.75" customHeight="1">
      <c r="A281" s="4"/>
      <c r="B281" s="4"/>
      <c r="C281" s="4"/>
      <c r="D281" s="4"/>
      <c r="E281" s="4"/>
      <c r="F281" s="4"/>
      <c r="G281" s="4"/>
      <c r="H281" s="4"/>
      <c r="I281" s="4"/>
      <c r="J281" s="4"/>
      <c r="K281" s="4"/>
      <c r="L281" s="4"/>
      <c r="M281" s="4"/>
      <c r="N281" s="4"/>
      <c r="O281" s="4"/>
      <c r="P281" s="4"/>
      <c r="Q281" s="4"/>
      <c r="R281" s="4"/>
      <c r="S281" s="4"/>
      <c r="T281" s="53"/>
      <c r="U281" s="4"/>
      <c r="V281" s="4"/>
      <c r="W281" s="4"/>
      <c r="X281" s="4"/>
      <c r="Y281" s="4"/>
      <c r="Z281" s="4"/>
      <c r="AA281" s="4"/>
      <c r="AB281" s="4"/>
    </row>
    <row r="282" spans="1:28" ht="15.75" customHeight="1">
      <c r="A282" s="4"/>
      <c r="B282" s="4"/>
      <c r="C282" s="4"/>
      <c r="D282" s="4"/>
      <c r="E282" s="4"/>
      <c r="F282" s="4"/>
      <c r="G282" s="4"/>
      <c r="H282" s="4"/>
      <c r="I282" s="4"/>
      <c r="J282" s="4"/>
      <c r="K282" s="4"/>
      <c r="L282" s="4"/>
      <c r="M282" s="4"/>
      <c r="N282" s="4"/>
      <c r="O282" s="4"/>
      <c r="P282" s="4"/>
      <c r="Q282" s="4"/>
      <c r="R282" s="4"/>
      <c r="S282" s="4"/>
      <c r="T282" s="53"/>
      <c r="U282" s="4"/>
      <c r="V282" s="4"/>
      <c r="W282" s="4"/>
      <c r="X282" s="4"/>
      <c r="Y282" s="4"/>
      <c r="Z282" s="4"/>
      <c r="AA282" s="4"/>
      <c r="AB282" s="4"/>
    </row>
    <row r="283" spans="1:28" ht="15.75" customHeight="1">
      <c r="A283" s="4"/>
      <c r="B283" s="4"/>
      <c r="C283" s="4"/>
      <c r="D283" s="4"/>
      <c r="E283" s="4"/>
      <c r="F283" s="4"/>
      <c r="G283" s="4"/>
      <c r="H283" s="4"/>
      <c r="I283" s="4"/>
      <c r="J283" s="4"/>
      <c r="K283" s="4"/>
      <c r="L283" s="4"/>
      <c r="M283" s="4"/>
      <c r="N283" s="4"/>
      <c r="O283" s="4"/>
      <c r="P283" s="4"/>
      <c r="Q283" s="4"/>
      <c r="R283" s="4"/>
      <c r="S283" s="4"/>
      <c r="T283" s="53"/>
      <c r="U283" s="4"/>
      <c r="V283" s="4"/>
      <c r="W283" s="4"/>
      <c r="X283" s="4"/>
      <c r="Y283" s="4"/>
      <c r="Z283" s="4"/>
      <c r="AA283" s="4"/>
      <c r="AB283" s="4"/>
    </row>
    <row r="284" spans="1:28" ht="15.75" customHeight="1">
      <c r="A284" s="4"/>
      <c r="B284" s="4"/>
      <c r="C284" s="4"/>
      <c r="D284" s="4"/>
      <c r="E284" s="4"/>
      <c r="F284" s="4"/>
      <c r="G284" s="4"/>
      <c r="H284" s="4"/>
      <c r="I284" s="4"/>
      <c r="J284" s="4"/>
      <c r="K284" s="4"/>
      <c r="L284" s="4"/>
      <c r="M284" s="4"/>
      <c r="N284" s="4"/>
      <c r="O284" s="4"/>
      <c r="P284" s="4"/>
      <c r="Q284" s="4"/>
      <c r="R284" s="4"/>
      <c r="S284" s="4"/>
      <c r="T284" s="53"/>
      <c r="U284" s="4"/>
      <c r="V284" s="4"/>
      <c r="W284" s="4"/>
      <c r="X284" s="4"/>
      <c r="Y284" s="4"/>
      <c r="Z284" s="4"/>
      <c r="AA284" s="4"/>
      <c r="AB284" s="4"/>
    </row>
    <row r="285" spans="1:28" ht="15.75" customHeight="1">
      <c r="A285" s="4"/>
      <c r="B285" s="4"/>
      <c r="C285" s="4"/>
      <c r="D285" s="4"/>
      <c r="E285" s="4"/>
      <c r="F285" s="4"/>
      <c r="G285" s="4"/>
      <c r="H285" s="4"/>
      <c r="I285" s="4"/>
      <c r="J285" s="4"/>
      <c r="K285" s="4"/>
      <c r="L285" s="4"/>
      <c r="M285" s="4"/>
      <c r="N285" s="4"/>
      <c r="O285" s="4"/>
      <c r="P285" s="4"/>
      <c r="Q285" s="4"/>
      <c r="R285" s="4"/>
      <c r="S285" s="4"/>
      <c r="T285" s="53"/>
      <c r="U285" s="4"/>
      <c r="V285" s="4"/>
      <c r="W285" s="4"/>
      <c r="X285" s="4"/>
      <c r="Y285" s="4"/>
      <c r="Z285" s="4"/>
      <c r="AA285" s="4"/>
      <c r="AB285" s="4"/>
    </row>
    <row r="286" spans="1:28" ht="15.75" customHeight="1">
      <c r="A286" s="4"/>
      <c r="B286" s="4"/>
      <c r="C286" s="4"/>
      <c r="D286" s="4"/>
      <c r="E286" s="4"/>
      <c r="F286" s="4"/>
      <c r="G286" s="4"/>
      <c r="H286" s="4"/>
      <c r="I286" s="4"/>
      <c r="J286" s="4"/>
      <c r="K286" s="4"/>
      <c r="L286" s="4"/>
      <c r="M286" s="4"/>
      <c r="N286" s="4"/>
      <c r="O286" s="4"/>
      <c r="P286" s="4"/>
      <c r="Q286" s="4"/>
      <c r="R286" s="4"/>
      <c r="S286" s="4"/>
      <c r="T286" s="53"/>
      <c r="U286" s="4"/>
      <c r="V286" s="4"/>
      <c r="W286" s="4"/>
      <c r="X286" s="4"/>
      <c r="Y286" s="4"/>
      <c r="Z286" s="4"/>
      <c r="AA286" s="4"/>
      <c r="AB286" s="4"/>
    </row>
    <row r="287" spans="1:28" ht="15.75" customHeight="1">
      <c r="A287" s="4"/>
      <c r="B287" s="4"/>
      <c r="C287" s="4"/>
      <c r="D287" s="4"/>
      <c r="E287" s="4"/>
      <c r="F287" s="4"/>
      <c r="G287" s="4"/>
      <c r="H287" s="4"/>
      <c r="I287" s="4"/>
      <c r="J287" s="4"/>
      <c r="K287" s="4"/>
      <c r="L287" s="4"/>
      <c r="M287" s="4"/>
      <c r="N287" s="4"/>
      <c r="O287" s="4"/>
      <c r="P287" s="4"/>
      <c r="Q287" s="4"/>
      <c r="R287" s="4"/>
      <c r="S287" s="4"/>
      <c r="T287" s="53"/>
      <c r="U287" s="4"/>
      <c r="V287" s="4"/>
      <c r="W287" s="4"/>
      <c r="X287" s="4"/>
      <c r="Y287" s="4"/>
      <c r="Z287" s="4"/>
      <c r="AA287" s="4"/>
      <c r="AB287" s="4"/>
    </row>
    <row r="288" spans="1:28" ht="15.75" customHeight="1">
      <c r="A288" s="4"/>
      <c r="B288" s="4"/>
      <c r="C288" s="4"/>
      <c r="D288" s="4"/>
      <c r="E288" s="4"/>
      <c r="F288" s="4"/>
      <c r="G288" s="4"/>
      <c r="H288" s="4"/>
      <c r="I288" s="4"/>
      <c r="J288" s="4"/>
      <c r="K288" s="4"/>
      <c r="L288" s="4"/>
      <c r="M288" s="4"/>
      <c r="N288" s="4"/>
      <c r="O288" s="4"/>
      <c r="P288" s="4"/>
      <c r="Q288" s="4"/>
      <c r="R288" s="4"/>
      <c r="S288" s="4"/>
      <c r="T288" s="53"/>
      <c r="U288" s="4"/>
      <c r="V288" s="4"/>
      <c r="W288" s="4"/>
      <c r="X288" s="4"/>
      <c r="Y288" s="4"/>
      <c r="Z288" s="4"/>
      <c r="AA288" s="4"/>
      <c r="AB288" s="4"/>
    </row>
    <row r="289" spans="1:28" ht="15.75" customHeight="1">
      <c r="A289" s="4"/>
      <c r="B289" s="4"/>
      <c r="C289" s="4"/>
      <c r="D289" s="4"/>
      <c r="E289" s="4"/>
      <c r="F289" s="4"/>
      <c r="G289" s="4"/>
      <c r="H289" s="4"/>
      <c r="I289" s="4"/>
      <c r="J289" s="4"/>
      <c r="K289" s="4"/>
      <c r="L289" s="4"/>
      <c r="M289" s="4"/>
      <c r="N289" s="4"/>
      <c r="O289" s="4"/>
      <c r="P289" s="4"/>
      <c r="Q289" s="4"/>
      <c r="R289" s="4"/>
      <c r="S289" s="4"/>
      <c r="T289" s="53"/>
      <c r="U289" s="4"/>
      <c r="V289" s="4"/>
      <c r="W289" s="4"/>
      <c r="X289" s="4"/>
      <c r="Y289" s="4"/>
      <c r="Z289" s="4"/>
      <c r="AA289" s="4"/>
      <c r="AB289" s="4"/>
    </row>
    <row r="290" spans="1:28" ht="15.75" customHeight="1">
      <c r="A290" s="4"/>
      <c r="B290" s="4"/>
      <c r="C290" s="4"/>
      <c r="D290" s="4"/>
      <c r="E290" s="4"/>
      <c r="F290" s="4"/>
      <c r="G290" s="4"/>
      <c r="H290" s="4"/>
      <c r="I290" s="4"/>
      <c r="J290" s="4"/>
      <c r="K290" s="4"/>
      <c r="L290" s="4"/>
      <c r="M290" s="4"/>
      <c r="N290" s="4"/>
      <c r="O290" s="4"/>
      <c r="P290" s="4"/>
      <c r="Q290" s="4"/>
      <c r="R290" s="4"/>
      <c r="S290" s="4"/>
      <c r="T290" s="53"/>
      <c r="U290" s="4"/>
      <c r="V290" s="4"/>
      <c r="W290" s="4"/>
      <c r="X290" s="4"/>
      <c r="Y290" s="4"/>
      <c r="Z290" s="4"/>
      <c r="AA290" s="4"/>
      <c r="AB290" s="4"/>
    </row>
    <row r="291" spans="1:28" ht="15.75" customHeight="1">
      <c r="A291" s="4"/>
      <c r="B291" s="4"/>
      <c r="C291" s="4"/>
      <c r="D291" s="4"/>
      <c r="E291" s="4"/>
      <c r="F291" s="4"/>
      <c r="G291" s="4"/>
      <c r="H291" s="4"/>
      <c r="I291" s="4"/>
      <c r="J291" s="4"/>
      <c r="K291" s="4"/>
      <c r="L291" s="4"/>
      <c r="M291" s="4"/>
      <c r="N291" s="4"/>
      <c r="O291" s="4"/>
      <c r="P291" s="4"/>
      <c r="Q291" s="4"/>
      <c r="R291" s="4"/>
      <c r="S291" s="4"/>
      <c r="T291" s="53"/>
      <c r="U291" s="4"/>
      <c r="V291" s="4"/>
      <c r="W291" s="4"/>
      <c r="X291" s="4"/>
      <c r="Y291" s="4"/>
      <c r="Z291" s="4"/>
      <c r="AA291" s="4"/>
      <c r="AB291" s="4"/>
    </row>
    <row r="292" spans="1:28" ht="15.75" customHeight="1">
      <c r="A292" s="4"/>
      <c r="B292" s="4"/>
      <c r="C292" s="4"/>
      <c r="D292" s="4"/>
      <c r="E292" s="4"/>
      <c r="F292" s="4"/>
      <c r="G292" s="4"/>
      <c r="H292" s="4"/>
      <c r="I292" s="4"/>
      <c r="J292" s="4"/>
      <c r="K292" s="4"/>
      <c r="L292" s="4"/>
      <c r="M292" s="4"/>
      <c r="N292" s="4"/>
      <c r="O292" s="4"/>
      <c r="P292" s="4"/>
      <c r="Q292" s="4"/>
      <c r="R292" s="4"/>
      <c r="S292" s="4"/>
      <c r="T292" s="53"/>
      <c r="U292" s="4"/>
      <c r="V292" s="4"/>
      <c r="W292" s="4"/>
      <c r="X292" s="4"/>
      <c r="Y292" s="4"/>
      <c r="Z292" s="4"/>
      <c r="AA292" s="4"/>
      <c r="AB292" s="4"/>
    </row>
    <row r="293" spans="1:28" ht="15.75" customHeight="1">
      <c r="A293" s="4"/>
      <c r="B293" s="4"/>
      <c r="C293" s="4"/>
      <c r="D293" s="4"/>
      <c r="E293" s="4"/>
      <c r="F293" s="4"/>
      <c r="G293" s="4"/>
      <c r="H293" s="4"/>
      <c r="I293" s="4"/>
      <c r="J293" s="4"/>
      <c r="K293" s="4"/>
      <c r="L293" s="4"/>
      <c r="M293" s="4"/>
      <c r="N293" s="4"/>
      <c r="O293" s="4"/>
      <c r="P293" s="4"/>
      <c r="Q293" s="4"/>
      <c r="R293" s="4"/>
      <c r="S293" s="4"/>
      <c r="T293" s="53"/>
      <c r="U293" s="4"/>
      <c r="V293" s="4"/>
      <c r="W293" s="4"/>
      <c r="X293" s="4"/>
      <c r="Y293" s="4"/>
      <c r="Z293" s="4"/>
      <c r="AA293" s="4"/>
      <c r="AB293" s="4"/>
    </row>
    <row r="294" spans="1:28" ht="15.75" customHeight="1">
      <c r="A294" s="4"/>
      <c r="B294" s="4"/>
      <c r="C294" s="4"/>
      <c r="D294" s="4"/>
      <c r="E294" s="4"/>
      <c r="F294" s="4"/>
      <c r="G294" s="4"/>
      <c r="H294" s="4"/>
      <c r="I294" s="4"/>
      <c r="J294" s="4"/>
      <c r="K294" s="4"/>
      <c r="L294" s="4"/>
      <c r="M294" s="4"/>
      <c r="N294" s="4"/>
      <c r="O294" s="4"/>
      <c r="P294" s="4"/>
      <c r="Q294" s="4"/>
      <c r="R294" s="4"/>
      <c r="S294" s="4"/>
      <c r="T294" s="53"/>
      <c r="U294" s="4"/>
      <c r="V294" s="4"/>
      <c r="W294" s="4"/>
      <c r="X294" s="4"/>
      <c r="Y294" s="4"/>
      <c r="Z294" s="4"/>
      <c r="AA294" s="4"/>
      <c r="AB294" s="4"/>
    </row>
    <row r="295" spans="1:28" ht="15.75" customHeight="1">
      <c r="A295" s="4"/>
      <c r="B295" s="4"/>
      <c r="C295" s="4"/>
      <c r="D295" s="4"/>
      <c r="E295" s="4"/>
      <c r="F295" s="4"/>
      <c r="G295" s="4"/>
      <c r="H295" s="4"/>
      <c r="I295" s="4"/>
      <c r="J295" s="4"/>
      <c r="K295" s="4"/>
      <c r="L295" s="4"/>
      <c r="M295" s="4"/>
      <c r="N295" s="4"/>
      <c r="O295" s="4"/>
      <c r="P295" s="4"/>
      <c r="Q295" s="4"/>
      <c r="R295" s="4"/>
      <c r="S295" s="4"/>
      <c r="T295" s="53"/>
      <c r="U295" s="4"/>
      <c r="V295" s="4"/>
      <c r="W295" s="4"/>
      <c r="X295" s="4"/>
      <c r="Y295" s="4"/>
      <c r="Z295" s="4"/>
      <c r="AA295" s="4"/>
      <c r="AB295" s="4"/>
    </row>
    <row r="296" spans="1:28" ht="15.75" customHeight="1">
      <c r="A296" s="4"/>
      <c r="B296" s="4"/>
      <c r="C296" s="4"/>
      <c r="D296" s="4"/>
      <c r="E296" s="4"/>
      <c r="F296" s="4"/>
      <c r="G296" s="4"/>
      <c r="H296" s="4"/>
      <c r="I296" s="4"/>
      <c r="J296" s="4"/>
      <c r="K296" s="4"/>
      <c r="L296" s="4"/>
      <c r="M296" s="4"/>
      <c r="N296" s="4"/>
      <c r="O296" s="4"/>
      <c r="P296" s="4"/>
      <c r="Q296" s="4"/>
      <c r="R296" s="4"/>
      <c r="S296" s="4"/>
      <c r="T296" s="53"/>
      <c r="U296" s="4"/>
      <c r="V296" s="4"/>
      <c r="W296" s="4"/>
      <c r="X296" s="4"/>
      <c r="Y296" s="4"/>
      <c r="Z296" s="4"/>
      <c r="AA296" s="4"/>
      <c r="AB296" s="4"/>
    </row>
    <row r="297" spans="1:28" ht="15.75" customHeight="1">
      <c r="A297" s="4"/>
      <c r="B297" s="4"/>
      <c r="C297" s="4"/>
      <c r="D297" s="4"/>
      <c r="E297" s="4"/>
      <c r="F297" s="4"/>
      <c r="G297" s="4"/>
      <c r="H297" s="4"/>
      <c r="I297" s="4"/>
      <c r="J297" s="4"/>
      <c r="K297" s="4"/>
      <c r="L297" s="4"/>
      <c r="M297" s="4"/>
      <c r="N297" s="4"/>
      <c r="O297" s="4"/>
      <c r="P297" s="4"/>
      <c r="Q297" s="4"/>
      <c r="R297" s="4"/>
      <c r="S297" s="4"/>
      <c r="T297" s="53"/>
      <c r="U297" s="4"/>
      <c r="V297" s="4"/>
      <c r="W297" s="4"/>
      <c r="X297" s="4"/>
      <c r="Y297" s="4"/>
      <c r="Z297" s="4"/>
      <c r="AA297" s="4"/>
      <c r="AB297" s="4"/>
    </row>
    <row r="298" spans="1:28" ht="15.75" customHeight="1">
      <c r="A298" s="4"/>
      <c r="B298" s="4"/>
      <c r="C298" s="4"/>
      <c r="D298" s="4"/>
      <c r="E298" s="4"/>
      <c r="F298" s="4"/>
      <c r="G298" s="4"/>
      <c r="H298" s="4"/>
      <c r="I298" s="4"/>
      <c r="J298" s="4"/>
      <c r="K298" s="4"/>
      <c r="L298" s="4"/>
      <c r="M298" s="4"/>
      <c r="N298" s="4"/>
      <c r="O298" s="4"/>
      <c r="P298" s="4"/>
      <c r="Q298" s="4"/>
      <c r="R298" s="4"/>
      <c r="S298" s="4"/>
      <c r="T298" s="53"/>
      <c r="U298" s="4"/>
      <c r="V298" s="4"/>
      <c r="W298" s="4"/>
      <c r="X298" s="4"/>
      <c r="Y298" s="4"/>
      <c r="Z298" s="4"/>
      <c r="AA298" s="4"/>
      <c r="AB298" s="4"/>
    </row>
    <row r="299" spans="1:28" ht="15.75" customHeight="1">
      <c r="A299" s="4"/>
      <c r="B299" s="4"/>
      <c r="C299" s="4"/>
      <c r="D299" s="4"/>
      <c r="E299" s="4"/>
      <c r="F299" s="4"/>
      <c r="G299" s="4"/>
      <c r="H299" s="4"/>
      <c r="I299" s="4"/>
      <c r="J299" s="4"/>
      <c r="K299" s="4"/>
      <c r="L299" s="4"/>
      <c r="M299" s="4"/>
      <c r="N299" s="4"/>
      <c r="O299" s="4"/>
      <c r="P299" s="4"/>
      <c r="Q299" s="4"/>
      <c r="R299" s="4"/>
      <c r="S299" s="4"/>
      <c r="T299" s="53"/>
      <c r="U299" s="4"/>
      <c r="V299" s="4"/>
      <c r="W299" s="4"/>
      <c r="X299" s="4"/>
      <c r="Y299" s="4"/>
      <c r="Z299" s="4"/>
      <c r="AA299" s="4"/>
      <c r="AB299" s="4"/>
    </row>
    <row r="300" spans="1:28" ht="15.75" customHeight="1">
      <c r="A300" s="4"/>
      <c r="B300" s="4"/>
      <c r="C300" s="4"/>
      <c r="D300" s="4"/>
      <c r="E300" s="4"/>
      <c r="F300" s="4"/>
      <c r="G300" s="4"/>
      <c r="H300" s="4"/>
      <c r="I300" s="4"/>
      <c r="J300" s="4"/>
      <c r="K300" s="4"/>
      <c r="L300" s="4"/>
      <c r="M300" s="4"/>
      <c r="N300" s="4"/>
      <c r="O300" s="4"/>
      <c r="P300" s="4"/>
      <c r="Q300" s="4"/>
      <c r="R300" s="4"/>
      <c r="S300" s="4"/>
      <c r="T300" s="53"/>
      <c r="U300" s="4"/>
      <c r="V300" s="4"/>
      <c r="W300" s="4"/>
      <c r="X300" s="4"/>
      <c r="Y300" s="4"/>
      <c r="Z300" s="4"/>
      <c r="AA300" s="4"/>
      <c r="AB300" s="4"/>
    </row>
    <row r="301" spans="1:28" ht="15.75" customHeight="1">
      <c r="A301" s="4"/>
      <c r="B301" s="4"/>
      <c r="C301" s="4"/>
      <c r="D301" s="4"/>
      <c r="E301" s="4"/>
      <c r="F301" s="4"/>
      <c r="G301" s="4"/>
      <c r="H301" s="4"/>
      <c r="I301" s="4"/>
      <c r="J301" s="4"/>
      <c r="K301" s="4"/>
      <c r="L301" s="4"/>
      <c r="M301" s="4"/>
      <c r="N301" s="4"/>
      <c r="O301" s="4"/>
      <c r="P301" s="4"/>
      <c r="Q301" s="4"/>
      <c r="R301" s="4"/>
      <c r="S301" s="4"/>
      <c r="T301" s="53"/>
      <c r="U301" s="4"/>
      <c r="V301" s="4"/>
      <c r="W301" s="4"/>
      <c r="X301" s="4"/>
      <c r="Y301" s="4"/>
      <c r="Z301" s="4"/>
      <c r="AA301" s="4"/>
      <c r="AB301" s="4"/>
    </row>
    <row r="302" spans="1:28"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5.75" customHeight="1"/>
    <row r="388" spans="1:28" ht="15.75" customHeight="1"/>
    <row r="389" spans="1:28" ht="15.75" customHeight="1"/>
    <row r="390" spans="1:28" ht="15.75" customHeight="1"/>
    <row r="391" spans="1:28" ht="15.75" customHeight="1"/>
    <row r="392" spans="1:28" ht="15.75" customHeight="1"/>
    <row r="393" spans="1:28" ht="15.75" customHeight="1"/>
    <row r="394" spans="1:28" ht="15.75" customHeight="1"/>
    <row r="395" spans="1:28" ht="15.75" customHeight="1"/>
    <row r="396" spans="1:28" ht="15.75" customHeight="1"/>
    <row r="397" spans="1:28" ht="15.75" customHeight="1"/>
    <row r="398" spans="1:28" ht="15.75" customHeight="1"/>
    <row r="399" spans="1:28" ht="15.75" customHeight="1"/>
    <row r="400" spans="1:28"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V1:AA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10"/>
  <sheetViews>
    <sheetView workbookViewId="0"/>
  </sheetViews>
  <sheetFormatPr baseColWidth="10" defaultColWidth="12.5703125" defaultRowHeight="15" customHeight="1"/>
  <cols>
    <col min="1" max="1" width="39.28515625" customWidth="1"/>
    <col min="2" max="5" width="12.28515625" customWidth="1"/>
    <col min="6" max="6" width="28" customWidth="1"/>
    <col min="8" max="8" width="23.28515625" customWidth="1"/>
    <col min="9" max="9" width="25" customWidth="1"/>
    <col min="10" max="10" width="9.5703125" customWidth="1"/>
  </cols>
  <sheetData>
    <row r="1" spans="1:26" ht="23.25">
      <c r="A1" s="296"/>
      <c r="B1" s="354" t="s">
        <v>486</v>
      </c>
      <c r="C1" s="346"/>
      <c r="D1" s="346"/>
      <c r="E1" s="346"/>
      <c r="F1" s="297" t="s">
        <v>487</v>
      </c>
      <c r="G1" s="228"/>
      <c r="H1" s="228"/>
      <c r="I1" s="228"/>
      <c r="J1" s="228"/>
      <c r="K1" s="228"/>
      <c r="L1" s="228"/>
      <c r="M1" s="228"/>
      <c r="N1" s="228"/>
      <c r="O1" s="228"/>
      <c r="P1" s="228"/>
      <c r="Q1" s="228"/>
      <c r="R1" s="228"/>
      <c r="S1" s="228"/>
      <c r="T1" s="228"/>
      <c r="U1" s="228"/>
      <c r="V1" s="228"/>
      <c r="W1" s="228"/>
      <c r="X1" s="228"/>
      <c r="Y1" s="228"/>
      <c r="Z1" s="228"/>
    </row>
    <row r="2" spans="1:26" ht="18">
      <c r="A2" s="296"/>
      <c r="B2" s="298">
        <v>2025</v>
      </c>
      <c r="C2" s="298">
        <v>2030</v>
      </c>
      <c r="D2" s="298">
        <v>2035</v>
      </c>
      <c r="E2" s="298">
        <v>2040</v>
      </c>
      <c r="F2" s="299">
        <v>2025</v>
      </c>
      <c r="G2" s="228"/>
      <c r="H2" s="228"/>
      <c r="I2" s="228"/>
      <c r="J2" s="228"/>
      <c r="K2" s="228"/>
      <c r="L2" s="228"/>
      <c r="M2" s="228"/>
      <c r="N2" s="228"/>
      <c r="O2" s="228"/>
      <c r="P2" s="228"/>
      <c r="Q2" s="228"/>
      <c r="R2" s="228"/>
      <c r="S2" s="228"/>
      <c r="T2" s="228"/>
      <c r="U2" s="228"/>
      <c r="V2" s="228"/>
      <c r="W2" s="228"/>
      <c r="X2" s="228"/>
      <c r="Y2" s="228"/>
      <c r="Z2" s="228"/>
    </row>
    <row r="3" spans="1:26" ht="21.75" customHeight="1">
      <c r="A3" s="355" t="s">
        <v>488</v>
      </c>
      <c r="B3" s="349"/>
      <c r="C3" s="349"/>
      <c r="D3" s="349"/>
      <c r="E3" s="350"/>
      <c r="F3" s="300"/>
      <c r="G3" s="296"/>
      <c r="H3" s="300"/>
      <c r="I3" s="300"/>
      <c r="J3" s="301"/>
      <c r="K3" s="296"/>
      <c r="L3" s="296"/>
      <c r="M3" s="296"/>
      <c r="N3" s="296"/>
      <c r="O3" s="296"/>
      <c r="P3" s="296"/>
      <c r="Q3" s="296"/>
      <c r="R3" s="296"/>
      <c r="S3" s="296"/>
      <c r="T3" s="296"/>
      <c r="U3" s="296"/>
      <c r="V3" s="296"/>
      <c r="W3" s="296"/>
      <c r="X3" s="296"/>
      <c r="Y3" s="296"/>
      <c r="Z3" s="296"/>
    </row>
    <row r="4" spans="1:26" ht="25.5">
      <c r="A4" s="302" t="s">
        <v>489</v>
      </c>
      <c r="B4" s="303">
        <f>'Malawi-only'!F9</f>
        <v>15</v>
      </c>
      <c r="C4" s="303">
        <f>'Malawi-only'!F14</f>
        <v>32.052075762447345</v>
      </c>
      <c r="D4" s="303">
        <f>'Malawi-only'!F19</f>
        <v>68.489037378777638</v>
      </c>
      <c r="E4" s="304">
        <f>'Malawi-only'!F24</f>
        <v>146.34772099744464</v>
      </c>
      <c r="F4" s="300" t="s">
        <v>490</v>
      </c>
      <c r="G4" s="296"/>
      <c r="H4" s="300" t="s">
        <v>491</v>
      </c>
      <c r="I4" s="300" t="s">
        <v>492</v>
      </c>
      <c r="J4" s="305" t="s">
        <v>493</v>
      </c>
      <c r="K4" s="296"/>
      <c r="L4" s="296"/>
      <c r="M4" s="296"/>
      <c r="N4" s="296"/>
      <c r="O4" s="296"/>
      <c r="P4" s="296"/>
      <c r="Q4" s="296"/>
      <c r="R4" s="296"/>
      <c r="S4" s="296"/>
      <c r="T4" s="296"/>
      <c r="U4" s="296"/>
      <c r="V4" s="296"/>
      <c r="W4" s="296"/>
      <c r="X4" s="296"/>
      <c r="Y4" s="296"/>
      <c r="Z4" s="296"/>
    </row>
    <row r="5" spans="1:26" ht="25.5">
      <c r="A5" s="302" t="s">
        <v>494</v>
      </c>
      <c r="B5" s="306">
        <f t="shared" ref="B5:B6" si="0">J5*15</f>
        <v>1.93875</v>
      </c>
      <c r="C5" s="306">
        <f t="shared" ref="C5:C6" si="1">J5*32</f>
        <v>4.1360000000000001</v>
      </c>
      <c r="D5" s="306">
        <f t="shared" ref="D5:D6" si="2">J5*68</f>
        <v>8.7889999999999997</v>
      </c>
      <c r="E5" s="307">
        <f t="shared" ref="E5:E6" si="3">J5*146</f>
        <v>18.8705</v>
      </c>
      <c r="F5" s="306">
        <f>J5*240</f>
        <v>31.02</v>
      </c>
      <c r="G5" s="228"/>
      <c r="H5" s="308">
        <v>2.35</v>
      </c>
      <c r="I5" s="308">
        <v>55</v>
      </c>
      <c r="J5" s="228">
        <f t="shared" ref="J5:J6" si="4">(H5*I5)/1000</f>
        <v>0.12925</v>
      </c>
      <c r="K5" s="228"/>
      <c r="L5" s="228"/>
      <c r="M5" s="228"/>
      <c r="N5" s="228"/>
      <c r="O5" s="228"/>
      <c r="P5" s="228"/>
      <c r="Q5" s="228"/>
      <c r="R5" s="228"/>
      <c r="S5" s="228"/>
      <c r="T5" s="228"/>
      <c r="U5" s="228"/>
      <c r="V5" s="228"/>
      <c r="W5" s="228"/>
      <c r="X5" s="228"/>
      <c r="Y5" s="228"/>
      <c r="Z5" s="228"/>
    </row>
    <row r="6" spans="1:26" ht="12.75">
      <c r="A6" s="309" t="s">
        <v>495</v>
      </c>
      <c r="B6" s="310">
        <f t="shared" si="0"/>
        <v>0.1905</v>
      </c>
      <c r="C6" s="310">
        <f t="shared" si="1"/>
        <v>0.40639999999999998</v>
      </c>
      <c r="D6" s="310">
        <f t="shared" si="2"/>
        <v>0.86359999999999992</v>
      </c>
      <c r="E6" s="311">
        <f t="shared" si="3"/>
        <v>1.8541999999999998</v>
      </c>
      <c r="F6" s="306">
        <f>B6*15</f>
        <v>2.8574999999999999</v>
      </c>
      <c r="G6" s="228"/>
      <c r="H6" s="308">
        <v>2.54</v>
      </c>
      <c r="I6" s="308">
        <v>5</v>
      </c>
      <c r="J6" s="228">
        <f t="shared" si="4"/>
        <v>1.2699999999999999E-2</v>
      </c>
      <c r="K6" s="228"/>
      <c r="L6" s="228"/>
      <c r="M6" s="228"/>
      <c r="N6" s="228"/>
      <c r="O6" s="228"/>
      <c r="P6" s="228"/>
      <c r="Q6" s="228"/>
      <c r="R6" s="228"/>
      <c r="S6" s="228"/>
      <c r="T6" s="228"/>
      <c r="U6" s="228"/>
      <c r="V6" s="228"/>
      <c r="W6" s="228"/>
      <c r="X6" s="228"/>
      <c r="Y6" s="228"/>
      <c r="Z6" s="228"/>
    </row>
    <row r="7" spans="1:26" ht="18.75" customHeight="1">
      <c r="A7" s="356" t="s">
        <v>496</v>
      </c>
      <c r="B7" s="349"/>
      <c r="C7" s="349"/>
      <c r="D7" s="349"/>
      <c r="E7" s="350"/>
      <c r="F7" s="228"/>
      <c r="G7" s="228"/>
      <c r="H7" s="228"/>
      <c r="I7" s="228"/>
      <c r="J7" s="228"/>
      <c r="K7" s="228"/>
      <c r="L7" s="228"/>
      <c r="M7" s="228"/>
      <c r="N7" s="228"/>
      <c r="O7" s="228"/>
      <c r="P7" s="228"/>
      <c r="Q7" s="228"/>
      <c r="R7" s="228"/>
      <c r="S7" s="228"/>
      <c r="T7" s="228"/>
      <c r="U7" s="228"/>
      <c r="V7" s="228"/>
      <c r="W7" s="228"/>
      <c r="X7" s="228"/>
      <c r="Y7" s="228"/>
      <c r="Z7" s="228"/>
    </row>
    <row r="8" spans="1:26" ht="12.75">
      <c r="A8" s="302" t="s">
        <v>497</v>
      </c>
      <c r="B8" s="306">
        <f t="shared" ref="B8:E8" si="5">B6</f>
        <v>0.1905</v>
      </c>
      <c r="C8" s="306">
        <f t="shared" si="5"/>
        <v>0.40639999999999998</v>
      </c>
      <c r="D8" s="306">
        <f t="shared" si="5"/>
        <v>0.86359999999999992</v>
      </c>
      <c r="E8" s="307">
        <f t="shared" si="5"/>
        <v>1.8541999999999998</v>
      </c>
      <c r="F8" s="228"/>
      <c r="G8" s="228"/>
      <c r="H8" s="228"/>
      <c r="I8" s="228"/>
      <c r="J8" s="228"/>
      <c r="K8" s="228"/>
      <c r="L8" s="228"/>
      <c r="M8" s="228"/>
      <c r="N8" s="228"/>
      <c r="O8" s="228"/>
      <c r="P8" s="228"/>
      <c r="Q8" s="228"/>
      <c r="R8" s="228"/>
      <c r="S8" s="228"/>
      <c r="T8" s="228"/>
      <c r="U8" s="228"/>
      <c r="V8" s="228"/>
      <c r="W8" s="228"/>
      <c r="X8" s="228"/>
      <c r="Y8" s="228"/>
      <c r="Z8" s="228"/>
    </row>
    <row r="9" spans="1:26" ht="15.75">
      <c r="A9" s="302" t="s">
        <v>498</v>
      </c>
      <c r="B9" s="312">
        <f>('Malawi-only'!$V$9*4)-B8</f>
        <v>0.10528931593365537</v>
      </c>
      <c r="C9" s="312">
        <f>('Malawi-only'!$V$14*4)-C8</f>
        <v>1.2917593706836823</v>
      </c>
      <c r="D9" s="312">
        <f>('Malawi-only'!$V$19*4)-D8</f>
        <v>4.4368271384051541</v>
      </c>
      <c r="E9" s="313">
        <f>('Malawi-only'!$V$24*4)-E8</f>
        <v>9.4181997431520426</v>
      </c>
      <c r="F9" s="306"/>
      <c r="G9" s="228"/>
      <c r="H9" s="228"/>
      <c r="I9" s="228"/>
      <c r="J9" s="228"/>
      <c r="K9" s="228"/>
      <c r="L9" s="228"/>
      <c r="M9" s="228"/>
      <c r="N9" s="228"/>
      <c r="O9" s="228"/>
      <c r="P9" s="228"/>
      <c r="Q9" s="228"/>
      <c r="R9" s="228"/>
      <c r="S9" s="228"/>
      <c r="T9" s="228"/>
      <c r="U9" s="228"/>
      <c r="V9" s="228"/>
      <c r="W9" s="228"/>
      <c r="X9" s="228"/>
      <c r="Y9" s="228"/>
      <c r="Z9" s="228"/>
    </row>
    <row r="10" spans="1:26" ht="26.25">
      <c r="A10" s="302" t="s">
        <v>499</v>
      </c>
      <c r="B10" s="312">
        <f>('Malawi and Norway'!$V$9*4)-B8</f>
        <v>0.10528931593365537</v>
      </c>
      <c r="C10" s="312">
        <f>('Malawi and Norway'!$V$14*4)-C8</f>
        <v>6.6059374524479262</v>
      </c>
      <c r="D10" s="312">
        <f>('Malawi and Norway'!$V$19*4)-D8</f>
        <v>11.501671161260623</v>
      </c>
      <c r="E10" s="313">
        <f>('Malawi and Norway'!$V$24*4)-E8</f>
        <v>16.24118673012762</v>
      </c>
      <c r="F10" s="306"/>
      <c r="G10" s="228"/>
      <c r="H10" s="228"/>
      <c r="I10" s="228"/>
      <c r="J10" s="228"/>
      <c r="K10" s="228"/>
      <c r="L10" s="228"/>
      <c r="M10" s="228"/>
      <c r="N10" s="228"/>
      <c r="O10" s="228"/>
      <c r="P10" s="228"/>
      <c r="Q10" s="228"/>
      <c r="R10" s="228"/>
      <c r="S10" s="228"/>
      <c r="T10" s="228"/>
      <c r="U10" s="228"/>
      <c r="V10" s="228"/>
      <c r="W10" s="228"/>
      <c r="X10" s="228"/>
      <c r="Y10" s="228"/>
      <c r="Z10" s="228"/>
    </row>
    <row r="11" spans="1:26" ht="15.75">
      <c r="A11" s="309" t="s">
        <v>500</v>
      </c>
      <c r="B11" s="312">
        <f>('Malawi and Norway'!$AA$9*4)-B8</f>
        <v>86.093166135898102</v>
      </c>
      <c r="C11" s="312">
        <f>('Malawi and Norway'!$AA$14*4)-C8</f>
        <v>89.51155348847513</v>
      </c>
      <c r="D11" s="312">
        <f>('Malawi and Norway'!$AA$19*4)-D8</f>
        <v>90.742674914993714</v>
      </c>
      <c r="E11" s="313">
        <f>('Malawi and Norway'!$AA$24*4)-E8</f>
        <v>92.031015915997983</v>
      </c>
      <c r="F11" s="306"/>
      <c r="G11" s="228"/>
      <c r="H11" s="228"/>
      <c r="I11" s="228"/>
      <c r="J11" s="228"/>
      <c r="K11" s="228"/>
      <c r="L11" s="228"/>
      <c r="M11" s="228"/>
      <c r="N11" s="228"/>
      <c r="O11" s="228"/>
      <c r="P11" s="228"/>
      <c r="Q11" s="228"/>
      <c r="R11" s="228"/>
      <c r="S11" s="228"/>
      <c r="T11" s="228"/>
      <c r="U11" s="228"/>
      <c r="V11" s="228"/>
      <c r="W11" s="228"/>
      <c r="X11" s="228"/>
      <c r="Y11" s="228"/>
      <c r="Z11" s="228"/>
    </row>
    <row r="12" spans="1:26" ht="20.25" customHeight="1">
      <c r="A12" s="357" t="s">
        <v>501</v>
      </c>
      <c r="B12" s="349"/>
      <c r="C12" s="349"/>
      <c r="D12" s="349"/>
      <c r="E12" s="350"/>
      <c r="F12" s="228"/>
      <c r="G12" s="228"/>
      <c r="H12" s="228"/>
      <c r="I12" s="228"/>
      <c r="J12" s="228"/>
      <c r="K12" s="228"/>
      <c r="L12" s="228"/>
      <c r="M12" s="228"/>
      <c r="N12" s="228"/>
      <c r="O12" s="228"/>
      <c r="P12" s="228"/>
      <c r="Q12" s="228"/>
      <c r="R12" s="228"/>
      <c r="S12" s="228"/>
      <c r="T12" s="228"/>
      <c r="U12" s="228"/>
      <c r="V12" s="228"/>
      <c r="W12" s="228"/>
      <c r="X12" s="228"/>
      <c r="Y12" s="228"/>
      <c r="Z12" s="228"/>
    </row>
    <row r="13" spans="1:26" ht="12.75">
      <c r="A13" s="302" t="s">
        <v>497</v>
      </c>
      <c r="B13" s="306">
        <f t="shared" ref="B13:E13" si="6">B6*3</f>
        <v>0.57150000000000001</v>
      </c>
      <c r="C13" s="306">
        <f t="shared" si="6"/>
        <v>1.2191999999999998</v>
      </c>
      <c r="D13" s="306">
        <f t="shared" si="6"/>
        <v>2.5907999999999998</v>
      </c>
      <c r="E13" s="307">
        <f t="shared" si="6"/>
        <v>5.5625999999999998</v>
      </c>
      <c r="F13" s="228"/>
      <c r="G13" s="228"/>
      <c r="H13" s="228"/>
      <c r="I13" s="228"/>
      <c r="J13" s="228"/>
      <c r="K13" s="228"/>
      <c r="L13" s="228"/>
      <c r="M13" s="228"/>
      <c r="N13" s="228"/>
      <c r="O13" s="228"/>
      <c r="P13" s="228"/>
      <c r="Q13" s="228"/>
      <c r="R13" s="228"/>
      <c r="S13" s="228"/>
      <c r="T13" s="228"/>
      <c r="U13" s="228"/>
      <c r="V13" s="228"/>
      <c r="W13" s="228"/>
      <c r="X13" s="228"/>
      <c r="Y13" s="228"/>
      <c r="Z13" s="228"/>
    </row>
    <row r="14" spans="1:26" ht="15.75">
      <c r="A14" s="302" t="s">
        <v>498</v>
      </c>
      <c r="B14" s="312">
        <f>('Malawi-only'!$V$9*4)-B13</f>
        <v>-0.27571068406634464</v>
      </c>
      <c r="C14" s="312">
        <f>('Malawi-only'!$V$14*4)-C13</f>
        <v>0.47895937068368233</v>
      </c>
      <c r="D14" s="312">
        <f>('Malawi-only'!$V$19*4)-D13</f>
        <v>2.7096271384051542</v>
      </c>
      <c r="E14" s="313">
        <f>('Malawi-only'!$V$24*4)-E13</f>
        <v>5.7097997431520433</v>
      </c>
      <c r="F14" s="228"/>
      <c r="G14" s="228"/>
      <c r="H14" s="228"/>
      <c r="I14" s="228"/>
      <c r="J14" s="228"/>
      <c r="K14" s="228"/>
      <c r="L14" s="228"/>
      <c r="M14" s="228"/>
      <c r="N14" s="228"/>
      <c r="O14" s="228"/>
      <c r="P14" s="228"/>
      <c r="Q14" s="228"/>
      <c r="R14" s="228"/>
      <c r="S14" s="228"/>
      <c r="T14" s="228"/>
      <c r="U14" s="228"/>
      <c r="V14" s="228"/>
      <c r="W14" s="228"/>
      <c r="X14" s="228"/>
      <c r="Y14" s="228"/>
      <c r="Z14" s="228"/>
    </row>
    <row r="15" spans="1:26" ht="26.25">
      <c r="A15" s="302" t="s">
        <v>499</v>
      </c>
      <c r="B15" s="312">
        <f>('Malawi and Norway'!$V$9*4)-B13</f>
        <v>-0.27571068406634464</v>
      </c>
      <c r="C15" s="312">
        <f>('Malawi and Norway'!$V$14*4)-C13</f>
        <v>5.793137452447926</v>
      </c>
      <c r="D15" s="312">
        <f>('Malawi and Norway'!$V$19*4)-D13</f>
        <v>9.7744711612606228</v>
      </c>
      <c r="E15" s="313">
        <f>('Malawi and Norway'!$V$24*4)-E13</f>
        <v>12.532786730127619</v>
      </c>
      <c r="F15" s="228"/>
      <c r="G15" s="228"/>
      <c r="H15" s="228"/>
      <c r="I15" s="228"/>
      <c r="J15" s="228"/>
      <c r="K15" s="228"/>
      <c r="L15" s="228"/>
      <c r="M15" s="228"/>
      <c r="N15" s="228"/>
      <c r="O15" s="228"/>
      <c r="P15" s="228"/>
      <c r="Q15" s="228"/>
      <c r="R15" s="228"/>
      <c r="S15" s="228"/>
      <c r="T15" s="228"/>
      <c r="U15" s="228"/>
      <c r="V15" s="228"/>
      <c r="W15" s="228"/>
      <c r="X15" s="228"/>
      <c r="Y15" s="228"/>
      <c r="Z15" s="228"/>
    </row>
    <row r="16" spans="1:26" ht="15.75">
      <c r="A16" s="309" t="s">
        <v>500</v>
      </c>
      <c r="B16" s="314">
        <f>('Malawi and Norway'!$AA$9*4)-B13</f>
        <v>85.712166135898102</v>
      </c>
      <c r="C16" s="314">
        <f>('Malawi and Norway'!$AA$14*4)-C13</f>
        <v>88.698753488475134</v>
      </c>
      <c r="D16" s="314">
        <f>('Malawi and Norway'!$AA$19*4)-D13</f>
        <v>89.015474914993717</v>
      </c>
      <c r="E16" s="315">
        <f>('Malawi and Norway'!$AA$24*4)-E13</f>
        <v>88.322615915997986</v>
      </c>
      <c r="F16" s="228"/>
      <c r="G16" s="228"/>
      <c r="H16" s="228"/>
      <c r="I16" s="228"/>
      <c r="J16" s="228"/>
      <c r="K16" s="228"/>
      <c r="L16" s="228"/>
      <c r="M16" s="228"/>
      <c r="N16" s="228"/>
      <c r="O16" s="228"/>
      <c r="P16" s="228"/>
      <c r="Q16" s="228"/>
      <c r="R16" s="228"/>
      <c r="S16" s="228"/>
      <c r="T16" s="228"/>
      <c r="U16" s="228"/>
      <c r="V16" s="228"/>
      <c r="W16" s="228"/>
      <c r="X16" s="228"/>
      <c r="Y16" s="228"/>
      <c r="Z16" s="228"/>
    </row>
    <row r="17" spans="1:26" ht="18" customHeight="1">
      <c r="A17" s="358" t="s">
        <v>502</v>
      </c>
      <c r="B17" s="349"/>
      <c r="C17" s="349"/>
      <c r="D17" s="349"/>
      <c r="E17" s="350"/>
      <c r="F17" s="306"/>
      <c r="G17" s="228"/>
      <c r="H17" s="228"/>
      <c r="I17" s="228"/>
      <c r="J17" s="228"/>
      <c r="K17" s="228"/>
      <c r="L17" s="228"/>
      <c r="M17" s="228"/>
      <c r="N17" s="228"/>
      <c r="O17" s="228"/>
      <c r="P17" s="228"/>
      <c r="Q17" s="228"/>
      <c r="R17" s="228"/>
      <c r="S17" s="228"/>
      <c r="T17" s="228"/>
      <c r="U17" s="228"/>
      <c r="V17" s="228"/>
      <c r="W17" s="228"/>
      <c r="X17" s="228"/>
      <c r="Y17" s="228"/>
      <c r="Z17" s="228"/>
    </row>
    <row r="18" spans="1:26" ht="12.75">
      <c r="A18" s="316" t="s">
        <v>497</v>
      </c>
      <c r="B18" s="317">
        <f t="shared" ref="B18:E18" si="7">B5+(B6*3)</f>
        <v>2.5102500000000001</v>
      </c>
      <c r="C18" s="317">
        <f t="shared" si="7"/>
        <v>5.3552</v>
      </c>
      <c r="D18" s="317">
        <f t="shared" si="7"/>
        <v>11.379799999999999</v>
      </c>
      <c r="E18" s="318">
        <f t="shared" si="7"/>
        <v>24.4331</v>
      </c>
      <c r="F18" s="306"/>
      <c r="G18" s="228"/>
      <c r="H18" s="228"/>
      <c r="I18" s="228"/>
      <c r="J18" s="228"/>
      <c r="K18" s="228"/>
      <c r="L18" s="228"/>
      <c r="M18" s="228"/>
      <c r="N18" s="228"/>
      <c r="O18" s="228"/>
      <c r="P18" s="228"/>
      <c r="Q18" s="228"/>
      <c r="R18" s="228"/>
      <c r="S18" s="228"/>
      <c r="T18" s="228"/>
      <c r="U18" s="228"/>
      <c r="V18" s="228"/>
      <c r="W18" s="228"/>
      <c r="X18" s="228"/>
      <c r="Y18" s="228"/>
      <c r="Z18" s="228"/>
    </row>
    <row r="19" spans="1:26" ht="15.75">
      <c r="A19" s="302" t="s">
        <v>498</v>
      </c>
      <c r="B19" s="312">
        <f>('Malawi-only'!$V$9*4)-B18</f>
        <v>-2.2144606840663448</v>
      </c>
      <c r="C19" s="312">
        <f>('Malawi-only'!$V$14*4)-C18</f>
        <v>-3.6570406293163176</v>
      </c>
      <c r="D19" s="312">
        <f>('Malawi-only'!$V$19*4)-D18</f>
        <v>-6.0793728615948455</v>
      </c>
      <c r="E19" s="313">
        <f>('Malawi-only'!$V$24*4)-E18</f>
        <v>-13.160700256847957</v>
      </c>
      <c r="F19" s="306"/>
      <c r="G19" s="228"/>
      <c r="H19" s="228"/>
      <c r="I19" s="228"/>
      <c r="J19" s="228"/>
      <c r="K19" s="228"/>
      <c r="L19" s="228"/>
      <c r="M19" s="228"/>
      <c r="N19" s="228"/>
      <c r="O19" s="228"/>
      <c r="P19" s="228"/>
      <c r="Q19" s="228"/>
      <c r="R19" s="228"/>
      <c r="S19" s="228"/>
      <c r="T19" s="228"/>
      <c r="U19" s="228"/>
      <c r="V19" s="228"/>
      <c r="W19" s="228"/>
      <c r="X19" s="228"/>
      <c r="Y19" s="228"/>
      <c r="Z19" s="228"/>
    </row>
    <row r="20" spans="1:26" ht="26.25">
      <c r="A20" s="302" t="s">
        <v>499</v>
      </c>
      <c r="B20" s="312">
        <f>('Malawi and Norway'!$V$9*4)-B18</f>
        <v>-2.2144606840663448</v>
      </c>
      <c r="C20" s="312">
        <f>('Malawi and Norway'!$V$14*4)-C18</f>
        <v>1.6571374524479259</v>
      </c>
      <c r="D20" s="312">
        <f>('Malawi and Norway'!$V$19*4)-D18</f>
        <v>0.98547116126062306</v>
      </c>
      <c r="E20" s="313">
        <f>('Malawi and Norway'!$V$24*4)-E18</f>
        <v>-6.3377132698723813</v>
      </c>
      <c r="F20" s="306"/>
      <c r="G20" s="228"/>
      <c r="H20" s="228"/>
      <c r="I20" s="228"/>
      <c r="J20" s="228"/>
      <c r="K20" s="228"/>
      <c r="L20" s="228"/>
      <c r="M20" s="228"/>
      <c r="N20" s="228"/>
      <c r="O20" s="228"/>
      <c r="P20" s="228"/>
      <c r="Q20" s="228"/>
      <c r="R20" s="228"/>
      <c r="S20" s="228"/>
      <c r="T20" s="228"/>
      <c r="U20" s="228"/>
      <c r="V20" s="228"/>
      <c r="W20" s="228"/>
      <c r="X20" s="228"/>
      <c r="Y20" s="228"/>
      <c r="Z20" s="228"/>
    </row>
    <row r="21" spans="1:26" ht="15.75">
      <c r="A21" s="309" t="s">
        <v>500</v>
      </c>
      <c r="B21" s="314">
        <f>('Malawi and Norway'!$AA$9*4)-B18</f>
        <v>83.773416135898103</v>
      </c>
      <c r="C21" s="314">
        <f>('Malawi and Norway'!$AA$14*4)-C18</f>
        <v>84.562753488475138</v>
      </c>
      <c r="D21" s="314">
        <f>('Malawi and Norway'!$AA$19*4)-D18</f>
        <v>80.226474914993716</v>
      </c>
      <c r="E21" s="315">
        <f>('Malawi and Norway'!$AA$24*4)-E18</f>
        <v>69.452115915997993</v>
      </c>
      <c r="F21" s="306"/>
      <c r="G21" s="228"/>
      <c r="H21" s="228"/>
      <c r="I21" s="228"/>
      <c r="J21" s="228"/>
      <c r="K21" s="228"/>
      <c r="L21" s="228"/>
      <c r="M21" s="228"/>
      <c r="N21" s="228"/>
      <c r="O21" s="228"/>
      <c r="P21" s="228"/>
      <c r="Q21" s="228"/>
      <c r="R21" s="228"/>
      <c r="S21" s="228"/>
      <c r="T21" s="228"/>
      <c r="U21" s="228"/>
      <c r="V21" s="228"/>
      <c r="W21" s="228"/>
      <c r="X21" s="228"/>
      <c r="Y21" s="228"/>
      <c r="Z21" s="228"/>
    </row>
    <row r="22" spans="1:26" ht="12.75">
      <c r="A22" s="296"/>
      <c r="B22" s="306"/>
      <c r="C22" s="306"/>
      <c r="D22" s="306"/>
      <c r="E22" s="306"/>
      <c r="F22" s="306"/>
      <c r="G22" s="228"/>
      <c r="H22" s="228"/>
      <c r="I22" s="228"/>
      <c r="J22" s="228"/>
      <c r="K22" s="228"/>
      <c r="L22" s="228"/>
      <c r="M22" s="228"/>
      <c r="N22" s="228"/>
      <c r="O22" s="228"/>
      <c r="P22" s="228"/>
      <c r="Q22" s="228"/>
      <c r="R22" s="228"/>
      <c r="S22" s="228"/>
      <c r="T22" s="228"/>
      <c r="U22" s="228"/>
      <c r="V22" s="228"/>
      <c r="W22" s="228"/>
      <c r="X22" s="228"/>
      <c r="Y22" s="228"/>
      <c r="Z22" s="228"/>
    </row>
    <row r="23" spans="1:26" ht="12.75">
      <c r="A23" s="296"/>
      <c r="B23" s="306"/>
      <c r="C23" s="306"/>
      <c r="D23" s="306"/>
      <c r="E23" s="306"/>
      <c r="F23" s="306"/>
      <c r="G23" s="228"/>
      <c r="H23" s="228"/>
      <c r="I23" s="228"/>
      <c r="J23" s="228"/>
      <c r="K23" s="228"/>
      <c r="L23" s="228"/>
      <c r="M23" s="228"/>
      <c r="N23" s="228"/>
      <c r="O23" s="228"/>
      <c r="P23" s="228"/>
      <c r="Q23" s="228"/>
      <c r="R23" s="228"/>
      <c r="S23" s="228"/>
      <c r="T23" s="228"/>
      <c r="U23" s="228"/>
      <c r="V23" s="228"/>
      <c r="W23" s="228"/>
      <c r="X23" s="228"/>
      <c r="Y23" s="228"/>
      <c r="Z23" s="228"/>
    </row>
    <row r="29" spans="1:26" ht="12.75">
      <c r="A29" s="296"/>
      <c r="B29" s="228"/>
      <c r="C29" s="228"/>
      <c r="D29" s="228"/>
      <c r="E29" s="228"/>
      <c r="F29" s="228"/>
      <c r="G29" s="228"/>
      <c r="H29" s="228"/>
      <c r="I29" s="228"/>
      <c r="J29" s="228"/>
      <c r="K29" s="228"/>
      <c r="L29" s="228"/>
      <c r="M29" s="228"/>
      <c r="N29" s="228"/>
      <c r="O29" s="228"/>
      <c r="P29" s="228"/>
      <c r="Q29" s="228"/>
      <c r="R29" s="228"/>
      <c r="S29" s="228"/>
      <c r="T29" s="228"/>
      <c r="U29" s="228"/>
      <c r="V29" s="228"/>
      <c r="W29" s="228"/>
      <c r="X29" s="228"/>
      <c r="Y29" s="228"/>
      <c r="Z29" s="228"/>
    </row>
    <row r="30" spans="1:26" ht="12.75">
      <c r="A30" s="296"/>
      <c r="B30" s="228"/>
      <c r="C30" s="228"/>
      <c r="D30" s="228"/>
      <c r="E30" s="228"/>
      <c r="F30" s="228"/>
      <c r="G30" s="228"/>
      <c r="H30" s="228"/>
      <c r="I30" s="228"/>
      <c r="J30" s="228"/>
      <c r="K30" s="228"/>
      <c r="L30" s="228"/>
      <c r="M30" s="228"/>
      <c r="N30" s="228"/>
      <c r="O30" s="228"/>
      <c r="P30" s="228"/>
      <c r="Q30" s="228"/>
      <c r="R30" s="228"/>
      <c r="S30" s="228"/>
      <c r="T30" s="228"/>
      <c r="U30" s="228"/>
      <c r="V30" s="228"/>
      <c r="W30" s="228"/>
      <c r="X30" s="228"/>
      <c r="Y30" s="228"/>
      <c r="Z30" s="228"/>
    </row>
    <row r="31" spans="1:26" ht="12.75">
      <c r="A31" s="296"/>
      <c r="B31" s="228"/>
      <c r="C31" s="228"/>
      <c r="D31" s="228"/>
      <c r="E31" s="228"/>
      <c r="F31" s="228"/>
      <c r="G31" s="228"/>
      <c r="H31" s="228"/>
      <c r="I31" s="228"/>
      <c r="J31" s="228"/>
      <c r="K31" s="228"/>
      <c r="L31" s="228"/>
      <c r="M31" s="228"/>
      <c r="N31" s="228"/>
      <c r="O31" s="228"/>
      <c r="P31" s="228"/>
      <c r="Q31" s="228"/>
      <c r="R31" s="228"/>
      <c r="S31" s="228"/>
      <c r="T31" s="228"/>
      <c r="U31" s="228"/>
      <c r="V31" s="228"/>
      <c r="W31" s="228"/>
      <c r="X31" s="228"/>
      <c r="Y31" s="228"/>
      <c r="Z31" s="228"/>
    </row>
    <row r="32" spans="1:26" ht="12.75">
      <c r="A32" s="296"/>
      <c r="B32" s="228"/>
      <c r="C32" s="228"/>
      <c r="D32" s="228"/>
      <c r="E32" s="228"/>
      <c r="F32" s="228"/>
      <c r="G32" s="228"/>
      <c r="H32" s="228"/>
      <c r="I32" s="228"/>
      <c r="J32" s="228"/>
      <c r="K32" s="228"/>
      <c r="L32" s="228"/>
      <c r="M32" s="228"/>
      <c r="N32" s="228"/>
      <c r="O32" s="228"/>
      <c r="P32" s="228"/>
      <c r="Q32" s="228"/>
      <c r="R32" s="228"/>
      <c r="S32" s="228"/>
      <c r="T32" s="228"/>
      <c r="U32" s="228"/>
      <c r="V32" s="228"/>
      <c r="W32" s="228"/>
      <c r="X32" s="228"/>
      <c r="Y32" s="228"/>
      <c r="Z32" s="228"/>
    </row>
    <row r="33" spans="1:26" ht="12.75">
      <c r="A33" s="296"/>
      <c r="B33" s="228"/>
      <c r="C33" s="228"/>
      <c r="D33" s="228"/>
      <c r="E33" s="228"/>
      <c r="F33" s="228"/>
      <c r="G33" s="228"/>
      <c r="H33" s="228"/>
      <c r="I33" s="228"/>
      <c r="J33" s="228"/>
      <c r="K33" s="228"/>
      <c r="L33" s="228"/>
      <c r="M33" s="228"/>
      <c r="N33" s="228"/>
      <c r="O33" s="228"/>
      <c r="P33" s="228"/>
      <c r="Q33" s="228"/>
      <c r="R33" s="228"/>
      <c r="S33" s="228"/>
      <c r="T33" s="228"/>
      <c r="U33" s="228"/>
      <c r="V33" s="228"/>
      <c r="W33" s="228"/>
      <c r="X33" s="228"/>
      <c r="Y33" s="228"/>
      <c r="Z33" s="228"/>
    </row>
    <row r="34" spans="1:26" ht="12.75">
      <c r="A34" s="296"/>
      <c r="B34" s="228"/>
      <c r="C34" s="228"/>
      <c r="D34" s="228"/>
      <c r="E34" s="228"/>
      <c r="F34" s="228"/>
      <c r="G34" s="228"/>
      <c r="H34" s="228"/>
      <c r="I34" s="228"/>
      <c r="J34" s="228"/>
      <c r="K34" s="228"/>
      <c r="L34" s="228"/>
      <c r="M34" s="228"/>
      <c r="N34" s="228"/>
      <c r="O34" s="228"/>
      <c r="P34" s="228"/>
      <c r="Q34" s="228"/>
      <c r="R34" s="228"/>
      <c r="S34" s="228"/>
      <c r="T34" s="228"/>
      <c r="U34" s="228"/>
      <c r="V34" s="228"/>
      <c r="W34" s="228"/>
      <c r="X34" s="228"/>
      <c r="Y34" s="228"/>
      <c r="Z34" s="228"/>
    </row>
    <row r="35" spans="1:26" ht="12.75">
      <c r="A35" s="296"/>
      <c r="B35" s="228"/>
      <c r="C35" s="228"/>
      <c r="D35" s="228"/>
      <c r="E35" s="228"/>
      <c r="F35" s="228"/>
      <c r="G35" s="228"/>
      <c r="H35" s="228"/>
      <c r="I35" s="228"/>
      <c r="J35" s="228"/>
      <c r="K35" s="228"/>
      <c r="L35" s="228"/>
      <c r="M35" s="228"/>
      <c r="N35" s="228"/>
      <c r="O35" s="228"/>
      <c r="P35" s="228"/>
      <c r="Q35" s="228"/>
      <c r="R35" s="228"/>
      <c r="S35" s="228"/>
      <c r="T35" s="228"/>
      <c r="U35" s="228"/>
      <c r="V35" s="228"/>
      <c r="W35" s="228"/>
      <c r="X35" s="228"/>
      <c r="Y35" s="228"/>
      <c r="Z35" s="228"/>
    </row>
    <row r="36" spans="1:26" ht="12.75">
      <c r="A36" s="296"/>
      <c r="B36" s="228"/>
      <c r="C36" s="228"/>
      <c r="D36" s="228"/>
      <c r="E36" s="228"/>
      <c r="F36" s="228"/>
      <c r="G36" s="228"/>
      <c r="H36" s="228"/>
      <c r="I36" s="228"/>
      <c r="J36" s="228"/>
      <c r="K36" s="228"/>
      <c r="L36" s="228"/>
      <c r="M36" s="228"/>
      <c r="N36" s="228"/>
      <c r="O36" s="228"/>
      <c r="P36" s="228"/>
      <c r="Q36" s="228"/>
      <c r="R36" s="228"/>
      <c r="S36" s="228"/>
      <c r="T36" s="228"/>
      <c r="U36" s="228"/>
      <c r="V36" s="228"/>
      <c r="W36" s="228"/>
      <c r="X36" s="228"/>
      <c r="Y36" s="228"/>
      <c r="Z36" s="228"/>
    </row>
    <row r="37" spans="1:26" ht="12.75">
      <c r="A37" s="296"/>
      <c r="B37" s="228"/>
      <c r="C37" s="228"/>
      <c r="D37" s="228"/>
      <c r="E37" s="228"/>
      <c r="F37" s="228"/>
      <c r="G37" s="228"/>
      <c r="H37" s="228"/>
      <c r="I37" s="228"/>
      <c r="J37" s="228"/>
      <c r="K37" s="228"/>
      <c r="L37" s="228"/>
      <c r="M37" s="228"/>
      <c r="N37" s="228"/>
      <c r="O37" s="228"/>
      <c r="P37" s="228"/>
      <c r="Q37" s="228"/>
      <c r="R37" s="228"/>
      <c r="S37" s="228"/>
      <c r="T37" s="228"/>
      <c r="U37" s="228"/>
      <c r="V37" s="228"/>
      <c r="W37" s="228"/>
      <c r="X37" s="228"/>
      <c r="Y37" s="228"/>
      <c r="Z37" s="228"/>
    </row>
    <row r="38" spans="1:26" ht="12.75">
      <c r="A38" s="296"/>
      <c r="B38" s="228"/>
      <c r="C38" s="228"/>
      <c r="D38" s="228"/>
      <c r="E38" s="228"/>
      <c r="F38" s="228"/>
      <c r="G38" s="228"/>
      <c r="H38" s="228"/>
      <c r="I38" s="228"/>
      <c r="J38" s="228"/>
      <c r="K38" s="228"/>
      <c r="L38" s="228"/>
      <c r="M38" s="228"/>
      <c r="N38" s="228"/>
      <c r="O38" s="228"/>
      <c r="P38" s="228"/>
      <c r="Q38" s="228"/>
      <c r="R38" s="228"/>
      <c r="S38" s="228"/>
      <c r="T38" s="228"/>
      <c r="U38" s="228"/>
      <c r="V38" s="228"/>
      <c r="W38" s="228"/>
      <c r="X38" s="228"/>
      <c r="Y38" s="228"/>
      <c r="Z38" s="228"/>
    </row>
    <row r="39" spans="1:26" ht="12.75">
      <c r="A39" s="296"/>
      <c r="B39" s="228"/>
      <c r="C39" s="228"/>
      <c r="D39" s="228"/>
      <c r="E39" s="228"/>
      <c r="F39" s="228"/>
      <c r="G39" s="228"/>
      <c r="H39" s="228"/>
      <c r="I39" s="228"/>
      <c r="J39" s="228"/>
      <c r="K39" s="228"/>
      <c r="L39" s="228"/>
      <c r="M39" s="228"/>
      <c r="N39" s="228"/>
      <c r="O39" s="228"/>
      <c r="P39" s="228"/>
      <c r="Q39" s="228"/>
      <c r="R39" s="228"/>
      <c r="S39" s="228"/>
      <c r="T39" s="228"/>
      <c r="U39" s="228"/>
      <c r="V39" s="228"/>
      <c r="W39" s="228"/>
      <c r="X39" s="228"/>
      <c r="Y39" s="228"/>
      <c r="Z39" s="228"/>
    </row>
    <row r="40" spans="1:26" ht="12.75">
      <c r="A40" s="296"/>
      <c r="B40" s="228"/>
      <c r="C40" s="228"/>
      <c r="D40" s="228"/>
      <c r="E40" s="228"/>
      <c r="F40" s="228"/>
      <c r="G40" s="228"/>
      <c r="H40" s="228"/>
      <c r="I40" s="228"/>
      <c r="J40" s="228"/>
      <c r="K40" s="228"/>
      <c r="L40" s="228"/>
      <c r="M40" s="228"/>
      <c r="N40" s="228"/>
      <c r="O40" s="228"/>
      <c r="P40" s="228"/>
      <c r="Q40" s="228"/>
      <c r="R40" s="228"/>
      <c r="S40" s="228"/>
      <c r="T40" s="228"/>
      <c r="U40" s="228"/>
      <c r="V40" s="228"/>
      <c r="W40" s="228"/>
      <c r="X40" s="228"/>
      <c r="Y40" s="228"/>
      <c r="Z40" s="228"/>
    </row>
    <row r="41" spans="1:26" ht="12.75">
      <c r="A41" s="296"/>
      <c r="B41" s="228"/>
      <c r="C41" s="228"/>
      <c r="D41" s="228"/>
      <c r="E41" s="228"/>
      <c r="F41" s="228"/>
      <c r="G41" s="228"/>
      <c r="H41" s="228"/>
      <c r="I41" s="228"/>
      <c r="J41" s="228"/>
      <c r="K41" s="228"/>
      <c r="L41" s="228"/>
      <c r="M41" s="228"/>
      <c r="N41" s="228"/>
      <c r="O41" s="228"/>
      <c r="P41" s="228"/>
      <c r="Q41" s="228"/>
      <c r="R41" s="228"/>
      <c r="S41" s="228"/>
      <c r="T41" s="228"/>
      <c r="U41" s="228"/>
      <c r="V41" s="228"/>
      <c r="W41" s="228"/>
      <c r="X41" s="228"/>
      <c r="Y41" s="228"/>
      <c r="Z41" s="228"/>
    </row>
    <row r="42" spans="1:26" ht="12.75">
      <c r="A42" s="296"/>
      <c r="B42" s="228"/>
      <c r="C42" s="228"/>
      <c r="D42" s="228"/>
      <c r="E42" s="228"/>
      <c r="F42" s="228"/>
      <c r="G42" s="228"/>
      <c r="H42" s="228"/>
      <c r="I42" s="228"/>
      <c r="J42" s="228"/>
      <c r="K42" s="228"/>
      <c r="L42" s="228"/>
      <c r="M42" s="228"/>
      <c r="N42" s="228"/>
      <c r="O42" s="228"/>
      <c r="P42" s="228"/>
      <c r="Q42" s="228"/>
      <c r="R42" s="228"/>
      <c r="S42" s="228"/>
      <c r="T42" s="228"/>
      <c r="U42" s="228"/>
      <c r="V42" s="228"/>
      <c r="W42" s="228"/>
      <c r="X42" s="228"/>
      <c r="Y42" s="228"/>
      <c r="Z42" s="228"/>
    </row>
    <row r="43" spans="1:26" ht="12.75">
      <c r="A43" s="296"/>
      <c r="B43" s="228"/>
      <c r="C43" s="228"/>
      <c r="D43" s="228"/>
      <c r="E43" s="228"/>
      <c r="F43" s="228"/>
      <c r="G43" s="228"/>
      <c r="H43" s="228"/>
      <c r="I43" s="228"/>
      <c r="J43" s="228"/>
      <c r="K43" s="228"/>
      <c r="L43" s="228"/>
      <c r="M43" s="228"/>
      <c r="N43" s="228"/>
      <c r="O43" s="228"/>
      <c r="P43" s="228"/>
      <c r="Q43" s="228"/>
      <c r="R43" s="228"/>
      <c r="S43" s="228"/>
      <c r="T43" s="228"/>
      <c r="U43" s="228"/>
      <c r="V43" s="228"/>
      <c r="W43" s="228"/>
      <c r="X43" s="228"/>
      <c r="Y43" s="228"/>
      <c r="Z43" s="228"/>
    </row>
    <row r="44" spans="1:26" ht="12.75">
      <c r="A44" s="296"/>
      <c r="B44" s="228"/>
      <c r="C44" s="228"/>
      <c r="D44" s="228"/>
      <c r="E44" s="228"/>
      <c r="F44" s="228"/>
      <c r="G44" s="228"/>
      <c r="H44" s="228"/>
      <c r="I44" s="228"/>
      <c r="J44" s="228"/>
      <c r="K44" s="228"/>
      <c r="L44" s="228"/>
      <c r="M44" s="228"/>
      <c r="N44" s="228"/>
      <c r="O44" s="228"/>
      <c r="P44" s="228"/>
      <c r="Q44" s="228"/>
      <c r="R44" s="228"/>
      <c r="S44" s="228"/>
      <c r="T44" s="228"/>
      <c r="U44" s="228"/>
      <c r="V44" s="228"/>
      <c r="W44" s="228"/>
      <c r="X44" s="228"/>
      <c r="Y44" s="228"/>
      <c r="Z44" s="228"/>
    </row>
    <row r="45" spans="1:26" ht="12.75">
      <c r="A45" s="296"/>
      <c r="B45" s="228"/>
      <c r="C45" s="228"/>
      <c r="D45" s="228"/>
      <c r="E45" s="228"/>
      <c r="F45" s="228"/>
      <c r="G45" s="228"/>
      <c r="H45" s="228"/>
      <c r="I45" s="228"/>
      <c r="J45" s="228"/>
      <c r="K45" s="228"/>
      <c r="L45" s="228"/>
      <c r="M45" s="228"/>
      <c r="N45" s="228"/>
      <c r="O45" s="228"/>
      <c r="P45" s="228"/>
      <c r="Q45" s="228"/>
      <c r="R45" s="228"/>
      <c r="S45" s="228"/>
      <c r="T45" s="228"/>
      <c r="U45" s="228"/>
      <c r="V45" s="228"/>
      <c r="W45" s="228"/>
      <c r="X45" s="228"/>
      <c r="Y45" s="228"/>
      <c r="Z45" s="228"/>
    </row>
    <row r="46" spans="1:26" ht="12.75">
      <c r="A46" s="296"/>
      <c r="B46" s="228"/>
      <c r="C46" s="228"/>
      <c r="D46" s="228"/>
      <c r="E46" s="228"/>
      <c r="F46" s="228"/>
      <c r="G46" s="228"/>
      <c r="H46" s="228"/>
      <c r="I46" s="228"/>
      <c r="J46" s="228"/>
      <c r="K46" s="228"/>
      <c r="L46" s="228"/>
      <c r="M46" s="228"/>
      <c r="N46" s="228"/>
      <c r="O46" s="228"/>
      <c r="P46" s="228"/>
      <c r="Q46" s="228"/>
      <c r="R46" s="228"/>
      <c r="S46" s="228"/>
      <c r="T46" s="228"/>
      <c r="U46" s="228"/>
      <c r="V46" s="228"/>
      <c r="W46" s="228"/>
      <c r="X46" s="228"/>
      <c r="Y46" s="228"/>
      <c r="Z46" s="228"/>
    </row>
    <row r="47" spans="1:26" ht="12.75">
      <c r="A47" s="296"/>
      <c r="B47" s="228"/>
      <c r="C47" s="228"/>
      <c r="D47" s="228"/>
      <c r="E47" s="228"/>
      <c r="F47" s="228"/>
      <c r="G47" s="228"/>
      <c r="H47" s="228"/>
      <c r="I47" s="228"/>
      <c r="J47" s="228"/>
      <c r="K47" s="228"/>
      <c r="L47" s="228"/>
      <c r="M47" s="228"/>
      <c r="N47" s="228"/>
      <c r="O47" s="228"/>
      <c r="P47" s="228"/>
      <c r="Q47" s="228"/>
      <c r="R47" s="228"/>
      <c r="S47" s="228"/>
      <c r="T47" s="228"/>
      <c r="U47" s="228"/>
      <c r="V47" s="228"/>
      <c r="W47" s="228"/>
      <c r="X47" s="228"/>
      <c r="Y47" s="228"/>
      <c r="Z47" s="228"/>
    </row>
    <row r="48" spans="1:26" ht="12.75">
      <c r="A48" s="296"/>
      <c r="B48" s="228"/>
      <c r="C48" s="228"/>
      <c r="D48" s="228"/>
      <c r="E48" s="228"/>
      <c r="F48" s="228"/>
      <c r="G48" s="228"/>
      <c r="H48" s="228"/>
      <c r="I48" s="228"/>
      <c r="J48" s="228"/>
      <c r="K48" s="228"/>
      <c r="L48" s="228"/>
      <c r="M48" s="228"/>
      <c r="N48" s="228"/>
      <c r="O48" s="228"/>
      <c r="P48" s="228"/>
      <c r="Q48" s="228"/>
      <c r="R48" s="228"/>
      <c r="S48" s="228"/>
      <c r="T48" s="228"/>
      <c r="U48" s="228"/>
      <c r="V48" s="228"/>
      <c r="W48" s="228"/>
      <c r="X48" s="228"/>
      <c r="Y48" s="228"/>
      <c r="Z48" s="228"/>
    </row>
    <row r="49" spans="1:26" ht="12.75">
      <c r="A49" s="296"/>
      <c r="B49" s="228"/>
      <c r="C49" s="228"/>
      <c r="D49" s="228"/>
      <c r="E49" s="228"/>
      <c r="F49" s="228"/>
      <c r="G49" s="228"/>
      <c r="H49" s="228"/>
      <c r="I49" s="228"/>
      <c r="J49" s="228"/>
      <c r="K49" s="228"/>
      <c r="L49" s="228"/>
      <c r="M49" s="228"/>
      <c r="N49" s="228"/>
      <c r="O49" s="228"/>
      <c r="P49" s="228"/>
      <c r="Q49" s="228"/>
      <c r="R49" s="228"/>
      <c r="S49" s="228"/>
      <c r="T49" s="228"/>
      <c r="U49" s="228"/>
      <c r="V49" s="228"/>
      <c r="W49" s="228"/>
      <c r="X49" s="228"/>
      <c r="Y49" s="228"/>
      <c r="Z49" s="228"/>
    </row>
    <row r="50" spans="1:26" ht="12.75">
      <c r="A50" s="296"/>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row>
    <row r="51" spans="1:26" ht="12.75">
      <c r="A51" s="296"/>
      <c r="B51" s="228"/>
      <c r="C51" s="228"/>
      <c r="D51" s="228"/>
      <c r="E51" s="228"/>
      <c r="F51" s="228"/>
      <c r="G51" s="228"/>
      <c r="H51" s="228"/>
      <c r="I51" s="228"/>
      <c r="J51" s="228"/>
      <c r="K51" s="228"/>
      <c r="L51" s="228"/>
      <c r="M51" s="228"/>
      <c r="N51" s="228"/>
      <c r="O51" s="228"/>
      <c r="P51" s="228"/>
      <c r="Q51" s="228"/>
      <c r="R51" s="228"/>
      <c r="S51" s="228"/>
      <c r="T51" s="228"/>
      <c r="U51" s="228"/>
      <c r="V51" s="228"/>
      <c r="W51" s="228"/>
      <c r="X51" s="228"/>
      <c r="Y51" s="228"/>
      <c r="Z51" s="228"/>
    </row>
    <row r="52" spans="1:26" ht="12.75">
      <c r="A52" s="296"/>
      <c r="B52" s="228"/>
      <c r="C52" s="228"/>
      <c r="D52" s="228"/>
      <c r="E52" s="228"/>
      <c r="F52" s="228"/>
      <c r="G52" s="228"/>
      <c r="H52" s="228"/>
      <c r="I52" s="228"/>
      <c r="J52" s="228"/>
      <c r="K52" s="228"/>
      <c r="L52" s="228"/>
      <c r="M52" s="228"/>
      <c r="N52" s="228"/>
      <c r="O52" s="228"/>
      <c r="P52" s="228"/>
      <c r="Q52" s="228"/>
      <c r="R52" s="228"/>
      <c r="S52" s="228"/>
      <c r="T52" s="228"/>
      <c r="U52" s="228"/>
      <c r="V52" s="228"/>
      <c r="W52" s="228"/>
      <c r="X52" s="228"/>
      <c r="Y52" s="228"/>
      <c r="Z52" s="228"/>
    </row>
    <row r="53" spans="1:26" ht="12.75">
      <c r="A53" s="296"/>
      <c r="B53" s="228"/>
      <c r="C53" s="228"/>
      <c r="D53" s="228"/>
      <c r="E53" s="228"/>
      <c r="F53" s="228"/>
      <c r="G53" s="228"/>
      <c r="H53" s="228"/>
      <c r="I53" s="228"/>
      <c r="J53" s="228"/>
      <c r="K53" s="228"/>
      <c r="L53" s="228"/>
      <c r="M53" s="228"/>
      <c r="N53" s="228"/>
      <c r="O53" s="228"/>
      <c r="P53" s="228"/>
      <c r="Q53" s="228"/>
      <c r="R53" s="228"/>
      <c r="S53" s="228"/>
      <c r="T53" s="228"/>
      <c r="U53" s="228"/>
      <c r="V53" s="228"/>
      <c r="W53" s="228"/>
      <c r="X53" s="228"/>
      <c r="Y53" s="228"/>
      <c r="Z53" s="228"/>
    </row>
    <row r="54" spans="1:26" ht="12.75">
      <c r="A54" s="296"/>
      <c r="B54" s="228"/>
      <c r="C54" s="228"/>
      <c r="D54" s="228"/>
      <c r="E54" s="228"/>
      <c r="F54" s="228"/>
      <c r="G54" s="228"/>
      <c r="H54" s="228"/>
      <c r="I54" s="228"/>
      <c r="J54" s="228"/>
      <c r="K54" s="228"/>
      <c r="L54" s="228"/>
      <c r="M54" s="228"/>
      <c r="N54" s="228"/>
      <c r="O54" s="228"/>
      <c r="P54" s="228"/>
      <c r="Q54" s="228"/>
      <c r="R54" s="228"/>
      <c r="S54" s="228"/>
      <c r="T54" s="228"/>
      <c r="U54" s="228"/>
      <c r="V54" s="228"/>
      <c r="W54" s="228"/>
      <c r="X54" s="228"/>
      <c r="Y54" s="228"/>
      <c r="Z54" s="228"/>
    </row>
    <row r="55" spans="1:26" ht="12.75">
      <c r="A55" s="296"/>
      <c r="B55" s="228"/>
      <c r="C55" s="228"/>
      <c r="D55" s="228"/>
      <c r="E55" s="228"/>
      <c r="F55" s="228"/>
      <c r="G55" s="228"/>
      <c r="H55" s="228"/>
      <c r="I55" s="228"/>
      <c r="J55" s="228"/>
      <c r="K55" s="228"/>
      <c r="L55" s="228"/>
      <c r="M55" s="228"/>
      <c r="N55" s="228"/>
      <c r="O55" s="228"/>
      <c r="P55" s="228"/>
      <c r="Q55" s="228"/>
      <c r="R55" s="228"/>
      <c r="S55" s="228"/>
      <c r="T55" s="228"/>
      <c r="U55" s="228"/>
      <c r="V55" s="228"/>
      <c r="W55" s="228"/>
      <c r="X55" s="228"/>
      <c r="Y55" s="228"/>
      <c r="Z55" s="228"/>
    </row>
    <row r="56" spans="1:26" ht="12.75">
      <c r="A56" s="296"/>
      <c r="B56" s="228"/>
      <c r="C56" s="228"/>
      <c r="D56" s="228"/>
      <c r="E56" s="228"/>
      <c r="F56" s="228"/>
      <c r="G56" s="228"/>
      <c r="H56" s="228"/>
      <c r="I56" s="228"/>
      <c r="J56" s="228"/>
      <c r="K56" s="228"/>
      <c r="L56" s="228"/>
      <c r="M56" s="228"/>
      <c r="N56" s="228"/>
      <c r="O56" s="228"/>
      <c r="P56" s="228"/>
      <c r="Q56" s="228"/>
      <c r="R56" s="228"/>
      <c r="S56" s="228"/>
      <c r="T56" s="228"/>
      <c r="U56" s="228"/>
      <c r="V56" s="228"/>
      <c r="W56" s="228"/>
      <c r="X56" s="228"/>
      <c r="Y56" s="228"/>
      <c r="Z56" s="228"/>
    </row>
    <row r="57" spans="1:26" ht="12.75">
      <c r="A57" s="296"/>
      <c r="B57" s="228"/>
      <c r="C57" s="228"/>
      <c r="D57" s="228"/>
      <c r="E57" s="228"/>
      <c r="F57" s="228"/>
      <c r="G57" s="228"/>
      <c r="H57" s="228"/>
      <c r="I57" s="228"/>
      <c r="J57" s="228"/>
      <c r="K57" s="228"/>
      <c r="L57" s="228"/>
      <c r="M57" s="228"/>
      <c r="N57" s="228"/>
      <c r="O57" s="228"/>
      <c r="P57" s="228"/>
      <c r="Q57" s="228"/>
      <c r="R57" s="228"/>
      <c r="S57" s="228"/>
      <c r="T57" s="228"/>
      <c r="U57" s="228"/>
      <c r="V57" s="228"/>
      <c r="W57" s="228"/>
      <c r="X57" s="228"/>
      <c r="Y57" s="228"/>
      <c r="Z57" s="228"/>
    </row>
    <row r="58" spans="1:26" ht="12.75">
      <c r="A58" s="296"/>
      <c r="B58" s="228"/>
      <c r="C58" s="228"/>
      <c r="D58" s="228"/>
      <c r="E58" s="228"/>
      <c r="F58" s="228"/>
      <c r="G58" s="228"/>
      <c r="H58" s="228"/>
      <c r="I58" s="228"/>
      <c r="J58" s="228"/>
      <c r="K58" s="228"/>
      <c r="L58" s="228"/>
      <c r="M58" s="228"/>
      <c r="N58" s="228"/>
      <c r="O58" s="228"/>
      <c r="P58" s="228"/>
      <c r="Q58" s="228"/>
      <c r="R58" s="228"/>
      <c r="S58" s="228"/>
      <c r="T58" s="228"/>
      <c r="U58" s="228"/>
      <c r="V58" s="228"/>
      <c r="W58" s="228"/>
      <c r="X58" s="228"/>
      <c r="Y58" s="228"/>
      <c r="Z58" s="228"/>
    </row>
    <row r="59" spans="1:26" ht="12.75">
      <c r="A59" s="296"/>
      <c r="B59" s="228"/>
      <c r="C59" s="228"/>
      <c r="D59" s="228"/>
      <c r="E59" s="228"/>
      <c r="F59" s="228"/>
      <c r="G59" s="228"/>
      <c r="H59" s="228"/>
      <c r="I59" s="228"/>
      <c r="J59" s="228"/>
      <c r="K59" s="228"/>
      <c r="L59" s="228"/>
      <c r="M59" s="228"/>
      <c r="N59" s="228"/>
      <c r="O59" s="228"/>
      <c r="P59" s="228"/>
      <c r="Q59" s="228"/>
      <c r="R59" s="228"/>
      <c r="S59" s="228"/>
      <c r="T59" s="228"/>
      <c r="U59" s="228"/>
      <c r="V59" s="228"/>
      <c r="W59" s="228"/>
      <c r="X59" s="228"/>
      <c r="Y59" s="228"/>
      <c r="Z59" s="228"/>
    </row>
    <row r="60" spans="1:26" ht="12.75">
      <c r="A60" s="296"/>
      <c r="B60" s="228"/>
      <c r="C60" s="228"/>
      <c r="D60" s="228"/>
      <c r="E60" s="228"/>
      <c r="F60" s="228"/>
      <c r="G60" s="228"/>
      <c r="H60" s="228"/>
      <c r="I60" s="228"/>
      <c r="J60" s="228"/>
      <c r="K60" s="228"/>
      <c r="L60" s="228"/>
      <c r="M60" s="228"/>
      <c r="N60" s="228"/>
      <c r="O60" s="228"/>
      <c r="P60" s="228"/>
      <c r="Q60" s="228"/>
      <c r="R60" s="228"/>
      <c r="S60" s="228"/>
      <c r="T60" s="228"/>
      <c r="U60" s="228"/>
      <c r="V60" s="228"/>
      <c r="W60" s="228"/>
      <c r="X60" s="228"/>
      <c r="Y60" s="228"/>
      <c r="Z60" s="228"/>
    </row>
    <row r="61" spans="1:26" ht="12.75">
      <c r="A61" s="296"/>
      <c r="B61" s="228"/>
      <c r="C61" s="228"/>
      <c r="D61" s="228"/>
      <c r="E61" s="228"/>
      <c r="F61" s="228"/>
      <c r="G61" s="228"/>
      <c r="H61" s="228"/>
      <c r="I61" s="228"/>
      <c r="J61" s="228"/>
      <c r="K61" s="228"/>
      <c r="L61" s="228"/>
      <c r="M61" s="228"/>
      <c r="N61" s="228"/>
      <c r="O61" s="228"/>
      <c r="P61" s="228"/>
      <c r="Q61" s="228"/>
      <c r="R61" s="228"/>
      <c r="S61" s="228"/>
      <c r="T61" s="228"/>
      <c r="U61" s="228"/>
      <c r="V61" s="228"/>
      <c r="W61" s="228"/>
      <c r="X61" s="228"/>
      <c r="Y61" s="228"/>
      <c r="Z61" s="228"/>
    </row>
    <row r="62" spans="1:26" ht="12.75">
      <c r="A62" s="296"/>
      <c r="B62" s="228"/>
      <c r="C62" s="228"/>
      <c r="D62" s="228"/>
      <c r="E62" s="228"/>
      <c r="F62" s="228"/>
      <c r="G62" s="228"/>
      <c r="H62" s="228"/>
      <c r="I62" s="228"/>
      <c r="J62" s="228"/>
      <c r="K62" s="228"/>
      <c r="L62" s="228"/>
      <c r="M62" s="228"/>
      <c r="N62" s="228"/>
      <c r="O62" s="228"/>
      <c r="P62" s="228"/>
      <c r="Q62" s="228"/>
      <c r="R62" s="228"/>
      <c r="S62" s="228"/>
      <c r="T62" s="228"/>
      <c r="U62" s="228"/>
      <c r="V62" s="228"/>
      <c r="W62" s="228"/>
      <c r="X62" s="228"/>
      <c r="Y62" s="228"/>
      <c r="Z62" s="228"/>
    </row>
    <row r="63" spans="1:26" ht="12.75">
      <c r="A63" s="296"/>
      <c r="B63" s="228"/>
      <c r="C63" s="228"/>
      <c r="D63" s="228"/>
      <c r="E63" s="228"/>
      <c r="F63" s="228"/>
      <c r="G63" s="228"/>
      <c r="H63" s="228"/>
      <c r="I63" s="228"/>
      <c r="J63" s="228"/>
      <c r="K63" s="228"/>
      <c r="L63" s="228"/>
      <c r="M63" s="228"/>
      <c r="N63" s="228"/>
      <c r="O63" s="228"/>
      <c r="P63" s="228"/>
      <c r="Q63" s="228"/>
      <c r="R63" s="228"/>
      <c r="S63" s="228"/>
      <c r="T63" s="228"/>
      <c r="U63" s="228"/>
      <c r="V63" s="228"/>
      <c r="W63" s="228"/>
      <c r="X63" s="228"/>
      <c r="Y63" s="228"/>
      <c r="Z63" s="228"/>
    </row>
    <row r="64" spans="1:26" ht="12.75">
      <c r="A64" s="296"/>
      <c r="B64" s="228"/>
      <c r="C64" s="228"/>
      <c r="D64" s="228"/>
      <c r="E64" s="228"/>
      <c r="F64" s="228"/>
      <c r="G64" s="228"/>
      <c r="H64" s="228"/>
      <c r="I64" s="228"/>
      <c r="J64" s="228"/>
      <c r="K64" s="228"/>
      <c r="L64" s="228"/>
      <c r="M64" s="228"/>
      <c r="N64" s="228"/>
      <c r="O64" s="228"/>
      <c r="P64" s="228"/>
      <c r="Q64" s="228"/>
      <c r="R64" s="228"/>
      <c r="S64" s="228"/>
      <c r="T64" s="228"/>
      <c r="U64" s="228"/>
      <c r="V64" s="228"/>
      <c r="W64" s="228"/>
      <c r="X64" s="228"/>
      <c r="Y64" s="228"/>
      <c r="Z64" s="228"/>
    </row>
    <row r="65" spans="1:26" ht="12.75">
      <c r="A65" s="296"/>
      <c r="B65" s="228"/>
      <c r="C65" s="228"/>
      <c r="D65" s="228"/>
      <c r="E65" s="228"/>
      <c r="F65" s="228"/>
      <c r="G65" s="228"/>
      <c r="H65" s="228"/>
      <c r="I65" s="228"/>
      <c r="J65" s="228"/>
      <c r="K65" s="228"/>
      <c r="L65" s="228"/>
      <c r="M65" s="228"/>
      <c r="N65" s="228"/>
      <c r="O65" s="228"/>
      <c r="P65" s="228"/>
      <c r="Q65" s="228"/>
      <c r="R65" s="228"/>
      <c r="S65" s="228"/>
      <c r="T65" s="228"/>
      <c r="U65" s="228"/>
      <c r="V65" s="228"/>
      <c r="W65" s="228"/>
      <c r="X65" s="228"/>
      <c r="Y65" s="228"/>
      <c r="Z65" s="228"/>
    </row>
    <row r="66" spans="1:26" ht="12.75">
      <c r="A66" s="296"/>
      <c r="B66" s="228"/>
      <c r="C66" s="228"/>
      <c r="D66" s="228"/>
      <c r="E66" s="228"/>
      <c r="F66" s="228"/>
      <c r="G66" s="228"/>
      <c r="H66" s="228"/>
      <c r="I66" s="228"/>
      <c r="J66" s="228"/>
      <c r="K66" s="228"/>
      <c r="L66" s="228"/>
      <c r="M66" s="228"/>
      <c r="N66" s="228"/>
      <c r="O66" s="228"/>
      <c r="P66" s="228"/>
      <c r="Q66" s="228"/>
      <c r="R66" s="228"/>
      <c r="S66" s="228"/>
      <c r="T66" s="228"/>
      <c r="U66" s="228"/>
      <c r="V66" s="228"/>
      <c r="W66" s="228"/>
      <c r="X66" s="228"/>
      <c r="Y66" s="228"/>
      <c r="Z66" s="228"/>
    </row>
    <row r="67" spans="1:26" ht="12.75">
      <c r="A67" s="296"/>
      <c r="B67" s="228"/>
      <c r="C67" s="228"/>
      <c r="D67" s="228"/>
      <c r="E67" s="228"/>
      <c r="F67" s="228"/>
      <c r="G67" s="228"/>
      <c r="H67" s="228"/>
      <c r="I67" s="228"/>
      <c r="J67" s="228"/>
      <c r="K67" s="228"/>
      <c r="L67" s="228"/>
      <c r="M67" s="228"/>
      <c r="N67" s="228"/>
      <c r="O67" s="228"/>
      <c r="P67" s="228"/>
      <c r="Q67" s="228"/>
      <c r="R67" s="228"/>
      <c r="S67" s="228"/>
      <c r="T67" s="228"/>
      <c r="U67" s="228"/>
      <c r="V67" s="228"/>
      <c r="W67" s="228"/>
      <c r="X67" s="228"/>
      <c r="Y67" s="228"/>
      <c r="Z67" s="228"/>
    </row>
    <row r="68" spans="1:26" ht="12.75">
      <c r="A68" s="296"/>
      <c r="B68" s="228"/>
      <c r="C68" s="228"/>
      <c r="D68" s="228"/>
      <c r="E68" s="228"/>
      <c r="F68" s="228"/>
      <c r="G68" s="228"/>
      <c r="H68" s="228"/>
      <c r="I68" s="228"/>
      <c r="J68" s="228"/>
      <c r="K68" s="228"/>
      <c r="L68" s="228"/>
      <c r="M68" s="228"/>
      <c r="N68" s="228"/>
      <c r="O68" s="228"/>
      <c r="P68" s="228"/>
      <c r="Q68" s="228"/>
      <c r="R68" s="228"/>
      <c r="S68" s="228"/>
      <c r="T68" s="228"/>
      <c r="U68" s="228"/>
      <c r="V68" s="228"/>
      <c r="W68" s="228"/>
      <c r="X68" s="228"/>
      <c r="Y68" s="228"/>
      <c r="Z68" s="228"/>
    </row>
    <row r="69" spans="1:26" ht="12.75">
      <c r="A69" s="296"/>
      <c r="B69" s="228"/>
      <c r="C69" s="228"/>
      <c r="D69" s="228"/>
      <c r="E69" s="228"/>
      <c r="F69" s="228"/>
      <c r="G69" s="228"/>
      <c r="H69" s="228"/>
      <c r="I69" s="228"/>
      <c r="J69" s="228"/>
      <c r="K69" s="228"/>
      <c r="L69" s="228"/>
      <c r="M69" s="228"/>
      <c r="N69" s="228"/>
      <c r="O69" s="228"/>
      <c r="P69" s="228"/>
      <c r="Q69" s="228"/>
      <c r="R69" s="228"/>
      <c r="S69" s="228"/>
      <c r="T69" s="228"/>
      <c r="U69" s="228"/>
      <c r="V69" s="228"/>
      <c r="W69" s="228"/>
      <c r="X69" s="228"/>
      <c r="Y69" s="228"/>
      <c r="Z69" s="228"/>
    </row>
    <row r="70" spans="1:26" ht="12.75">
      <c r="A70" s="296"/>
      <c r="B70" s="228"/>
      <c r="C70" s="228"/>
      <c r="D70" s="228"/>
      <c r="E70" s="228"/>
      <c r="F70" s="228"/>
      <c r="G70" s="228"/>
      <c r="H70" s="228"/>
      <c r="I70" s="228"/>
      <c r="J70" s="228"/>
      <c r="K70" s="228"/>
      <c r="L70" s="228"/>
      <c r="M70" s="228"/>
      <c r="N70" s="228"/>
      <c r="O70" s="228"/>
      <c r="P70" s="228"/>
      <c r="Q70" s="228"/>
      <c r="R70" s="228"/>
      <c r="S70" s="228"/>
      <c r="T70" s="228"/>
      <c r="U70" s="228"/>
      <c r="V70" s="228"/>
      <c r="W70" s="228"/>
      <c r="X70" s="228"/>
      <c r="Y70" s="228"/>
      <c r="Z70" s="228"/>
    </row>
    <row r="71" spans="1:26" ht="12.75">
      <c r="A71" s="296"/>
      <c r="B71" s="228"/>
      <c r="C71" s="228"/>
      <c r="D71" s="228"/>
      <c r="E71" s="228"/>
      <c r="F71" s="228"/>
      <c r="G71" s="228"/>
      <c r="H71" s="228"/>
      <c r="I71" s="228"/>
      <c r="J71" s="228"/>
      <c r="K71" s="228"/>
      <c r="L71" s="228"/>
      <c r="M71" s="228"/>
      <c r="N71" s="228"/>
      <c r="O71" s="228"/>
      <c r="P71" s="228"/>
      <c r="Q71" s="228"/>
      <c r="R71" s="228"/>
      <c r="S71" s="228"/>
      <c r="T71" s="228"/>
      <c r="U71" s="228"/>
      <c r="V71" s="228"/>
      <c r="W71" s="228"/>
      <c r="X71" s="228"/>
      <c r="Y71" s="228"/>
      <c r="Z71" s="228"/>
    </row>
    <row r="72" spans="1:26" ht="12.75">
      <c r="A72" s="296"/>
      <c r="B72" s="228"/>
      <c r="C72" s="228"/>
      <c r="D72" s="228"/>
      <c r="E72" s="228"/>
      <c r="F72" s="228"/>
      <c r="G72" s="228"/>
      <c r="H72" s="228"/>
      <c r="I72" s="228"/>
      <c r="J72" s="228"/>
      <c r="K72" s="228"/>
      <c r="L72" s="228"/>
      <c r="M72" s="228"/>
      <c r="N72" s="228"/>
      <c r="O72" s="228"/>
      <c r="P72" s="228"/>
      <c r="Q72" s="228"/>
      <c r="R72" s="228"/>
      <c r="S72" s="228"/>
      <c r="T72" s="228"/>
      <c r="U72" s="228"/>
      <c r="V72" s="228"/>
      <c r="W72" s="228"/>
      <c r="X72" s="228"/>
      <c r="Y72" s="228"/>
      <c r="Z72" s="228"/>
    </row>
    <row r="73" spans="1:26" ht="12.75">
      <c r="A73" s="296"/>
      <c r="B73" s="228"/>
      <c r="C73" s="228"/>
      <c r="D73" s="228"/>
      <c r="E73" s="228"/>
      <c r="F73" s="228"/>
      <c r="G73" s="228"/>
      <c r="H73" s="228"/>
      <c r="I73" s="228"/>
      <c r="J73" s="228"/>
      <c r="K73" s="228"/>
      <c r="L73" s="228"/>
      <c r="M73" s="228"/>
      <c r="N73" s="228"/>
      <c r="O73" s="228"/>
      <c r="P73" s="228"/>
      <c r="Q73" s="228"/>
      <c r="R73" s="228"/>
      <c r="S73" s="228"/>
      <c r="T73" s="228"/>
      <c r="U73" s="228"/>
      <c r="V73" s="228"/>
      <c r="W73" s="228"/>
      <c r="X73" s="228"/>
      <c r="Y73" s="228"/>
      <c r="Z73" s="228"/>
    </row>
    <row r="74" spans="1:26" ht="12.75">
      <c r="A74" s="296"/>
      <c r="B74" s="228"/>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row>
    <row r="75" spans="1:26" ht="12.75">
      <c r="A75" s="296"/>
      <c r="B75" s="228"/>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row>
    <row r="76" spans="1:26" ht="12.75">
      <c r="A76" s="296"/>
      <c r="B76" s="228"/>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row>
    <row r="77" spans="1:26" ht="12.75">
      <c r="A77" s="296"/>
      <c r="B77" s="228"/>
      <c r="C77" s="228"/>
      <c r="D77" s="228"/>
      <c r="E77" s="228"/>
      <c r="F77" s="228"/>
      <c r="G77" s="228"/>
      <c r="H77" s="228"/>
      <c r="I77" s="228"/>
      <c r="J77" s="228"/>
      <c r="K77" s="228"/>
      <c r="L77" s="228"/>
      <c r="M77" s="228"/>
      <c r="N77" s="228"/>
      <c r="O77" s="228"/>
      <c r="P77" s="228"/>
      <c r="Q77" s="228"/>
      <c r="R77" s="228"/>
      <c r="S77" s="228"/>
      <c r="T77" s="228"/>
      <c r="U77" s="228"/>
      <c r="V77" s="228"/>
      <c r="W77" s="228"/>
      <c r="X77" s="228"/>
      <c r="Y77" s="228"/>
      <c r="Z77" s="228"/>
    </row>
    <row r="78" spans="1:26" ht="12.75">
      <c r="A78" s="296"/>
      <c r="B78" s="228"/>
      <c r="C78" s="228"/>
      <c r="D78" s="228"/>
      <c r="E78" s="228"/>
      <c r="F78" s="228"/>
      <c r="G78" s="228"/>
      <c r="H78" s="228"/>
      <c r="I78" s="228"/>
      <c r="J78" s="228"/>
      <c r="K78" s="228"/>
      <c r="L78" s="228"/>
      <c r="M78" s="228"/>
      <c r="N78" s="228"/>
      <c r="O78" s="228"/>
      <c r="P78" s="228"/>
      <c r="Q78" s="228"/>
      <c r="R78" s="228"/>
      <c r="S78" s="228"/>
      <c r="T78" s="228"/>
      <c r="U78" s="228"/>
      <c r="V78" s="228"/>
      <c r="W78" s="228"/>
      <c r="X78" s="228"/>
      <c r="Y78" s="228"/>
      <c r="Z78" s="228"/>
    </row>
    <row r="79" spans="1:26" ht="12.75">
      <c r="A79" s="296"/>
      <c r="B79" s="228"/>
      <c r="C79" s="228"/>
      <c r="D79" s="228"/>
      <c r="E79" s="228"/>
      <c r="F79" s="228"/>
      <c r="G79" s="228"/>
      <c r="H79" s="228"/>
      <c r="I79" s="228"/>
      <c r="J79" s="228"/>
      <c r="K79" s="228"/>
      <c r="L79" s="228"/>
      <c r="M79" s="228"/>
      <c r="N79" s="228"/>
      <c r="O79" s="228"/>
      <c r="P79" s="228"/>
      <c r="Q79" s="228"/>
      <c r="R79" s="228"/>
      <c r="S79" s="228"/>
      <c r="T79" s="228"/>
      <c r="U79" s="228"/>
      <c r="V79" s="228"/>
      <c r="W79" s="228"/>
      <c r="X79" s="228"/>
      <c r="Y79" s="228"/>
      <c r="Z79" s="228"/>
    </row>
    <row r="80" spans="1:26" ht="12.75">
      <c r="A80" s="296"/>
      <c r="B80" s="228"/>
      <c r="C80" s="228"/>
      <c r="D80" s="228"/>
      <c r="E80" s="228"/>
      <c r="F80" s="228"/>
      <c r="G80" s="228"/>
      <c r="H80" s="228"/>
      <c r="I80" s="228"/>
      <c r="J80" s="228"/>
      <c r="K80" s="228"/>
      <c r="L80" s="228"/>
      <c r="M80" s="228"/>
      <c r="N80" s="228"/>
      <c r="O80" s="228"/>
      <c r="P80" s="228"/>
      <c r="Q80" s="228"/>
      <c r="R80" s="228"/>
      <c r="S80" s="228"/>
      <c r="T80" s="228"/>
      <c r="U80" s="228"/>
      <c r="V80" s="228"/>
      <c r="W80" s="228"/>
      <c r="X80" s="228"/>
      <c r="Y80" s="228"/>
      <c r="Z80" s="228"/>
    </row>
    <row r="81" spans="1:26" ht="12.75">
      <c r="A81" s="296"/>
      <c r="B81" s="228"/>
      <c r="C81" s="228"/>
      <c r="D81" s="228"/>
      <c r="E81" s="228"/>
      <c r="F81" s="228"/>
      <c r="G81" s="228"/>
      <c r="H81" s="228"/>
      <c r="I81" s="228"/>
      <c r="J81" s="228"/>
      <c r="K81" s="228"/>
      <c r="L81" s="228"/>
      <c r="M81" s="228"/>
      <c r="N81" s="228"/>
      <c r="O81" s="228"/>
      <c r="P81" s="228"/>
      <c r="Q81" s="228"/>
      <c r="R81" s="228"/>
      <c r="S81" s="228"/>
      <c r="T81" s="228"/>
      <c r="U81" s="228"/>
      <c r="V81" s="228"/>
      <c r="W81" s="228"/>
      <c r="X81" s="228"/>
      <c r="Y81" s="228"/>
      <c r="Z81" s="228"/>
    </row>
    <row r="82" spans="1:26" ht="12.75">
      <c r="A82" s="296"/>
      <c r="B82" s="228"/>
      <c r="C82" s="228"/>
      <c r="D82" s="228"/>
      <c r="E82" s="228"/>
      <c r="F82" s="228"/>
      <c r="G82" s="228"/>
      <c r="H82" s="228"/>
      <c r="I82" s="228"/>
      <c r="J82" s="228"/>
      <c r="K82" s="228"/>
      <c r="L82" s="228"/>
      <c r="M82" s="228"/>
      <c r="N82" s="228"/>
      <c r="O82" s="228"/>
      <c r="P82" s="228"/>
      <c r="Q82" s="228"/>
      <c r="R82" s="228"/>
      <c r="S82" s="228"/>
      <c r="T82" s="228"/>
      <c r="U82" s="228"/>
      <c r="V82" s="228"/>
      <c r="W82" s="228"/>
      <c r="X82" s="228"/>
      <c r="Y82" s="228"/>
      <c r="Z82" s="228"/>
    </row>
    <row r="83" spans="1:26" ht="12.75">
      <c r="A83" s="296"/>
      <c r="B83" s="228"/>
      <c r="C83" s="228"/>
      <c r="D83" s="228"/>
      <c r="E83" s="228"/>
      <c r="F83" s="228"/>
      <c r="G83" s="228"/>
      <c r="H83" s="228"/>
      <c r="I83" s="228"/>
      <c r="J83" s="228"/>
      <c r="K83" s="228"/>
      <c r="L83" s="228"/>
      <c r="M83" s="228"/>
      <c r="N83" s="228"/>
      <c r="O83" s="228"/>
      <c r="P83" s="228"/>
      <c r="Q83" s="228"/>
      <c r="R83" s="228"/>
      <c r="S83" s="228"/>
      <c r="T83" s="228"/>
      <c r="U83" s="228"/>
      <c r="V83" s="228"/>
      <c r="W83" s="228"/>
      <c r="X83" s="228"/>
      <c r="Y83" s="228"/>
      <c r="Z83" s="228"/>
    </row>
    <row r="84" spans="1:26" ht="12.75">
      <c r="A84" s="296"/>
      <c r="B84" s="228"/>
      <c r="C84" s="228"/>
      <c r="D84" s="228"/>
      <c r="E84" s="228"/>
      <c r="F84" s="228"/>
      <c r="G84" s="228"/>
      <c r="H84" s="228"/>
      <c r="I84" s="228"/>
      <c r="J84" s="228"/>
      <c r="K84" s="228"/>
      <c r="L84" s="228"/>
      <c r="M84" s="228"/>
      <c r="N84" s="228"/>
      <c r="O84" s="228"/>
      <c r="P84" s="228"/>
      <c r="Q84" s="228"/>
      <c r="R84" s="228"/>
      <c r="S84" s="228"/>
      <c r="T84" s="228"/>
      <c r="U84" s="228"/>
      <c r="V84" s="228"/>
      <c r="W84" s="228"/>
      <c r="X84" s="228"/>
      <c r="Y84" s="228"/>
      <c r="Z84" s="228"/>
    </row>
    <row r="85" spans="1:26" ht="12.75">
      <c r="A85" s="296"/>
      <c r="B85" s="228"/>
      <c r="C85" s="228"/>
      <c r="D85" s="228"/>
      <c r="E85" s="228"/>
      <c r="F85" s="228"/>
      <c r="G85" s="228"/>
      <c r="H85" s="228"/>
      <c r="I85" s="228"/>
      <c r="J85" s="228"/>
      <c r="K85" s="228"/>
      <c r="L85" s="228"/>
      <c r="M85" s="228"/>
      <c r="N85" s="228"/>
      <c r="O85" s="228"/>
      <c r="P85" s="228"/>
      <c r="Q85" s="228"/>
      <c r="R85" s="228"/>
      <c r="S85" s="228"/>
      <c r="T85" s="228"/>
      <c r="U85" s="228"/>
      <c r="V85" s="228"/>
      <c r="W85" s="228"/>
      <c r="X85" s="228"/>
      <c r="Y85" s="228"/>
      <c r="Z85" s="228"/>
    </row>
    <row r="86" spans="1:26" ht="12.75">
      <c r="A86" s="296"/>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row>
    <row r="87" spans="1:26" ht="12.75">
      <c r="A87" s="296"/>
      <c r="B87" s="228"/>
      <c r="C87" s="228"/>
      <c r="D87" s="228"/>
      <c r="E87" s="228"/>
      <c r="F87" s="228"/>
      <c r="G87" s="228"/>
      <c r="H87" s="228"/>
      <c r="I87" s="228"/>
      <c r="J87" s="228"/>
      <c r="K87" s="228"/>
      <c r="L87" s="228"/>
      <c r="M87" s="228"/>
      <c r="N87" s="228"/>
      <c r="O87" s="228"/>
      <c r="P87" s="228"/>
      <c r="Q87" s="228"/>
      <c r="R87" s="228"/>
      <c r="S87" s="228"/>
      <c r="T87" s="228"/>
      <c r="U87" s="228"/>
      <c r="V87" s="228"/>
      <c r="W87" s="228"/>
      <c r="X87" s="228"/>
      <c r="Y87" s="228"/>
      <c r="Z87" s="228"/>
    </row>
    <row r="88" spans="1:26" ht="12.75">
      <c r="A88" s="296"/>
      <c r="B88" s="228"/>
      <c r="C88" s="228"/>
      <c r="D88" s="228"/>
      <c r="E88" s="228"/>
      <c r="F88" s="228"/>
      <c r="G88" s="228"/>
      <c r="H88" s="228"/>
      <c r="I88" s="228"/>
      <c r="J88" s="228"/>
      <c r="K88" s="228"/>
      <c r="L88" s="228"/>
      <c r="M88" s="228"/>
      <c r="N88" s="228"/>
      <c r="O88" s="228"/>
      <c r="P88" s="228"/>
      <c r="Q88" s="228"/>
      <c r="R88" s="228"/>
      <c r="S88" s="228"/>
      <c r="T88" s="228"/>
      <c r="U88" s="228"/>
      <c r="V88" s="228"/>
      <c r="W88" s="228"/>
      <c r="X88" s="228"/>
      <c r="Y88" s="228"/>
      <c r="Z88" s="228"/>
    </row>
    <row r="89" spans="1:26" ht="12.75">
      <c r="A89" s="296"/>
      <c r="B89" s="228"/>
      <c r="C89" s="228"/>
      <c r="D89" s="228"/>
      <c r="E89" s="228"/>
      <c r="F89" s="228"/>
      <c r="G89" s="228"/>
      <c r="H89" s="228"/>
      <c r="I89" s="228"/>
      <c r="J89" s="228"/>
      <c r="K89" s="228"/>
      <c r="L89" s="228"/>
      <c r="M89" s="228"/>
      <c r="N89" s="228"/>
      <c r="O89" s="228"/>
      <c r="P89" s="228"/>
      <c r="Q89" s="228"/>
      <c r="R89" s="228"/>
      <c r="S89" s="228"/>
      <c r="T89" s="228"/>
      <c r="U89" s="228"/>
      <c r="V89" s="228"/>
      <c r="W89" s="228"/>
      <c r="X89" s="228"/>
      <c r="Y89" s="228"/>
      <c r="Z89" s="228"/>
    </row>
    <row r="90" spans="1:26" ht="12.75">
      <c r="A90" s="296"/>
      <c r="B90" s="228"/>
      <c r="C90" s="228"/>
      <c r="D90" s="228"/>
      <c r="E90" s="228"/>
      <c r="F90" s="228"/>
      <c r="G90" s="228"/>
      <c r="H90" s="228"/>
      <c r="I90" s="228"/>
      <c r="J90" s="228"/>
      <c r="K90" s="228"/>
      <c r="L90" s="228"/>
      <c r="M90" s="228"/>
      <c r="N90" s="228"/>
      <c r="O90" s="228"/>
      <c r="P90" s="228"/>
      <c r="Q90" s="228"/>
      <c r="R90" s="228"/>
      <c r="S90" s="228"/>
      <c r="T90" s="228"/>
      <c r="U90" s="228"/>
      <c r="V90" s="228"/>
      <c r="W90" s="228"/>
      <c r="X90" s="228"/>
      <c r="Y90" s="228"/>
      <c r="Z90" s="228"/>
    </row>
    <row r="91" spans="1:26" ht="12.75">
      <c r="A91" s="296"/>
      <c r="B91" s="228"/>
      <c r="C91" s="228"/>
      <c r="D91" s="228"/>
      <c r="E91" s="228"/>
      <c r="F91" s="228"/>
      <c r="G91" s="228"/>
      <c r="H91" s="228"/>
      <c r="I91" s="228"/>
      <c r="J91" s="228"/>
      <c r="K91" s="228"/>
      <c r="L91" s="228"/>
      <c r="M91" s="228"/>
      <c r="N91" s="228"/>
      <c r="O91" s="228"/>
      <c r="P91" s="228"/>
      <c r="Q91" s="228"/>
      <c r="R91" s="228"/>
      <c r="S91" s="228"/>
      <c r="T91" s="228"/>
      <c r="U91" s="228"/>
      <c r="V91" s="228"/>
      <c r="W91" s="228"/>
      <c r="X91" s="228"/>
      <c r="Y91" s="228"/>
      <c r="Z91" s="228"/>
    </row>
    <row r="92" spans="1:26" ht="12.75">
      <c r="A92" s="296"/>
      <c r="B92" s="228"/>
      <c r="C92" s="228"/>
      <c r="D92" s="228"/>
      <c r="E92" s="228"/>
      <c r="F92" s="228"/>
      <c r="G92" s="228"/>
      <c r="H92" s="228"/>
      <c r="I92" s="228"/>
      <c r="J92" s="228"/>
      <c r="K92" s="228"/>
      <c r="L92" s="228"/>
      <c r="M92" s="228"/>
      <c r="N92" s="228"/>
      <c r="O92" s="228"/>
      <c r="P92" s="228"/>
      <c r="Q92" s="228"/>
      <c r="R92" s="228"/>
      <c r="S92" s="228"/>
      <c r="T92" s="228"/>
      <c r="U92" s="228"/>
      <c r="V92" s="228"/>
      <c r="W92" s="228"/>
      <c r="X92" s="228"/>
      <c r="Y92" s="228"/>
      <c r="Z92" s="228"/>
    </row>
    <row r="93" spans="1:26" ht="12.75">
      <c r="A93" s="296"/>
      <c r="B93" s="228"/>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8"/>
    </row>
    <row r="94" spans="1:26" ht="12.75">
      <c r="A94" s="296"/>
      <c r="B94" s="228"/>
      <c r="C94" s="228"/>
      <c r="D94" s="228"/>
      <c r="E94" s="228"/>
      <c r="F94" s="228"/>
      <c r="G94" s="228"/>
      <c r="H94" s="228"/>
      <c r="I94" s="228"/>
      <c r="J94" s="228"/>
      <c r="K94" s="228"/>
      <c r="L94" s="228"/>
      <c r="M94" s="228"/>
      <c r="N94" s="228"/>
      <c r="O94" s="228"/>
      <c r="P94" s="228"/>
      <c r="Q94" s="228"/>
      <c r="R94" s="228"/>
      <c r="S94" s="228"/>
      <c r="T94" s="228"/>
      <c r="U94" s="228"/>
      <c r="V94" s="228"/>
      <c r="W94" s="228"/>
      <c r="X94" s="228"/>
      <c r="Y94" s="228"/>
      <c r="Z94" s="228"/>
    </row>
    <row r="95" spans="1:26" ht="12.75">
      <c r="A95" s="296"/>
      <c r="B95" s="228"/>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8"/>
    </row>
    <row r="96" spans="1:26" ht="12.75">
      <c r="A96" s="296"/>
      <c r="B96" s="228"/>
      <c r="C96" s="228"/>
      <c r="D96" s="228"/>
      <c r="E96" s="228"/>
      <c r="F96" s="228"/>
      <c r="G96" s="228"/>
      <c r="H96" s="228"/>
      <c r="I96" s="228"/>
      <c r="J96" s="228"/>
      <c r="K96" s="228"/>
      <c r="L96" s="228"/>
      <c r="M96" s="228"/>
      <c r="N96" s="228"/>
      <c r="O96" s="228"/>
      <c r="P96" s="228"/>
      <c r="Q96" s="228"/>
      <c r="R96" s="228"/>
      <c r="S96" s="228"/>
      <c r="T96" s="228"/>
      <c r="U96" s="228"/>
      <c r="V96" s="228"/>
      <c r="W96" s="228"/>
      <c r="X96" s="228"/>
      <c r="Y96" s="228"/>
      <c r="Z96" s="228"/>
    </row>
    <row r="97" spans="1:26" ht="12.75">
      <c r="A97" s="296"/>
      <c r="B97" s="228"/>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row>
    <row r="98" spans="1:26" ht="12.75">
      <c r="A98" s="296"/>
      <c r="B98" s="228"/>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8"/>
    </row>
    <row r="99" spans="1:26" ht="12.75">
      <c r="A99" s="296"/>
      <c r="B99" s="228"/>
      <c r="C99" s="228"/>
      <c r="D99" s="228"/>
      <c r="E99" s="228"/>
      <c r="F99" s="228"/>
      <c r="G99" s="228"/>
      <c r="H99" s="228"/>
      <c r="I99" s="228"/>
      <c r="J99" s="228"/>
      <c r="K99" s="228"/>
      <c r="L99" s="228"/>
      <c r="M99" s="228"/>
      <c r="N99" s="228"/>
      <c r="O99" s="228"/>
      <c r="P99" s="228"/>
      <c r="Q99" s="228"/>
      <c r="R99" s="228"/>
      <c r="S99" s="228"/>
      <c r="T99" s="228"/>
      <c r="U99" s="228"/>
      <c r="V99" s="228"/>
      <c r="W99" s="228"/>
      <c r="X99" s="228"/>
      <c r="Y99" s="228"/>
      <c r="Z99" s="228"/>
    </row>
    <row r="100" spans="1:26" ht="12.75">
      <c r="A100" s="296"/>
      <c r="B100" s="228"/>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row>
    <row r="101" spans="1:26" ht="12.75">
      <c r="A101" s="296"/>
      <c r="B101" s="228"/>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row>
    <row r="102" spans="1:26" ht="12.75">
      <c r="A102" s="296"/>
      <c r="B102" s="228"/>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row>
    <row r="103" spans="1:26" ht="12.75">
      <c r="A103" s="296"/>
      <c r="B103" s="228"/>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row>
    <row r="104" spans="1:26" ht="12.75">
      <c r="A104" s="296"/>
      <c r="B104" s="228"/>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row>
    <row r="105" spans="1:26" ht="12.75">
      <c r="A105" s="296"/>
      <c r="B105" s="228"/>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row>
    <row r="106" spans="1:26" ht="12.75">
      <c r="A106" s="296"/>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row>
    <row r="107" spans="1:26" ht="12.75">
      <c r="A107" s="296"/>
      <c r="B107" s="228"/>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1:26" ht="12.75">
      <c r="A108" s="296"/>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row>
    <row r="109" spans="1:26" ht="12.75">
      <c r="A109" s="296"/>
      <c r="B109" s="228"/>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row>
    <row r="110" spans="1:26" ht="12.75">
      <c r="A110" s="296"/>
      <c r="B110" s="228"/>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row>
    <row r="111" spans="1:26" ht="12.75">
      <c r="A111" s="296"/>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row>
    <row r="112" spans="1:26" ht="12.75">
      <c r="A112" s="296"/>
      <c r="B112" s="228"/>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row>
    <row r="113" spans="1:26" ht="12.75">
      <c r="A113" s="296"/>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row>
    <row r="114" spans="1:26" ht="12.75">
      <c r="A114" s="296"/>
      <c r="B114" s="228"/>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row>
    <row r="115" spans="1:26" ht="12.75">
      <c r="A115" s="296"/>
      <c r="B115" s="228"/>
      <c r="C115" s="22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row>
    <row r="116" spans="1:26" ht="12.75">
      <c r="A116" s="296"/>
      <c r="B116" s="228"/>
      <c r="C116" s="22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row>
    <row r="117" spans="1:26" ht="12.75">
      <c r="A117" s="296"/>
      <c r="B117" s="228"/>
      <c r="C117" s="22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row>
    <row r="118" spans="1:26" ht="12.75">
      <c r="A118" s="296"/>
      <c r="B118" s="228"/>
      <c r="C118" s="22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row>
    <row r="119" spans="1:26" ht="12.75">
      <c r="A119" s="296"/>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row>
    <row r="120" spans="1:26" ht="12.75">
      <c r="A120" s="296"/>
      <c r="B120" s="228"/>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row>
    <row r="121" spans="1:26" ht="12.75">
      <c r="A121" s="296"/>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row>
    <row r="122" spans="1:26" ht="12.75">
      <c r="A122" s="296"/>
      <c r="B122" s="228"/>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row>
    <row r="123" spans="1:26" ht="12.75">
      <c r="A123" s="296"/>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row>
    <row r="124" spans="1:26" ht="12.75">
      <c r="A124" s="296"/>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row>
    <row r="125" spans="1:26" ht="12.75">
      <c r="A125" s="296"/>
      <c r="B125" s="228"/>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row>
    <row r="126" spans="1:26" ht="12.75">
      <c r="A126" s="296"/>
      <c r="B126" s="228"/>
      <c r="C126" s="22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c r="Z126" s="228"/>
    </row>
    <row r="127" spans="1:26" ht="12.75">
      <c r="A127" s="296"/>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row>
    <row r="128" spans="1:26" ht="12.75">
      <c r="A128" s="296"/>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row>
    <row r="129" spans="1:26" ht="12.75">
      <c r="A129" s="296"/>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row>
    <row r="130" spans="1:26" ht="12.75">
      <c r="A130" s="296"/>
      <c r="B130" s="228"/>
      <c r="C130" s="22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row>
    <row r="131" spans="1:26" ht="12.75">
      <c r="A131" s="296"/>
      <c r="B131" s="228"/>
      <c r="C131" s="22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row>
    <row r="132" spans="1:26" ht="12.75">
      <c r="A132" s="296"/>
      <c r="B132" s="228"/>
      <c r="C132" s="22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row>
    <row r="133" spans="1:26" ht="12.75">
      <c r="A133" s="296"/>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row>
    <row r="134" spans="1:26" ht="12.75">
      <c r="A134" s="296"/>
      <c r="B134" s="228"/>
      <c r="C134" s="22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row>
    <row r="135" spans="1:26" ht="12.75">
      <c r="A135" s="296"/>
      <c r="B135" s="228"/>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row>
    <row r="136" spans="1:26" ht="12.75">
      <c r="A136" s="296"/>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row>
    <row r="137" spans="1:26" ht="12.75">
      <c r="A137" s="296"/>
      <c r="B137" s="228"/>
      <c r="C137" s="22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row>
    <row r="138" spans="1:26" ht="12.75">
      <c r="A138" s="296"/>
      <c r="B138" s="228"/>
      <c r="C138" s="22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row>
    <row r="139" spans="1:26" ht="12.75">
      <c r="A139" s="296"/>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row>
    <row r="140" spans="1:26" ht="12.75">
      <c r="A140" s="296"/>
      <c r="B140" s="228"/>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row>
    <row r="141" spans="1:26" ht="12.75">
      <c r="A141" s="296"/>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row>
    <row r="142" spans="1:26" ht="12.75">
      <c r="A142" s="296"/>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row>
    <row r="143" spans="1:26" ht="12.75">
      <c r="A143" s="296"/>
      <c r="B143" s="228"/>
      <c r="C143" s="22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row>
    <row r="144" spans="1:26" ht="12.75">
      <c r="A144" s="296"/>
      <c r="B144" s="228"/>
      <c r="C144" s="22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row>
    <row r="145" spans="1:26" ht="12.75">
      <c r="A145" s="296"/>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row>
    <row r="146" spans="1:26" ht="12.75">
      <c r="A146" s="296"/>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row>
    <row r="147" spans="1:26" ht="12.75">
      <c r="A147" s="296"/>
      <c r="B147" s="228"/>
      <c r="C147" s="22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c r="Z147" s="228"/>
    </row>
    <row r="148" spans="1:26" ht="12.75">
      <c r="A148" s="296"/>
      <c r="B148" s="228"/>
      <c r="C148" s="22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c r="Z148" s="228"/>
    </row>
    <row r="149" spans="1:26" ht="12.75">
      <c r="A149" s="296"/>
      <c r="B149" s="228"/>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row>
    <row r="150" spans="1:26" ht="12.75">
      <c r="A150" s="296"/>
      <c r="B150" s="228"/>
      <c r="C150" s="22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row>
    <row r="151" spans="1:26" ht="12.75">
      <c r="A151" s="296"/>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row>
    <row r="152" spans="1:26" ht="12.75">
      <c r="A152" s="296"/>
      <c r="B152" s="228"/>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row>
    <row r="153" spans="1:26" ht="12.75">
      <c r="A153" s="296"/>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row>
    <row r="154" spans="1:26" ht="12.75">
      <c r="A154" s="296"/>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row>
    <row r="155" spans="1:26" ht="12.75">
      <c r="A155" s="296"/>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row>
    <row r="156" spans="1:26" ht="12.75">
      <c r="A156" s="296"/>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row>
    <row r="157" spans="1:26" ht="12.75">
      <c r="A157" s="296"/>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row>
    <row r="158" spans="1:26" ht="12.75">
      <c r="A158" s="296"/>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row>
    <row r="159" spans="1:26" ht="12.75">
      <c r="A159" s="296"/>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row>
    <row r="160" spans="1:26" ht="12.75">
      <c r="A160" s="296"/>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1:26" ht="12.75">
      <c r="A161" s="296"/>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row>
    <row r="162" spans="1:26" ht="12.75">
      <c r="A162" s="296"/>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row>
    <row r="163" spans="1:26" ht="12.75">
      <c r="A163" s="296"/>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row>
    <row r="164" spans="1:26" ht="12.75">
      <c r="A164" s="296"/>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row>
    <row r="165" spans="1:26" ht="12.75">
      <c r="A165" s="296"/>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row>
    <row r="166" spans="1:26" ht="12.75">
      <c r="A166" s="296"/>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row>
    <row r="167" spans="1:26" ht="12.75">
      <c r="A167" s="296"/>
      <c r="B167" s="228"/>
      <c r="C167" s="22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row>
    <row r="168" spans="1:26" ht="12.75">
      <c r="A168" s="296"/>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row>
    <row r="169" spans="1:26" ht="12.75">
      <c r="A169" s="296"/>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row>
    <row r="170" spans="1:26" ht="12.75">
      <c r="A170" s="296"/>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row>
    <row r="171" spans="1:26" ht="12.75">
      <c r="A171" s="296"/>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row>
    <row r="172" spans="1:26" ht="12.75">
      <c r="A172" s="296"/>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row>
    <row r="173" spans="1:26" ht="12.75">
      <c r="A173" s="296"/>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row>
    <row r="174" spans="1:26" ht="12.75">
      <c r="A174" s="296"/>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row>
    <row r="175" spans="1:26" ht="12.75">
      <c r="A175" s="296"/>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row>
    <row r="176" spans="1:26" ht="12.75">
      <c r="A176" s="296"/>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row>
    <row r="177" spans="1:26" ht="12.75">
      <c r="A177" s="296"/>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row>
    <row r="178" spans="1:26" ht="12.75">
      <c r="A178" s="296"/>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row>
    <row r="179" spans="1:26" ht="12.75">
      <c r="A179" s="296"/>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row>
    <row r="180" spans="1:26" ht="12.75">
      <c r="A180" s="296"/>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row>
    <row r="181" spans="1:26" ht="12.75">
      <c r="A181" s="296"/>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row>
    <row r="182" spans="1:26" ht="12.75">
      <c r="A182" s="296"/>
      <c r="B182" s="228"/>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row>
    <row r="183" spans="1:26" ht="12.75">
      <c r="A183" s="296"/>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row>
    <row r="184" spans="1:26" ht="12.75">
      <c r="A184" s="296"/>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row>
    <row r="185" spans="1:26" ht="12.75">
      <c r="A185" s="296"/>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row>
    <row r="186" spans="1:26" ht="12.75">
      <c r="A186" s="296"/>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row>
    <row r="187" spans="1:26" ht="12.75">
      <c r="A187" s="296"/>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row>
    <row r="188" spans="1:26" ht="12.75">
      <c r="A188" s="296"/>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row>
    <row r="189" spans="1:26" ht="12.75">
      <c r="A189" s="296"/>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row>
    <row r="190" spans="1:26" ht="12.75">
      <c r="A190" s="296"/>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row>
    <row r="191" spans="1:26" ht="12.75">
      <c r="A191" s="296"/>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row>
    <row r="192" spans="1:26" ht="12.75">
      <c r="A192" s="296"/>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row>
    <row r="193" spans="1:26" ht="12.75">
      <c r="A193" s="296"/>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row>
    <row r="194" spans="1:26" ht="12.75">
      <c r="A194" s="296"/>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row>
    <row r="195" spans="1:26" ht="12.75">
      <c r="A195" s="296"/>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row>
    <row r="196" spans="1:26" ht="12.75">
      <c r="A196" s="296"/>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row>
    <row r="197" spans="1:26" ht="12.75">
      <c r="A197" s="296"/>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row>
    <row r="198" spans="1:26" ht="12.75">
      <c r="A198" s="296"/>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row>
    <row r="199" spans="1:26" ht="12.75">
      <c r="A199" s="296"/>
      <c r="B199" s="228"/>
      <c r="C199" s="22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row>
    <row r="200" spans="1:26" ht="12.75">
      <c r="A200" s="296"/>
      <c r="B200" s="228"/>
      <c r="C200" s="22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row>
    <row r="201" spans="1:26" ht="12.75">
      <c r="A201" s="296"/>
      <c r="B201" s="228"/>
      <c r="C201" s="22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row>
    <row r="202" spans="1:26" ht="12.75">
      <c r="A202" s="296"/>
      <c r="B202" s="228"/>
      <c r="C202" s="22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row>
    <row r="203" spans="1:26" ht="12.75">
      <c r="A203" s="296"/>
      <c r="B203" s="228"/>
      <c r="C203" s="22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row>
    <row r="204" spans="1:26" ht="12.75">
      <c r="A204" s="296"/>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row>
    <row r="205" spans="1:26" ht="12.75">
      <c r="A205" s="296"/>
      <c r="B205" s="228"/>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row>
    <row r="206" spans="1:26" ht="12.75">
      <c r="A206" s="296"/>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row>
    <row r="207" spans="1:26" ht="12.75">
      <c r="A207" s="296"/>
      <c r="B207" s="228"/>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row>
    <row r="208" spans="1:26" ht="12.75">
      <c r="A208" s="296"/>
      <c r="B208" s="228"/>
      <c r="C208" s="22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row>
    <row r="209" spans="1:26" ht="12.75">
      <c r="A209" s="296"/>
      <c r="B209" s="228"/>
      <c r="C209" s="22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row>
    <row r="210" spans="1:26" ht="12.75">
      <c r="A210" s="296"/>
      <c r="B210" s="228"/>
      <c r="C210" s="22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row>
    <row r="211" spans="1:26" ht="12.75">
      <c r="A211" s="296"/>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row>
    <row r="212" spans="1:26" ht="12.75">
      <c r="A212" s="296"/>
      <c r="B212" s="228"/>
      <c r="C212" s="22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c r="Z212" s="228"/>
    </row>
    <row r="213" spans="1:26" ht="12.75">
      <c r="A213" s="296"/>
      <c r="B213" s="228"/>
      <c r="C213" s="22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c r="Z213" s="228"/>
    </row>
    <row r="214" spans="1:26" ht="12.75">
      <c r="A214" s="296"/>
      <c r="B214" s="228"/>
      <c r="C214" s="22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1:26" ht="12.75">
      <c r="A215" s="296"/>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row>
    <row r="216" spans="1:26" ht="12.75">
      <c r="A216" s="296"/>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row>
    <row r="217" spans="1:26" ht="12.75">
      <c r="A217" s="296"/>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row>
    <row r="218" spans="1:26" ht="12.75">
      <c r="A218" s="296"/>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row>
    <row r="219" spans="1:26" ht="12.75">
      <c r="A219" s="296"/>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row>
    <row r="220" spans="1:26" ht="12.75">
      <c r="A220" s="296"/>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row>
    <row r="221" spans="1:26" ht="12.75">
      <c r="A221" s="296"/>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row>
    <row r="222" spans="1:26" ht="12.75">
      <c r="A222" s="296"/>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row>
    <row r="223" spans="1:26" ht="12.75">
      <c r="A223" s="296"/>
      <c r="B223" s="228"/>
      <c r="C223" s="22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row>
    <row r="224" spans="1:26" ht="12.75">
      <c r="A224" s="296"/>
      <c r="B224" s="228"/>
      <c r="C224" s="22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c r="Z224" s="228"/>
    </row>
    <row r="225" spans="1:26" ht="12.75">
      <c r="A225" s="296"/>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row>
    <row r="226" spans="1:26" ht="12.75">
      <c r="A226" s="296"/>
      <c r="B226" s="228"/>
      <c r="C226" s="22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c r="Z226" s="228"/>
    </row>
    <row r="227" spans="1:26" ht="12.75">
      <c r="A227" s="296"/>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row>
    <row r="228" spans="1:26" ht="12.75">
      <c r="A228" s="296"/>
      <c r="B228" s="228"/>
      <c r="C228" s="22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c r="Z228" s="228"/>
    </row>
    <row r="229" spans="1:26" ht="12.75">
      <c r="A229" s="296"/>
      <c r="B229" s="228"/>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row>
    <row r="230" spans="1:26" ht="12.75">
      <c r="A230" s="296"/>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row>
    <row r="231" spans="1:26" ht="12.75">
      <c r="A231" s="296"/>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row>
    <row r="232" spans="1:26" ht="12.75">
      <c r="A232" s="296"/>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row>
    <row r="233" spans="1:26" ht="12.75">
      <c r="A233" s="296"/>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row>
    <row r="234" spans="1:26" ht="12.75">
      <c r="A234" s="296"/>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row>
    <row r="235" spans="1:26" ht="12.75">
      <c r="A235" s="296"/>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row>
    <row r="236" spans="1:26" ht="12.75">
      <c r="A236" s="296"/>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row>
    <row r="237" spans="1:26" ht="12.75">
      <c r="A237" s="296"/>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row>
    <row r="238" spans="1:26" ht="12.75">
      <c r="A238" s="296"/>
      <c r="B238" s="228"/>
      <c r="C238" s="22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c r="Z238" s="228"/>
    </row>
    <row r="239" spans="1:26" ht="12.75">
      <c r="A239" s="296"/>
      <c r="B239" s="228"/>
      <c r="C239" s="22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c r="Z239" s="228"/>
    </row>
    <row r="240" spans="1:26" ht="12.75">
      <c r="A240" s="296"/>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row>
    <row r="241" spans="1:26" ht="12.75">
      <c r="A241" s="296"/>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row>
    <row r="242" spans="1:26" ht="12.75">
      <c r="A242" s="296"/>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row>
    <row r="243" spans="1:26" ht="12.75">
      <c r="A243" s="296"/>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row>
    <row r="244" spans="1:26" ht="12.75">
      <c r="A244" s="296"/>
      <c r="B244" s="228"/>
      <c r="C244" s="22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c r="Z244" s="228"/>
    </row>
    <row r="245" spans="1:26" ht="12.75">
      <c r="A245" s="296"/>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row>
    <row r="246" spans="1:26" ht="12.75">
      <c r="A246" s="296"/>
      <c r="B246" s="228"/>
      <c r="C246" s="22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c r="Z246" s="228"/>
    </row>
    <row r="247" spans="1:26" ht="12.75">
      <c r="A247" s="296"/>
      <c r="B247" s="228"/>
      <c r="C247" s="22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c r="Z247" s="228"/>
    </row>
    <row r="248" spans="1:26" ht="12.75">
      <c r="A248" s="296"/>
      <c r="B248" s="228"/>
      <c r="C248" s="22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c r="Z248" s="228"/>
    </row>
    <row r="249" spans="1:26" ht="12.75">
      <c r="A249" s="296"/>
      <c r="B249" s="228"/>
      <c r="C249" s="22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c r="Z249" s="228"/>
    </row>
    <row r="250" spans="1:26" ht="12.75">
      <c r="A250" s="296"/>
      <c r="B250" s="228"/>
      <c r="C250" s="22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c r="Z250" s="228"/>
    </row>
    <row r="251" spans="1:26" ht="12.75">
      <c r="A251" s="296"/>
      <c r="B251" s="228"/>
      <c r="C251" s="22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c r="Z251" s="228"/>
    </row>
    <row r="252" spans="1:26" ht="12.75">
      <c r="A252" s="296"/>
      <c r="B252" s="228"/>
      <c r="C252" s="22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c r="Z252" s="228"/>
    </row>
    <row r="253" spans="1:26" ht="12.75">
      <c r="A253" s="296"/>
      <c r="B253" s="228"/>
      <c r="C253" s="22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c r="Z253" s="228"/>
    </row>
    <row r="254" spans="1:26" ht="12.75">
      <c r="A254" s="296"/>
      <c r="B254" s="228"/>
      <c r="C254" s="22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c r="Z254" s="228"/>
    </row>
    <row r="255" spans="1:26" ht="12.75">
      <c r="A255" s="296"/>
      <c r="B255" s="228"/>
      <c r="C255" s="22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c r="Z255" s="228"/>
    </row>
    <row r="256" spans="1:26" ht="12.75">
      <c r="A256" s="296"/>
      <c r="B256" s="228"/>
      <c r="C256" s="22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c r="Z256" s="228"/>
    </row>
    <row r="257" spans="1:26" ht="12.75">
      <c r="A257" s="296"/>
      <c r="B257" s="228"/>
      <c r="C257" s="22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c r="Z257" s="228"/>
    </row>
    <row r="258" spans="1:26" ht="12.75">
      <c r="A258" s="296"/>
      <c r="B258" s="228"/>
      <c r="C258" s="22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c r="Z258" s="228"/>
    </row>
    <row r="259" spans="1:26" ht="12.75">
      <c r="A259" s="296"/>
      <c r="B259" s="228"/>
      <c r="C259" s="22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c r="Z259" s="228"/>
    </row>
    <row r="260" spans="1:26" ht="12.75">
      <c r="A260" s="296"/>
      <c r="B260" s="228"/>
      <c r="C260" s="22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c r="Z260" s="228"/>
    </row>
    <row r="261" spans="1:26" ht="12.75">
      <c r="A261" s="296"/>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row>
    <row r="262" spans="1:26" ht="12.75">
      <c r="A262" s="296"/>
      <c r="B262" s="228"/>
      <c r="C262" s="22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c r="Z262" s="228"/>
    </row>
    <row r="263" spans="1:26" ht="12.75">
      <c r="A263" s="296"/>
      <c r="B263" s="228"/>
      <c r="C263" s="22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c r="Z263" s="228"/>
    </row>
    <row r="264" spans="1:26" ht="12.75">
      <c r="A264" s="296"/>
      <c r="B264" s="228"/>
      <c r="C264" s="22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c r="Z264" s="228"/>
    </row>
    <row r="265" spans="1:26" ht="12.75">
      <c r="A265" s="296"/>
      <c r="B265" s="228"/>
      <c r="C265" s="22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c r="Z265" s="228"/>
    </row>
    <row r="266" spans="1:26" ht="12.75">
      <c r="A266" s="296"/>
      <c r="B266" s="228"/>
      <c r="C266" s="22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c r="Z266" s="228"/>
    </row>
    <row r="267" spans="1:26" ht="12.75">
      <c r="A267" s="296"/>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row>
    <row r="268" spans="1:26" ht="12.75">
      <c r="A268" s="296"/>
      <c r="B268" s="228"/>
      <c r="C268" s="22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c r="Z268" s="228"/>
    </row>
    <row r="269" spans="1:26" ht="12.75">
      <c r="A269" s="296"/>
      <c r="B269" s="228"/>
      <c r="C269" s="22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c r="Z269" s="228"/>
    </row>
    <row r="270" spans="1:26" ht="12.75">
      <c r="A270" s="296"/>
      <c r="B270" s="228"/>
      <c r="C270" s="22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c r="Z270" s="228"/>
    </row>
    <row r="271" spans="1:26" ht="12.75">
      <c r="A271" s="296"/>
      <c r="B271" s="228"/>
      <c r="C271" s="22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c r="Z271" s="228"/>
    </row>
    <row r="272" spans="1:26" ht="12.75">
      <c r="A272" s="296"/>
      <c r="B272" s="228"/>
      <c r="C272" s="22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c r="Z272" s="228"/>
    </row>
    <row r="273" spans="1:26" ht="12.75">
      <c r="A273" s="296"/>
      <c r="B273" s="228"/>
      <c r="C273" s="22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c r="Z273" s="228"/>
    </row>
    <row r="274" spans="1:26" ht="12.75">
      <c r="A274" s="296"/>
      <c r="B274" s="228"/>
      <c r="C274" s="22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c r="Z274" s="228"/>
    </row>
    <row r="275" spans="1:26" ht="12.75">
      <c r="A275" s="296"/>
      <c r="B275" s="228"/>
      <c r="C275" s="22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c r="Z275" s="228"/>
    </row>
    <row r="276" spans="1:26" ht="12.75">
      <c r="A276" s="296"/>
      <c r="B276" s="228"/>
      <c r="C276" s="22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c r="Z276" s="228"/>
    </row>
    <row r="277" spans="1:26" ht="12.75">
      <c r="A277" s="296"/>
      <c r="B277" s="228"/>
      <c r="C277" s="22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c r="Z277" s="228"/>
    </row>
    <row r="278" spans="1:26" ht="12.75">
      <c r="A278" s="296"/>
      <c r="B278" s="228"/>
      <c r="C278" s="22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c r="Z278" s="228"/>
    </row>
    <row r="279" spans="1:26" ht="12.75">
      <c r="A279" s="296"/>
      <c r="B279" s="228"/>
      <c r="C279" s="22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c r="Z279" s="228"/>
    </row>
    <row r="280" spans="1:26" ht="12.75">
      <c r="A280" s="296"/>
      <c r="B280" s="228"/>
      <c r="C280" s="22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c r="Z280" s="228"/>
    </row>
    <row r="281" spans="1:26" ht="12.75">
      <c r="A281" s="296"/>
      <c r="B281" s="228"/>
      <c r="C281" s="22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c r="Z281" s="228"/>
    </row>
    <row r="282" spans="1:26" ht="12.75">
      <c r="A282" s="296"/>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row>
    <row r="283" spans="1:26" ht="12.75">
      <c r="A283" s="296"/>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row>
    <row r="284" spans="1:26" ht="12.75">
      <c r="A284" s="296"/>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row>
    <row r="285" spans="1:26" ht="12.75">
      <c r="A285" s="296"/>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row>
    <row r="286" spans="1:26" ht="12.75">
      <c r="A286" s="296"/>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row>
    <row r="287" spans="1:26" ht="12.75">
      <c r="A287" s="296"/>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row>
    <row r="288" spans="1:26" ht="12.75">
      <c r="A288" s="296"/>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row>
    <row r="289" spans="1:26" ht="12.75">
      <c r="A289" s="296"/>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row>
    <row r="290" spans="1:26" ht="12.75">
      <c r="A290" s="296"/>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row>
    <row r="291" spans="1:26" ht="12.75">
      <c r="A291" s="296"/>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row>
    <row r="292" spans="1:26" ht="12.75">
      <c r="A292" s="296"/>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row>
    <row r="293" spans="1:26" ht="12.75">
      <c r="A293" s="296"/>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row>
    <row r="294" spans="1:26" ht="12.75">
      <c r="A294" s="296"/>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row>
    <row r="295" spans="1:26" ht="12.75">
      <c r="A295" s="296"/>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row>
    <row r="296" spans="1:26" ht="12.75">
      <c r="A296" s="296"/>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row>
    <row r="297" spans="1:26" ht="12.75">
      <c r="A297" s="296"/>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row>
    <row r="298" spans="1:26" ht="12.75">
      <c r="A298" s="296"/>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row>
    <row r="299" spans="1:26" ht="12.75">
      <c r="A299" s="296"/>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row>
    <row r="300" spans="1:26" ht="12.75">
      <c r="A300" s="296"/>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row>
    <row r="301" spans="1:26" ht="12.75">
      <c r="A301" s="296"/>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row>
    <row r="302" spans="1:26" ht="12.75">
      <c r="A302" s="296"/>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row>
    <row r="303" spans="1:26" ht="12.75">
      <c r="A303" s="296"/>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row>
    <row r="304" spans="1:26" ht="12.75">
      <c r="A304" s="296"/>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row>
    <row r="305" spans="1:26" ht="12.75">
      <c r="A305" s="296"/>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row>
    <row r="306" spans="1:26" ht="12.75">
      <c r="A306" s="296"/>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row>
    <row r="307" spans="1:26" ht="12.75">
      <c r="A307" s="296"/>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row>
    <row r="308" spans="1:26" ht="12.75">
      <c r="A308" s="296"/>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row>
    <row r="309" spans="1:26" ht="12.75">
      <c r="A309" s="296"/>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row>
    <row r="310" spans="1:26" ht="12.75">
      <c r="A310" s="296"/>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row>
    <row r="311" spans="1:26" ht="12.75">
      <c r="A311" s="296"/>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row>
    <row r="312" spans="1:26" ht="12.75">
      <c r="A312" s="296"/>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row>
    <row r="313" spans="1:26" ht="12.75">
      <c r="A313" s="296"/>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row>
    <row r="314" spans="1:26" ht="12.75">
      <c r="A314" s="296"/>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row>
    <row r="315" spans="1:26" ht="12.75">
      <c r="A315" s="296"/>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row>
    <row r="316" spans="1:26" ht="12.75">
      <c r="A316" s="296"/>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row>
    <row r="317" spans="1:26" ht="12.75">
      <c r="A317" s="296"/>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row>
    <row r="318" spans="1:26" ht="12.75">
      <c r="A318" s="296"/>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row>
    <row r="319" spans="1:26" ht="12.75">
      <c r="A319" s="296"/>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row>
    <row r="320" spans="1:26" ht="12.75">
      <c r="A320" s="296"/>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row>
    <row r="321" spans="1:26" ht="12.75">
      <c r="A321" s="296"/>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row>
    <row r="322" spans="1:26" ht="12.75">
      <c r="A322" s="296"/>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row>
    <row r="323" spans="1:26" ht="12.75">
      <c r="A323" s="296"/>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row>
    <row r="324" spans="1:26" ht="12.75">
      <c r="A324" s="296"/>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row>
    <row r="325" spans="1:26" ht="12.75">
      <c r="A325" s="296"/>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row>
    <row r="326" spans="1:26" ht="12.75">
      <c r="A326" s="296"/>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row>
    <row r="327" spans="1:26" ht="12.75">
      <c r="A327" s="296"/>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row>
    <row r="328" spans="1:26" ht="12.75">
      <c r="A328" s="296"/>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row>
    <row r="329" spans="1:26" ht="12.75">
      <c r="A329" s="296"/>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row>
    <row r="330" spans="1:26" ht="12.75">
      <c r="A330" s="296"/>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row>
    <row r="331" spans="1:26" ht="12.75">
      <c r="A331" s="296"/>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row>
    <row r="332" spans="1:26" ht="12.75">
      <c r="A332" s="296"/>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row>
    <row r="333" spans="1:26" ht="12.75">
      <c r="A333" s="296"/>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row>
    <row r="334" spans="1:26" ht="12.75">
      <c r="A334" s="296"/>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row>
    <row r="335" spans="1:26" ht="12.75">
      <c r="A335" s="296"/>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row>
    <row r="336" spans="1:26" ht="12.75">
      <c r="A336" s="296"/>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row>
    <row r="337" spans="1:26" ht="12.75">
      <c r="A337" s="296"/>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row>
    <row r="338" spans="1:26" ht="12.75">
      <c r="A338" s="296"/>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row>
    <row r="339" spans="1:26" ht="12.75">
      <c r="A339" s="296"/>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row>
    <row r="340" spans="1:26" ht="12.75">
      <c r="A340" s="296"/>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row>
    <row r="341" spans="1:26" ht="12.75">
      <c r="A341" s="296"/>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row>
    <row r="342" spans="1:26" ht="12.75">
      <c r="A342" s="296"/>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row>
    <row r="343" spans="1:26" ht="12.75">
      <c r="A343" s="296"/>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row>
    <row r="344" spans="1:26" ht="12.75">
      <c r="A344" s="296"/>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row>
    <row r="345" spans="1:26" ht="12.75">
      <c r="A345" s="296"/>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row>
    <row r="346" spans="1:26" ht="12.75">
      <c r="A346" s="296"/>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row>
    <row r="347" spans="1:26" ht="12.75">
      <c r="A347" s="296"/>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row>
    <row r="348" spans="1:26" ht="12.75">
      <c r="A348" s="296"/>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row>
    <row r="349" spans="1:26" ht="12.75">
      <c r="A349" s="296"/>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row>
    <row r="350" spans="1:26" ht="12.75">
      <c r="A350" s="296"/>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row>
    <row r="351" spans="1:26" ht="12.75">
      <c r="A351" s="296"/>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row>
    <row r="352" spans="1:26" ht="12.75">
      <c r="A352" s="296"/>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row>
    <row r="353" spans="1:26" ht="12.75">
      <c r="A353" s="296"/>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row>
    <row r="354" spans="1:26" ht="12.75">
      <c r="A354" s="296"/>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row>
    <row r="355" spans="1:26" ht="12.75">
      <c r="A355" s="296"/>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row>
    <row r="356" spans="1:26" ht="12.75">
      <c r="A356" s="296"/>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row>
    <row r="357" spans="1:26" ht="12.75">
      <c r="A357" s="296"/>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row>
    <row r="358" spans="1:26" ht="12.75">
      <c r="A358" s="296"/>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row>
    <row r="359" spans="1:26" ht="12.75">
      <c r="A359" s="296"/>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row>
    <row r="360" spans="1:26" ht="12.75">
      <c r="A360" s="296"/>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row>
    <row r="361" spans="1:26" ht="12.75">
      <c r="A361" s="296"/>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row>
    <row r="362" spans="1:26" ht="12.75">
      <c r="A362" s="296"/>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row>
    <row r="363" spans="1:26" ht="12.75">
      <c r="A363" s="296"/>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row>
    <row r="364" spans="1:26" ht="12.75">
      <c r="A364" s="296"/>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row>
    <row r="365" spans="1:26" ht="12.75">
      <c r="A365" s="296"/>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row>
    <row r="366" spans="1:26" ht="12.75">
      <c r="A366" s="296"/>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row>
    <row r="367" spans="1:26" ht="12.75">
      <c r="A367" s="296"/>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row>
    <row r="368" spans="1:26" ht="12.75">
      <c r="A368" s="296"/>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row>
    <row r="369" spans="1:26" ht="12.75">
      <c r="A369" s="296"/>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row>
    <row r="370" spans="1:26" ht="12.75">
      <c r="A370" s="296"/>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row>
    <row r="371" spans="1:26" ht="12.75">
      <c r="A371" s="296"/>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row>
    <row r="372" spans="1:26" ht="12.75">
      <c r="A372" s="296"/>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row>
    <row r="373" spans="1:26" ht="12.75">
      <c r="A373" s="296"/>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row>
    <row r="374" spans="1:26" ht="12.75">
      <c r="A374" s="296"/>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row>
    <row r="375" spans="1:26" ht="12.75">
      <c r="A375" s="296"/>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row>
    <row r="376" spans="1:26" ht="12.75">
      <c r="A376" s="296"/>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row>
    <row r="377" spans="1:26" ht="12.75">
      <c r="A377" s="296"/>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row>
    <row r="378" spans="1:26" ht="12.75">
      <c r="A378" s="296"/>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row>
    <row r="379" spans="1:26" ht="12.75">
      <c r="A379" s="296"/>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row>
    <row r="380" spans="1:26" ht="12.75">
      <c r="A380" s="296"/>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row>
    <row r="381" spans="1:26" ht="12.75">
      <c r="A381" s="296"/>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row>
    <row r="382" spans="1:26" ht="12.75">
      <c r="A382" s="296"/>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row>
    <row r="383" spans="1:26" ht="12.75">
      <c r="A383" s="296"/>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row>
    <row r="384" spans="1:26" ht="12.75">
      <c r="A384" s="296"/>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row>
    <row r="385" spans="1:26" ht="12.75">
      <c r="A385" s="296"/>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row>
    <row r="386" spans="1:26" ht="12.75">
      <c r="A386" s="296"/>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row>
    <row r="387" spans="1:26" ht="12.75">
      <c r="A387" s="296"/>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row>
    <row r="388" spans="1:26" ht="12.75">
      <c r="A388" s="296"/>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row>
    <row r="389" spans="1:26" ht="12.75">
      <c r="A389" s="296"/>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row>
    <row r="390" spans="1:26" ht="12.75">
      <c r="A390" s="296"/>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row>
    <row r="391" spans="1:26" ht="12.75">
      <c r="A391" s="296"/>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row>
    <row r="392" spans="1:26" ht="12.75">
      <c r="A392" s="296"/>
      <c r="B392" s="228"/>
      <c r="C392" s="228"/>
      <c r="D392" s="228"/>
      <c r="E392" s="228"/>
      <c r="F392" s="228"/>
      <c r="G392" s="228"/>
      <c r="H392" s="228"/>
      <c r="I392" s="228"/>
      <c r="J392" s="228"/>
      <c r="K392" s="228"/>
      <c r="L392" s="228"/>
      <c r="M392" s="228"/>
      <c r="N392" s="228"/>
      <c r="O392" s="228"/>
      <c r="P392" s="228"/>
      <c r="Q392" s="228"/>
      <c r="R392" s="228"/>
      <c r="S392" s="228"/>
      <c r="T392" s="228"/>
      <c r="U392" s="228"/>
      <c r="V392" s="228"/>
      <c r="W392" s="228"/>
      <c r="X392" s="228"/>
      <c r="Y392" s="228"/>
      <c r="Z392" s="228"/>
    </row>
    <row r="393" spans="1:26" ht="12.75">
      <c r="A393" s="296"/>
      <c r="B393" s="228"/>
      <c r="C393" s="228"/>
      <c r="D393" s="228"/>
      <c r="E393" s="228"/>
      <c r="F393" s="228"/>
      <c r="G393" s="228"/>
      <c r="H393" s="228"/>
      <c r="I393" s="228"/>
      <c r="J393" s="228"/>
      <c r="K393" s="228"/>
      <c r="L393" s="228"/>
      <c r="M393" s="228"/>
      <c r="N393" s="228"/>
      <c r="O393" s="228"/>
      <c r="P393" s="228"/>
      <c r="Q393" s="228"/>
      <c r="R393" s="228"/>
      <c r="S393" s="228"/>
      <c r="T393" s="228"/>
      <c r="U393" s="228"/>
      <c r="V393" s="228"/>
      <c r="W393" s="228"/>
      <c r="X393" s="228"/>
      <c r="Y393" s="228"/>
      <c r="Z393" s="228"/>
    </row>
    <row r="394" spans="1:26" ht="12.75">
      <c r="A394" s="296"/>
      <c r="B394" s="228"/>
      <c r="C394" s="228"/>
      <c r="D394" s="228"/>
      <c r="E394" s="228"/>
      <c r="F394" s="228"/>
      <c r="G394" s="228"/>
      <c r="H394" s="228"/>
      <c r="I394" s="228"/>
      <c r="J394" s="228"/>
      <c r="K394" s="228"/>
      <c r="L394" s="228"/>
      <c r="M394" s="228"/>
      <c r="N394" s="228"/>
      <c r="O394" s="228"/>
      <c r="P394" s="228"/>
      <c r="Q394" s="228"/>
      <c r="R394" s="228"/>
      <c r="S394" s="228"/>
      <c r="T394" s="228"/>
      <c r="U394" s="228"/>
      <c r="V394" s="228"/>
      <c r="W394" s="228"/>
      <c r="X394" s="228"/>
      <c r="Y394" s="228"/>
      <c r="Z394" s="228"/>
    </row>
    <row r="395" spans="1:26" ht="12.75">
      <c r="A395" s="296"/>
      <c r="B395" s="228"/>
      <c r="C395" s="228"/>
      <c r="D395" s="228"/>
      <c r="E395" s="228"/>
      <c r="F395" s="228"/>
      <c r="G395" s="228"/>
      <c r="H395" s="228"/>
      <c r="I395" s="228"/>
      <c r="J395" s="228"/>
      <c r="K395" s="228"/>
      <c r="L395" s="228"/>
      <c r="M395" s="228"/>
      <c r="N395" s="228"/>
      <c r="O395" s="228"/>
      <c r="P395" s="228"/>
      <c r="Q395" s="228"/>
      <c r="R395" s="228"/>
      <c r="S395" s="228"/>
      <c r="T395" s="228"/>
      <c r="U395" s="228"/>
      <c r="V395" s="228"/>
      <c r="W395" s="228"/>
      <c r="X395" s="228"/>
      <c r="Y395" s="228"/>
      <c r="Z395" s="228"/>
    </row>
    <row r="396" spans="1:26" ht="12.75">
      <c r="A396" s="296"/>
      <c r="B396" s="228"/>
      <c r="C396" s="228"/>
      <c r="D396" s="228"/>
      <c r="E396" s="228"/>
      <c r="F396" s="228"/>
      <c r="G396" s="228"/>
      <c r="H396" s="228"/>
      <c r="I396" s="228"/>
      <c r="J396" s="228"/>
      <c r="K396" s="228"/>
      <c r="L396" s="228"/>
      <c r="M396" s="228"/>
      <c r="N396" s="228"/>
      <c r="O396" s="228"/>
      <c r="P396" s="228"/>
      <c r="Q396" s="228"/>
      <c r="R396" s="228"/>
      <c r="S396" s="228"/>
      <c r="T396" s="228"/>
      <c r="U396" s="228"/>
      <c r="V396" s="228"/>
      <c r="W396" s="228"/>
      <c r="X396" s="228"/>
      <c r="Y396" s="228"/>
      <c r="Z396" s="228"/>
    </row>
    <row r="397" spans="1:26" ht="12.75">
      <c r="A397" s="296"/>
      <c r="B397" s="228"/>
      <c r="C397" s="228"/>
      <c r="D397" s="228"/>
      <c r="E397" s="228"/>
      <c r="F397" s="228"/>
      <c r="G397" s="228"/>
      <c r="H397" s="228"/>
      <c r="I397" s="228"/>
      <c r="J397" s="228"/>
      <c r="K397" s="228"/>
      <c r="L397" s="228"/>
      <c r="M397" s="228"/>
      <c r="N397" s="228"/>
      <c r="O397" s="228"/>
      <c r="P397" s="228"/>
      <c r="Q397" s="228"/>
      <c r="R397" s="228"/>
      <c r="S397" s="228"/>
      <c r="T397" s="228"/>
      <c r="U397" s="228"/>
      <c r="V397" s="228"/>
      <c r="W397" s="228"/>
      <c r="X397" s="228"/>
      <c r="Y397" s="228"/>
      <c r="Z397" s="228"/>
    </row>
    <row r="398" spans="1:26" ht="12.75">
      <c r="A398" s="296"/>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row>
    <row r="399" spans="1:26" ht="12.75">
      <c r="A399" s="296"/>
      <c r="B399" s="228"/>
      <c r="C399" s="228"/>
      <c r="D399" s="228"/>
      <c r="E399" s="228"/>
      <c r="F399" s="228"/>
      <c r="G399" s="228"/>
      <c r="H399" s="228"/>
      <c r="I399" s="228"/>
      <c r="J399" s="228"/>
      <c r="K399" s="228"/>
      <c r="L399" s="228"/>
      <c r="M399" s="228"/>
      <c r="N399" s="228"/>
      <c r="O399" s="228"/>
      <c r="P399" s="228"/>
      <c r="Q399" s="228"/>
      <c r="R399" s="228"/>
      <c r="S399" s="228"/>
      <c r="T399" s="228"/>
      <c r="U399" s="228"/>
      <c r="V399" s="228"/>
      <c r="W399" s="228"/>
      <c r="X399" s="228"/>
      <c r="Y399" s="228"/>
      <c r="Z399" s="228"/>
    </row>
    <row r="400" spans="1:26" ht="12.75">
      <c r="A400" s="296"/>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row>
    <row r="401" spans="1:26" ht="12.75">
      <c r="A401" s="296"/>
      <c r="B401" s="228"/>
      <c r="C401" s="228"/>
      <c r="D401" s="228"/>
      <c r="E401" s="228"/>
      <c r="F401" s="228"/>
      <c r="G401" s="228"/>
      <c r="H401" s="228"/>
      <c r="I401" s="228"/>
      <c r="J401" s="228"/>
      <c r="K401" s="228"/>
      <c r="L401" s="228"/>
      <c r="M401" s="228"/>
      <c r="N401" s="228"/>
      <c r="O401" s="228"/>
      <c r="P401" s="228"/>
      <c r="Q401" s="228"/>
      <c r="R401" s="228"/>
      <c r="S401" s="228"/>
      <c r="T401" s="228"/>
      <c r="U401" s="228"/>
      <c r="V401" s="228"/>
      <c r="W401" s="228"/>
      <c r="X401" s="228"/>
      <c r="Y401" s="228"/>
      <c r="Z401" s="228"/>
    </row>
    <row r="402" spans="1:26" ht="12.75">
      <c r="A402" s="296"/>
      <c r="B402" s="228"/>
      <c r="C402" s="228"/>
      <c r="D402" s="228"/>
      <c r="E402" s="228"/>
      <c r="F402" s="228"/>
      <c r="G402" s="228"/>
      <c r="H402" s="228"/>
      <c r="I402" s="228"/>
      <c r="J402" s="228"/>
      <c r="K402" s="228"/>
      <c r="L402" s="228"/>
      <c r="M402" s="228"/>
      <c r="N402" s="228"/>
      <c r="O402" s="228"/>
      <c r="P402" s="228"/>
      <c r="Q402" s="228"/>
      <c r="R402" s="228"/>
      <c r="S402" s="228"/>
      <c r="T402" s="228"/>
      <c r="U402" s="228"/>
      <c r="V402" s="228"/>
      <c r="W402" s="228"/>
      <c r="X402" s="228"/>
      <c r="Y402" s="228"/>
      <c r="Z402" s="228"/>
    </row>
    <row r="403" spans="1:26" ht="12.75">
      <c r="A403" s="296"/>
      <c r="B403" s="228"/>
      <c r="C403" s="228"/>
      <c r="D403" s="228"/>
      <c r="E403" s="228"/>
      <c r="F403" s="228"/>
      <c r="G403" s="228"/>
      <c r="H403" s="228"/>
      <c r="I403" s="228"/>
      <c r="J403" s="228"/>
      <c r="K403" s="228"/>
      <c r="L403" s="228"/>
      <c r="M403" s="228"/>
      <c r="N403" s="228"/>
      <c r="O403" s="228"/>
      <c r="P403" s="228"/>
      <c r="Q403" s="228"/>
      <c r="R403" s="228"/>
      <c r="S403" s="228"/>
      <c r="T403" s="228"/>
      <c r="U403" s="228"/>
      <c r="V403" s="228"/>
      <c r="W403" s="228"/>
      <c r="X403" s="228"/>
      <c r="Y403" s="228"/>
      <c r="Z403" s="228"/>
    </row>
    <row r="404" spans="1:26" ht="12.75">
      <c r="A404" s="296"/>
      <c r="B404" s="228"/>
      <c r="C404" s="228"/>
      <c r="D404" s="228"/>
      <c r="E404" s="228"/>
      <c r="F404" s="228"/>
      <c r="G404" s="228"/>
      <c r="H404" s="228"/>
      <c r="I404" s="228"/>
      <c r="J404" s="228"/>
      <c r="K404" s="228"/>
      <c r="L404" s="228"/>
      <c r="M404" s="228"/>
      <c r="N404" s="228"/>
      <c r="O404" s="228"/>
      <c r="P404" s="228"/>
      <c r="Q404" s="228"/>
      <c r="R404" s="228"/>
      <c r="S404" s="228"/>
      <c r="T404" s="228"/>
      <c r="U404" s="228"/>
      <c r="V404" s="228"/>
      <c r="W404" s="228"/>
      <c r="X404" s="228"/>
      <c r="Y404" s="228"/>
      <c r="Z404" s="228"/>
    </row>
    <row r="405" spans="1:26" ht="12.75">
      <c r="A405" s="296"/>
      <c r="B405" s="228"/>
      <c r="C405" s="228"/>
      <c r="D405" s="228"/>
      <c r="E405" s="228"/>
      <c r="F405" s="228"/>
      <c r="G405" s="228"/>
      <c r="H405" s="228"/>
      <c r="I405" s="228"/>
      <c r="J405" s="228"/>
      <c r="K405" s="228"/>
      <c r="L405" s="228"/>
      <c r="M405" s="228"/>
      <c r="N405" s="228"/>
      <c r="O405" s="228"/>
      <c r="P405" s="228"/>
      <c r="Q405" s="228"/>
      <c r="R405" s="228"/>
      <c r="S405" s="228"/>
      <c r="T405" s="228"/>
      <c r="U405" s="228"/>
      <c r="V405" s="228"/>
      <c r="W405" s="228"/>
      <c r="X405" s="228"/>
      <c r="Y405" s="228"/>
      <c r="Z405" s="228"/>
    </row>
    <row r="406" spans="1:26" ht="12.75">
      <c r="A406" s="296"/>
      <c r="B406" s="228"/>
      <c r="C406" s="228"/>
      <c r="D406" s="228"/>
      <c r="E406" s="228"/>
      <c r="F406" s="228"/>
      <c r="G406" s="228"/>
      <c r="H406" s="228"/>
      <c r="I406" s="228"/>
      <c r="J406" s="228"/>
      <c r="K406" s="228"/>
      <c r="L406" s="228"/>
      <c r="M406" s="228"/>
      <c r="N406" s="228"/>
      <c r="O406" s="228"/>
      <c r="P406" s="228"/>
      <c r="Q406" s="228"/>
      <c r="R406" s="228"/>
      <c r="S406" s="228"/>
      <c r="T406" s="228"/>
      <c r="U406" s="228"/>
      <c r="V406" s="228"/>
      <c r="W406" s="228"/>
      <c r="X406" s="228"/>
      <c r="Y406" s="228"/>
      <c r="Z406" s="228"/>
    </row>
    <row r="407" spans="1:26" ht="12.75">
      <c r="A407" s="296"/>
      <c r="B407" s="228"/>
      <c r="C407" s="228"/>
      <c r="D407" s="228"/>
      <c r="E407" s="228"/>
      <c r="F407" s="228"/>
      <c r="G407" s="228"/>
      <c r="H407" s="228"/>
      <c r="I407" s="228"/>
      <c r="J407" s="228"/>
      <c r="K407" s="228"/>
      <c r="L407" s="228"/>
      <c r="M407" s="228"/>
      <c r="N407" s="228"/>
      <c r="O407" s="228"/>
      <c r="P407" s="228"/>
      <c r="Q407" s="228"/>
      <c r="R407" s="228"/>
      <c r="S407" s="228"/>
      <c r="T407" s="228"/>
      <c r="U407" s="228"/>
      <c r="V407" s="228"/>
      <c r="W407" s="228"/>
      <c r="X407" s="228"/>
      <c r="Y407" s="228"/>
      <c r="Z407" s="228"/>
    </row>
    <row r="408" spans="1:26" ht="12.75">
      <c r="A408" s="296"/>
      <c r="B408" s="228"/>
      <c r="C408" s="228"/>
      <c r="D408" s="228"/>
      <c r="E408" s="228"/>
      <c r="F408" s="228"/>
      <c r="G408" s="228"/>
      <c r="H408" s="228"/>
      <c r="I408" s="228"/>
      <c r="J408" s="228"/>
      <c r="K408" s="228"/>
      <c r="L408" s="228"/>
      <c r="M408" s="228"/>
      <c r="N408" s="228"/>
      <c r="O408" s="228"/>
      <c r="P408" s="228"/>
      <c r="Q408" s="228"/>
      <c r="R408" s="228"/>
      <c r="S408" s="228"/>
      <c r="T408" s="228"/>
      <c r="U408" s="228"/>
      <c r="V408" s="228"/>
      <c r="W408" s="228"/>
      <c r="X408" s="228"/>
      <c r="Y408" s="228"/>
      <c r="Z408" s="228"/>
    </row>
    <row r="409" spans="1:26" ht="12.75">
      <c r="A409" s="296"/>
      <c r="B409" s="228"/>
      <c r="C409" s="228"/>
      <c r="D409" s="228"/>
      <c r="E409" s="228"/>
      <c r="F409" s="228"/>
      <c r="G409" s="228"/>
      <c r="H409" s="228"/>
      <c r="I409" s="228"/>
      <c r="J409" s="228"/>
      <c r="K409" s="228"/>
      <c r="L409" s="228"/>
      <c r="M409" s="228"/>
      <c r="N409" s="228"/>
      <c r="O409" s="228"/>
      <c r="P409" s="228"/>
      <c r="Q409" s="228"/>
      <c r="R409" s="228"/>
      <c r="S409" s="228"/>
      <c r="T409" s="228"/>
      <c r="U409" s="228"/>
      <c r="V409" s="228"/>
      <c r="W409" s="228"/>
      <c r="X409" s="228"/>
      <c r="Y409" s="228"/>
      <c r="Z409" s="228"/>
    </row>
    <row r="410" spans="1:26" ht="12.75">
      <c r="A410" s="296"/>
      <c r="B410" s="228"/>
      <c r="C410" s="228"/>
      <c r="D410" s="228"/>
      <c r="E410" s="228"/>
      <c r="F410" s="228"/>
      <c r="G410" s="228"/>
      <c r="H410" s="228"/>
      <c r="I410" s="228"/>
      <c r="J410" s="228"/>
      <c r="K410" s="228"/>
      <c r="L410" s="228"/>
      <c r="M410" s="228"/>
      <c r="N410" s="228"/>
      <c r="O410" s="228"/>
      <c r="P410" s="228"/>
      <c r="Q410" s="228"/>
      <c r="R410" s="228"/>
      <c r="S410" s="228"/>
      <c r="T410" s="228"/>
      <c r="U410" s="228"/>
      <c r="V410" s="228"/>
      <c r="W410" s="228"/>
      <c r="X410" s="228"/>
      <c r="Y410" s="228"/>
      <c r="Z410" s="228"/>
    </row>
    <row r="411" spans="1:26" ht="12.75">
      <c r="A411" s="296"/>
      <c r="B411" s="228"/>
      <c r="C411" s="228"/>
      <c r="D411" s="228"/>
      <c r="E411" s="228"/>
      <c r="F411" s="228"/>
      <c r="G411" s="228"/>
      <c r="H411" s="228"/>
      <c r="I411" s="228"/>
      <c r="J411" s="228"/>
      <c r="K411" s="228"/>
      <c r="L411" s="228"/>
      <c r="M411" s="228"/>
      <c r="N411" s="228"/>
      <c r="O411" s="228"/>
      <c r="P411" s="228"/>
      <c r="Q411" s="228"/>
      <c r="R411" s="228"/>
      <c r="S411" s="228"/>
      <c r="T411" s="228"/>
      <c r="U411" s="228"/>
      <c r="V411" s="228"/>
      <c r="W411" s="228"/>
      <c r="X411" s="228"/>
      <c r="Y411" s="228"/>
      <c r="Z411" s="228"/>
    </row>
    <row r="412" spans="1:26" ht="12.75">
      <c r="A412" s="296"/>
      <c r="B412" s="228"/>
      <c r="C412" s="228"/>
      <c r="D412" s="228"/>
      <c r="E412" s="228"/>
      <c r="F412" s="228"/>
      <c r="G412" s="228"/>
      <c r="H412" s="228"/>
      <c r="I412" s="228"/>
      <c r="J412" s="228"/>
      <c r="K412" s="228"/>
      <c r="L412" s="228"/>
      <c r="M412" s="228"/>
      <c r="N412" s="228"/>
      <c r="O412" s="228"/>
      <c r="P412" s="228"/>
      <c r="Q412" s="228"/>
      <c r="R412" s="228"/>
      <c r="S412" s="228"/>
      <c r="T412" s="228"/>
      <c r="U412" s="228"/>
      <c r="V412" s="228"/>
      <c r="W412" s="228"/>
      <c r="X412" s="228"/>
      <c r="Y412" s="228"/>
      <c r="Z412" s="228"/>
    </row>
    <row r="413" spans="1:26" ht="12.75">
      <c r="A413" s="296"/>
      <c r="B413" s="228"/>
      <c r="C413" s="228"/>
      <c r="D413" s="228"/>
      <c r="E413" s="228"/>
      <c r="F413" s="228"/>
      <c r="G413" s="228"/>
      <c r="H413" s="228"/>
      <c r="I413" s="228"/>
      <c r="J413" s="228"/>
      <c r="K413" s="228"/>
      <c r="L413" s="228"/>
      <c r="M413" s="228"/>
      <c r="N413" s="228"/>
      <c r="O413" s="228"/>
      <c r="P413" s="228"/>
      <c r="Q413" s="228"/>
      <c r="R413" s="228"/>
      <c r="S413" s="228"/>
      <c r="T413" s="228"/>
      <c r="U413" s="228"/>
      <c r="V413" s="228"/>
      <c r="W413" s="228"/>
      <c r="X413" s="228"/>
      <c r="Y413" s="228"/>
      <c r="Z413" s="228"/>
    </row>
    <row r="414" spans="1:26" ht="12.75">
      <c r="A414" s="296"/>
      <c r="B414" s="228"/>
      <c r="C414" s="228"/>
      <c r="D414" s="228"/>
      <c r="E414" s="228"/>
      <c r="F414" s="228"/>
      <c r="G414" s="228"/>
      <c r="H414" s="228"/>
      <c r="I414" s="228"/>
      <c r="J414" s="228"/>
      <c r="K414" s="228"/>
      <c r="L414" s="228"/>
      <c r="M414" s="228"/>
      <c r="N414" s="228"/>
      <c r="O414" s="228"/>
      <c r="P414" s="228"/>
      <c r="Q414" s="228"/>
      <c r="R414" s="228"/>
      <c r="S414" s="228"/>
      <c r="T414" s="228"/>
      <c r="U414" s="228"/>
      <c r="V414" s="228"/>
      <c r="W414" s="228"/>
      <c r="X414" s="228"/>
      <c r="Y414" s="228"/>
      <c r="Z414" s="228"/>
    </row>
    <row r="415" spans="1:26" ht="12.75">
      <c r="A415" s="296"/>
      <c r="B415" s="228"/>
      <c r="C415" s="228"/>
      <c r="D415" s="228"/>
      <c r="E415" s="228"/>
      <c r="F415" s="228"/>
      <c r="G415" s="228"/>
      <c r="H415" s="228"/>
      <c r="I415" s="228"/>
      <c r="J415" s="228"/>
      <c r="K415" s="228"/>
      <c r="L415" s="228"/>
      <c r="M415" s="228"/>
      <c r="N415" s="228"/>
      <c r="O415" s="228"/>
      <c r="P415" s="228"/>
      <c r="Q415" s="228"/>
      <c r="R415" s="228"/>
      <c r="S415" s="228"/>
      <c r="T415" s="228"/>
      <c r="U415" s="228"/>
      <c r="V415" s="228"/>
      <c r="W415" s="228"/>
      <c r="X415" s="228"/>
      <c r="Y415" s="228"/>
      <c r="Z415" s="228"/>
    </row>
    <row r="416" spans="1:26" ht="12.75">
      <c r="A416" s="296"/>
      <c r="B416" s="228"/>
      <c r="C416" s="228"/>
      <c r="D416" s="228"/>
      <c r="E416" s="228"/>
      <c r="F416" s="228"/>
      <c r="G416" s="228"/>
      <c r="H416" s="228"/>
      <c r="I416" s="228"/>
      <c r="J416" s="228"/>
      <c r="K416" s="228"/>
      <c r="L416" s="228"/>
      <c r="M416" s="228"/>
      <c r="N416" s="228"/>
      <c r="O416" s="228"/>
      <c r="P416" s="228"/>
      <c r="Q416" s="228"/>
      <c r="R416" s="228"/>
      <c r="S416" s="228"/>
      <c r="T416" s="228"/>
      <c r="U416" s="228"/>
      <c r="V416" s="228"/>
      <c r="W416" s="228"/>
      <c r="X416" s="228"/>
      <c r="Y416" s="228"/>
      <c r="Z416" s="228"/>
    </row>
    <row r="417" spans="1:26" ht="12.75">
      <c r="A417" s="296"/>
      <c r="B417" s="228"/>
      <c r="C417" s="228"/>
      <c r="D417" s="228"/>
      <c r="E417" s="228"/>
      <c r="F417" s="228"/>
      <c r="G417" s="228"/>
      <c r="H417" s="228"/>
      <c r="I417" s="228"/>
      <c r="J417" s="228"/>
      <c r="K417" s="228"/>
      <c r="L417" s="228"/>
      <c r="M417" s="228"/>
      <c r="N417" s="228"/>
      <c r="O417" s="228"/>
      <c r="P417" s="228"/>
      <c r="Q417" s="228"/>
      <c r="R417" s="228"/>
      <c r="S417" s="228"/>
      <c r="T417" s="228"/>
      <c r="U417" s="228"/>
      <c r="V417" s="228"/>
      <c r="W417" s="228"/>
      <c r="X417" s="228"/>
      <c r="Y417" s="228"/>
      <c r="Z417" s="228"/>
    </row>
    <row r="418" spans="1:26" ht="12.75">
      <c r="A418" s="296"/>
      <c r="B418" s="228"/>
      <c r="C418" s="228"/>
      <c r="D418" s="228"/>
      <c r="E418" s="228"/>
      <c r="F418" s="228"/>
      <c r="G418" s="228"/>
      <c r="H418" s="228"/>
      <c r="I418" s="228"/>
      <c r="J418" s="228"/>
      <c r="K418" s="228"/>
      <c r="L418" s="228"/>
      <c r="M418" s="228"/>
      <c r="N418" s="228"/>
      <c r="O418" s="228"/>
      <c r="P418" s="228"/>
      <c r="Q418" s="228"/>
      <c r="R418" s="228"/>
      <c r="S418" s="228"/>
      <c r="T418" s="228"/>
      <c r="U418" s="228"/>
      <c r="V418" s="228"/>
      <c r="W418" s="228"/>
      <c r="X418" s="228"/>
      <c r="Y418" s="228"/>
      <c r="Z418" s="228"/>
    </row>
    <row r="419" spans="1:26" ht="12.75">
      <c r="A419" s="296"/>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row>
    <row r="420" spans="1:26" ht="12.75">
      <c r="A420" s="296"/>
      <c r="B420" s="228"/>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row>
    <row r="421" spans="1:26" ht="12.75">
      <c r="A421" s="296"/>
      <c r="B421" s="228"/>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row>
    <row r="422" spans="1:26" ht="12.75">
      <c r="A422" s="296"/>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row>
    <row r="423" spans="1:26" ht="12.75">
      <c r="A423" s="296"/>
      <c r="B423" s="228"/>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row>
    <row r="424" spans="1:26" ht="12.75">
      <c r="A424" s="296"/>
      <c r="B424" s="228"/>
      <c r="C424" s="228"/>
      <c r="D424" s="228"/>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row>
    <row r="425" spans="1:26" ht="12.75">
      <c r="A425" s="296"/>
      <c r="B425" s="228"/>
      <c r="C425" s="228"/>
      <c r="D425" s="228"/>
      <c r="E425" s="228"/>
      <c r="F425" s="228"/>
      <c r="G425" s="228"/>
      <c r="H425" s="228"/>
      <c r="I425" s="228"/>
      <c r="J425" s="228"/>
      <c r="K425" s="228"/>
      <c r="L425" s="228"/>
      <c r="M425" s="228"/>
      <c r="N425" s="228"/>
      <c r="O425" s="228"/>
      <c r="P425" s="228"/>
      <c r="Q425" s="228"/>
      <c r="R425" s="228"/>
      <c r="S425" s="228"/>
      <c r="T425" s="228"/>
      <c r="U425" s="228"/>
      <c r="V425" s="228"/>
      <c r="W425" s="228"/>
      <c r="X425" s="228"/>
      <c r="Y425" s="228"/>
      <c r="Z425" s="228"/>
    </row>
    <row r="426" spans="1:26" ht="12.75">
      <c r="A426" s="296"/>
      <c r="B426" s="228"/>
      <c r="C426" s="228"/>
      <c r="D426" s="228"/>
      <c r="E426" s="228"/>
      <c r="F426" s="228"/>
      <c r="G426" s="228"/>
      <c r="H426" s="228"/>
      <c r="I426" s="228"/>
      <c r="J426" s="228"/>
      <c r="K426" s="228"/>
      <c r="L426" s="228"/>
      <c r="M426" s="228"/>
      <c r="N426" s="228"/>
      <c r="O426" s="228"/>
      <c r="P426" s="228"/>
      <c r="Q426" s="228"/>
      <c r="R426" s="228"/>
      <c r="S426" s="228"/>
      <c r="T426" s="228"/>
      <c r="U426" s="228"/>
      <c r="V426" s="228"/>
      <c r="W426" s="228"/>
      <c r="X426" s="228"/>
      <c r="Y426" s="228"/>
      <c r="Z426" s="228"/>
    </row>
    <row r="427" spans="1:26" ht="12.75">
      <c r="A427" s="296"/>
      <c r="B427" s="228"/>
      <c r="C427" s="228"/>
      <c r="D427" s="228"/>
      <c r="E427" s="228"/>
      <c r="F427" s="228"/>
      <c r="G427" s="228"/>
      <c r="H427" s="228"/>
      <c r="I427" s="228"/>
      <c r="J427" s="228"/>
      <c r="K427" s="228"/>
      <c r="L427" s="228"/>
      <c r="M427" s="228"/>
      <c r="N427" s="228"/>
      <c r="O427" s="228"/>
      <c r="P427" s="228"/>
      <c r="Q427" s="228"/>
      <c r="R427" s="228"/>
      <c r="S427" s="228"/>
      <c r="T427" s="228"/>
      <c r="U427" s="228"/>
      <c r="V427" s="228"/>
      <c r="W427" s="228"/>
      <c r="X427" s="228"/>
      <c r="Y427" s="228"/>
      <c r="Z427" s="228"/>
    </row>
    <row r="428" spans="1:26" ht="12.75">
      <c r="A428" s="296"/>
      <c r="B428" s="228"/>
      <c r="C428" s="228"/>
      <c r="D428" s="228"/>
      <c r="E428" s="228"/>
      <c r="F428" s="228"/>
      <c r="G428" s="228"/>
      <c r="H428" s="228"/>
      <c r="I428" s="228"/>
      <c r="J428" s="228"/>
      <c r="K428" s="228"/>
      <c r="L428" s="228"/>
      <c r="M428" s="228"/>
      <c r="N428" s="228"/>
      <c r="O428" s="228"/>
      <c r="P428" s="228"/>
      <c r="Q428" s="228"/>
      <c r="R428" s="228"/>
      <c r="S428" s="228"/>
      <c r="T428" s="228"/>
      <c r="U428" s="228"/>
      <c r="V428" s="228"/>
      <c r="W428" s="228"/>
      <c r="X428" s="228"/>
      <c r="Y428" s="228"/>
      <c r="Z428" s="228"/>
    </row>
    <row r="429" spans="1:26" ht="12.75">
      <c r="A429" s="296"/>
      <c r="B429" s="228"/>
      <c r="C429" s="228"/>
      <c r="D429" s="228"/>
      <c r="E429" s="228"/>
      <c r="F429" s="228"/>
      <c r="G429" s="228"/>
      <c r="H429" s="228"/>
      <c r="I429" s="228"/>
      <c r="J429" s="228"/>
      <c r="K429" s="228"/>
      <c r="L429" s="228"/>
      <c r="M429" s="228"/>
      <c r="N429" s="228"/>
      <c r="O429" s="228"/>
      <c r="P429" s="228"/>
      <c r="Q429" s="228"/>
      <c r="R429" s="228"/>
      <c r="S429" s="228"/>
      <c r="T429" s="228"/>
      <c r="U429" s="228"/>
      <c r="V429" s="228"/>
      <c r="W429" s="228"/>
      <c r="X429" s="228"/>
      <c r="Y429" s="228"/>
      <c r="Z429" s="228"/>
    </row>
    <row r="430" spans="1:26" ht="12.75">
      <c r="A430" s="296"/>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row>
    <row r="431" spans="1:26" ht="12.75">
      <c r="A431" s="296"/>
      <c r="B431" s="228"/>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row>
    <row r="432" spans="1:26" ht="12.75">
      <c r="A432" s="296"/>
      <c r="B432" s="228"/>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row>
    <row r="433" spans="1:26" ht="12.75">
      <c r="A433" s="296"/>
      <c r="B433" s="228"/>
      <c r="C433" s="228"/>
      <c r="D433" s="228"/>
      <c r="E433" s="228"/>
      <c r="F433" s="228"/>
      <c r="G433" s="228"/>
      <c r="H433" s="228"/>
      <c r="I433" s="228"/>
      <c r="J433" s="228"/>
      <c r="K433" s="228"/>
      <c r="L433" s="228"/>
      <c r="M433" s="228"/>
      <c r="N433" s="228"/>
      <c r="O433" s="228"/>
      <c r="P433" s="228"/>
      <c r="Q433" s="228"/>
      <c r="R433" s="228"/>
      <c r="S433" s="228"/>
      <c r="T433" s="228"/>
      <c r="U433" s="228"/>
      <c r="V433" s="228"/>
      <c r="W433" s="228"/>
      <c r="X433" s="228"/>
      <c r="Y433" s="228"/>
      <c r="Z433" s="228"/>
    </row>
    <row r="434" spans="1:26" ht="12.75">
      <c r="A434" s="296"/>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row>
    <row r="435" spans="1:26" ht="12.75">
      <c r="A435" s="296"/>
      <c r="B435" s="228"/>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row>
    <row r="436" spans="1:26" ht="12.75">
      <c r="A436" s="296"/>
      <c r="B436" s="228"/>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row>
    <row r="437" spans="1:26" ht="12.75">
      <c r="A437" s="296"/>
      <c r="B437" s="228"/>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row>
    <row r="438" spans="1:26" ht="12.75">
      <c r="A438" s="296"/>
      <c r="B438" s="228"/>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row>
    <row r="439" spans="1:26" ht="12.75">
      <c r="A439" s="296"/>
      <c r="B439" s="228"/>
      <c r="C439" s="228"/>
      <c r="D439" s="228"/>
      <c r="E439" s="228"/>
      <c r="F439" s="228"/>
      <c r="G439" s="228"/>
      <c r="H439" s="228"/>
      <c r="I439" s="228"/>
      <c r="J439" s="228"/>
      <c r="K439" s="228"/>
      <c r="L439" s="228"/>
      <c r="M439" s="228"/>
      <c r="N439" s="228"/>
      <c r="O439" s="228"/>
      <c r="P439" s="228"/>
      <c r="Q439" s="228"/>
      <c r="R439" s="228"/>
      <c r="S439" s="228"/>
      <c r="T439" s="228"/>
      <c r="U439" s="228"/>
      <c r="V439" s="228"/>
      <c r="W439" s="228"/>
      <c r="X439" s="228"/>
      <c r="Y439" s="228"/>
      <c r="Z439" s="228"/>
    </row>
    <row r="440" spans="1:26" ht="12.75">
      <c r="A440" s="296"/>
      <c r="B440" s="228"/>
      <c r="C440" s="228"/>
      <c r="D440" s="228"/>
      <c r="E440" s="228"/>
      <c r="F440" s="228"/>
      <c r="G440" s="228"/>
      <c r="H440" s="228"/>
      <c r="I440" s="228"/>
      <c r="J440" s="228"/>
      <c r="K440" s="228"/>
      <c r="L440" s="228"/>
      <c r="M440" s="228"/>
      <c r="N440" s="228"/>
      <c r="O440" s="228"/>
      <c r="P440" s="228"/>
      <c r="Q440" s="228"/>
      <c r="R440" s="228"/>
      <c r="S440" s="228"/>
      <c r="T440" s="228"/>
      <c r="U440" s="228"/>
      <c r="V440" s="228"/>
      <c r="W440" s="228"/>
      <c r="X440" s="228"/>
      <c r="Y440" s="228"/>
      <c r="Z440" s="228"/>
    </row>
    <row r="441" spans="1:26" ht="12.75">
      <c r="A441" s="296"/>
      <c r="B441" s="228"/>
      <c r="C441" s="228"/>
      <c r="D441" s="228"/>
      <c r="E441" s="228"/>
      <c r="F441" s="228"/>
      <c r="G441" s="228"/>
      <c r="H441" s="228"/>
      <c r="I441" s="228"/>
      <c r="J441" s="228"/>
      <c r="K441" s="228"/>
      <c r="L441" s="228"/>
      <c r="M441" s="228"/>
      <c r="N441" s="228"/>
      <c r="O441" s="228"/>
      <c r="P441" s="228"/>
      <c r="Q441" s="228"/>
      <c r="R441" s="228"/>
      <c r="S441" s="228"/>
      <c r="T441" s="228"/>
      <c r="U441" s="228"/>
      <c r="V441" s="228"/>
      <c r="W441" s="228"/>
      <c r="X441" s="228"/>
      <c r="Y441" s="228"/>
      <c r="Z441" s="228"/>
    </row>
    <row r="442" spans="1:26" ht="12.75">
      <c r="A442" s="296"/>
      <c r="B442" s="228"/>
      <c r="C442" s="228"/>
      <c r="D442" s="228"/>
      <c r="E442" s="228"/>
      <c r="F442" s="228"/>
      <c r="G442" s="228"/>
      <c r="H442" s="228"/>
      <c r="I442" s="228"/>
      <c r="J442" s="228"/>
      <c r="K442" s="228"/>
      <c r="L442" s="228"/>
      <c r="M442" s="228"/>
      <c r="N442" s="228"/>
      <c r="O442" s="228"/>
      <c r="P442" s="228"/>
      <c r="Q442" s="228"/>
      <c r="R442" s="228"/>
      <c r="S442" s="228"/>
      <c r="T442" s="228"/>
      <c r="U442" s="228"/>
      <c r="V442" s="228"/>
      <c r="W442" s="228"/>
      <c r="X442" s="228"/>
      <c r="Y442" s="228"/>
      <c r="Z442" s="228"/>
    </row>
    <row r="443" spans="1:26" ht="12.75">
      <c r="A443" s="296"/>
      <c r="B443" s="228"/>
      <c r="C443" s="228"/>
      <c r="D443" s="228"/>
      <c r="E443" s="228"/>
      <c r="F443" s="228"/>
      <c r="G443" s="228"/>
      <c r="H443" s="228"/>
      <c r="I443" s="228"/>
      <c r="J443" s="228"/>
      <c r="K443" s="228"/>
      <c r="L443" s="228"/>
      <c r="M443" s="228"/>
      <c r="N443" s="228"/>
      <c r="O443" s="228"/>
      <c r="P443" s="228"/>
      <c r="Q443" s="228"/>
      <c r="R443" s="228"/>
      <c r="S443" s="228"/>
      <c r="T443" s="228"/>
      <c r="U443" s="228"/>
      <c r="V443" s="228"/>
      <c r="W443" s="228"/>
      <c r="X443" s="228"/>
      <c r="Y443" s="228"/>
      <c r="Z443" s="228"/>
    </row>
    <row r="444" spans="1:26" ht="12.75">
      <c r="A444" s="296"/>
      <c r="B444" s="228"/>
      <c r="C444" s="228"/>
      <c r="D444" s="228"/>
      <c r="E444" s="228"/>
      <c r="F444" s="228"/>
      <c r="G444" s="228"/>
      <c r="H444" s="228"/>
      <c r="I444" s="228"/>
      <c r="J444" s="228"/>
      <c r="K444" s="228"/>
      <c r="L444" s="228"/>
      <c r="M444" s="228"/>
      <c r="N444" s="228"/>
      <c r="O444" s="228"/>
      <c r="P444" s="228"/>
      <c r="Q444" s="228"/>
      <c r="R444" s="228"/>
      <c r="S444" s="228"/>
      <c r="T444" s="228"/>
      <c r="U444" s="228"/>
      <c r="V444" s="228"/>
      <c r="W444" s="228"/>
      <c r="X444" s="228"/>
      <c r="Y444" s="228"/>
      <c r="Z444" s="228"/>
    </row>
    <row r="445" spans="1:26" ht="12.75">
      <c r="A445" s="296"/>
      <c r="B445" s="228"/>
      <c r="C445" s="228"/>
      <c r="D445" s="228"/>
      <c r="E445" s="228"/>
      <c r="F445" s="228"/>
      <c r="G445" s="228"/>
      <c r="H445" s="228"/>
      <c r="I445" s="228"/>
      <c r="J445" s="228"/>
      <c r="K445" s="228"/>
      <c r="L445" s="228"/>
      <c r="M445" s="228"/>
      <c r="N445" s="228"/>
      <c r="O445" s="228"/>
      <c r="P445" s="228"/>
      <c r="Q445" s="228"/>
      <c r="R445" s="228"/>
      <c r="S445" s="228"/>
      <c r="T445" s="228"/>
      <c r="U445" s="228"/>
      <c r="V445" s="228"/>
      <c r="W445" s="228"/>
      <c r="X445" s="228"/>
      <c r="Y445" s="228"/>
      <c r="Z445" s="228"/>
    </row>
    <row r="446" spans="1:26" ht="12.75">
      <c r="A446" s="296"/>
      <c r="B446" s="228"/>
      <c r="C446" s="228"/>
      <c r="D446" s="228"/>
      <c r="E446" s="228"/>
      <c r="F446" s="228"/>
      <c r="G446" s="228"/>
      <c r="H446" s="228"/>
      <c r="I446" s="228"/>
      <c r="J446" s="228"/>
      <c r="K446" s="228"/>
      <c r="L446" s="228"/>
      <c r="M446" s="228"/>
      <c r="N446" s="228"/>
      <c r="O446" s="228"/>
      <c r="P446" s="228"/>
      <c r="Q446" s="228"/>
      <c r="R446" s="228"/>
      <c r="S446" s="228"/>
      <c r="T446" s="228"/>
      <c r="U446" s="228"/>
      <c r="V446" s="228"/>
      <c r="W446" s="228"/>
      <c r="X446" s="228"/>
      <c r="Y446" s="228"/>
      <c r="Z446" s="228"/>
    </row>
    <row r="447" spans="1:26" ht="12.75">
      <c r="A447" s="296"/>
      <c r="B447" s="228"/>
      <c r="C447" s="228"/>
      <c r="D447" s="228"/>
      <c r="E447" s="228"/>
      <c r="F447" s="228"/>
      <c r="G447" s="228"/>
      <c r="H447" s="228"/>
      <c r="I447" s="228"/>
      <c r="J447" s="228"/>
      <c r="K447" s="228"/>
      <c r="L447" s="228"/>
      <c r="M447" s="228"/>
      <c r="N447" s="228"/>
      <c r="O447" s="228"/>
      <c r="P447" s="228"/>
      <c r="Q447" s="228"/>
      <c r="R447" s="228"/>
      <c r="S447" s="228"/>
      <c r="T447" s="228"/>
      <c r="U447" s="228"/>
      <c r="V447" s="228"/>
      <c r="W447" s="228"/>
      <c r="X447" s="228"/>
      <c r="Y447" s="228"/>
      <c r="Z447" s="228"/>
    </row>
    <row r="448" spans="1:26" ht="12.75">
      <c r="A448" s="296"/>
      <c r="B448" s="228"/>
      <c r="C448" s="228"/>
      <c r="D448" s="228"/>
      <c r="E448" s="228"/>
      <c r="F448" s="228"/>
      <c r="G448" s="228"/>
      <c r="H448" s="228"/>
      <c r="I448" s="228"/>
      <c r="J448" s="228"/>
      <c r="K448" s="228"/>
      <c r="L448" s="228"/>
      <c r="M448" s="228"/>
      <c r="N448" s="228"/>
      <c r="O448" s="228"/>
      <c r="P448" s="228"/>
      <c r="Q448" s="228"/>
      <c r="R448" s="228"/>
      <c r="S448" s="228"/>
      <c r="T448" s="228"/>
      <c r="U448" s="228"/>
      <c r="V448" s="228"/>
      <c r="W448" s="228"/>
      <c r="X448" s="228"/>
      <c r="Y448" s="228"/>
      <c r="Z448" s="228"/>
    </row>
    <row r="449" spans="1:26" ht="12.75">
      <c r="A449" s="296"/>
      <c r="B449" s="228"/>
      <c r="C449" s="228"/>
      <c r="D449" s="228"/>
      <c r="E449" s="228"/>
      <c r="F449" s="228"/>
      <c r="G449" s="228"/>
      <c r="H449" s="228"/>
      <c r="I449" s="228"/>
      <c r="J449" s="228"/>
      <c r="K449" s="228"/>
      <c r="L449" s="228"/>
      <c r="M449" s="228"/>
      <c r="N449" s="228"/>
      <c r="O449" s="228"/>
      <c r="P449" s="228"/>
      <c r="Q449" s="228"/>
      <c r="R449" s="228"/>
      <c r="S449" s="228"/>
      <c r="T449" s="228"/>
      <c r="U449" s="228"/>
      <c r="V449" s="228"/>
      <c r="W449" s="228"/>
      <c r="X449" s="228"/>
      <c r="Y449" s="228"/>
      <c r="Z449" s="228"/>
    </row>
    <row r="450" spans="1:26" ht="12.75">
      <c r="A450" s="296"/>
      <c r="B450" s="228"/>
      <c r="C450" s="228"/>
      <c r="D450" s="228"/>
      <c r="E450" s="228"/>
      <c r="F450" s="228"/>
      <c r="G450" s="228"/>
      <c r="H450" s="228"/>
      <c r="I450" s="228"/>
      <c r="J450" s="228"/>
      <c r="K450" s="228"/>
      <c r="L450" s="228"/>
      <c r="M450" s="228"/>
      <c r="N450" s="228"/>
      <c r="O450" s="228"/>
      <c r="P450" s="228"/>
      <c r="Q450" s="228"/>
      <c r="R450" s="228"/>
      <c r="S450" s="228"/>
      <c r="T450" s="228"/>
      <c r="U450" s="228"/>
      <c r="V450" s="228"/>
      <c r="W450" s="228"/>
      <c r="X450" s="228"/>
      <c r="Y450" s="228"/>
      <c r="Z450" s="228"/>
    </row>
    <row r="451" spans="1:26" ht="12.75">
      <c r="A451" s="296"/>
      <c r="B451" s="228"/>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row>
    <row r="452" spans="1:26" ht="12.75">
      <c r="A452" s="296"/>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row>
    <row r="453" spans="1:26" ht="12.75">
      <c r="A453" s="296"/>
      <c r="B453" s="228"/>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row>
    <row r="454" spans="1:26" ht="12.75">
      <c r="A454" s="296"/>
      <c r="B454" s="228"/>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row>
    <row r="455" spans="1:26" ht="12.75">
      <c r="A455" s="296"/>
      <c r="B455" s="228"/>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row>
    <row r="456" spans="1:26" ht="12.75">
      <c r="A456" s="296"/>
      <c r="B456" s="228"/>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row>
    <row r="457" spans="1:26" ht="12.75">
      <c r="A457" s="296"/>
      <c r="B457" s="228"/>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row>
    <row r="458" spans="1:26" ht="12.75">
      <c r="A458" s="296"/>
      <c r="B458" s="228"/>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row>
    <row r="459" spans="1:26" ht="12.75">
      <c r="A459" s="296"/>
      <c r="B459" s="228"/>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row>
    <row r="460" spans="1:26" ht="12.75">
      <c r="A460" s="296"/>
      <c r="B460" s="228"/>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row>
    <row r="461" spans="1:26" ht="12.75">
      <c r="A461" s="296"/>
      <c r="B461" s="228"/>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row>
    <row r="462" spans="1:26" ht="12.75">
      <c r="A462" s="296"/>
      <c r="B462" s="228"/>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row>
    <row r="463" spans="1:26" ht="12.75">
      <c r="A463" s="296"/>
      <c r="B463" s="228"/>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row>
    <row r="464" spans="1:26" ht="12.75">
      <c r="A464" s="296"/>
      <c r="B464" s="228"/>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row>
    <row r="465" spans="1:26" ht="12.75">
      <c r="A465" s="296"/>
      <c r="B465" s="228"/>
      <c r="C465" s="228"/>
      <c r="D465" s="228"/>
      <c r="E465" s="228"/>
      <c r="F465" s="228"/>
      <c r="G465" s="228"/>
      <c r="H465" s="228"/>
      <c r="I465" s="228"/>
      <c r="J465" s="228"/>
      <c r="K465" s="228"/>
      <c r="L465" s="228"/>
      <c r="M465" s="228"/>
      <c r="N465" s="228"/>
      <c r="O465" s="228"/>
      <c r="P465" s="228"/>
      <c r="Q465" s="228"/>
      <c r="R465" s="228"/>
      <c r="S465" s="228"/>
      <c r="T465" s="228"/>
      <c r="U465" s="228"/>
      <c r="V465" s="228"/>
      <c r="W465" s="228"/>
      <c r="X465" s="228"/>
      <c r="Y465" s="228"/>
      <c r="Z465" s="228"/>
    </row>
    <row r="466" spans="1:26" ht="12.75">
      <c r="A466" s="296"/>
      <c r="B466" s="228"/>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row>
    <row r="467" spans="1:26" ht="12.75">
      <c r="A467" s="296"/>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row>
    <row r="468" spans="1:26" ht="12.75">
      <c r="A468" s="296"/>
      <c r="B468" s="228"/>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row>
    <row r="469" spans="1:26" ht="12.75">
      <c r="A469" s="296"/>
      <c r="B469" s="228"/>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row>
    <row r="470" spans="1:26" ht="12.75">
      <c r="A470" s="296"/>
      <c r="B470" s="228"/>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row>
    <row r="471" spans="1:26" ht="12.75">
      <c r="A471" s="296"/>
      <c r="B471" s="228"/>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row>
    <row r="472" spans="1:26" ht="12.75">
      <c r="A472" s="296"/>
      <c r="B472" s="228"/>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row>
    <row r="473" spans="1:26" ht="12.75">
      <c r="A473" s="296"/>
      <c r="B473" s="228"/>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row>
    <row r="474" spans="1:26" ht="12.75">
      <c r="A474" s="296"/>
      <c r="B474" s="228"/>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row>
    <row r="475" spans="1:26" ht="12.75">
      <c r="A475" s="296"/>
      <c r="B475" s="228"/>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row>
    <row r="476" spans="1:26" ht="12.75">
      <c r="A476" s="296"/>
      <c r="B476" s="228"/>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row>
    <row r="477" spans="1:26" ht="12.75">
      <c r="A477" s="296"/>
      <c r="B477" s="228"/>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row>
    <row r="478" spans="1:26" ht="12.75">
      <c r="A478" s="296"/>
      <c r="B478" s="228"/>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row>
    <row r="479" spans="1:26" ht="12.75">
      <c r="A479" s="296"/>
      <c r="B479" s="228"/>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row>
    <row r="480" spans="1:26" ht="12.75">
      <c r="A480" s="296"/>
      <c r="B480" s="228"/>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row>
    <row r="481" spans="1:26" ht="12.75">
      <c r="A481" s="296"/>
      <c r="B481" s="228"/>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row>
    <row r="482" spans="1:26" ht="12.75">
      <c r="A482" s="296"/>
      <c r="B482" s="228"/>
      <c r="C482" s="228"/>
      <c r="D482" s="228"/>
      <c r="E482" s="228"/>
      <c r="F482" s="228"/>
      <c r="G482" s="228"/>
      <c r="H482" s="228"/>
      <c r="I482" s="228"/>
      <c r="J482" s="228"/>
      <c r="K482" s="228"/>
      <c r="L482" s="228"/>
      <c r="M482" s="228"/>
      <c r="N482" s="228"/>
      <c r="O482" s="228"/>
      <c r="P482" s="228"/>
      <c r="Q482" s="228"/>
      <c r="R482" s="228"/>
      <c r="S482" s="228"/>
      <c r="T482" s="228"/>
      <c r="U482" s="228"/>
      <c r="V482" s="228"/>
      <c r="W482" s="228"/>
      <c r="X482" s="228"/>
      <c r="Y482" s="228"/>
      <c r="Z482" s="228"/>
    </row>
    <row r="483" spans="1:26" ht="12.75">
      <c r="A483" s="296"/>
      <c r="B483" s="228"/>
      <c r="C483" s="228"/>
      <c r="D483" s="228"/>
      <c r="E483" s="228"/>
      <c r="F483" s="228"/>
      <c r="G483" s="228"/>
      <c r="H483" s="228"/>
      <c r="I483" s="228"/>
      <c r="J483" s="228"/>
      <c r="K483" s="228"/>
      <c r="L483" s="228"/>
      <c r="M483" s="228"/>
      <c r="N483" s="228"/>
      <c r="O483" s="228"/>
      <c r="P483" s="228"/>
      <c r="Q483" s="228"/>
      <c r="R483" s="228"/>
      <c r="S483" s="228"/>
      <c r="T483" s="228"/>
      <c r="U483" s="228"/>
      <c r="V483" s="228"/>
      <c r="W483" s="228"/>
      <c r="X483" s="228"/>
      <c r="Y483" s="228"/>
      <c r="Z483" s="228"/>
    </row>
    <row r="484" spans="1:26" ht="12.75">
      <c r="A484" s="296"/>
      <c r="B484" s="228"/>
      <c r="C484" s="22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c r="Z484" s="228"/>
    </row>
    <row r="485" spans="1:26" ht="12.75">
      <c r="A485" s="296"/>
      <c r="B485" s="228"/>
      <c r="C485" s="22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c r="Z485" s="228"/>
    </row>
    <row r="486" spans="1:26" ht="12.75">
      <c r="A486" s="296"/>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row>
    <row r="487" spans="1:26" ht="12.75">
      <c r="A487" s="296"/>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row>
    <row r="488" spans="1:26" ht="12.75">
      <c r="A488" s="296"/>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row>
    <row r="489" spans="1:26" ht="12.75">
      <c r="A489" s="296"/>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row>
    <row r="490" spans="1:26" ht="12.75">
      <c r="A490" s="296"/>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row>
    <row r="491" spans="1:26" ht="12.75">
      <c r="A491" s="296"/>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row>
    <row r="492" spans="1:26" ht="12.75">
      <c r="A492" s="296"/>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row>
    <row r="493" spans="1:26" ht="12.75">
      <c r="A493" s="296"/>
      <c r="B493" s="228"/>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row>
    <row r="494" spans="1:26" ht="12.75">
      <c r="A494" s="296"/>
      <c r="B494" s="228"/>
      <c r="C494" s="22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c r="Z494" s="228"/>
    </row>
    <row r="495" spans="1:26" ht="12.75">
      <c r="A495" s="296"/>
      <c r="B495" s="228"/>
      <c r="C495" s="22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c r="Z495" s="228"/>
    </row>
    <row r="496" spans="1:26" ht="12.75">
      <c r="A496" s="296"/>
      <c r="B496" s="228"/>
      <c r="C496" s="22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c r="Z496" s="228"/>
    </row>
    <row r="497" spans="1:26" ht="12.75">
      <c r="A497" s="296"/>
      <c r="B497" s="228"/>
      <c r="C497" s="22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c r="Z497" s="228"/>
    </row>
    <row r="498" spans="1:26" ht="12.75">
      <c r="A498" s="296"/>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row>
    <row r="499" spans="1:26" ht="12.75">
      <c r="A499" s="296"/>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row>
    <row r="500" spans="1:26" ht="12.75">
      <c r="A500" s="296"/>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row>
    <row r="501" spans="1:26" ht="12.75">
      <c r="A501" s="296"/>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row>
    <row r="502" spans="1:26" ht="12.75">
      <c r="A502" s="296"/>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row>
    <row r="503" spans="1:26" ht="12.75">
      <c r="A503" s="296"/>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row>
    <row r="504" spans="1:26" ht="12.75">
      <c r="A504" s="296"/>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row>
    <row r="505" spans="1:26" ht="12.75">
      <c r="A505" s="296"/>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row>
    <row r="506" spans="1:26" ht="12.75">
      <c r="A506" s="296"/>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row>
    <row r="507" spans="1:26" ht="12.75">
      <c r="A507" s="296"/>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row>
    <row r="508" spans="1:26" ht="12.75">
      <c r="A508" s="296"/>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row>
    <row r="509" spans="1:26" ht="12.75">
      <c r="A509" s="296"/>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row>
    <row r="510" spans="1:26" ht="12.75">
      <c r="A510" s="296"/>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row>
    <row r="511" spans="1:26" ht="12.75">
      <c r="A511" s="296"/>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row>
    <row r="512" spans="1:26" ht="12.75">
      <c r="A512" s="296"/>
      <c r="B512" s="228"/>
      <c r="C512" s="22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c r="Z512" s="228"/>
    </row>
    <row r="513" spans="1:26" ht="12.75">
      <c r="A513" s="296"/>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row>
    <row r="514" spans="1:26" ht="12.75">
      <c r="A514" s="296"/>
      <c r="B514" s="228"/>
      <c r="C514" s="22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c r="Z514" s="228"/>
    </row>
    <row r="515" spans="1:26" ht="12.75">
      <c r="A515" s="296"/>
      <c r="B515" s="228"/>
      <c r="C515" s="22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c r="Z515" s="228"/>
    </row>
    <row r="516" spans="1:26" ht="12.75">
      <c r="A516" s="296"/>
      <c r="B516" s="228"/>
      <c r="C516" s="22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c r="Z516" s="228"/>
    </row>
    <row r="517" spans="1:26" ht="12.75">
      <c r="A517" s="296"/>
      <c r="B517" s="228"/>
      <c r="C517" s="22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c r="Z517" s="228"/>
    </row>
    <row r="518" spans="1:26" ht="12.75">
      <c r="A518" s="296"/>
      <c r="B518" s="228"/>
      <c r="C518" s="22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c r="Z518" s="228"/>
    </row>
    <row r="519" spans="1:26" ht="12.75">
      <c r="A519" s="296"/>
      <c r="B519" s="228"/>
      <c r="C519" s="22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c r="Z519" s="228"/>
    </row>
    <row r="520" spans="1:26" ht="12.75">
      <c r="A520" s="296"/>
      <c r="B520" s="228"/>
      <c r="C520" s="22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c r="Z520" s="228"/>
    </row>
    <row r="521" spans="1:26" ht="12.75">
      <c r="A521" s="296"/>
      <c r="B521" s="228"/>
      <c r="C521" s="22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c r="Z521" s="228"/>
    </row>
    <row r="522" spans="1:26" ht="12.75">
      <c r="A522" s="296"/>
      <c r="B522" s="228"/>
      <c r="C522" s="22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c r="Z522" s="228"/>
    </row>
    <row r="523" spans="1:26" ht="12.75">
      <c r="A523" s="296"/>
      <c r="B523" s="228"/>
      <c r="C523" s="22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c r="Z523" s="228"/>
    </row>
    <row r="524" spans="1:26" ht="12.75">
      <c r="A524" s="296"/>
      <c r="B524" s="228"/>
      <c r="C524" s="22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c r="Z524" s="228"/>
    </row>
    <row r="525" spans="1:26" ht="12.75">
      <c r="A525" s="296"/>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row>
    <row r="526" spans="1:26" ht="12.75">
      <c r="A526" s="296"/>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row>
    <row r="527" spans="1:26" ht="12.75">
      <c r="A527" s="296"/>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row>
    <row r="528" spans="1:26" ht="12.75">
      <c r="A528" s="296"/>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row>
    <row r="529" spans="1:26" ht="12.75">
      <c r="A529" s="296"/>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row>
    <row r="530" spans="1:26" ht="12.75">
      <c r="A530" s="296"/>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row>
    <row r="531" spans="1:26" ht="12.75">
      <c r="A531" s="296"/>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row>
    <row r="532" spans="1:26" ht="12.75">
      <c r="A532" s="296"/>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row>
    <row r="533" spans="1:26" ht="12.75">
      <c r="A533" s="296"/>
      <c r="B533" s="228"/>
      <c r="C533" s="22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c r="Z533" s="228"/>
    </row>
    <row r="534" spans="1:26" ht="12.75">
      <c r="A534" s="296"/>
      <c r="B534" s="228"/>
      <c r="C534" s="22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c r="Z534" s="228"/>
    </row>
    <row r="535" spans="1:26" ht="12.75">
      <c r="A535" s="296"/>
      <c r="B535" s="228"/>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row>
    <row r="536" spans="1:26" ht="12.75">
      <c r="A536" s="296"/>
      <c r="B536" s="228"/>
      <c r="C536" s="22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c r="Z536" s="228"/>
    </row>
    <row r="537" spans="1:26" ht="12.75">
      <c r="A537" s="296"/>
      <c r="B537" s="228"/>
      <c r="C537" s="22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c r="Z537" s="228"/>
    </row>
    <row r="538" spans="1:26" ht="12.75">
      <c r="A538" s="296"/>
      <c r="B538" s="228"/>
      <c r="C538" s="22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c r="Z538" s="228"/>
    </row>
    <row r="539" spans="1:26" ht="12.75">
      <c r="A539" s="296"/>
      <c r="B539" s="228"/>
      <c r="C539" s="22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c r="Z539" s="228"/>
    </row>
    <row r="540" spans="1:26" ht="12.75">
      <c r="A540" s="296"/>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row>
    <row r="541" spans="1:26" ht="12.75">
      <c r="A541" s="296"/>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row>
    <row r="542" spans="1:26" ht="12.75">
      <c r="A542" s="296"/>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row>
    <row r="543" spans="1:26" ht="12.75">
      <c r="A543" s="296"/>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row>
    <row r="544" spans="1:26" ht="12.75">
      <c r="A544" s="296"/>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row>
    <row r="545" spans="1:26" ht="12.75">
      <c r="A545" s="296"/>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row>
    <row r="546" spans="1:26" ht="12.75">
      <c r="A546" s="296"/>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row>
    <row r="547" spans="1:26" ht="12.75">
      <c r="A547" s="296"/>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row>
    <row r="548" spans="1:26" ht="12.75">
      <c r="A548" s="296"/>
      <c r="B548" s="228"/>
      <c r="C548" s="22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c r="Z548" s="228"/>
    </row>
    <row r="549" spans="1:26" ht="12.75">
      <c r="A549" s="296"/>
      <c r="B549" s="228"/>
      <c r="C549" s="22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c r="Z549" s="228"/>
    </row>
    <row r="550" spans="1:26" ht="12.75">
      <c r="A550" s="296"/>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row>
    <row r="551" spans="1:26" ht="12.75">
      <c r="A551" s="296"/>
      <c r="B551" s="228"/>
      <c r="C551" s="22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c r="Z551" s="228"/>
    </row>
    <row r="552" spans="1:26" ht="12.75">
      <c r="A552" s="296"/>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row>
    <row r="553" spans="1:26" ht="12.75">
      <c r="A553" s="296"/>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row>
    <row r="554" spans="1:26" ht="12.75">
      <c r="A554" s="296"/>
      <c r="B554" s="228"/>
      <c r="C554" s="22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c r="Z554" s="228"/>
    </row>
    <row r="555" spans="1:26" ht="12.75">
      <c r="A555" s="296"/>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row>
    <row r="556" spans="1:26" ht="12.75">
      <c r="A556" s="296"/>
      <c r="B556" s="228"/>
      <c r="C556" s="22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c r="Z556" s="228"/>
    </row>
    <row r="557" spans="1:26" ht="12.75">
      <c r="A557" s="296"/>
      <c r="B557" s="228"/>
      <c r="C557" s="22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c r="Z557" s="228"/>
    </row>
    <row r="558" spans="1:26" ht="12.75">
      <c r="A558" s="296"/>
      <c r="B558" s="228"/>
      <c r="C558" s="22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c r="Z558" s="228"/>
    </row>
    <row r="559" spans="1:26" ht="12.75">
      <c r="A559" s="296"/>
      <c r="B559" s="228"/>
      <c r="C559" s="22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c r="Z559" s="228"/>
    </row>
    <row r="560" spans="1:26" ht="12.75">
      <c r="A560" s="296"/>
      <c r="B560" s="228"/>
      <c r="C560" s="22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c r="Z560" s="228"/>
    </row>
    <row r="561" spans="1:26" ht="12.75">
      <c r="A561" s="296"/>
      <c r="B561" s="228"/>
      <c r="C561" s="22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c r="Z561" s="228"/>
    </row>
    <row r="562" spans="1:26" ht="12.75">
      <c r="A562" s="296"/>
      <c r="B562" s="228"/>
      <c r="C562" s="22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c r="Z562" s="228"/>
    </row>
    <row r="563" spans="1:26" ht="12.75">
      <c r="A563" s="296"/>
      <c r="B563" s="228"/>
      <c r="C563" s="22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c r="Z563" s="228"/>
    </row>
    <row r="564" spans="1:26" ht="12.75">
      <c r="A564" s="296"/>
      <c r="B564" s="228"/>
      <c r="C564" s="22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c r="Z564" s="228"/>
    </row>
    <row r="565" spans="1:26" ht="12.75">
      <c r="A565" s="296"/>
      <c r="B565" s="228"/>
      <c r="C565" s="22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c r="Z565" s="228"/>
    </row>
    <row r="566" spans="1:26" ht="12.75">
      <c r="A566" s="296"/>
      <c r="B566" s="228"/>
      <c r="C566" s="22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c r="Z566" s="228"/>
    </row>
    <row r="567" spans="1:26" ht="12.75">
      <c r="A567" s="296"/>
      <c r="B567" s="228"/>
      <c r="C567" s="22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c r="Z567" s="228"/>
    </row>
    <row r="568" spans="1:26" ht="12.75">
      <c r="A568" s="296"/>
      <c r="B568" s="228"/>
      <c r="C568" s="22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c r="Z568" s="228"/>
    </row>
    <row r="569" spans="1:26" ht="12.75">
      <c r="A569" s="296"/>
      <c r="B569" s="228"/>
      <c r="C569" s="22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c r="Z569" s="228"/>
    </row>
    <row r="570" spans="1:26" ht="12.75">
      <c r="A570" s="296"/>
      <c r="B570" s="228"/>
      <c r="C570" s="22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c r="Z570" s="228"/>
    </row>
    <row r="571" spans="1:26" ht="12.75">
      <c r="A571" s="296"/>
      <c r="B571" s="228"/>
      <c r="C571" s="22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c r="Z571" s="228"/>
    </row>
    <row r="572" spans="1:26" ht="12.75">
      <c r="A572" s="296"/>
      <c r="B572" s="228"/>
      <c r="C572" s="22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c r="Z572" s="228"/>
    </row>
    <row r="573" spans="1:26" ht="12.75">
      <c r="A573" s="296"/>
      <c r="B573" s="228"/>
      <c r="C573" s="22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c r="Z573" s="228"/>
    </row>
    <row r="574" spans="1:26" ht="12.75">
      <c r="A574" s="296"/>
      <c r="B574" s="228"/>
      <c r="C574" s="22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c r="Z574" s="228"/>
    </row>
    <row r="575" spans="1:26" ht="12.75">
      <c r="A575" s="296"/>
      <c r="B575" s="228"/>
      <c r="C575" s="22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c r="Z575" s="228"/>
    </row>
    <row r="576" spans="1:26" ht="12.75">
      <c r="A576" s="296"/>
      <c r="B576" s="228"/>
      <c r="C576" s="22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c r="Z576" s="228"/>
    </row>
    <row r="577" spans="1:26" ht="12.75">
      <c r="A577" s="296"/>
      <c r="B577" s="228"/>
      <c r="C577" s="22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c r="Z577" s="228"/>
    </row>
    <row r="578" spans="1:26" ht="12.75">
      <c r="A578" s="296"/>
      <c r="B578" s="228"/>
      <c r="C578" s="22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c r="Z578" s="228"/>
    </row>
    <row r="579" spans="1:26" ht="12.75">
      <c r="A579" s="296"/>
      <c r="B579" s="228"/>
      <c r="C579" s="22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c r="Z579" s="228"/>
    </row>
    <row r="580" spans="1:26" ht="12.75">
      <c r="A580" s="296"/>
      <c r="B580" s="228"/>
      <c r="C580" s="22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c r="Z580" s="228"/>
    </row>
    <row r="581" spans="1:26" ht="12.75">
      <c r="A581" s="296"/>
      <c r="B581" s="228"/>
      <c r="C581" s="22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c r="Z581" s="228"/>
    </row>
    <row r="582" spans="1:26" ht="12.75">
      <c r="A582" s="296"/>
      <c r="B582" s="228"/>
      <c r="C582" s="22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c r="Z582" s="228"/>
    </row>
    <row r="583" spans="1:26" ht="12.75">
      <c r="A583" s="296"/>
      <c r="B583" s="228"/>
      <c r="C583" s="22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c r="Z583" s="228"/>
    </row>
    <row r="584" spans="1:26" ht="12.75">
      <c r="A584" s="296"/>
      <c r="B584" s="228"/>
      <c r="C584" s="22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c r="Z584" s="228"/>
    </row>
    <row r="585" spans="1:26" ht="12.75">
      <c r="A585" s="296"/>
      <c r="B585" s="228"/>
      <c r="C585" s="22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c r="Z585" s="228"/>
    </row>
    <row r="586" spans="1:26" ht="12.75">
      <c r="A586" s="296"/>
      <c r="B586" s="228"/>
      <c r="C586" s="22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c r="Z586" s="228"/>
    </row>
    <row r="587" spans="1:26" ht="12.75">
      <c r="A587" s="296"/>
      <c r="B587" s="228"/>
      <c r="C587" s="22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c r="Z587" s="228"/>
    </row>
    <row r="588" spans="1:26" ht="12.75">
      <c r="A588" s="296"/>
      <c r="B588" s="228"/>
      <c r="C588" s="22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c r="Z588" s="228"/>
    </row>
    <row r="589" spans="1:26" ht="12.75">
      <c r="A589" s="296"/>
      <c r="B589" s="228"/>
      <c r="C589" s="22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c r="Z589" s="228"/>
    </row>
    <row r="590" spans="1:26" ht="12.75">
      <c r="A590" s="296"/>
      <c r="B590" s="228"/>
      <c r="C590" s="22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c r="Z590" s="228"/>
    </row>
    <row r="591" spans="1:26" ht="12.75">
      <c r="A591" s="296"/>
      <c r="B591" s="228"/>
      <c r="C591" s="22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c r="Z591" s="228"/>
    </row>
    <row r="592" spans="1:26" ht="12.75">
      <c r="A592" s="296"/>
      <c r="B592" s="228"/>
      <c r="C592" s="22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c r="Z592" s="228"/>
    </row>
    <row r="593" spans="1:26" ht="12.75">
      <c r="A593" s="296"/>
      <c r="B593" s="228"/>
      <c r="C593" s="22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c r="Z593" s="228"/>
    </row>
    <row r="594" spans="1:26" ht="12.75">
      <c r="A594" s="296"/>
      <c r="B594" s="228"/>
      <c r="C594" s="22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c r="Z594" s="228"/>
    </row>
    <row r="595" spans="1:26" ht="12.75">
      <c r="A595" s="296"/>
      <c r="B595" s="228"/>
      <c r="C595" s="22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c r="Z595" s="228"/>
    </row>
    <row r="596" spans="1:26" ht="12.75">
      <c r="A596" s="296"/>
      <c r="B596" s="228"/>
      <c r="C596" s="22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c r="Z596" s="228"/>
    </row>
    <row r="597" spans="1:26" ht="12.75">
      <c r="A597" s="296"/>
      <c r="B597" s="228"/>
      <c r="C597" s="22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c r="Z597" s="228"/>
    </row>
    <row r="598" spans="1:26" ht="12.75">
      <c r="A598" s="296"/>
      <c r="B598" s="228"/>
      <c r="C598" s="22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c r="Z598" s="228"/>
    </row>
    <row r="599" spans="1:26" ht="12.75">
      <c r="A599" s="296"/>
      <c r="B599" s="228"/>
      <c r="C599" s="22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c r="Z599" s="228"/>
    </row>
    <row r="600" spans="1:26" ht="12.75">
      <c r="A600" s="296"/>
      <c r="B600" s="228"/>
      <c r="C600" s="22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c r="Z600" s="228"/>
    </row>
    <row r="601" spans="1:26" ht="12.75">
      <c r="A601" s="296"/>
      <c r="B601" s="228"/>
      <c r="C601" s="22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c r="Z601" s="228"/>
    </row>
    <row r="602" spans="1:26" ht="12.75">
      <c r="A602" s="296"/>
      <c r="B602" s="228"/>
      <c r="C602" s="22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c r="Z602" s="228"/>
    </row>
    <row r="603" spans="1:26" ht="12.75">
      <c r="A603" s="296"/>
      <c r="B603" s="228"/>
      <c r="C603" s="22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c r="Z603" s="228"/>
    </row>
    <row r="604" spans="1:26" ht="12.75">
      <c r="A604" s="296"/>
      <c r="B604" s="228"/>
      <c r="C604" s="22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c r="Z604" s="228"/>
    </row>
    <row r="605" spans="1:26" ht="12.75">
      <c r="A605" s="296"/>
      <c r="B605" s="228"/>
      <c r="C605" s="22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c r="Z605" s="228"/>
    </row>
    <row r="606" spans="1:26" ht="12.75">
      <c r="A606" s="296"/>
      <c r="B606" s="228"/>
      <c r="C606" s="22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c r="Z606" s="228"/>
    </row>
    <row r="607" spans="1:26" ht="12.75">
      <c r="A607" s="296"/>
      <c r="B607" s="228"/>
      <c r="C607" s="22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c r="Z607" s="228"/>
    </row>
    <row r="608" spans="1:26" ht="12.75">
      <c r="A608" s="296"/>
      <c r="B608" s="228"/>
      <c r="C608" s="22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c r="Z608" s="228"/>
    </row>
    <row r="609" spans="1:26" ht="12.75">
      <c r="A609" s="296"/>
      <c r="B609" s="228"/>
      <c r="C609" s="22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c r="Z609" s="228"/>
    </row>
    <row r="610" spans="1:26" ht="12.75">
      <c r="A610" s="296"/>
      <c r="B610" s="228"/>
      <c r="C610" s="22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c r="Z610" s="228"/>
    </row>
    <row r="611" spans="1:26" ht="12.75">
      <c r="A611" s="296"/>
      <c r="B611" s="228"/>
      <c r="C611" s="22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c r="Z611" s="228"/>
    </row>
    <row r="612" spans="1:26" ht="12.75">
      <c r="A612" s="296"/>
      <c r="B612" s="228"/>
      <c r="C612" s="22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c r="Z612" s="228"/>
    </row>
    <row r="613" spans="1:26" ht="12.75">
      <c r="A613" s="296"/>
      <c r="B613" s="228"/>
      <c r="C613" s="22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c r="Z613" s="228"/>
    </row>
    <row r="614" spans="1:26" ht="12.75">
      <c r="A614" s="296"/>
      <c r="B614" s="228"/>
      <c r="C614" s="22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c r="Z614" s="228"/>
    </row>
    <row r="615" spans="1:26" ht="12.75">
      <c r="A615" s="296"/>
      <c r="B615" s="228"/>
      <c r="C615" s="22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c r="Z615" s="228"/>
    </row>
    <row r="616" spans="1:26" ht="12.75">
      <c r="A616" s="296"/>
      <c r="B616" s="228"/>
      <c r="C616" s="22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c r="Z616" s="228"/>
    </row>
    <row r="617" spans="1:26" ht="12.75">
      <c r="A617" s="296"/>
      <c r="B617" s="228"/>
      <c r="C617" s="22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c r="Z617" s="228"/>
    </row>
    <row r="618" spans="1:26" ht="12.75">
      <c r="A618" s="296"/>
      <c r="B618" s="228"/>
      <c r="C618" s="22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c r="Z618" s="228"/>
    </row>
    <row r="619" spans="1:26" ht="12.75">
      <c r="A619" s="296"/>
      <c r="B619" s="228"/>
      <c r="C619" s="22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c r="Z619" s="228"/>
    </row>
    <row r="620" spans="1:26" ht="12.75">
      <c r="A620" s="296"/>
      <c r="B620" s="228"/>
      <c r="C620" s="22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c r="Z620" s="228"/>
    </row>
    <row r="621" spans="1:26" ht="12.75">
      <c r="A621" s="296"/>
      <c r="B621" s="228"/>
      <c r="C621" s="22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c r="Z621" s="228"/>
    </row>
    <row r="622" spans="1:26" ht="12.75">
      <c r="A622" s="296"/>
      <c r="B622" s="228"/>
      <c r="C622" s="22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c r="Z622" s="228"/>
    </row>
    <row r="623" spans="1:26" ht="12.75">
      <c r="A623" s="296"/>
      <c r="B623" s="228"/>
      <c r="C623" s="22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c r="Z623" s="228"/>
    </row>
    <row r="624" spans="1:26" ht="12.75">
      <c r="A624" s="296"/>
      <c r="B624" s="228"/>
      <c r="C624" s="22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c r="Z624" s="228"/>
    </row>
    <row r="625" spans="1:26" ht="12.75">
      <c r="A625" s="296"/>
      <c r="B625" s="228"/>
      <c r="C625" s="22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c r="Z625" s="228"/>
    </row>
    <row r="626" spans="1:26" ht="12.75">
      <c r="A626" s="296"/>
      <c r="B626" s="228"/>
      <c r="C626" s="22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c r="Z626" s="228"/>
    </row>
    <row r="627" spans="1:26" ht="12.75">
      <c r="A627" s="296"/>
      <c r="B627" s="228"/>
      <c r="C627" s="22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c r="Z627" s="228"/>
    </row>
    <row r="628" spans="1:26" ht="12.75">
      <c r="A628" s="296"/>
      <c r="B628" s="228"/>
      <c r="C628" s="22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c r="Z628" s="228"/>
    </row>
    <row r="629" spans="1:26" ht="12.75">
      <c r="A629" s="296"/>
      <c r="B629" s="228"/>
      <c r="C629" s="22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c r="Z629" s="228"/>
    </row>
    <row r="630" spans="1:26" ht="12.75">
      <c r="A630" s="296"/>
      <c r="B630" s="228"/>
      <c r="C630" s="22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c r="Z630" s="228"/>
    </row>
    <row r="631" spans="1:26" ht="12.75">
      <c r="A631" s="296"/>
      <c r="B631" s="228"/>
      <c r="C631" s="22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c r="Z631" s="228"/>
    </row>
    <row r="632" spans="1:26" ht="12.75">
      <c r="A632" s="296"/>
      <c r="B632" s="228"/>
      <c r="C632" s="22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c r="Z632" s="228"/>
    </row>
    <row r="633" spans="1:26" ht="12.75">
      <c r="A633" s="296"/>
      <c r="B633" s="228"/>
      <c r="C633" s="22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c r="Z633" s="228"/>
    </row>
    <row r="634" spans="1:26" ht="12.75">
      <c r="A634" s="296"/>
      <c r="B634" s="228"/>
      <c r="C634" s="22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c r="Z634" s="228"/>
    </row>
    <row r="635" spans="1:26" ht="12.75">
      <c r="A635" s="296"/>
      <c r="B635" s="228"/>
      <c r="C635" s="22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c r="Z635" s="228"/>
    </row>
    <row r="636" spans="1:26" ht="12.75">
      <c r="A636" s="296"/>
      <c r="B636" s="228"/>
      <c r="C636" s="22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c r="Z636" s="228"/>
    </row>
    <row r="637" spans="1:26" ht="12.75">
      <c r="A637" s="296"/>
      <c r="B637" s="228"/>
      <c r="C637" s="22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c r="Z637" s="228"/>
    </row>
    <row r="638" spans="1:26" ht="12.75">
      <c r="A638" s="296"/>
      <c r="B638" s="228"/>
      <c r="C638" s="22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c r="Z638" s="228"/>
    </row>
    <row r="639" spans="1:26" ht="12.75">
      <c r="A639" s="296"/>
      <c r="B639" s="228"/>
      <c r="C639" s="22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c r="Z639" s="228"/>
    </row>
    <row r="640" spans="1:26" ht="12.75">
      <c r="A640" s="296"/>
      <c r="B640" s="228"/>
      <c r="C640" s="22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c r="Z640" s="228"/>
    </row>
    <row r="641" spans="1:26" ht="12.75">
      <c r="A641" s="296"/>
      <c r="B641" s="228"/>
      <c r="C641" s="22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c r="Z641" s="228"/>
    </row>
    <row r="642" spans="1:26" ht="12.75">
      <c r="A642" s="296"/>
      <c r="B642" s="228"/>
      <c r="C642" s="22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c r="Z642" s="228"/>
    </row>
    <row r="643" spans="1:26" ht="12.75">
      <c r="A643" s="296"/>
      <c r="B643" s="228"/>
      <c r="C643" s="22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c r="Z643" s="228"/>
    </row>
    <row r="644" spans="1:26" ht="12.75">
      <c r="A644" s="296"/>
      <c r="B644" s="228"/>
      <c r="C644" s="22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c r="Z644" s="228"/>
    </row>
    <row r="645" spans="1:26" ht="12.75">
      <c r="A645" s="296"/>
      <c r="B645" s="228"/>
      <c r="C645" s="22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c r="Z645" s="228"/>
    </row>
    <row r="646" spans="1:26" ht="12.75">
      <c r="A646" s="296"/>
      <c r="B646" s="228"/>
      <c r="C646" s="22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c r="Z646" s="228"/>
    </row>
    <row r="647" spans="1:26" ht="12.75">
      <c r="A647" s="296"/>
      <c r="B647" s="228"/>
      <c r="C647" s="22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c r="Z647" s="228"/>
    </row>
    <row r="648" spans="1:26" ht="12.75">
      <c r="A648" s="296"/>
      <c r="B648" s="228"/>
      <c r="C648" s="22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c r="Z648" s="228"/>
    </row>
    <row r="649" spans="1:26" ht="12.75">
      <c r="A649" s="296"/>
      <c r="B649" s="228"/>
      <c r="C649" s="22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c r="Z649" s="228"/>
    </row>
    <row r="650" spans="1:26" ht="12.75">
      <c r="A650" s="296"/>
      <c r="B650" s="228"/>
      <c r="C650" s="22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c r="Z650" s="228"/>
    </row>
    <row r="651" spans="1:26" ht="12.75">
      <c r="A651" s="296"/>
      <c r="B651" s="228"/>
      <c r="C651" s="22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c r="Z651" s="228"/>
    </row>
    <row r="652" spans="1:26" ht="12.75">
      <c r="A652" s="296"/>
      <c r="B652" s="228"/>
      <c r="C652" s="22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c r="Z652" s="228"/>
    </row>
    <row r="653" spans="1:26" ht="12.75">
      <c r="A653" s="296"/>
      <c r="B653" s="228"/>
      <c r="C653" s="22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c r="Z653" s="228"/>
    </row>
    <row r="654" spans="1:26" ht="12.75">
      <c r="A654" s="296"/>
      <c r="B654" s="228"/>
      <c r="C654" s="22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c r="Z654" s="228"/>
    </row>
    <row r="655" spans="1:26" ht="12.75">
      <c r="A655" s="296"/>
      <c r="B655" s="228"/>
      <c r="C655" s="22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c r="Z655" s="228"/>
    </row>
    <row r="656" spans="1:26" ht="12.75">
      <c r="A656" s="296"/>
      <c r="B656" s="228"/>
      <c r="C656" s="22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c r="Z656" s="228"/>
    </row>
    <row r="657" spans="1:26" ht="12.75">
      <c r="A657" s="296"/>
      <c r="B657" s="228"/>
      <c r="C657" s="22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c r="Z657" s="228"/>
    </row>
    <row r="658" spans="1:26" ht="12.75">
      <c r="A658" s="296"/>
      <c r="B658" s="228"/>
      <c r="C658" s="22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c r="Z658" s="228"/>
    </row>
    <row r="659" spans="1:26" ht="12.75">
      <c r="A659" s="296"/>
      <c r="B659" s="228"/>
      <c r="C659" s="22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c r="Z659" s="228"/>
    </row>
    <row r="660" spans="1:26" ht="12.75">
      <c r="A660" s="296"/>
      <c r="B660" s="228"/>
      <c r="C660" s="22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c r="Z660" s="228"/>
    </row>
    <row r="661" spans="1:26" ht="12.75">
      <c r="A661" s="296"/>
      <c r="B661" s="228"/>
      <c r="C661" s="22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c r="Z661" s="228"/>
    </row>
    <row r="662" spans="1:26" ht="12.75">
      <c r="A662" s="296"/>
      <c r="B662" s="228"/>
      <c r="C662" s="22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c r="Z662" s="228"/>
    </row>
    <row r="663" spans="1:26" ht="12.75">
      <c r="A663" s="296"/>
      <c r="B663" s="228"/>
      <c r="C663" s="22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c r="Z663" s="228"/>
    </row>
    <row r="664" spans="1:26" ht="12.75">
      <c r="A664" s="296"/>
      <c r="B664" s="228"/>
      <c r="C664" s="22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c r="Z664" s="228"/>
    </row>
    <row r="665" spans="1:26" ht="12.75">
      <c r="A665" s="296"/>
      <c r="B665" s="228"/>
      <c r="C665" s="22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c r="Z665" s="228"/>
    </row>
    <row r="666" spans="1:26" ht="12.75">
      <c r="A666" s="296"/>
      <c r="B666" s="228"/>
      <c r="C666" s="22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c r="Z666" s="228"/>
    </row>
    <row r="667" spans="1:26" ht="12.75">
      <c r="A667" s="296"/>
      <c r="B667" s="228"/>
      <c r="C667" s="22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c r="Z667" s="228"/>
    </row>
    <row r="668" spans="1:26" ht="12.75">
      <c r="A668" s="296"/>
      <c r="B668" s="228"/>
      <c r="C668" s="22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c r="Z668" s="228"/>
    </row>
    <row r="669" spans="1:26" ht="12.75">
      <c r="A669" s="296"/>
      <c r="B669" s="228"/>
      <c r="C669" s="22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c r="Z669" s="228"/>
    </row>
    <row r="670" spans="1:26" ht="12.75">
      <c r="A670" s="296"/>
      <c r="B670" s="228"/>
      <c r="C670" s="22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c r="Z670" s="228"/>
    </row>
    <row r="671" spans="1:26" ht="12.75">
      <c r="A671" s="296"/>
      <c r="B671" s="228"/>
      <c r="C671" s="22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c r="Z671" s="228"/>
    </row>
    <row r="672" spans="1:26" ht="12.75">
      <c r="A672" s="296"/>
      <c r="B672" s="228"/>
      <c r="C672" s="22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c r="Z672" s="228"/>
    </row>
    <row r="673" spans="1:26" ht="12.75">
      <c r="A673" s="296"/>
      <c r="B673" s="228"/>
      <c r="C673" s="22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c r="Z673" s="228"/>
    </row>
    <row r="674" spans="1:26" ht="12.75">
      <c r="A674" s="296"/>
      <c r="B674" s="228"/>
      <c r="C674" s="22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c r="Z674" s="228"/>
    </row>
    <row r="675" spans="1:26" ht="12.75">
      <c r="A675" s="296"/>
      <c r="B675" s="228"/>
      <c r="C675" s="22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c r="Z675" s="228"/>
    </row>
    <row r="676" spans="1:26" ht="12.75">
      <c r="A676" s="296"/>
      <c r="B676" s="228"/>
      <c r="C676" s="22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c r="Z676" s="228"/>
    </row>
    <row r="677" spans="1:26" ht="12.75">
      <c r="A677" s="296"/>
      <c r="B677" s="228"/>
      <c r="C677" s="22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c r="Z677" s="228"/>
    </row>
    <row r="678" spans="1:26" ht="12.75">
      <c r="A678" s="296"/>
      <c r="B678" s="228"/>
      <c r="C678" s="22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c r="Z678" s="228"/>
    </row>
    <row r="679" spans="1:26" ht="12.75">
      <c r="A679" s="296"/>
      <c r="B679" s="228"/>
      <c r="C679" s="22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c r="Z679" s="228"/>
    </row>
    <row r="680" spans="1:26" ht="12.75">
      <c r="A680" s="296"/>
      <c r="B680" s="228"/>
      <c r="C680" s="22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c r="Z680" s="228"/>
    </row>
    <row r="681" spans="1:26" ht="12.75">
      <c r="A681" s="296"/>
      <c r="B681" s="228"/>
      <c r="C681" s="22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c r="Z681" s="228"/>
    </row>
    <row r="682" spans="1:26" ht="12.75">
      <c r="A682" s="296"/>
      <c r="B682" s="228"/>
      <c r="C682" s="22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c r="Z682" s="228"/>
    </row>
    <row r="683" spans="1:26" ht="12.75">
      <c r="A683" s="296"/>
      <c r="B683" s="228"/>
      <c r="C683" s="22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c r="Z683" s="228"/>
    </row>
    <row r="684" spans="1:26" ht="12.75">
      <c r="A684" s="296"/>
      <c r="B684" s="228"/>
      <c r="C684" s="22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c r="Z684" s="228"/>
    </row>
    <row r="685" spans="1:26" ht="12.75">
      <c r="A685" s="296"/>
      <c r="B685" s="228"/>
      <c r="C685" s="22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c r="Z685" s="228"/>
    </row>
    <row r="686" spans="1:26" ht="12.75">
      <c r="A686" s="296"/>
      <c r="B686" s="228"/>
      <c r="C686" s="22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c r="Z686" s="228"/>
    </row>
    <row r="687" spans="1:26" ht="12.75">
      <c r="A687" s="296"/>
      <c r="B687" s="228"/>
      <c r="C687" s="22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c r="Z687" s="228"/>
    </row>
    <row r="688" spans="1:26" ht="12.75">
      <c r="A688" s="296"/>
      <c r="B688" s="228"/>
      <c r="C688" s="22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c r="Z688" s="228"/>
    </row>
    <row r="689" spans="1:26" ht="12.75">
      <c r="A689" s="296"/>
      <c r="B689" s="228"/>
      <c r="C689" s="22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c r="Z689" s="228"/>
    </row>
    <row r="690" spans="1:26" ht="12.75">
      <c r="A690" s="296"/>
      <c r="B690" s="228"/>
      <c r="C690" s="22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c r="Z690" s="228"/>
    </row>
    <row r="691" spans="1:26" ht="12.75">
      <c r="A691" s="296"/>
      <c r="B691" s="228"/>
      <c r="C691" s="22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c r="Z691" s="228"/>
    </row>
    <row r="692" spans="1:26" ht="12.75">
      <c r="A692" s="296"/>
      <c r="B692" s="228"/>
      <c r="C692" s="22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c r="Z692" s="228"/>
    </row>
    <row r="693" spans="1:26" ht="12.75">
      <c r="A693" s="296"/>
      <c r="B693" s="228"/>
      <c r="C693" s="22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c r="Z693" s="228"/>
    </row>
    <row r="694" spans="1:26" ht="12.75">
      <c r="A694" s="296"/>
      <c r="B694" s="228"/>
      <c r="C694" s="22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c r="Z694" s="228"/>
    </row>
    <row r="695" spans="1:26" ht="12.75">
      <c r="A695" s="296"/>
      <c r="B695" s="228"/>
      <c r="C695" s="22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c r="Z695" s="228"/>
    </row>
    <row r="696" spans="1:26" ht="12.75">
      <c r="A696" s="296"/>
      <c r="B696" s="228"/>
      <c r="C696" s="22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c r="Z696" s="228"/>
    </row>
    <row r="697" spans="1:26" ht="12.75">
      <c r="A697" s="296"/>
      <c r="B697" s="228"/>
      <c r="C697" s="22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c r="Z697" s="228"/>
    </row>
    <row r="698" spans="1:26" ht="12.75">
      <c r="A698" s="296"/>
      <c r="B698" s="228"/>
      <c r="C698" s="22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c r="Z698" s="228"/>
    </row>
    <row r="699" spans="1:26" ht="12.75">
      <c r="A699" s="296"/>
      <c r="B699" s="228"/>
      <c r="C699" s="22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c r="Z699" s="228"/>
    </row>
    <row r="700" spans="1:26" ht="12.75">
      <c r="A700" s="296"/>
      <c r="B700" s="228"/>
      <c r="C700" s="22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c r="Z700" s="228"/>
    </row>
    <row r="701" spans="1:26" ht="12.75">
      <c r="A701" s="296"/>
      <c r="B701" s="228"/>
      <c r="C701" s="22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c r="Z701" s="228"/>
    </row>
    <row r="702" spans="1:26" ht="12.75">
      <c r="A702" s="296"/>
      <c r="B702" s="228"/>
      <c r="C702" s="22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c r="Z702" s="228"/>
    </row>
    <row r="703" spans="1:26" ht="12.75">
      <c r="A703" s="296"/>
      <c r="B703" s="228"/>
      <c r="C703" s="22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c r="Z703" s="228"/>
    </row>
    <row r="704" spans="1:26" ht="12.75">
      <c r="A704" s="296"/>
      <c r="B704" s="228"/>
      <c r="C704" s="22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c r="Z704" s="228"/>
    </row>
    <row r="705" spans="1:26" ht="12.75">
      <c r="A705" s="296"/>
      <c r="B705" s="228"/>
      <c r="C705" s="22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c r="Z705" s="228"/>
    </row>
    <row r="706" spans="1:26" ht="12.75">
      <c r="A706" s="296"/>
      <c r="B706" s="228"/>
      <c r="C706" s="22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c r="Z706" s="228"/>
    </row>
    <row r="707" spans="1:26" ht="12.75">
      <c r="A707" s="296"/>
      <c r="B707" s="228"/>
      <c r="C707" s="22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c r="Z707" s="228"/>
    </row>
    <row r="708" spans="1:26" ht="12.75">
      <c r="A708" s="296"/>
      <c r="B708" s="228"/>
      <c r="C708" s="22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c r="Z708" s="228"/>
    </row>
    <row r="709" spans="1:26" ht="12.75">
      <c r="A709" s="296"/>
      <c r="B709" s="228"/>
      <c r="C709" s="22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c r="Z709" s="228"/>
    </row>
    <row r="710" spans="1:26" ht="12.75">
      <c r="A710" s="296"/>
      <c r="B710" s="228"/>
      <c r="C710" s="22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c r="Z710" s="228"/>
    </row>
    <row r="711" spans="1:26" ht="12.75">
      <c r="A711" s="296"/>
      <c r="B711" s="228"/>
      <c r="C711" s="22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c r="Z711" s="228"/>
    </row>
    <row r="712" spans="1:26" ht="12.75">
      <c r="A712" s="296"/>
      <c r="B712" s="228"/>
      <c r="C712" s="22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c r="Z712" s="228"/>
    </row>
    <row r="713" spans="1:26" ht="12.75">
      <c r="A713" s="296"/>
      <c r="B713" s="228"/>
      <c r="C713" s="22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c r="Z713" s="228"/>
    </row>
    <row r="714" spans="1:26" ht="12.75">
      <c r="A714" s="296"/>
      <c r="B714" s="228"/>
      <c r="C714" s="22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c r="Z714" s="228"/>
    </row>
    <row r="715" spans="1:26" ht="12.75">
      <c r="A715" s="296"/>
      <c r="B715" s="228"/>
      <c r="C715" s="22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c r="Z715" s="228"/>
    </row>
    <row r="716" spans="1:26" ht="12.75">
      <c r="A716" s="296"/>
      <c r="B716" s="228"/>
      <c r="C716" s="22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c r="Z716" s="228"/>
    </row>
    <row r="717" spans="1:26" ht="12.75">
      <c r="A717" s="296"/>
      <c r="B717" s="228"/>
      <c r="C717" s="22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c r="Z717" s="228"/>
    </row>
    <row r="718" spans="1:26" ht="12.75">
      <c r="A718" s="296"/>
      <c r="B718" s="228"/>
      <c r="C718" s="22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c r="Z718" s="228"/>
    </row>
    <row r="719" spans="1:26" ht="12.75">
      <c r="A719" s="296"/>
      <c r="B719" s="228"/>
      <c r="C719" s="22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c r="Z719" s="228"/>
    </row>
    <row r="720" spans="1:26" ht="12.75">
      <c r="A720" s="296"/>
      <c r="B720" s="228"/>
      <c r="C720" s="22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c r="Z720" s="228"/>
    </row>
    <row r="721" spans="1:26" ht="12.75">
      <c r="A721" s="296"/>
      <c r="B721" s="228"/>
      <c r="C721" s="22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c r="Z721" s="228"/>
    </row>
    <row r="722" spans="1:26" ht="12.75">
      <c r="A722" s="296"/>
      <c r="B722" s="228"/>
      <c r="C722" s="22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c r="Z722" s="228"/>
    </row>
    <row r="723" spans="1:26" ht="12.75">
      <c r="A723" s="296"/>
      <c r="B723" s="228"/>
      <c r="C723" s="22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c r="Z723" s="228"/>
    </row>
    <row r="724" spans="1:26" ht="12.75">
      <c r="A724" s="296"/>
      <c r="B724" s="228"/>
      <c r="C724" s="22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c r="Z724" s="228"/>
    </row>
    <row r="725" spans="1:26" ht="12.75">
      <c r="A725" s="296"/>
      <c r="B725" s="228"/>
      <c r="C725" s="22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c r="Z725" s="228"/>
    </row>
    <row r="726" spans="1:26" ht="12.75">
      <c r="A726" s="296"/>
      <c r="B726" s="228"/>
      <c r="C726" s="22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c r="Z726" s="228"/>
    </row>
    <row r="727" spans="1:26" ht="12.75">
      <c r="A727" s="296"/>
      <c r="B727" s="228"/>
      <c r="C727" s="22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c r="Z727" s="228"/>
    </row>
    <row r="728" spans="1:26" ht="12.75">
      <c r="A728" s="296"/>
      <c r="B728" s="228"/>
      <c r="C728" s="22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c r="Z728" s="228"/>
    </row>
    <row r="729" spans="1:26" ht="12.75">
      <c r="A729" s="296"/>
      <c r="B729" s="228"/>
      <c r="C729" s="22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c r="Z729" s="228"/>
    </row>
    <row r="730" spans="1:26" ht="12.75">
      <c r="A730" s="296"/>
      <c r="B730" s="228"/>
      <c r="C730" s="22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c r="Z730" s="228"/>
    </row>
    <row r="731" spans="1:26" ht="12.75">
      <c r="A731" s="296"/>
      <c r="B731" s="228"/>
      <c r="C731" s="22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c r="Z731" s="228"/>
    </row>
    <row r="732" spans="1:26" ht="12.75">
      <c r="A732" s="296"/>
      <c r="B732" s="228"/>
      <c r="C732" s="22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c r="Z732" s="228"/>
    </row>
    <row r="733" spans="1:26" ht="12.75">
      <c r="A733" s="296"/>
      <c r="B733" s="228"/>
      <c r="C733" s="22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c r="Z733" s="228"/>
    </row>
    <row r="734" spans="1:26" ht="12.75">
      <c r="A734" s="296"/>
      <c r="B734" s="228"/>
      <c r="C734" s="22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c r="Z734" s="228"/>
    </row>
    <row r="735" spans="1:26" ht="12.75">
      <c r="A735" s="296"/>
      <c r="B735" s="228"/>
      <c r="C735" s="22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c r="Z735" s="228"/>
    </row>
    <row r="736" spans="1:26" ht="12.75">
      <c r="A736" s="296"/>
      <c r="B736" s="228"/>
      <c r="C736" s="22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c r="Z736" s="228"/>
    </row>
    <row r="737" spans="1:26" ht="12.75">
      <c r="A737" s="296"/>
      <c r="B737" s="228"/>
      <c r="C737" s="22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c r="Z737" s="228"/>
    </row>
    <row r="738" spans="1:26" ht="12.75">
      <c r="A738" s="296"/>
      <c r="B738" s="228"/>
      <c r="C738" s="22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c r="Z738" s="228"/>
    </row>
    <row r="739" spans="1:26" ht="12.75">
      <c r="A739" s="296"/>
      <c r="B739" s="228"/>
      <c r="C739" s="22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c r="Z739" s="228"/>
    </row>
    <row r="740" spans="1:26" ht="12.75">
      <c r="A740" s="296"/>
      <c r="B740" s="228"/>
      <c r="C740" s="22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c r="Z740" s="228"/>
    </row>
    <row r="741" spans="1:26" ht="12.75">
      <c r="A741" s="296"/>
      <c r="B741" s="228"/>
      <c r="C741" s="22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c r="Z741" s="228"/>
    </row>
    <row r="742" spans="1:26" ht="12.75">
      <c r="A742" s="296"/>
      <c r="B742" s="228"/>
      <c r="C742" s="22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c r="Z742" s="228"/>
    </row>
    <row r="743" spans="1:26" ht="12.75">
      <c r="A743" s="296"/>
      <c r="B743" s="228"/>
      <c r="C743" s="22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c r="Z743" s="228"/>
    </row>
    <row r="744" spans="1:26" ht="12.75">
      <c r="A744" s="296"/>
      <c r="B744" s="228"/>
      <c r="C744" s="22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c r="Z744" s="228"/>
    </row>
    <row r="745" spans="1:26" ht="12.75">
      <c r="A745" s="296"/>
      <c r="B745" s="228"/>
      <c r="C745" s="22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c r="Z745" s="228"/>
    </row>
    <row r="746" spans="1:26" ht="12.75">
      <c r="A746" s="296"/>
      <c r="B746" s="228"/>
      <c r="C746" s="22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c r="Z746" s="228"/>
    </row>
    <row r="747" spans="1:26" ht="12.75">
      <c r="A747" s="296"/>
      <c r="B747" s="228"/>
      <c r="C747" s="22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c r="Z747" s="228"/>
    </row>
    <row r="748" spans="1:26" ht="12.75">
      <c r="A748" s="296"/>
      <c r="B748" s="228"/>
      <c r="C748" s="22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c r="Z748" s="228"/>
    </row>
    <row r="749" spans="1:26" ht="12.75">
      <c r="A749" s="296"/>
      <c r="B749" s="228"/>
      <c r="C749" s="22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c r="Z749" s="228"/>
    </row>
    <row r="750" spans="1:26" ht="12.75">
      <c r="A750" s="296"/>
      <c r="B750" s="228"/>
      <c r="C750" s="22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c r="Z750" s="228"/>
    </row>
    <row r="751" spans="1:26" ht="12.75">
      <c r="A751" s="296"/>
      <c r="B751" s="228"/>
      <c r="C751" s="22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c r="Z751" s="228"/>
    </row>
    <row r="752" spans="1:26" ht="12.75">
      <c r="A752" s="296"/>
      <c r="B752" s="228"/>
      <c r="C752" s="22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c r="Z752" s="228"/>
    </row>
    <row r="753" spans="1:26" ht="12.75">
      <c r="A753" s="296"/>
      <c r="B753" s="228"/>
      <c r="C753" s="22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c r="Z753" s="228"/>
    </row>
    <row r="754" spans="1:26" ht="12.75">
      <c r="A754" s="296"/>
      <c r="B754" s="228"/>
      <c r="C754" s="22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c r="Z754" s="228"/>
    </row>
    <row r="755" spans="1:26" ht="12.75">
      <c r="A755" s="296"/>
      <c r="B755" s="228"/>
      <c r="C755" s="22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c r="Z755" s="228"/>
    </row>
    <row r="756" spans="1:26" ht="12.75">
      <c r="A756" s="296"/>
      <c r="B756" s="228"/>
      <c r="C756" s="22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c r="Z756" s="228"/>
    </row>
    <row r="757" spans="1:26" ht="12.75">
      <c r="A757" s="296"/>
      <c r="B757" s="228"/>
      <c r="C757" s="22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c r="Z757" s="228"/>
    </row>
    <row r="758" spans="1:26" ht="12.75">
      <c r="A758" s="296"/>
      <c r="B758" s="228"/>
      <c r="C758" s="22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c r="Z758" s="228"/>
    </row>
    <row r="759" spans="1:26" ht="12.75">
      <c r="A759" s="296"/>
      <c r="B759" s="228"/>
      <c r="C759" s="22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c r="Z759" s="228"/>
    </row>
    <row r="760" spans="1:26" ht="12.75">
      <c r="A760" s="296"/>
      <c r="B760" s="228"/>
      <c r="C760" s="22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c r="Z760" s="228"/>
    </row>
    <row r="761" spans="1:26" ht="12.75">
      <c r="A761" s="296"/>
      <c r="B761" s="228"/>
      <c r="C761" s="22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c r="Z761" s="228"/>
    </row>
    <row r="762" spans="1:26" ht="12.75">
      <c r="A762" s="296"/>
      <c r="B762" s="228"/>
      <c r="C762" s="22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c r="Z762" s="228"/>
    </row>
    <row r="763" spans="1:26" ht="12.75">
      <c r="A763" s="296"/>
      <c r="B763" s="228"/>
      <c r="C763" s="22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c r="Z763" s="228"/>
    </row>
    <row r="764" spans="1:26" ht="12.75">
      <c r="A764" s="296"/>
      <c r="B764" s="228"/>
      <c r="C764" s="22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c r="Z764" s="228"/>
    </row>
    <row r="765" spans="1:26" ht="12.75">
      <c r="A765" s="296"/>
      <c r="B765" s="228"/>
      <c r="C765" s="22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c r="Z765" s="228"/>
    </row>
    <row r="766" spans="1:26" ht="12.75">
      <c r="A766" s="296"/>
      <c r="B766" s="228"/>
      <c r="C766" s="22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c r="Z766" s="228"/>
    </row>
    <row r="767" spans="1:26" ht="12.75">
      <c r="A767" s="296"/>
      <c r="B767" s="228"/>
      <c r="C767" s="22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c r="Z767" s="228"/>
    </row>
    <row r="768" spans="1:26" ht="12.75">
      <c r="A768" s="296"/>
      <c r="B768" s="228"/>
      <c r="C768" s="22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c r="Z768" s="228"/>
    </row>
    <row r="769" spans="1:26" ht="12.75">
      <c r="A769" s="296"/>
      <c r="B769" s="228"/>
      <c r="C769" s="22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c r="Z769" s="228"/>
    </row>
    <row r="770" spans="1:26" ht="12.75">
      <c r="A770" s="296"/>
      <c r="B770" s="228"/>
      <c r="C770" s="22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c r="Z770" s="228"/>
    </row>
    <row r="771" spans="1:26" ht="12.75">
      <c r="A771" s="296"/>
      <c r="B771" s="228"/>
      <c r="C771" s="22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c r="Z771" s="228"/>
    </row>
    <row r="772" spans="1:26" ht="12.75">
      <c r="A772" s="296"/>
      <c r="B772" s="228"/>
      <c r="C772" s="22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c r="Z772" s="228"/>
    </row>
    <row r="773" spans="1:26" ht="12.75">
      <c r="A773" s="296"/>
      <c r="B773" s="228"/>
      <c r="C773" s="22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c r="Z773" s="228"/>
    </row>
    <row r="774" spans="1:26" ht="12.75">
      <c r="A774" s="296"/>
      <c r="B774" s="228"/>
      <c r="C774" s="22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c r="Z774" s="228"/>
    </row>
    <row r="775" spans="1:26" ht="12.75">
      <c r="A775" s="296"/>
      <c r="B775" s="228"/>
      <c r="C775" s="22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c r="Z775" s="228"/>
    </row>
    <row r="776" spans="1:26" ht="12.75">
      <c r="A776" s="296"/>
      <c r="B776" s="228"/>
      <c r="C776" s="22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c r="Z776" s="228"/>
    </row>
    <row r="777" spans="1:26" ht="12.75">
      <c r="A777" s="296"/>
      <c r="B777" s="228"/>
      <c r="C777" s="22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c r="Z777" s="228"/>
    </row>
    <row r="778" spans="1:26" ht="12.75">
      <c r="A778" s="296"/>
      <c r="B778" s="228"/>
      <c r="C778" s="22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c r="Z778" s="228"/>
    </row>
    <row r="779" spans="1:26" ht="12.75">
      <c r="A779" s="296"/>
      <c r="B779" s="228"/>
      <c r="C779" s="22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c r="Z779" s="228"/>
    </row>
    <row r="780" spans="1:26" ht="12.75">
      <c r="A780" s="296"/>
      <c r="B780" s="228"/>
      <c r="C780" s="22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c r="Z780" s="228"/>
    </row>
    <row r="781" spans="1:26" ht="12.75">
      <c r="A781" s="296"/>
      <c r="B781" s="228"/>
      <c r="C781" s="22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c r="Z781" s="228"/>
    </row>
    <row r="782" spans="1:26" ht="12.75">
      <c r="A782" s="296"/>
      <c r="B782" s="228"/>
      <c r="C782" s="22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c r="Z782" s="228"/>
    </row>
    <row r="783" spans="1:26" ht="12.75">
      <c r="A783" s="296"/>
      <c r="B783" s="228"/>
      <c r="C783" s="22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c r="Z783" s="228"/>
    </row>
    <row r="784" spans="1:26" ht="12.75">
      <c r="A784" s="296"/>
      <c r="B784" s="228"/>
      <c r="C784" s="22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c r="Z784" s="228"/>
    </row>
    <row r="785" spans="1:26" ht="12.75">
      <c r="A785" s="296"/>
      <c r="B785" s="228"/>
      <c r="C785" s="22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c r="Z785" s="228"/>
    </row>
    <row r="786" spans="1:26" ht="12.75">
      <c r="A786" s="296"/>
      <c r="B786" s="228"/>
      <c r="C786" s="22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c r="Z786" s="228"/>
    </row>
    <row r="787" spans="1:26" ht="12.75">
      <c r="A787" s="296"/>
      <c r="B787" s="228"/>
      <c r="C787" s="22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c r="Z787" s="228"/>
    </row>
    <row r="788" spans="1:26" ht="12.75">
      <c r="A788" s="296"/>
      <c r="B788" s="228"/>
      <c r="C788" s="22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c r="Z788" s="228"/>
    </row>
    <row r="789" spans="1:26" ht="12.75">
      <c r="A789" s="296"/>
      <c r="B789" s="228"/>
      <c r="C789" s="22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c r="Z789" s="228"/>
    </row>
    <row r="790" spans="1:26" ht="12.75">
      <c r="A790" s="296"/>
      <c r="B790" s="228"/>
      <c r="C790" s="22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c r="Z790" s="228"/>
    </row>
    <row r="791" spans="1:26" ht="12.75">
      <c r="A791" s="296"/>
      <c r="B791" s="228"/>
      <c r="C791" s="22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c r="Z791" s="228"/>
    </row>
    <row r="792" spans="1:26" ht="12.75">
      <c r="A792" s="296"/>
      <c r="B792" s="228"/>
      <c r="C792" s="22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c r="Z792" s="228"/>
    </row>
    <row r="793" spans="1:26" ht="12.75">
      <c r="A793" s="296"/>
      <c r="B793" s="228"/>
      <c r="C793" s="22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c r="Z793" s="228"/>
    </row>
    <row r="794" spans="1:26" ht="12.75">
      <c r="A794" s="296"/>
      <c r="B794" s="228"/>
      <c r="C794" s="22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c r="Z794" s="228"/>
    </row>
    <row r="795" spans="1:26" ht="12.75">
      <c r="A795" s="296"/>
      <c r="B795" s="228"/>
      <c r="C795" s="22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c r="Z795" s="228"/>
    </row>
    <row r="796" spans="1:26" ht="12.75">
      <c r="A796" s="296"/>
      <c r="B796" s="228"/>
      <c r="C796" s="22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c r="Z796" s="228"/>
    </row>
    <row r="797" spans="1:26" ht="12.75">
      <c r="A797" s="296"/>
      <c r="B797" s="228"/>
      <c r="C797" s="22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c r="Z797" s="228"/>
    </row>
    <row r="798" spans="1:26" ht="12.75">
      <c r="A798" s="296"/>
      <c r="B798" s="228"/>
      <c r="C798" s="22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c r="Z798" s="228"/>
    </row>
    <row r="799" spans="1:26" ht="12.75">
      <c r="A799" s="296"/>
      <c r="B799" s="228"/>
      <c r="C799" s="22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c r="Z799" s="228"/>
    </row>
    <row r="800" spans="1:26" ht="12.75">
      <c r="A800" s="296"/>
      <c r="B800" s="228"/>
      <c r="C800" s="22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c r="Z800" s="228"/>
    </row>
    <row r="801" spans="1:26" ht="12.75">
      <c r="A801" s="296"/>
      <c r="B801" s="228"/>
      <c r="C801" s="22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c r="Z801" s="228"/>
    </row>
    <row r="802" spans="1:26" ht="12.75">
      <c r="A802" s="296"/>
      <c r="B802" s="228"/>
      <c r="C802" s="22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c r="Z802" s="228"/>
    </row>
    <row r="803" spans="1:26" ht="12.75">
      <c r="A803" s="296"/>
      <c r="B803" s="228"/>
      <c r="C803" s="22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c r="Z803" s="228"/>
    </row>
    <row r="804" spans="1:26" ht="12.75">
      <c r="A804" s="296"/>
      <c r="B804" s="228"/>
      <c r="C804" s="22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c r="Z804" s="228"/>
    </row>
    <row r="805" spans="1:26" ht="12.75">
      <c r="A805" s="296"/>
      <c r="B805" s="228"/>
      <c r="C805" s="22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c r="Z805" s="228"/>
    </row>
    <row r="806" spans="1:26" ht="12.75">
      <c r="A806" s="296"/>
      <c r="B806" s="228"/>
      <c r="C806" s="22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c r="Z806" s="228"/>
    </row>
    <row r="807" spans="1:26" ht="12.75">
      <c r="A807" s="296"/>
      <c r="B807" s="228"/>
      <c r="C807" s="22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c r="Z807" s="228"/>
    </row>
    <row r="808" spans="1:26" ht="12.75">
      <c r="A808" s="296"/>
      <c r="B808" s="228"/>
      <c r="C808" s="22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c r="Z808" s="228"/>
    </row>
    <row r="809" spans="1:26" ht="12.75">
      <c r="A809" s="296"/>
      <c r="B809" s="228"/>
      <c r="C809" s="22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c r="Z809" s="228"/>
    </row>
    <row r="810" spans="1:26" ht="12.75">
      <c r="A810" s="296"/>
      <c r="B810" s="228"/>
      <c r="C810" s="22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c r="Z810" s="228"/>
    </row>
    <row r="811" spans="1:26" ht="12.75">
      <c r="A811" s="296"/>
      <c r="B811" s="228"/>
      <c r="C811" s="22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c r="Z811" s="228"/>
    </row>
    <row r="812" spans="1:26" ht="12.75">
      <c r="A812" s="296"/>
      <c r="B812" s="228"/>
      <c r="C812" s="22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c r="Z812" s="228"/>
    </row>
    <row r="813" spans="1:26" ht="12.75">
      <c r="A813" s="296"/>
      <c r="B813" s="228"/>
      <c r="C813" s="22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c r="Z813" s="228"/>
    </row>
    <row r="814" spans="1:26" ht="12.75">
      <c r="A814" s="296"/>
      <c r="B814" s="228"/>
      <c r="C814" s="22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c r="Z814" s="228"/>
    </row>
    <row r="815" spans="1:26" ht="12.75">
      <c r="A815" s="296"/>
      <c r="B815" s="228"/>
      <c r="C815" s="22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c r="Z815" s="228"/>
    </row>
    <row r="816" spans="1:26" ht="12.75">
      <c r="A816" s="296"/>
      <c r="B816" s="228"/>
      <c r="C816" s="22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c r="Z816" s="228"/>
    </row>
    <row r="817" spans="1:26" ht="12.75">
      <c r="A817" s="296"/>
      <c r="B817" s="228"/>
      <c r="C817" s="22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c r="Z817" s="228"/>
    </row>
    <row r="818" spans="1:26" ht="12.75">
      <c r="A818" s="296"/>
      <c r="B818" s="228"/>
      <c r="C818" s="22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c r="Z818" s="228"/>
    </row>
    <row r="819" spans="1:26" ht="12.75">
      <c r="A819" s="296"/>
      <c r="B819" s="228"/>
      <c r="C819" s="22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c r="Z819" s="228"/>
    </row>
    <row r="820" spans="1:26" ht="12.75">
      <c r="A820" s="296"/>
      <c r="B820" s="228"/>
      <c r="C820" s="22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c r="Z820" s="228"/>
    </row>
    <row r="821" spans="1:26" ht="12.75">
      <c r="A821" s="296"/>
      <c r="B821" s="228"/>
      <c r="C821" s="22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c r="Z821" s="228"/>
    </row>
    <row r="822" spans="1:26" ht="12.75">
      <c r="A822" s="296"/>
      <c r="B822" s="228"/>
      <c r="C822" s="22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c r="Z822" s="228"/>
    </row>
    <row r="823" spans="1:26" ht="12.75">
      <c r="A823" s="296"/>
      <c r="B823" s="228"/>
      <c r="C823" s="22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c r="Z823" s="228"/>
    </row>
    <row r="824" spans="1:26" ht="12.75">
      <c r="A824" s="296"/>
      <c r="B824" s="228"/>
      <c r="C824" s="22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c r="Z824" s="228"/>
    </row>
    <row r="825" spans="1:26" ht="12.75">
      <c r="A825" s="296"/>
      <c r="B825" s="228"/>
      <c r="C825" s="22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c r="Z825" s="228"/>
    </row>
    <row r="826" spans="1:26" ht="12.75">
      <c r="A826" s="296"/>
      <c r="B826" s="228"/>
      <c r="C826" s="22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c r="Z826" s="228"/>
    </row>
    <row r="827" spans="1:26" ht="12.75">
      <c r="A827" s="296"/>
      <c r="B827" s="228"/>
      <c r="C827" s="22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c r="Z827" s="228"/>
    </row>
    <row r="828" spans="1:26" ht="12.75">
      <c r="A828" s="296"/>
      <c r="B828" s="228"/>
      <c r="C828" s="22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c r="Z828" s="228"/>
    </row>
    <row r="829" spans="1:26" ht="12.75">
      <c r="A829" s="296"/>
      <c r="B829" s="228"/>
      <c r="C829" s="22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c r="Z829" s="228"/>
    </row>
    <row r="830" spans="1:26" ht="12.75">
      <c r="A830" s="296"/>
      <c r="B830" s="228"/>
      <c r="C830" s="22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c r="Z830" s="228"/>
    </row>
    <row r="831" spans="1:26" ht="12.75">
      <c r="A831" s="296"/>
      <c r="B831" s="228"/>
      <c r="C831" s="22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c r="Z831" s="228"/>
    </row>
    <row r="832" spans="1:26" ht="12.75">
      <c r="A832" s="296"/>
      <c r="B832" s="228"/>
      <c r="C832" s="22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c r="Z832" s="228"/>
    </row>
    <row r="833" spans="1:26" ht="12.75">
      <c r="A833" s="296"/>
      <c r="B833" s="228"/>
      <c r="C833" s="22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c r="Z833" s="228"/>
    </row>
    <row r="834" spans="1:26" ht="12.75">
      <c r="A834" s="296"/>
      <c r="B834" s="228"/>
      <c r="C834" s="22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c r="Z834" s="228"/>
    </row>
    <row r="835" spans="1:26" ht="12.75">
      <c r="A835" s="296"/>
      <c r="B835" s="228"/>
      <c r="C835" s="22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c r="Z835" s="228"/>
    </row>
    <row r="836" spans="1:26" ht="12.75">
      <c r="A836" s="296"/>
      <c r="B836" s="228"/>
      <c r="C836" s="22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c r="Z836" s="228"/>
    </row>
    <row r="837" spans="1:26" ht="12.75">
      <c r="A837" s="296"/>
      <c r="B837" s="228"/>
      <c r="C837" s="22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c r="Z837" s="228"/>
    </row>
    <row r="838" spans="1:26" ht="12.75">
      <c r="A838" s="296"/>
      <c r="B838" s="228"/>
      <c r="C838" s="22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c r="Z838" s="228"/>
    </row>
    <row r="839" spans="1:26" ht="12.75">
      <c r="A839" s="296"/>
      <c r="B839" s="228"/>
      <c r="C839" s="22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c r="Z839" s="228"/>
    </row>
    <row r="840" spans="1:26" ht="12.75">
      <c r="A840" s="296"/>
      <c r="B840" s="228"/>
      <c r="C840" s="22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c r="Z840" s="228"/>
    </row>
    <row r="841" spans="1:26" ht="12.75">
      <c r="A841" s="296"/>
      <c r="B841" s="228"/>
      <c r="C841" s="22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c r="Z841" s="228"/>
    </row>
    <row r="842" spans="1:26" ht="12.75">
      <c r="A842" s="296"/>
      <c r="B842" s="228"/>
      <c r="C842" s="22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c r="Z842" s="228"/>
    </row>
    <row r="843" spans="1:26" ht="12.75">
      <c r="A843" s="296"/>
      <c r="B843" s="228"/>
      <c r="C843" s="22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c r="Z843" s="228"/>
    </row>
    <row r="844" spans="1:26" ht="12.75">
      <c r="A844" s="296"/>
      <c r="B844" s="228"/>
      <c r="C844" s="22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c r="Z844" s="228"/>
    </row>
    <row r="845" spans="1:26" ht="12.75">
      <c r="A845" s="296"/>
      <c r="B845" s="228"/>
      <c r="C845" s="22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c r="Z845" s="228"/>
    </row>
    <row r="846" spans="1:26" ht="12.75">
      <c r="A846" s="296"/>
      <c r="B846" s="228"/>
      <c r="C846" s="22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c r="Z846" s="228"/>
    </row>
    <row r="847" spans="1:26" ht="12.75">
      <c r="A847" s="296"/>
      <c r="B847" s="228"/>
      <c r="C847" s="22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c r="Z847" s="228"/>
    </row>
    <row r="848" spans="1:26" ht="12.75">
      <c r="A848" s="296"/>
      <c r="B848" s="228"/>
      <c r="C848" s="22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c r="Z848" s="228"/>
    </row>
    <row r="849" spans="1:26" ht="12.75">
      <c r="A849" s="296"/>
      <c r="B849" s="228"/>
      <c r="C849" s="22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c r="Z849" s="228"/>
    </row>
    <row r="850" spans="1:26" ht="12.75">
      <c r="A850" s="296"/>
      <c r="B850" s="228"/>
      <c r="C850" s="22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c r="Z850" s="228"/>
    </row>
    <row r="851" spans="1:26" ht="12.75">
      <c r="A851" s="296"/>
      <c r="B851" s="228"/>
      <c r="C851" s="22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c r="Z851" s="228"/>
    </row>
    <row r="852" spans="1:26" ht="12.75">
      <c r="A852" s="296"/>
      <c r="B852" s="228"/>
      <c r="C852" s="22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c r="Z852" s="228"/>
    </row>
    <row r="853" spans="1:26" ht="12.75">
      <c r="A853" s="296"/>
      <c r="B853" s="228"/>
      <c r="C853" s="22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c r="Z853" s="228"/>
    </row>
    <row r="854" spans="1:26" ht="12.75">
      <c r="A854" s="296"/>
      <c r="B854" s="228"/>
      <c r="C854" s="22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c r="Z854" s="228"/>
    </row>
    <row r="855" spans="1:26" ht="12.75">
      <c r="A855" s="296"/>
      <c r="B855" s="228"/>
      <c r="C855" s="22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c r="Z855" s="228"/>
    </row>
    <row r="856" spans="1:26" ht="12.75">
      <c r="A856" s="296"/>
      <c r="B856" s="228"/>
      <c r="C856" s="22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c r="Z856" s="228"/>
    </row>
    <row r="857" spans="1:26" ht="12.75">
      <c r="A857" s="296"/>
      <c r="B857" s="228"/>
      <c r="C857" s="22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c r="Z857" s="228"/>
    </row>
    <row r="858" spans="1:26" ht="12.75">
      <c r="A858" s="296"/>
      <c r="B858" s="228"/>
      <c r="C858" s="22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c r="Z858" s="228"/>
    </row>
    <row r="859" spans="1:26" ht="12.75">
      <c r="A859" s="296"/>
      <c r="B859" s="228"/>
      <c r="C859" s="22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c r="Z859" s="228"/>
    </row>
    <row r="860" spans="1:26" ht="12.75">
      <c r="A860" s="296"/>
      <c r="B860" s="228"/>
      <c r="C860" s="22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c r="Z860" s="228"/>
    </row>
    <row r="861" spans="1:26" ht="12.75">
      <c r="A861" s="296"/>
      <c r="B861" s="228"/>
      <c r="C861" s="22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c r="Z861" s="228"/>
    </row>
    <row r="862" spans="1:26" ht="12.75">
      <c r="A862" s="296"/>
      <c r="B862" s="228"/>
      <c r="C862" s="22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c r="Z862" s="228"/>
    </row>
    <row r="863" spans="1:26" ht="12.75">
      <c r="A863" s="296"/>
      <c r="B863" s="228"/>
      <c r="C863" s="22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c r="Z863" s="228"/>
    </row>
    <row r="864" spans="1:26" ht="12.75">
      <c r="A864" s="296"/>
      <c r="B864" s="228"/>
      <c r="C864" s="22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c r="Z864" s="228"/>
    </row>
    <row r="865" spans="1:26" ht="12.75">
      <c r="A865" s="296"/>
      <c r="B865" s="228"/>
      <c r="C865" s="22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c r="Z865" s="228"/>
    </row>
    <row r="866" spans="1:26" ht="12.75">
      <c r="A866" s="296"/>
      <c r="B866" s="228"/>
      <c r="C866" s="22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c r="Z866" s="228"/>
    </row>
    <row r="867" spans="1:26" ht="12.75">
      <c r="A867" s="296"/>
      <c r="B867" s="228"/>
      <c r="C867" s="22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c r="Z867" s="228"/>
    </row>
    <row r="868" spans="1:26" ht="12.75">
      <c r="A868" s="296"/>
      <c r="B868" s="228"/>
      <c r="C868" s="22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c r="Z868" s="228"/>
    </row>
    <row r="869" spans="1:26" ht="12.75">
      <c r="A869" s="296"/>
      <c r="B869" s="228"/>
      <c r="C869" s="22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c r="Z869" s="228"/>
    </row>
    <row r="870" spans="1:26" ht="12.75">
      <c r="A870" s="296"/>
      <c r="B870" s="228"/>
      <c r="C870" s="22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c r="Z870" s="228"/>
    </row>
    <row r="871" spans="1:26" ht="12.75">
      <c r="A871" s="296"/>
      <c r="B871" s="228"/>
      <c r="C871" s="22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c r="Z871" s="228"/>
    </row>
    <row r="872" spans="1:26" ht="12.75">
      <c r="A872" s="296"/>
      <c r="B872" s="228"/>
      <c r="C872" s="22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c r="Z872" s="228"/>
    </row>
    <row r="873" spans="1:26" ht="12.75">
      <c r="A873" s="296"/>
      <c r="B873" s="228"/>
      <c r="C873" s="22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c r="Z873" s="228"/>
    </row>
    <row r="874" spans="1:26" ht="12.75">
      <c r="A874" s="296"/>
      <c r="B874" s="228"/>
      <c r="C874" s="22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c r="Z874" s="228"/>
    </row>
    <row r="875" spans="1:26" ht="12.75">
      <c r="A875" s="296"/>
      <c r="B875" s="228"/>
      <c r="C875" s="22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c r="Z875" s="228"/>
    </row>
    <row r="876" spans="1:26" ht="12.75">
      <c r="A876" s="296"/>
      <c r="B876" s="228"/>
      <c r="C876" s="22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c r="Z876" s="228"/>
    </row>
    <row r="877" spans="1:26" ht="12.75">
      <c r="A877" s="296"/>
      <c r="B877" s="228"/>
      <c r="C877" s="22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c r="Z877" s="228"/>
    </row>
    <row r="878" spans="1:26" ht="12.75">
      <c r="A878" s="296"/>
      <c r="B878" s="228"/>
      <c r="C878" s="22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c r="Z878" s="228"/>
    </row>
    <row r="879" spans="1:26" ht="12.75">
      <c r="A879" s="296"/>
      <c r="B879" s="228"/>
      <c r="C879" s="22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c r="Z879" s="228"/>
    </row>
    <row r="880" spans="1:26" ht="12.75">
      <c r="A880" s="296"/>
      <c r="B880" s="228"/>
      <c r="C880" s="22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c r="Z880" s="228"/>
    </row>
    <row r="881" spans="1:26" ht="12.75">
      <c r="A881" s="296"/>
      <c r="B881" s="228"/>
      <c r="C881" s="22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c r="Z881" s="228"/>
    </row>
    <row r="882" spans="1:26" ht="12.75">
      <c r="A882" s="296"/>
      <c r="B882" s="228"/>
      <c r="C882" s="22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c r="Z882" s="228"/>
    </row>
    <row r="883" spans="1:26" ht="12.75">
      <c r="A883" s="296"/>
      <c r="B883" s="228"/>
      <c r="C883" s="22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c r="Z883" s="228"/>
    </row>
    <row r="884" spans="1:26" ht="12.75">
      <c r="A884" s="296"/>
      <c r="B884" s="228"/>
      <c r="C884" s="22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c r="Z884" s="228"/>
    </row>
    <row r="885" spans="1:26" ht="12.75">
      <c r="A885" s="296"/>
      <c r="B885" s="228"/>
      <c r="C885" s="22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c r="Z885" s="228"/>
    </row>
    <row r="886" spans="1:26" ht="12.75">
      <c r="A886" s="296"/>
      <c r="B886" s="228"/>
      <c r="C886" s="22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c r="Z886" s="228"/>
    </row>
    <row r="887" spans="1:26" ht="12.75">
      <c r="A887" s="296"/>
      <c r="B887" s="228"/>
      <c r="C887" s="22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c r="Z887" s="228"/>
    </row>
    <row r="888" spans="1:26" ht="12.75">
      <c r="A888" s="296"/>
      <c r="B888" s="228"/>
      <c r="C888" s="22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c r="Z888" s="228"/>
    </row>
    <row r="889" spans="1:26" ht="12.75">
      <c r="A889" s="296"/>
      <c r="B889" s="228"/>
      <c r="C889" s="22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c r="Z889" s="228"/>
    </row>
    <row r="890" spans="1:26" ht="12.75">
      <c r="A890" s="296"/>
      <c r="B890" s="228"/>
      <c r="C890" s="22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c r="Z890" s="228"/>
    </row>
    <row r="891" spans="1:26" ht="12.75">
      <c r="A891" s="296"/>
      <c r="B891" s="228"/>
      <c r="C891" s="22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c r="Z891" s="228"/>
    </row>
    <row r="892" spans="1:26" ht="12.75">
      <c r="A892" s="296"/>
      <c r="B892" s="228"/>
      <c r="C892" s="22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c r="Z892" s="228"/>
    </row>
    <row r="893" spans="1:26" ht="12.75">
      <c r="A893" s="296"/>
      <c r="B893" s="228"/>
      <c r="C893" s="22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c r="Z893" s="228"/>
    </row>
    <row r="894" spans="1:26" ht="12.75">
      <c r="A894" s="296"/>
      <c r="B894" s="228"/>
      <c r="C894" s="22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c r="Z894" s="228"/>
    </row>
    <row r="895" spans="1:26" ht="12.75">
      <c r="A895" s="296"/>
      <c r="B895" s="228"/>
      <c r="C895" s="22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c r="Z895" s="228"/>
    </row>
    <row r="896" spans="1:26" ht="12.75">
      <c r="A896" s="296"/>
      <c r="B896" s="228"/>
      <c r="C896" s="22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c r="Z896" s="228"/>
    </row>
    <row r="897" spans="1:26" ht="12.75">
      <c r="A897" s="296"/>
      <c r="B897" s="228"/>
      <c r="C897" s="22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c r="Z897" s="228"/>
    </row>
    <row r="898" spans="1:26" ht="12.75">
      <c r="A898" s="296"/>
      <c r="B898" s="228"/>
      <c r="C898" s="22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c r="Z898" s="228"/>
    </row>
    <row r="899" spans="1:26" ht="12.75">
      <c r="A899" s="296"/>
      <c r="B899" s="228"/>
      <c r="C899" s="22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c r="Z899" s="228"/>
    </row>
    <row r="900" spans="1:26" ht="12.75">
      <c r="A900" s="296"/>
      <c r="B900" s="228"/>
      <c r="C900" s="22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c r="Z900" s="228"/>
    </row>
    <row r="901" spans="1:26" ht="12.75">
      <c r="A901" s="296"/>
      <c r="B901" s="228"/>
      <c r="C901" s="22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c r="Z901" s="228"/>
    </row>
    <row r="902" spans="1:26" ht="12.75">
      <c r="A902" s="296"/>
      <c r="B902" s="228"/>
      <c r="C902" s="22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c r="Z902" s="228"/>
    </row>
    <row r="903" spans="1:26" ht="12.75">
      <c r="A903" s="296"/>
      <c r="B903" s="228"/>
      <c r="C903" s="22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c r="Z903" s="228"/>
    </row>
    <row r="904" spans="1:26" ht="12.75">
      <c r="A904" s="296"/>
      <c r="B904" s="228"/>
      <c r="C904" s="22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c r="Z904" s="228"/>
    </row>
    <row r="905" spans="1:26" ht="12.75">
      <c r="A905" s="296"/>
      <c r="B905" s="228"/>
      <c r="C905" s="22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c r="Z905" s="228"/>
    </row>
    <row r="906" spans="1:26" ht="12.75">
      <c r="A906" s="296"/>
      <c r="B906" s="228"/>
      <c r="C906" s="22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c r="Z906" s="228"/>
    </row>
    <row r="907" spans="1:26" ht="12.75">
      <c r="A907" s="296"/>
      <c r="B907" s="228"/>
      <c r="C907" s="22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c r="Z907" s="228"/>
    </row>
    <row r="908" spans="1:26" ht="12.75">
      <c r="A908" s="296"/>
      <c r="B908" s="228"/>
      <c r="C908" s="22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c r="Z908" s="228"/>
    </row>
    <row r="909" spans="1:26" ht="12.75">
      <c r="A909" s="296"/>
      <c r="B909" s="228"/>
      <c r="C909" s="22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c r="Z909" s="228"/>
    </row>
    <row r="910" spans="1:26" ht="12.75">
      <c r="A910" s="296"/>
      <c r="B910" s="228"/>
      <c r="C910" s="22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c r="Z910" s="228"/>
    </row>
    <row r="911" spans="1:26" ht="12.75">
      <c r="A911" s="296"/>
      <c r="B911" s="228"/>
      <c r="C911" s="22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c r="Z911" s="228"/>
    </row>
    <row r="912" spans="1:26" ht="12.75">
      <c r="A912" s="296"/>
      <c r="B912" s="228"/>
      <c r="C912" s="22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c r="Z912" s="228"/>
    </row>
    <row r="913" spans="1:26" ht="12.75">
      <c r="A913" s="296"/>
      <c r="B913" s="228"/>
      <c r="C913" s="22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c r="Z913" s="228"/>
    </row>
    <row r="914" spans="1:26" ht="12.75">
      <c r="A914" s="296"/>
      <c r="B914" s="228"/>
      <c r="C914" s="22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c r="Z914" s="228"/>
    </row>
    <row r="915" spans="1:26" ht="12.75">
      <c r="A915" s="296"/>
      <c r="B915" s="228"/>
      <c r="C915" s="22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c r="Z915" s="228"/>
    </row>
    <row r="916" spans="1:26" ht="12.75">
      <c r="A916" s="296"/>
      <c r="B916" s="228"/>
      <c r="C916" s="22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c r="Z916" s="228"/>
    </row>
    <row r="917" spans="1:26" ht="12.75">
      <c r="A917" s="296"/>
      <c r="B917" s="228"/>
      <c r="C917" s="22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c r="Z917" s="228"/>
    </row>
    <row r="918" spans="1:26" ht="12.75">
      <c r="A918" s="296"/>
      <c r="B918" s="228"/>
      <c r="C918" s="22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c r="Z918" s="228"/>
    </row>
    <row r="919" spans="1:26" ht="12.75">
      <c r="A919" s="296"/>
      <c r="B919" s="228"/>
      <c r="C919" s="22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c r="Z919" s="228"/>
    </row>
    <row r="920" spans="1:26" ht="12.75">
      <c r="A920" s="296"/>
      <c r="B920" s="228"/>
      <c r="C920" s="22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c r="Z920" s="228"/>
    </row>
    <row r="921" spans="1:26" ht="12.75">
      <c r="A921" s="296"/>
      <c r="B921" s="228"/>
      <c r="C921" s="22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c r="Z921" s="228"/>
    </row>
    <row r="922" spans="1:26" ht="12.75">
      <c r="A922" s="296"/>
      <c r="B922" s="228"/>
      <c r="C922" s="22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c r="Z922" s="228"/>
    </row>
    <row r="923" spans="1:26" ht="12.75">
      <c r="A923" s="296"/>
      <c r="B923" s="228"/>
      <c r="C923" s="22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c r="Z923" s="228"/>
    </row>
    <row r="924" spans="1:26" ht="12.75">
      <c r="A924" s="296"/>
      <c r="B924" s="228"/>
      <c r="C924" s="22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c r="Z924" s="228"/>
    </row>
    <row r="925" spans="1:26" ht="12.75">
      <c r="A925" s="296"/>
      <c r="B925" s="228"/>
      <c r="C925" s="22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c r="Z925" s="228"/>
    </row>
    <row r="926" spans="1:26" ht="12.75">
      <c r="A926" s="296"/>
      <c r="B926" s="228"/>
      <c r="C926" s="22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c r="Z926" s="228"/>
    </row>
    <row r="927" spans="1:26" ht="12.75">
      <c r="A927" s="296"/>
      <c r="B927" s="228"/>
      <c r="C927" s="22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c r="Z927" s="228"/>
    </row>
    <row r="928" spans="1:26" ht="12.75">
      <c r="A928" s="296"/>
      <c r="B928" s="228"/>
      <c r="C928" s="22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c r="Z928" s="228"/>
    </row>
    <row r="929" spans="1:26" ht="12.75">
      <c r="A929" s="296"/>
      <c r="B929" s="228"/>
      <c r="C929" s="22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c r="Z929" s="228"/>
    </row>
    <row r="930" spans="1:26" ht="12.75">
      <c r="A930" s="296"/>
      <c r="B930" s="228"/>
      <c r="C930" s="22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c r="Z930" s="228"/>
    </row>
    <row r="931" spans="1:26" ht="12.75">
      <c r="A931" s="296"/>
      <c r="B931" s="228"/>
      <c r="C931" s="22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c r="Z931" s="228"/>
    </row>
    <row r="932" spans="1:26" ht="12.75">
      <c r="A932" s="296"/>
      <c r="B932" s="228"/>
      <c r="C932" s="22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c r="Z932" s="228"/>
    </row>
    <row r="933" spans="1:26" ht="12.75">
      <c r="A933" s="296"/>
      <c r="B933" s="228"/>
      <c r="C933" s="22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c r="Z933" s="228"/>
    </row>
    <row r="934" spans="1:26" ht="12.75">
      <c r="A934" s="296"/>
      <c r="B934" s="228"/>
      <c r="C934" s="22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c r="Z934" s="228"/>
    </row>
    <row r="935" spans="1:26" ht="12.75">
      <c r="A935" s="296"/>
      <c r="B935" s="228"/>
      <c r="C935" s="22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c r="Z935" s="228"/>
    </row>
    <row r="936" spans="1:26" ht="12.75">
      <c r="A936" s="296"/>
      <c r="B936" s="228"/>
      <c r="C936" s="22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c r="Z936" s="228"/>
    </row>
    <row r="937" spans="1:26" ht="12.75">
      <c r="A937" s="296"/>
      <c r="B937" s="228"/>
      <c r="C937" s="22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c r="Z937" s="228"/>
    </row>
    <row r="938" spans="1:26" ht="12.75">
      <c r="A938" s="296"/>
      <c r="B938" s="228"/>
      <c r="C938" s="22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c r="Z938" s="228"/>
    </row>
    <row r="939" spans="1:26" ht="12.75">
      <c r="A939" s="296"/>
      <c r="B939" s="228"/>
      <c r="C939" s="22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c r="Z939" s="228"/>
    </row>
    <row r="940" spans="1:26" ht="12.75">
      <c r="A940" s="296"/>
      <c r="B940" s="228"/>
      <c r="C940" s="22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c r="Z940" s="228"/>
    </row>
    <row r="941" spans="1:26" ht="12.75">
      <c r="A941" s="296"/>
      <c r="B941" s="228"/>
      <c r="C941" s="22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c r="Z941" s="228"/>
    </row>
    <row r="942" spans="1:26" ht="12.75">
      <c r="A942" s="296"/>
      <c r="B942" s="228"/>
      <c r="C942" s="22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c r="Z942" s="228"/>
    </row>
    <row r="943" spans="1:26" ht="12.75">
      <c r="A943" s="296"/>
      <c r="B943" s="228"/>
      <c r="C943" s="22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c r="Z943" s="228"/>
    </row>
    <row r="944" spans="1:26" ht="12.75">
      <c r="A944" s="296"/>
      <c r="B944" s="228"/>
      <c r="C944" s="22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c r="Z944" s="228"/>
    </row>
    <row r="945" spans="1:26" ht="12.75">
      <c r="A945" s="296"/>
      <c r="B945" s="228"/>
      <c r="C945" s="22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c r="Z945" s="228"/>
    </row>
    <row r="946" spans="1:26" ht="12.75">
      <c r="A946" s="296"/>
      <c r="B946" s="228"/>
      <c r="C946" s="22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c r="Z946" s="228"/>
    </row>
    <row r="947" spans="1:26" ht="12.75">
      <c r="A947" s="296"/>
      <c r="B947" s="228"/>
      <c r="C947" s="22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c r="Z947" s="228"/>
    </row>
    <row r="948" spans="1:26" ht="12.75">
      <c r="A948" s="296"/>
      <c r="B948" s="228"/>
      <c r="C948" s="22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c r="Z948" s="228"/>
    </row>
    <row r="949" spans="1:26" ht="12.75">
      <c r="A949" s="296"/>
      <c r="B949" s="228"/>
      <c r="C949" s="22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c r="Z949" s="228"/>
    </row>
    <row r="950" spans="1:26" ht="12.75">
      <c r="A950" s="296"/>
      <c r="B950" s="228"/>
      <c r="C950" s="22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c r="Z950" s="228"/>
    </row>
    <row r="951" spans="1:26" ht="12.75">
      <c r="A951" s="296"/>
      <c r="B951" s="228"/>
      <c r="C951" s="22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c r="Z951" s="228"/>
    </row>
    <row r="952" spans="1:26" ht="12.75">
      <c r="A952" s="296"/>
      <c r="B952" s="228"/>
      <c r="C952" s="22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c r="Z952" s="228"/>
    </row>
    <row r="953" spans="1:26" ht="12.75">
      <c r="A953" s="296"/>
      <c r="B953" s="228"/>
      <c r="C953" s="22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c r="Z953" s="228"/>
    </row>
    <row r="954" spans="1:26" ht="12.75">
      <c r="A954" s="296"/>
      <c r="B954" s="228"/>
      <c r="C954" s="22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c r="Z954" s="228"/>
    </row>
    <row r="955" spans="1:26" ht="12.75">
      <c r="A955" s="296"/>
      <c r="B955" s="228"/>
      <c r="C955" s="22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c r="Z955" s="228"/>
    </row>
    <row r="956" spans="1:26" ht="12.75">
      <c r="A956" s="296"/>
      <c r="B956" s="228"/>
      <c r="C956" s="22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c r="Z956" s="228"/>
    </row>
    <row r="957" spans="1:26" ht="12.75">
      <c r="A957" s="296"/>
      <c r="B957" s="228"/>
      <c r="C957" s="22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c r="Z957" s="228"/>
    </row>
    <row r="958" spans="1:26" ht="12.75">
      <c r="A958" s="296"/>
      <c r="B958" s="228"/>
      <c r="C958" s="22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c r="Z958" s="228"/>
    </row>
    <row r="959" spans="1:26" ht="12.75">
      <c r="A959" s="296"/>
      <c r="B959" s="228"/>
      <c r="C959" s="22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c r="Z959" s="228"/>
    </row>
    <row r="960" spans="1:26" ht="12.75">
      <c r="A960" s="296"/>
      <c r="B960" s="228"/>
      <c r="C960" s="22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c r="Z960" s="228"/>
    </row>
    <row r="961" spans="1:26" ht="12.75">
      <c r="A961" s="296"/>
      <c r="B961" s="228"/>
      <c r="C961" s="22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c r="Z961" s="228"/>
    </row>
    <row r="962" spans="1:26" ht="12.75">
      <c r="A962" s="296"/>
      <c r="B962" s="228"/>
      <c r="C962" s="22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c r="Z962" s="228"/>
    </row>
    <row r="963" spans="1:26" ht="12.75">
      <c r="A963" s="296"/>
      <c r="B963" s="228"/>
      <c r="C963" s="22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c r="Z963" s="228"/>
    </row>
    <row r="964" spans="1:26" ht="12.75">
      <c r="A964" s="296"/>
      <c r="B964" s="228"/>
      <c r="C964" s="22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c r="Z964" s="228"/>
    </row>
    <row r="965" spans="1:26" ht="12.75">
      <c r="A965" s="296"/>
      <c r="B965" s="228"/>
      <c r="C965" s="22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c r="Z965" s="228"/>
    </row>
    <row r="966" spans="1:26" ht="12.75">
      <c r="A966" s="296"/>
      <c r="B966" s="228"/>
      <c r="C966" s="22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c r="Z966" s="228"/>
    </row>
    <row r="967" spans="1:26" ht="12.75">
      <c r="A967" s="296"/>
      <c r="B967" s="228"/>
      <c r="C967" s="22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c r="Z967" s="228"/>
    </row>
    <row r="968" spans="1:26" ht="12.75">
      <c r="A968" s="296"/>
      <c r="B968" s="228"/>
      <c r="C968" s="22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c r="Z968" s="228"/>
    </row>
    <row r="969" spans="1:26" ht="12.75">
      <c r="A969" s="296"/>
      <c r="B969" s="228"/>
      <c r="C969" s="22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c r="Z969" s="228"/>
    </row>
    <row r="970" spans="1:26" ht="12.75">
      <c r="A970" s="296"/>
      <c r="B970" s="228"/>
      <c r="C970" s="22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c r="Z970" s="228"/>
    </row>
    <row r="971" spans="1:26" ht="12.75">
      <c r="A971" s="296"/>
      <c r="B971" s="228"/>
      <c r="C971" s="22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c r="Z971" s="228"/>
    </row>
    <row r="972" spans="1:26" ht="12.75">
      <c r="A972" s="296"/>
      <c r="B972" s="228"/>
      <c r="C972" s="22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c r="Z972" s="228"/>
    </row>
    <row r="973" spans="1:26" ht="12.75">
      <c r="A973" s="296"/>
      <c r="B973" s="228"/>
      <c r="C973" s="22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c r="Z973" s="228"/>
    </row>
    <row r="974" spans="1:26" ht="12.75">
      <c r="A974" s="296"/>
      <c r="B974" s="228"/>
      <c r="C974" s="22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c r="Z974" s="228"/>
    </row>
    <row r="975" spans="1:26" ht="12.75">
      <c r="A975" s="296"/>
      <c r="B975" s="228"/>
      <c r="C975" s="22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c r="Z975" s="228"/>
    </row>
    <row r="976" spans="1:26" ht="12.75">
      <c r="A976" s="296"/>
      <c r="B976" s="228"/>
      <c r="C976" s="22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c r="Z976" s="228"/>
    </row>
    <row r="977" spans="1:26" ht="12.75">
      <c r="A977" s="296"/>
      <c r="B977" s="228"/>
      <c r="C977" s="22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c r="Z977" s="228"/>
    </row>
    <row r="978" spans="1:26" ht="12.75">
      <c r="A978" s="296"/>
      <c r="B978" s="228"/>
      <c r="C978" s="22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c r="Z978" s="228"/>
    </row>
    <row r="979" spans="1:26" ht="12.75">
      <c r="A979" s="296"/>
      <c r="B979" s="228"/>
      <c r="C979" s="22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c r="Z979" s="228"/>
    </row>
    <row r="980" spans="1:26" ht="12.75">
      <c r="A980" s="296"/>
      <c r="B980" s="228"/>
      <c r="C980" s="22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c r="Z980" s="228"/>
    </row>
    <row r="981" spans="1:26" ht="12.75">
      <c r="A981" s="296"/>
      <c r="B981" s="228"/>
      <c r="C981" s="22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c r="Z981" s="228"/>
    </row>
    <row r="982" spans="1:26" ht="12.75">
      <c r="A982" s="296"/>
      <c r="B982" s="228"/>
      <c r="C982" s="22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c r="Z982" s="228"/>
    </row>
    <row r="983" spans="1:26" ht="12.75">
      <c r="A983" s="296"/>
      <c r="B983" s="228"/>
      <c r="C983" s="22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c r="Z983" s="228"/>
    </row>
    <row r="984" spans="1:26" ht="12.75">
      <c r="A984" s="296"/>
      <c r="B984" s="228"/>
      <c r="C984" s="22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c r="Z984" s="228"/>
    </row>
    <row r="985" spans="1:26" ht="12.75">
      <c r="A985" s="296"/>
      <c r="B985" s="228"/>
      <c r="C985" s="22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c r="Z985" s="228"/>
    </row>
    <row r="986" spans="1:26" ht="12.75">
      <c r="A986" s="296"/>
      <c r="B986" s="228"/>
      <c r="C986" s="22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c r="Z986" s="228"/>
    </row>
    <row r="987" spans="1:26" ht="12.75">
      <c r="A987" s="296"/>
      <c r="B987" s="228"/>
      <c r="C987" s="228"/>
      <c r="D987" s="228"/>
      <c r="E987" s="228"/>
      <c r="F987" s="228"/>
      <c r="G987" s="228"/>
      <c r="H987" s="228"/>
      <c r="I987" s="228"/>
      <c r="J987" s="228"/>
      <c r="K987" s="228"/>
      <c r="L987" s="228"/>
      <c r="M987" s="228"/>
      <c r="N987" s="228"/>
      <c r="O987" s="228"/>
      <c r="P987" s="228"/>
      <c r="Q987" s="228"/>
      <c r="R987" s="228"/>
      <c r="S987" s="228"/>
      <c r="T987" s="228"/>
      <c r="U987" s="228"/>
      <c r="V987" s="228"/>
      <c r="W987" s="228"/>
      <c r="X987" s="228"/>
      <c r="Y987" s="228"/>
      <c r="Z987" s="228"/>
    </row>
    <row r="988" spans="1:26" ht="12.75">
      <c r="A988" s="296"/>
      <c r="B988" s="228"/>
      <c r="C988" s="228"/>
      <c r="D988" s="228"/>
      <c r="E988" s="228"/>
      <c r="F988" s="228"/>
      <c r="G988" s="228"/>
      <c r="H988" s="228"/>
      <c r="I988" s="228"/>
      <c r="J988" s="228"/>
      <c r="K988" s="228"/>
      <c r="L988" s="228"/>
      <c r="M988" s="228"/>
      <c r="N988" s="228"/>
      <c r="O988" s="228"/>
      <c r="P988" s="228"/>
      <c r="Q988" s="228"/>
      <c r="R988" s="228"/>
      <c r="S988" s="228"/>
      <c r="T988" s="228"/>
      <c r="U988" s="228"/>
      <c r="V988" s="228"/>
      <c r="W988" s="228"/>
      <c r="X988" s="228"/>
      <c r="Y988" s="228"/>
      <c r="Z988" s="228"/>
    </row>
    <row r="989" spans="1:26" ht="12.75">
      <c r="A989" s="296"/>
      <c r="B989" s="228"/>
      <c r="C989" s="228"/>
      <c r="D989" s="228"/>
      <c r="E989" s="228"/>
      <c r="F989" s="228"/>
      <c r="G989" s="228"/>
      <c r="H989" s="228"/>
      <c r="I989" s="228"/>
      <c r="J989" s="228"/>
      <c r="K989" s="228"/>
      <c r="L989" s="228"/>
      <c r="M989" s="228"/>
      <c r="N989" s="228"/>
      <c r="O989" s="228"/>
      <c r="P989" s="228"/>
      <c r="Q989" s="228"/>
      <c r="R989" s="228"/>
      <c r="S989" s="228"/>
      <c r="T989" s="228"/>
      <c r="U989" s="228"/>
      <c r="V989" s="228"/>
      <c r="W989" s="228"/>
      <c r="X989" s="228"/>
      <c r="Y989" s="228"/>
      <c r="Z989" s="228"/>
    </row>
    <row r="990" spans="1:26" ht="12.75">
      <c r="A990" s="296"/>
      <c r="B990" s="228"/>
      <c r="C990" s="228"/>
      <c r="D990" s="228"/>
      <c r="E990" s="228"/>
      <c r="F990" s="228"/>
      <c r="G990" s="228"/>
      <c r="H990" s="228"/>
      <c r="I990" s="228"/>
      <c r="J990" s="228"/>
      <c r="K990" s="228"/>
      <c r="L990" s="228"/>
      <c r="M990" s="228"/>
      <c r="N990" s="228"/>
      <c r="O990" s="228"/>
      <c r="P990" s="228"/>
      <c r="Q990" s="228"/>
      <c r="R990" s="228"/>
      <c r="S990" s="228"/>
      <c r="T990" s="228"/>
      <c r="U990" s="228"/>
      <c r="V990" s="228"/>
      <c r="W990" s="228"/>
      <c r="X990" s="228"/>
      <c r="Y990" s="228"/>
      <c r="Z990" s="228"/>
    </row>
    <row r="991" spans="1:26" ht="12.75">
      <c r="A991" s="296"/>
      <c r="B991" s="228"/>
      <c r="C991" s="228"/>
      <c r="D991" s="228"/>
      <c r="E991" s="228"/>
      <c r="F991" s="228"/>
      <c r="G991" s="228"/>
      <c r="H991" s="228"/>
      <c r="I991" s="228"/>
      <c r="J991" s="228"/>
      <c r="K991" s="228"/>
      <c r="L991" s="228"/>
      <c r="M991" s="228"/>
      <c r="N991" s="228"/>
      <c r="O991" s="228"/>
      <c r="P991" s="228"/>
      <c r="Q991" s="228"/>
      <c r="R991" s="228"/>
      <c r="S991" s="228"/>
      <c r="T991" s="228"/>
      <c r="U991" s="228"/>
      <c r="V991" s="228"/>
      <c r="W991" s="228"/>
      <c r="X991" s="228"/>
      <c r="Y991" s="228"/>
      <c r="Z991" s="228"/>
    </row>
    <row r="992" spans="1:26" ht="12.75">
      <c r="A992" s="296"/>
      <c r="B992" s="228"/>
      <c r="C992" s="228"/>
      <c r="D992" s="228"/>
      <c r="E992" s="228"/>
      <c r="F992" s="228"/>
      <c r="G992" s="228"/>
      <c r="H992" s="228"/>
      <c r="I992" s="228"/>
      <c r="J992" s="228"/>
      <c r="K992" s="228"/>
      <c r="L992" s="228"/>
      <c r="M992" s="228"/>
      <c r="N992" s="228"/>
      <c r="O992" s="228"/>
      <c r="P992" s="228"/>
      <c r="Q992" s="228"/>
      <c r="R992" s="228"/>
      <c r="S992" s="228"/>
      <c r="T992" s="228"/>
      <c r="U992" s="228"/>
      <c r="V992" s="228"/>
      <c r="W992" s="228"/>
      <c r="X992" s="228"/>
      <c r="Y992" s="228"/>
      <c r="Z992" s="228"/>
    </row>
    <row r="993" spans="1:26" ht="12.75">
      <c r="A993" s="296"/>
      <c r="B993" s="228"/>
      <c r="C993" s="228"/>
      <c r="D993" s="228"/>
      <c r="E993" s="228"/>
      <c r="F993" s="228"/>
      <c r="G993" s="228"/>
      <c r="H993" s="228"/>
      <c r="I993" s="228"/>
      <c r="J993" s="228"/>
      <c r="K993" s="228"/>
      <c r="L993" s="228"/>
      <c r="M993" s="228"/>
      <c r="N993" s="228"/>
      <c r="O993" s="228"/>
      <c r="P993" s="228"/>
      <c r="Q993" s="228"/>
      <c r="R993" s="228"/>
      <c r="S993" s="228"/>
      <c r="T993" s="228"/>
      <c r="U993" s="228"/>
      <c r="V993" s="228"/>
      <c r="W993" s="228"/>
      <c r="X993" s="228"/>
      <c r="Y993" s="228"/>
      <c r="Z993" s="228"/>
    </row>
    <row r="994" spans="1:26" ht="12.75">
      <c r="A994" s="296"/>
      <c r="B994" s="228"/>
      <c r="C994" s="228"/>
      <c r="D994" s="228"/>
      <c r="E994" s="228"/>
      <c r="F994" s="228"/>
      <c r="G994" s="228"/>
      <c r="H994" s="228"/>
      <c r="I994" s="228"/>
      <c r="J994" s="228"/>
      <c r="K994" s="228"/>
      <c r="L994" s="228"/>
      <c r="M994" s="228"/>
      <c r="N994" s="228"/>
      <c r="O994" s="228"/>
      <c r="P994" s="228"/>
      <c r="Q994" s="228"/>
      <c r="R994" s="228"/>
      <c r="S994" s="228"/>
      <c r="T994" s="228"/>
      <c r="U994" s="228"/>
      <c r="V994" s="228"/>
      <c r="W994" s="228"/>
      <c r="X994" s="228"/>
      <c r="Y994" s="228"/>
      <c r="Z994" s="228"/>
    </row>
    <row r="995" spans="1:26" ht="12.75">
      <c r="A995" s="296"/>
      <c r="B995" s="228"/>
      <c r="C995" s="228"/>
      <c r="D995" s="228"/>
      <c r="E995" s="228"/>
      <c r="F995" s="228"/>
      <c r="G995" s="228"/>
      <c r="H995" s="228"/>
      <c r="I995" s="228"/>
      <c r="J995" s="228"/>
      <c r="K995" s="228"/>
      <c r="L995" s="228"/>
      <c r="M995" s="228"/>
      <c r="N995" s="228"/>
      <c r="O995" s="228"/>
      <c r="P995" s="228"/>
      <c r="Q995" s="228"/>
      <c r="R995" s="228"/>
      <c r="S995" s="228"/>
      <c r="T995" s="228"/>
      <c r="U995" s="228"/>
      <c r="V995" s="228"/>
      <c r="W995" s="228"/>
      <c r="X995" s="228"/>
      <c r="Y995" s="228"/>
      <c r="Z995" s="228"/>
    </row>
    <row r="996" spans="1:26" ht="12.75">
      <c r="A996" s="296"/>
      <c r="B996" s="228"/>
      <c r="C996" s="228"/>
      <c r="D996" s="228"/>
      <c r="E996" s="228"/>
      <c r="F996" s="228"/>
      <c r="G996" s="228"/>
      <c r="H996" s="228"/>
      <c r="I996" s="228"/>
      <c r="J996" s="228"/>
      <c r="K996" s="228"/>
      <c r="L996" s="228"/>
      <c r="M996" s="228"/>
      <c r="N996" s="228"/>
      <c r="O996" s="228"/>
      <c r="P996" s="228"/>
      <c r="Q996" s="228"/>
      <c r="R996" s="228"/>
      <c r="S996" s="228"/>
      <c r="T996" s="228"/>
      <c r="U996" s="228"/>
      <c r="V996" s="228"/>
      <c r="W996" s="228"/>
      <c r="X996" s="228"/>
      <c r="Y996" s="228"/>
      <c r="Z996" s="228"/>
    </row>
    <row r="997" spans="1:26" ht="12.75">
      <c r="A997" s="296"/>
      <c r="B997" s="228"/>
      <c r="C997" s="228"/>
      <c r="D997" s="228"/>
      <c r="E997" s="228"/>
      <c r="F997" s="228"/>
      <c r="G997" s="228"/>
      <c r="H997" s="228"/>
      <c r="I997" s="228"/>
      <c r="J997" s="228"/>
      <c r="K997" s="228"/>
      <c r="L997" s="228"/>
      <c r="M997" s="228"/>
      <c r="N997" s="228"/>
      <c r="O997" s="228"/>
      <c r="P997" s="228"/>
      <c r="Q997" s="228"/>
      <c r="R997" s="228"/>
      <c r="S997" s="228"/>
      <c r="T997" s="228"/>
      <c r="U997" s="228"/>
      <c r="V997" s="228"/>
      <c r="W997" s="228"/>
      <c r="X997" s="228"/>
      <c r="Y997" s="228"/>
      <c r="Z997" s="228"/>
    </row>
    <row r="998" spans="1:26" ht="12.75">
      <c r="A998" s="296"/>
      <c r="B998" s="228"/>
      <c r="C998" s="228"/>
      <c r="D998" s="228"/>
      <c r="E998" s="228"/>
      <c r="F998" s="228"/>
      <c r="G998" s="228"/>
      <c r="H998" s="228"/>
      <c r="I998" s="228"/>
      <c r="J998" s="228"/>
      <c r="K998" s="228"/>
      <c r="L998" s="228"/>
      <c r="M998" s="228"/>
      <c r="N998" s="228"/>
      <c r="O998" s="228"/>
      <c r="P998" s="228"/>
      <c r="Q998" s="228"/>
      <c r="R998" s="228"/>
      <c r="S998" s="228"/>
      <c r="T998" s="228"/>
      <c r="U998" s="228"/>
      <c r="V998" s="228"/>
      <c r="W998" s="228"/>
      <c r="X998" s="228"/>
      <c r="Y998" s="228"/>
      <c r="Z998" s="228"/>
    </row>
    <row r="999" spans="1:26" ht="12.75">
      <c r="A999" s="296"/>
      <c r="B999" s="228"/>
      <c r="C999" s="228"/>
      <c r="D999" s="228"/>
      <c r="E999" s="228"/>
      <c r="F999" s="228"/>
      <c r="G999" s="228"/>
      <c r="H999" s="228"/>
      <c r="I999" s="228"/>
      <c r="J999" s="228"/>
      <c r="K999" s="228"/>
      <c r="L999" s="228"/>
      <c r="M999" s="228"/>
      <c r="N999" s="228"/>
      <c r="O999" s="228"/>
      <c r="P999" s="228"/>
      <c r="Q999" s="228"/>
      <c r="R999" s="228"/>
      <c r="S999" s="228"/>
      <c r="T999" s="228"/>
      <c r="U999" s="228"/>
      <c r="V999" s="228"/>
      <c r="W999" s="228"/>
      <c r="X999" s="228"/>
      <c r="Y999" s="228"/>
      <c r="Z999" s="228"/>
    </row>
    <row r="1000" spans="1:26" ht="12.75">
      <c r="A1000" s="296"/>
      <c r="B1000" s="228"/>
      <c r="C1000" s="228"/>
      <c r="D1000" s="228"/>
      <c r="E1000" s="228"/>
      <c r="F1000" s="228"/>
      <c r="G1000" s="228"/>
      <c r="H1000" s="228"/>
      <c r="I1000" s="228"/>
      <c r="J1000" s="228"/>
      <c r="K1000" s="228"/>
      <c r="L1000" s="228"/>
      <c r="M1000" s="228"/>
      <c r="N1000" s="228"/>
      <c r="O1000" s="228"/>
      <c r="P1000" s="228"/>
      <c r="Q1000" s="228"/>
      <c r="R1000" s="228"/>
      <c r="S1000" s="228"/>
      <c r="T1000" s="228"/>
      <c r="U1000" s="228"/>
      <c r="V1000" s="228"/>
      <c r="W1000" s="228"/>
      <c r="X1000" s="228"/>
      <c r="Y1000" s="228"/>
      <c r="Z1000" s="228"/>
    </row>
    <row r="1001" spans="1:26" ht="12.75">
      <c r="A1001" s="296"/>
      <c r="B1001" s="228"/>
      <c r="C1001" s="228"/>
      <c r="D1001" s="228"/>
      <c r="E1001" s="228"/>
      <c r="F1001" s="228"/>
      <c r="G1001" s="228"/>
      <c r="H1001" s="228"/>
      <c r="I1001" s="228"/>
      <c r="J1001" s="228"/>
      <c r="K1001" s="228"/>
      <c r="L1001" s="228"/>
      <c r="M1001" s="228"/>
      <c r="N1001" s="228"/>
      <c r="O1001" s="228"/>
      <c r="P1001" s="228"/>
      <c r="Q1001" s="228"/>
      <c r="R1001" s="228"/>
      <c r="S1001" s="228"/>
      <c r="T1001" s="228"/>
      <c r="U1001" s="228"/>
      <c r="V1001" s="228"/>
      <c r="W1001" s="228"/>
      <c r="X1001" s="228"/>
      <c r="Y1001" s="228"/>
      <c r="Z1001" s="228"/>
    </row>
    <row r="1002" spans="1:26" ht="12.75">
      <c r="A1002" s="296"/>
      <c r="B1002" s="228"/>
      <c r="C1002" s="228"/>
      <c r="D1002" s="228"/>
      <c r="E1002" s="228"/>
      <c r="F1002" s="228"/>
      <c r="G1002" s="228"/>
      <c r="H1002" s="228"/>
      <c r="I1002" s="228"/>
      <c r="J1002" s="228"/>
      <c r="K1002" s="228"/>
      <c r="L1002" s="228"/>
      <c r="M1002" s="228"/>
      <c r="N1002" s="228"/>
      <c r="O1002" s="228"/>
      <c r="P1002" s="228"/>
      <c r="Q1002" s="228"/>
      <c r="R1002" s="228"/>
      <c r="S1002" s="228"/>
      <c r="T1002" s="228"/>
      <c r="U1002" s="228"/>
      <c r="V1002" s="228"/>
      <c r="W1002" s="228"/>
      <c r="X1002" s="228"/>
      <c r="Y1002" s="228"/>
      <c r="Z1002" s="228"/>
    </row>
    <row r="1003" spans="1:26" ht="12.75">
      <c r="A1003" s="296"/>
      <c r="B1003" s="228"/>
      <c r="C1003" s="228"/>
      <c r="D1003" s="228"/>
      <c r="E1003" s="228"/>
      <c r="F1003" s="228"/>
      <c r="G1003" s="228"/>
      <c r="H1003" s="228"/>
      <c r="I1003" s="228"/>
      <c r="J1003" s="228"/>
      <c r="K1003" s="228"/>
      <c r="L1003" s="228"/>
      <c r="M1003" s="228"/>
      <c r="N1003" s="228"/>
      <c r="O1003" s="228"/>
      <c r="P1003" s="228"/>
      <c r="Q1003" s="228"/>
      <c r="R1003" s="228"/>
      <c r="S1003" s="228"/>
      <c r="T1003" s="228"/>
      <c r="U1003" s="228"/>
      <c r="V1003" s="228"/>
      <c r="W1003" s="228"/>
      <c r="X1003" s="228"/>
      <c r="Y1003" s="228"/>
      <c r="Z1003" s="228"/>
    </row>
    <row r="1004" spans="1:26" ht="12.75">
      <c r="A1004" s="296"/>
      <c r="B1004" s="228"/>
      <c r="C1004" s="228"/>
      <c r="D1004" s="228"/>
      <c r="E1004" s="228"/>
      <c r="F1004" s="228"/>
      <c r="G1004" s="228"/>
      <c r="H1004" s="228"/>
      <c r="I1004" s="228"/>
      <c r="J1004" s="228"/>
      <c r="K1004" s="228"/>
      <c r="L1004" s="228"/>
      <c r="M1004" s="228"/>
      <c r="N1004" s="228"/>
      <c r="O1004" s="228"/>
      <c r="P1004" s="228"/>
      <c r="Q1004" s="228"/>
      <c r="R1004" s="228"/>
      <c r="S1004" s="228"/>
      <c r="T1004" s="228"/>
      <c r="U1004" s="228"/>
      <c r="V1004" s="228"/>
      <c r="W1004" s="228"/>
      <c r="X1004" s="228"/>
      <c r="Y1004" s="228"/>
      <c r="Z1004" s="228"/>
    </row>
    <row r="1005" spans="1:26" ht="12.75">
      <c r="A1005" s="296"/>
      <c r="B1005" s="228"/>
      <c r="C1005" s="228"/>
      <c r="D1005" s="228"/>
      <c r="E1005" s="228"/>
      <c r="F1005" s="228"/>
      <c r="G1005" s="228"/>
      <c r="H1005" s="228"/>
      <c r="I1005" s="228"/>
      <c r="J1005" s="228"/>
      <c r="K1005" s="228"/>
      <c r="L1005" s="228"/>
      <c r="M1005" s="228"/>
      <c r="N1005" s="228"/>
      <c r="O1005" s="228"/>
      <c r="P1005" s="228"/>
      <c r="Q1005" s="228"/>
      <c r="R1005" s="228"/>
      <c r="S1005" s="228"/>
      <c r="T1005" s="228"/>
      <c r="U1005" s="228"/>
      <c r="V1005" s="228"/>
      <c r="W1005" s="228"/>
      <c r="X1005" s="228"/>
      <c r="Y1005" s="228"/>
      <c r="Z1005" s="228"/>
    </row>
    <row r="1006" spans="1:26" ht="12.75">
      <c r="A1006" s="296"/>
      <c r="B1006" s="228"/>
      <c r="C1006" s="228"/>
      <c r="D1006" s="228"/>
      <c r="E1006" s="228"/>
      <c r="F1006" s="228"/>
      <c r="G1006" s="228"/>
      <c r="H1006" s="228"/>
      <c r="I1006" s="228"/>
      <c r="J1006" s="228"/>
      <c r="K1006" s="228"/>
      <c r="L1006" s="228"/>
      <c r="M1006" s="228"/>
      <c r="N1006" s="228"/>
      <c r="O1006" s="228"/>
      <c r="P1006" s="228"/>
      <c r="Q1006" s="228"/>
      <c r="R1006" s="228"/>
      <c r="S1006" s="228"/>
      <c r="T1006" s="228"/>
      <c r="U1006" s="228"/>
      <c r="V1006" s="228"/>
      <c r="W1006" s="228"/>
      <c r="X1006" s="228"/>
      <c r="Y1006" s="228"/>
      <c r="Z1006" s="228"/>
    </row>
    <row r="1007" spans="1:26" ht="12.75">
      <c r="A1007" s="296"/>
      <c r="B1007" s="228"/>
      <c r="C1007" s="228"/>
      <c r="D1007" s="228"/>
      <c r="E1007" s="228"/>
      <c r="F1007" s="228"/>
      <c r="G1007" s="228"/>
      <c r="H1007" s="228"/>
      <c r="I1007" s="228"/>
      <c r="J1007" s="228"/>
      <c r="K1007" s="228"/>
      <c r="L1007" s="228"/>
      <c r="M1007" s="228"/>
      <c r="N1007" s="228"/>
      <c r="O1007" s="228"/>
      <c r="P1007" s="228"/>
      <c r="Q1007" s="228"/>
      <c r="R1007" s="228"/>
      <c r="S1007" s="228"/>
      <c r="T1007" s="228"/>
      <c r="U1007" s="228"/>
      <c r="V1007" s="228"/>
      <c r="W1007" s="228"/>
      <c r="X1007" s="228"/>
      <c r="Y1007" s="228"/>
      <c r="Z1007" s="228"/>
    </row>
    <row r="1008" spans="1:26" ht="12.75">
      <c r="A1008" s="296"/>
      <c r="B1008" s="228"/>
      <c r="C1008" s="228"/>
      <c r="D1008" s="228"/>
      <c r="E1008" s="228"/>
      <c r="F1008" s="228"/>
      <c r="G1008" s="228"/>
      <c r="H1008" s="228"/>
      <c r="I1008" s="228"/>
      <c r="J1008" s="228"/>
      <c r="K1008" s="228"/>
      <c r="L1008" s="228"/>
      <c r="M1008" s="228"/>
      <c r="N1008" s="228"/>
      <c r="O1008" s="228"/>
      <c r="P1008" s="228"/>
      <c r="Q1008" s="228"/>
      <c r="R1008" s="228"/>
      <c r="S1008" s="228"/>
      <c r="T1008" s="228"/>
      <c r="U1008" s="228"/>
      <c r="V1008" s="228"/>
      <c r="W1008" s="228"/>
      <c r="X1008" s="228"/>
      <c r="Y1008" s="228"/>
      <c r="Z1008" s="228"/>
    </row>
    <row r="1009" spans="1:26" ht="12.75">
      <c r="A1009" s="296"/>
      <c r="B1009" s="228"/>
      <c r="C1009" s="228"/>
      <c r="D1009" s="228"/>
      <c r="E1009" s="228"/>
      <c r="F1009" s="228"/>
      <c r="G1009" s="228"/>
      <c r="H1009" s="228"/>
      <c r="I1009" s="228"/>
      <c r="J1009" s="228"/>
      <c r="K1009" s="228"/>
      <c r="L1009" s="228"/>
      <c r="M1009" s="228"/>
      <c r="N1009" s="228"/>
      <c r="O1009" s="228"/>
      <c r="P1009" s="228"/>
      <c r="Q1009" s="228"/>
      <c r="R1009" s="228"/>
      <c r="S1009" s="228"/>
      <c r="T1009" s="228"/>
      <c r="U1009" s="228"/>
      <c r="V1009" s="228"/>
      <c r="W1009" s="228"/>
      <c r="X1009" s="228"/>
      <c r="Y1009" s="228"/>
      <c r="Z1009" s="228"/>
    </row>
    <row r="1010" spans="1:26" ht="12.75">
      <c r="A1010" s="296"/>
      <c r="B1010" s="228"/>
      <c r="C1010" s="228"/>
      <c r="D1010" s="228"/>
      <c r="E1010" s="228"/>
      <c r="F1010" s="228"/>
      <c r="G1010" s="228"/>
      <c r="H1010" s="228"/>
      <c r="I1010" s="228"/>
      <c r="J1010" s="228"/>
      <c r="K1010" s="228"/>
      <c r="L1010" s="228"/>
      <c r="M1010" s="228"/>
      <c r="N1010" s="228"/>
      <c r="O1010" s="228"/>
      <c r="P1010" s="228"/>
      <c r="Q1010" s="228"/>
      <c r="R1010" s="228"/>
      <c r="S1010" s="228"/>
      <c r="T1010" s="228"/>
      <c r="U1010" s="228"/>
      <c r="V1010" s="228"/>
      <c r="W1010" s="228"/>
      <c r="X1010" s="228"/>
      <c r="Y1010" s="228"/>
      <c r="Z1010" s="228"/>
    </row>
  </sheetData>
  <mergeCells count="5">
    <mergeCell ref="B1:E1"/>
    <mergeCell ref="A3:E3"/>
    <mergeCell ref="A7:E7"/>
    <mergeCell ref="A12:E12"/>
    <mergeCell ref="A17:E17"/>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2:I24"/>
  <sheetViews>
    <sheetView workbookViewId="0"/>
  </sheetViews>
  <sheetFormatPr baseColWidth="10" defaultColWidth="12.5703125" defaultRowHeight="15" customHeight="1"/>
  <cols>
    <col min="2" max="2" width="30.42578125" customWidth="1"/>
    <col min="3" max="3" width="35.28515625" customWidth="1"/>
  </cols>
  <sheetData>
    <row r="2" spans="1:9" ht="15" customHeight="1">
      <c r="A2" s="319" t="s">
        <v>224</v>
      </c>
      <c r="B2" s="319" t="s">
        <v>503</v>
      </c>
      <c r="C2" s="319" t="s">
        <v>504</v>
      </c>
      <c r="D2" s="359" t="s">
        <v>505</v>
      </c>
      <c r="E2" s="346"/>
      <c r="F2" s="346"/>
      <c r="G2" s="346"/>
      <c r="H2" s="346"/>
      <c r="I2" s="346"/>
    </row>
    <row r="3" spans="1:9">
      <c r="B3" s="320"/>
      <c r="C3" s="320"/>
      <c r="D3" s="346"/>
      <c r="E3" s="346"/>
      <c r="F3" s="346"/>
      <c r="G3" s="346"/>
      <c r="H3" s="346"/>
      <c r="I3" s="346"/>
    </row>
    <row r="4" spans="1:9">
      <c r="A4" s="321" t="s">
        <v>487</v>
      </c>
      <c r="B4" s="320">
        <v>2750000000</v>
      </c>
      <c r="C4" s="320">
        <f t="shared" ref="C4:C7" si="0">(B4*10)</f>
        <v>27500000000</v>
      </c>
      <c r="D4" s="346"/>
      <c r="E4" s="346"/>
      <c r="F4" s="346"/>
      <c r="G4" s="346"/>
      <c r="H4" s="346"/>
      <c r="I4" s="346"/>
    </row>
    <row r="5" spans="1:9">
      <c r="A5" s="321" t="s">
        <v>486</v>
      </c>
      <c r="B5" s="320">
        <v>55890000</v>
      </c>
      <c r="C5" s="320">
        <f t="shared" si="0"/>
        <v>558900000</v>
      </c>
      <c r="D5" s="346"/>
      <c r="E5" s="346"/>
      <c r="F5" s="346"/>
      <c r="G5" s="346"/>
      <c r="H5" s="346"/>
      <c r="I5" s="346"/>
    </row>
    <row r="6" spans="1:9">
      <c r="A6" s="321" t="s">
        <v>506</v>
      </c>
      <c r="B6" s="320">
        <v>62870000000</v>
      </c>
      <c r="C6" s="320">
        <f t="shared" si="0"/>
        <v>628700000000</v>
      </c>
      <c r="D6" s="346"/>
      <c r="E6" s="346"/>
      <c r="F6" s="346"/>
      <c r="G6" s="346"/>
      <c r="H6" s="346"/>
      <c r="I6" s="346"/>
    </row>
    <row r="7" spans="1:9">
      <c r="A7" s="321" t="s">
        <v>507</v>
      </c>
      <c r="B7" s="320">
        <v>11200000</v>
      </c>
      <c r="C7" s="320">
        <f t="shared" si="0"/>
        <v>112000000</v>
      </c>
      <c r="D7" s="346"/>
      <c r="E7" s="346"/>
      <c r="F7" s="346"/>
      <c r="G7" s="346"/>
      <c r="H7" s="346"/>
      <c r="I7" s="346"/>
    </row>
    <row r="8" spans="1:9">
      <c r="B8" s="320"/>
      <c r="C8" s="320"/>
    </row>
    <row r="9" spans="1:9">
      <c r="B9" s="320"/>
      <c r="C9" s="320"/>
    </row>
    <row r="10" spans="1:9">
      <c r="B10" s="320"/>
      <c r="C10" s="320"/>
    </row>
    <row r="11" spans="1:9">
      <c r="B11" s="320"/>
      <c r="C11" s="320"/>
    </row>
    <row r="12" spans="1:9">
      <c r="B12" s="320"/>
      <c r="C12" s="320"/>
    </row>
    <row r="13" spans="1:9">
      <c r="B13" s="320"/>
      <c r="C13" s="320"/>
    </row>
    <row r="14" spans="1:9">
      <c r="B14" s="320"/>
      <c r="C14" s="320"/>
    </row>
    <row r="15" spans="1:9">
      <c r="B15" s="320"/>
      <c r="C15" s="320"/>
    </row>
    <row r="16" spans="1:9">
      <c r="B16" s="320"/>
      <c r="C16" s="320"/>
    </row>
    <row r="17" spans="2:3">
      <c r="B17" s="320"/>
      <c r="C17" s="320"/>
    </row>
    <row r="18" spans="2:3">
      <c r="B18" s="320"/>
      <c r="C18" s="320"/>
    </row>
    <row r="19" spans="2:3">
      <c r="B19" s="320"/>
      <c r="C19" s="320"/>
    </row>
    <row r="20" spans="2:3">
      <c r="B20" s="320"/>
      <c r="C20" s="320"/>
    </row>
    <row r="21" spans="2:3">
      <c r="B21" s="320"/>
      <c r="C21" s="320"/>
    </row>
    <row r="22" spans="2:3">
      <c r="B22" s="320"/>
      <c r="C22" s="320"/>
    </row>
    <row r="23" spans="2:3">
      <c r="B23" s="320"/>
      <c r="C23" s="320"/>
    </row>
    <row r="24" spans="2:3">
      <c r="B24" s="320"/>
      <c r="C24" s="320"/>
    </row>
  </sheetData>
  <mergeCells count="1">
    <mergeCell ref="D2:I7"/>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0"/>
  <sheetViews>
    <sheetView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12.5703125" defaultRowHeight="15" customHeight="1"/>
  <cols>
    <col min="1" max="1" width="8.5703125" customWidth="1"/>
    <col min="2" max="2" width="9.42578125" customWidth="1"/>
    <col min="5" max="5" width="20.42578125" customWidth="1"/>
    <col min="10" max="10" width="17.28515625" customWidth="1"/>
    <col min="11" max="11" width="15.7109375" customWidth="1"/>
    <col min="12" max="12" width="16.5703125" customWidth="1"/>
    <col min="13" max="13" width="17.42578125" customWidth="1"/>
    <col min="14" max="14" width="16.85546875" customWidth="1"/>
    <col min="15" max="15" width="15.5703125" customWidth="1"/>
    <col min="16" max="17" width="17.140625" customWidth="1"/>
    <col min="18" max="18" width="18.42578125" customWidth="1"/>
    <col min="19" max="19" width="16" customWidth="1"/>
    <col min="23" max="24" width="18" customWidth="1"/>
    <col min="25" max="25" width="21.5703125" customWidth="1"/>
    <col min="26" max="26" width="18" customWidth="1"/>
  </cols>
  <sheetData>
    <row r="1" spans="1:26" ht="41.25" customHeight="1">
      <c r="A1" s="322" t="s">
        <v>508</v>
      </c>
      <c r="B1" s="2"/>
      <c r="C1" s="2"/>
      <c r="D1" s="2"/>
      <c r="E1" s="2"/>
      <c r="F1" s="2"/>
      <c r="G1" s="2"/>
      <c r="H1" s="2"/>
      <c r="I1" s="2"/>
      <c r="J1" s="2"/>
      <c r="K1" s="2"/>
      <c r="L1" s="2"/>
      <c r="M1" s="2"/>
      <c r="N1" s="2"/>
      <c r="O1" s="2"/>
      <c r="P1" s="2"/>
      <c r="Q1" s="2"/>
      <c r="R1" s="2"/>
      <c r="S1" s="2"/>
      <c r="T1" s="2"/>
      <c r="U1" s="2"/>
      <c r="V1" s="352"/>
      <c r="W1" s="353"/>
    </row>
    <row r="2" spans="1:26" ht="36.75" customHeight="1">
      <c r="A2" s="19" t="s">
        <v>509</v>
      </c>
      <c r="B2" s="5" t="s">
        <v>444</v>
      </c>
      <c r="C2" s="5" t="s">
        <v>2</v>
      </c>
      <c r="D2" s="5"/>
      <c r="E2" s="5" t="s">
        <v>446</v>
      </c>
      <c r="F2" s="5" t="s">
        <v>3</v>
      </c>
      <c r="G2" s="5"/>
      <c r="H2" s="5" t="s">
        <v>4</v>
      </c>
      <c r="I2" s="5" t="s">
        <v>5</v>
      </c>
      <c r="J2" s="265"/>
      <c r="K2" s="19" t="s">
        <v>510</v>
      </c>
      <c r="L2" s="5" t="s">
        <v>6</v>
      </c>
      <c r="M2" s="5" t="s">
        <v>7</v>
      </c>
      <c r="N2" s="5" t="s">
        <v>448</v>
      </c>
      <c r="O2" s="6"/>
      <c r="P2" s="5" t="s">
        <v>8</v>
      </c>
      <c r="Q2" s="5" t="s">
        <v>9</v>
      </c>
      <c r="R2" s="5"/>
      <c r="S2" s="6"/>
      <c r="T2" s="5" t="s">
        <v>11</v>
      </c>
      <c r="U2" s="5" t="s">
        <v>12</v>
      </c>
      <c r="V2" s="6"/>
      <c r="W2" s="6"/>
      <c r="X2" s="6"/>
      <c r="Y2" s="6"/>
      <c r="Z2" s="6"/>
    </row>
    <row r="3" spans="1:26" ht="15.75" customHeight="1">
      <c r="A3" s="266">
        <v>212812405</v>
      </c>
      <c r="B3" s="266">
        <v>8231613070</v>
      </c>
      <c r="C3" s="8">
        <v>37.4</v>
      </c>
      <c r="D3" s="10"/>
      <c r="E3" s="10" t="s">
        <v>449</v>
      </c>
      <c r="F3" s="9">
        <v>108</v>
      </c>
      <c r="G3" s="10"/>
      <c r="H3" s="11">
        <v>5.0000000000000001E-3</v>
      </c>
      <c r="I3" s="16">
        <v>0.1</v>
      </c>
      <c r="J3" s="10"/>
      <c r="K3" s="266">
        <v>0</v>
      </c>
      <c r="L3" s="14">
        <v>5.0000000000000001E-4</v>
      </c>
      <c r="M3" s="14">
        <v>6.3E-2</v>
      </c>
      <c r="N3" s="16">
        <f>1-I3</f>
        <v>0.9</v>
      </c>
      <c r="O3" s="13"/>
      <c r="P3" s="278" t="s">
        <v>469</v>
      </c>
      <c r="Q3" s="20">
        <v>0</v>
      </c>
      <c r="R3" s="10"/>
      <c r="S3" s="13"/>
      <c r="T3" s="13"/>
      <c r="U3" s="269">
        <f>A5</f>
        <v>2.5853062235832228E-2</v>
      </c>
      <c r="V3" s="13"/>
      <c r="W3" s="13"/>
      <c r="X3" s="13"/>
      <c r="Y3" s="13"/>
      <c r="Z3" s="13"/>
    </row>
    <row r="4" spans="1:26" ht="41.25" customHeight="1">
      <c r="A4" s="5" t="s">
        <v>450</v>
      </c>
      <c r="B4" s="5" t="s">
        <v>451</v>
      </c>
      <c r="C4" s="5" t="s">
        <v>14</v>
      </c>
      <c r="D4" s="5" t="s">
        <v>452</v>
      </c>
      <c r="E4" s="5" t="s">
        <v>453</v>
      </c>
      <c r="F4" s="5" t="s">
        <v>15</v>
      </c>
      <c r="G4" s="18"/>
      <c r="H4" s="5"/>
      <c r="I4" s="19" t="s">
        <v>16</v>
      </c>
      <c r="J4" s="19" t="s">
        <v>17</v>
      </c>
      <c r="K4" s="19" t="s">
        <v>454</v>
      </c>
      <c r="L4" s="5"/>
      <c r="M4" s="5"/>
      <c r="N4" s="19" t="s">
        <v>470</v>
      </c>
      <c r="O4" s="19" t="s">
        <v>471</v>
      </c>
      <c r="P4" s="5" t="s">
        <v>19</v>
      </c>
      <c r="Q4" s="5"/>
      <c r="R4" s="5" t="s">
        <v>20</v>
      </c>
      <c r="S4" s="5"/>
      <c r="T4" s="5"/>
      <c r="U4" s="5" t="s">
        <v>21</v>
      </c>
      <c r="V4" s="6"/>
      <c r="W4" s="6"/>
      <c r="X4" s="6"/>
      <c r="Y4" s="6"/>
      <c r="Z4" s="6"/>
    </row>
    <row r="5" spans="1:26" ht="19.5" customHeight="1">
      <c r="A5" s="269">
        <f>A3/B3</f>
        <v>2.5853062235832228E-2</v>
      </c>
      <c r="B5" s="279">
        <f>C3*A5</f>
        <v>0.96690452762012535</v>
      </c>
      <c r="C5" s="14">
        <v>0.1</v>
      </c>
      <c r="D5" s="323">
        <v>0.45839999999999997</v>
      </c>
      <c r="E5" s="10" t="s">
        <v>449</v>
      </c>
      <c r="F5" s="14">
        <f>C5*1.64</f>
        <v>0.16400000000000001</v>
      </c>
      <c r="G5" s="10"/>
      <c r="H5" s="13"/>
      <c r="I5" s="20">
        <v>0.01</v>
      </c>
      <c r="J5" s="20">
        <v>0.04</v>
      </c>
      <c r="K5" s="10">
        <f>K3*5</f>
        <v>0</v>
      </c>
      <c r="L5" s="13"/>
      <c r="M5" s="13"/>
      <c r="N5" s="20">
        <f t="shared" ref="N5:O5" si="0">I5</f>
        <v>0.01</v>
      </c>
      <c r="O5" s="20">
        <f t="shared" si="0"/>
        <v>0.04</v>
      </c>
      <c r="P5" s="16">
        <v>0.1</v>
      </c>
      <c r="Q5" s="13"/>
      <c r="R5" s="12">
        <v>0</v>
      </c>
      <c r="S5" s="13"/>
      <c r="T5" s="13"/>
      <c r="U5" s="22" t="s">
        <v>458</v>
      </c>
      <c r="V5" s="13"/>
      <c r="W5" s="13"/>
      <c r="X5" s="13"/>
      <c r="Y5" s="13"/>
      <c r="Z5" s="13"/>
    </row>
    <row r="6" spans="1:26" ht="3" customHeight="1">
      <c r="A6" s="23"/>
      <c r="B6" s="23"/>
      <c r="C6" s="23"/>
      <c r="D6" s="23"/>
      <c r="E6" s="23"/>
      <c r="F6" s="23"/>
      <c r="G6" s="23"/>
      <c r="H6" s="23"/>
      <c r="I6" s="23"/>
      <c r="J6" s="23"/>
      <c r="K6" s="23"/>
      <c r="L6" s="23"/>
      <c r="M6" s="23"/>
      <c r="N6" s="23"/>
      <c r="O6" s="23"/>
      <c r="P6" s="23"/>
      <c r="Q6" s="23"/>
      <c r="R6" s="23"/>
      <c r="S6" s="23"/>
      <c r="T6" s="23"/>
      <c r="U6" s="23"/>
      <c r="V6" s="23"/>
      <c r="W6" s="4"/>
      <c r="X6" s="4"/>
      <c r="Y6" s="4"/>
      <c r="Z6" s="4"/>
    </row>
    <row r="7" spans="1:26" ht="57.75" customHeight="1">
      <c r="A7" s="24" t="s">
        <v>23</v>
      </c>
      <c r="B7" s="25" t="s">
        <v>24</v>
      </c>
      <c r="C7" s="25" t="s">
        <v>459</v>
      </c>
      <c r="D7" s="25" t="s">
        <v>460</v>
      </c>
      <c r="E7" s="25" t="s">
        <v>472</v>
      </c>
      <c r="F7" s="25" t="s">
        <v>26</v>
      </c>
      <c r="G7" s="25" t="s">
        <v>27</v>
      </c>
      <c r="H7" s="25" t="s">
        <v>28</v>
      </c>
      <c r="I7" s="25" t="s">
        <v>29</v>
      </c>
      <c r="J7" s="25" t="s">
        <v>30</v>
      </c>
      <c r="K7" s="25" t="s">
        <v>31</v>
      </c>
      <c r="L7" s="25" t="s">
        <v>32</v>
      </c>
      <c r="M7" s="25" t="s">
        <v>33</v>
      </c>
      <c r="N7" s="25" t="s">
        <v>34</v>
      </c>
      <c r="O7" s="25" t="s">
        <v>35</v>
      </c>
      <c r="P7" s="25" t="s">
        <v>36</v>
      </c>
      <c r="Q7" s="25" t="s">
        <v>473</v>
      </c>
      <c r="R7" s="25" t="s">
        <v>464</v>
      </c>
      <c r="S7" s="25" t="s">
        <v>39</v>
      </c>
      <c r="T7" s="25" t="s">
        <v>40</v>
      </c>
      <c r="U7" s="25" t="s">
        <v>12</v>
      </c>
      <c r="V7" s="28" t="s">
        <v>474</v>
      </c>
      <c r="W7" s="281" t="s">
        <v>475</v>
      </c>
      <c r="X7" s="280" t="s">
        <v>476</v>
      </c>
      <c r="Y7" s="280" t="s">
        <v>511</v>
      </c>
      <c r="Z7" s="281" t="s">
        <v>478</v>
      </c>
    </row>
    <row r="8" spans="1:26" ht="17.25" customHeight="1">
      <c r="A8" s="29"/>
      <c r="B8" s="30"/>
      <c r="C8" s="30"/>
      <c r="D8" s="30"/>
      <c r="E8" s="30"/>
      <c r="F8" s="30"/>
      <c r="G8" s="30"/>
      <c r="H8" s="30"/>
      <c r="I8" s="30"/>
      <c r="J8" s="30"/>
      <c r="K8" s="30"/>
      <c r="L8" s="30"/>
      <c r="M8" s="30"/>
      <c r="N8" s="30"/>
      <c r="O8" s="30"/>
      <c r="P8" s="30"/>
      <c r="Q8" s="30"/>
      <c r="R8" s="30"/>
      <c r="S8" s="30"/>
      <c r="T8" s="30"/>
      <c r="U8" s="30"/>
      <c r="V8" s="30"/>
      <c r="W8" s="4"/>
      <c r="X8" s="4"/>
      <c r="Y8" s="4"/>
      <c r="Z8" s="4"/>
    </row>
    <row r="9" spans="1:26" ht="15.75" customHeight="1">
      <c r="A9" s="31" t="s">
        <v>42</v>
      </c>
      <c r="B9" s="32">
        <v>2025</v>
      </c>
      <c r="C9" s="271">
        <f>B5</f>
        <v>0.96690452762012535</v>
      </c>
      <c r="D9" s="271">
        <f t="shared" ref="D9:D16" si="1">$D$5</f>
        <v>0.45839999999999997</v>
      </c>
      <c r="E9" s="42">
        <f t="shared" ref="E9:E17" si="2">(C9-D9)*(F9*1000000000)</f>
        <v>68648111228.716934</v>
      </c>
      <c r="F9" s="42">
        <v>135</v>
      </c>
      <c r="G9" s="34">
        <f t="shared" ref="G9:G16" si="3">(D9*F9*1000000000)+E9</f>
        <v>130532111228.71692</v>
      </c>
      <c r="H9" s="34">
        <f t="shared" ref="H9:H184" si="4">G9*(1-$H$3)</f>
        <v>129879450672.57333</v>
      </c>
      <c r="I9" s="43">
        <v>0.1</v>
      </c>
      <c r="J9" s="36">
        <f t="shared" ref="J9:J184" si="5">H9*I9</f>
        <v>12987945067.257334</v>
      </c>
      <c r="K9" s="34">
        <f>$K$5+J9</f>
        <v>12987945067.257334</v>
      </c>
      <c r="L9" s="37">
        <f>($K$5+J9)*(1-$L$3)</f>
        <v>12981451094.723705</v>
      </c>
      <c r="M9" s="34">
        <f t="shared" ref="M9:M184" si="6">L9*$M$3</f>
        <v>817831418.96759343</v>
      </c>
      <c r="N9" s="34">
        <f t="shared" ref="N9:N184" si="7">H9*(1-I9)</f>
        <v>116891505605.31601</v>
      </c>
      <c r="O9" s="34">
        <f t="shared" ref="O9:O184" si="8">M9+N9</f>
        <v>117709337024.2836</v>
      </c>
      <c r="P9" s="34"/>
      <c r="Q9" s="38">
        <f>O9</f>
        <v>117709337024.2836</v>
      </c>
      <c r="R9" s="324">
        <v>0</v>
      </c>
      <c r="S9" s="34">
        <f>Q8-R8</f>
        <v>0</v>
      </c>
      <c r="T9" s="40">
        <v>8231613070</v>
      </c>
      <c r="U9" s="272">
        <f t="shared" ref="U9:U184" si="9">$U$3</f>
        <v>2.5853062235832228E-2</v>
      </c>
      <c r="V9" s="282">
        <f t="shared" ref="V9:V184" si="10">(S9/(T9*U9))/12</f>
        <v>0</v>
      </c>
      <c r="W9" s="283">
        <f>((S9+'Malawi-only'!S9)/(T9*(U9+'Malawi-only'!U9))/12)</f>
        <v>6.9898865866387912E-3</v>
      </c>
      <c r="X9" s="284">
        <f>(R9+'Malawi-only'!R9)</f>
        <v>19713872.8125</v>
      </c>
      <c r="Y9" s="284">
        <f>(L9+'Malawi-only'!L9)</f>
        <v>12985851768.286205</v>
      </c>
      <c r="Z9" s="284">
        <f>(Q9+'Malawi-only'!Q9)</f>
        <v>117748764769.9086</v>
      </c>
    </row>
    <row r="10" spans="1:26" ht="15.75" customHeight="1">
      <c r="A10" s="31" t="s">
        <v>43</v>
      </c>
      <c r="B10" s="32">
        <v>2026</v>
      </c>
      <c r="C10" s="271">
        <f t="shared" ref="C10:C184" si="11">C9*(1-$C$5)</f>
        <v>0.87021407485811286</v>
      </c>
      <c r="D10" s="271">
        <f t="shared" si="1"/>
        <v>0.45839999999999997</v>
      </c>
      <c r="E10" s="42">
        <f t="shared" si="2"/>
        <v>64712463723.203857</v>
      </c>
      <c r="F10" s="34">
        <f t="shared" ref="F10:F32" si="12">F9*(1+$F$5)</f>
        <v>157.13999999999999</v>
      </c>
      <c r="G10" s="34">
        <f t="shared" si="3"/>
        <v>136745439723.20384</v>
      </c>
      <c r="H10" s="34">
        <f t="shared" si="4"/>
        <v>136061712524.58783</v>
      </c>
      <c r="I10" s="35">
        <f>$I$3+$I$5</f>
        <v>0.11</v>
      </c>
      <c r="J10" s="36">
        <f t="shared" si="5"/>
        <v>14966788377.70466</v>
      </c>
      <c r="K10" s="34">
        <f t="shared" ref="K10:K184" si="13">K9+J10</f>
        <v>27954733444.961994</v>
      </c>
      <c r="L10" s="37">
        <f t="shared" ref="L10:L59" si="14">(L9+J10)*(1-$L$3)</f>
        <v>27934265352.692154</v>
      </c>
      <c r="M10" s="34">
        <f t="shared" si="6"/>
        <v>1759858717.2196057</v>
      </c>
      <c r="N10" s="34">
        <f t="shared" si="7"/>
        <v>121094924146.88316</v>
      </c>
      <c r="O10" s="34">
        <f t="shared" si="8"/>
        <v>122854782864.10277</v>
      </c>
      <c r="P10" s="34"/>
      <c r="Q10" s="38">
        <f t="shared" ref="Q10:Q184" si="15">(O10-P10)*(1-$Q$3)</f>
        <v>122854782864.10277</v>
      </c>
      <c r="R10" s="39">
        <f t="shared" ref="R10:R184" si="16">Q9*$R$5</f>
        <v>0</v>
      </c>
      <c r="S10" s="34">
        <f t="shared" ref="S10:S184" si="17">Q9-R10</f>
        <v>117709337024.2836</v>
      </c>
      <c r="T10" s="40">
        <v>8300678395</v>
      </c>
      <c r="U10" s="272">
        <f t="shared" si="9"/>
        <v>2.5853062235832228E-2</v>
      </c>
      <c r="V10" s="282">
        <f t="shared" si="10"/>
        <v>45.709249242550918</v>
      </c>
      <c r="W10" s="283">
        <f>((S10+'Malawi-only'!S10)/(T10*(U10+'Malawi-only'!U10))/12)</f>
        <v>41.399638873349922</v>
      </c>
      <c r="X10" s="284">
        <f>(R10+'Malawi-only'!R10)</f>
        <v>31471430.873046838</v>
      </c>
      <c r="Y10" s="284">
        <f>(L10+'Malawi-only'!L10)</f>
        <v>27946443997.965931</v>
      </c>
      <c r="Z10" s="284">
        <f>(Q10+'Malawi-only'!Q10)</f>
        <v>122917725725.84886</v>
      </c>
    </row>
    <row r="11" spans="1:26" ht="15.75" customHeight="1">
      <c r="A11" s="31" t="s">
        <v>44</v>
      </c>
      <c r="B11" s="32">
        <v>2027</v>
      </c>
      <c r="C11" s="271">
        <f t="shared" si="11"/>
        <v>0.78319266737230164</v>
      </c>
      <c r="D11" s="271">
        <f t="shared" si="1"/>
        <v>0.45839999999999997</v>
      </c>
      <c r="E11" s="42">
        <f t="shared" si="2"/>
        <v>59408138590.028366</v>
      </c>
      <c r="F11" s="34">
        <f t="shared" si="12"/>
        <v>182.91095999999996</v>
      </c>
      <c r="G11" s="34">
        <f t="shared" si="3"/>
        <v>143254522654.02835</v>
      </c>
      <c r="H11" s="34">
        <f t="shared" si="4"/>
        <v>142538250040.75821</v>
      </c>
      <c r="I11" s="35">
        <f t="shared" ref="I11:I18" si="18">I10+$I$5</f>
        <v>0.12</v>
      </c>
      <c r="J11" s="36">
        <f t="shared" si="5"/>
        <v>17104590004.890984</v>
      </c>
      <c r="K11" s="34">
        <f t="shared" si="13"/>
        <v>45059323449.852982</v>
      </c>
      <c r="L11" s="37">
        <f t="shared" si="14"/>
        <v>45016335929.90435</v>
      </c>
      <c r="M11" s="34">
        <f t="shared" si="6"/>
        <v>2836029163.5839739</v>
      </c>
      <c r="N11" s="34">
        <f t="shared" si="7"/>
        <v>125433660035.86722</v>
      </c>
      <c r="O11" s="34">
        <f t="shared" si="8"/>
        <v>128269689199.45119</v>
      </c>
      <c r="P11" s="34"/>
      <c r="Q11" s="38">
        <f t="shared" si="15"/>
        <v>128269689199.45119</v>
      </c>
      <c r="R11" s="39">
        <f t="shared" si="16"/>
        <v>0</v>
      </c>
      <c r="S11" s="34">
        <f t="shared" si="17"/>
        <v>122854782864.10277</v>
      </c>
      <c r="T11" s="40">
        <v>8369094344</v>
      </c>
      <c r="U11" s="272">
        <f t="shared" si="9"/>
        <v>2.5853062235832228E-2</v>
      </c>
      <c r="V11" s="282">
        <f t="shared" si="10"/>
        <v>47.317344909289382</v>
      </c>
      <c r="W11" s="283">
        <f>((S11+'Malawi-only'!S11)/(T11*(U11+'Malawi-only'!U11))/12)</f>
        <v>42.860841317447012</v>
      </c>
      <c r="X11" s="284">
        <f>(R11+'Malawi-only'!R11)</f>
        <v>46390225.065796621</v>
      </c>
      <c r="Y11" s="284">
        <f>(L11+'Malawi-only'!L11)</f>
        <v>45041112347.695526</v>
      </c>
      <c r="Z11" s="284">
        <f>(Q11+'Malawi-only'!Q11)</f>
        <v>128362469649.58278</v>
      </c>
    </row>
    <row r="12" spans="1:26" ht="15.75" customHeight="1">
      <c r="A12" s="31" t="s">
        <v>45</v>
      </c>
      <c r="B12" s="32">
        <v>2028</v>
      </c>
      <c r="C12" s="271">
        <f t="shared" si="11"/>
        <v>0.70487340063507153</v>
      </c>
      <c r="D12" s="271">
        <f t="shared" si="1"/>
        <v>0.45839999999999997</v>
      </c>
      <c r="E12" s="42">
        <f t="shared" si="2"/>
        <v>52476246881.86412</v>
      </c>
      <c r="F12" s="34">
        <f t="shared" si="12"/>
        <v>212.90835743999995</v>
      </c>
      <c r="G12" s="34">
        <f t="shared" si="3"/>
        <v>150073437932.36011</v>
      </c>
      <c r="H12" s="34">
        <f t="shared" si="4"/>
        <v>149323070742.6983</v>
      </c>
      <c r="I12" s="35">
        <f t="shared" si="18"/>
        <v>0.13</v>
      </c>
      <c r="J12" s="36">
        <f t="shared" si="5"/>
        <v>19411999196.550781</v>
      </c>
      <c r="K12" s="34">
        <f t="shared" si="13"/>
        <v>64471322646.403763</v>
      </c>
      <c r="L12" s="37">
        <f t="shared" si="14"/>
        <v>64396120958.891907</v>
      </c>
      <c r="M12" s="34">
        <f t="shared" si="6"/>
        <v>4056955620.4101901</v>
      </c>
      <c r="N12" s="34">
        <f t="shared" si="7"/>
        <v>129911071546.14752</v>
      </c>
      <c r="O12" s="34">
        <f t="shared" si="8"/>
        <v>133968027166.55771</v>
      </c>
      <c r="P12" s="34"/>
      <c r="Q12" s="38">
        <f t="shared" si="15"/>
        <v>133968027166.55771</v>
      </c>
      <c r="R12" s="39">
        <f t="shared" si="16"/>
        <v>0</v>
      </c>
      <c r="S12" s="34">
        <f t="shared" si="17"/>
        <v>128269689199.45119</v>
      </c>
      <c r="T12" s="40">
        <v>8436618886</v>
      </c>
      <c r="U12" s="272">
        <f t="shared" si="9"/>
        <v>2.5853062235832228E-2</v>
      </c>
      <c r="V12" s="282">
        <f t="shared" si="10"/>
        <v>49.007480287710216</v>
      </c>
      <c r="W12" s="283">
        <f>((S12+'Malawi-only'!S12)/(T12*(U12+'Malawi-only'!U12))/12)</f>
        <v>44.397583050931154</v>
      </c>
      <c r="X12" s="284">
        <f>(R12+'Malawi-only'!R12)</f>
        <v>65168134.689845212</v>
      </c>
      <c r="Y12" s="284">
        <f>(L12+'Malawi-only'!L12)</f>
        <v>64440213999.686218</v>
      </c>
      <c r="Z12" s="284">
        <f>(Q12+'Malawi-only'!Q12)</f>
        <v>134098363435.93739</v>
      </c>
    </row>
    <row r="13" spans="1:26" ht="15.75" customHeight="1">
      <c r="A13" s="31" t="s">
        <v>46</v>
      </c>
      <c r="B13" s="32">
        <v>2029</v>
      </c>
      <c r="C13" s="271">
        <f t="shared" si="11"/>
        <v>0.63438606057156444</v>
      </c>
      <c r="D13" s="271">
        <f t="shared" si="1"/>
        <v>0.45839999999999997</v>
      </c>
      <c r="E13" s="42">
        <f t="shared" si="2"/>
        <v>43613803195.163139</v>
      </c>
      <c r="F13" s="34">
        <f t="shared" si="12"/>
        <v>247.82532806015993</v>
      </c>
      <c r="G13" s="34">
        <f t="shared" si="3"/>
        <v>157216933577.94046</v>
      </c>
      <c r="H13" s="34">
        <f t="shared" si="4"/>
        <v>156430848910.05075</v>
      </c>
      <c r="I13" s="35">
        <f t="shared" si="18"/>
        <v>0.14000000000000001</v>
      </c>
      <c r="J13" s="36">
        <f t="shared" si="5"/>
        <v>21900318847.407108</v>
      </c>
      <c r="K13" s="34">
        <f t="shared" si="13"/>
        <v>86371641493.810867</v>
      </c>
      <c r="L13" s="37">
        <f t="shared" si="14"/>
        <v>86253291586.395874</v>
      </c>
      <c r="M13" s="34">
        <f t="shared" si="6"/>
        <v>5433957369.9429398</v>
      </c>
      <c r="N13" s="34">
        <f t="shared" si="7"/>
        <v>134530530062.64365</v>
      </c>
      <c r="O13" s="34">
        <f t="shared" si="8"/>
        <v>139964487432.58658</v>
      </c>
      <c r="P13" s="34"/>
      <c r="Q13" s="38">
        <f t="shared" si="15"/>
        <v>139964487432.58658</v>
      </c>
      <c r="R13" s="39">
        <f t="shared" si="16"/>
        <v>0</v>
      </c>
      <c r="S13" s="34">
        <f t="shared" si="17"/>
        <v>133968027166.55771</v>
      </c>
      <c r="T13" s="40">
        <v>8503285323</v>
      </c>
      <c r="U13" s="272">
        <f t="shared" si="9"/>
        <v>2.5853062235832228E-2</v>
      </c>
      <c r="V13" s="282">
        <f t="shared" si="10"/>
        <v>50.783329656340278</v>
      </c>
      <c r="W13" s="283">
        <f>((S13+'Malawi-only'!S13)/(T13*(U13+'Malawi-only'!U13))/12)</f>
        <v>46.013450682656604</v>
      </c>
      <c r="X13" s="284">
        <f>(R13+'Malawi-only'!R13)</f>
        <v>88643181.624501407</v>
      </c>
      <c r="Y13" s="284">
        <f>(L13+'Malawi-only'!L13)</f>
        <v>86325898822.968475</v>
      </c>
      <c r="Z13" s="284">
        <f>(Q13+'Malawi-only'!Q13)</f>
        <v>140141773795.83557</v>
      </c>
    </row>
    <row r="14" spans="1:26" ht="15.75" customHeight="1">
      <c r="A14" s="31" t="s">
        <v>47</v>
      </c>
      <c r="B14" s="32">
        <v>2030</v>
      </c>
      <c r="C14" s="271">
        <f t="shared" si="11"/>
        <v>0.57094745451440798</v>
      </c>
      <c r="D14" s="271">
        <f t="shared" si="1"/>
        <v>0.45839999999999997</v>
      </c>
      <c r="E14" s="42">
        <f t="shared" si="2"/>
        <v>32466415850.69762</v>
      </c>
      <c r="F14" s="34">
        <f t="shared" si="12"/>
        <v>288.46868186202613</v>
      </c>
      <c r="G14" s="34">
        <f t="shared" si="3"/>
        <v>164700459616.2504</v>
      </c>
      <c r="H14" s="34">
        <f t="shared" si="4"/>
        <v>163876957318.16916</v>
      </c>
      <c r="I14" s="35">
        <f t="shared" si="18"/>
        <v>0.15000000000000002</v>
      </c>
      <c r="J14" s="36">
        <f t="shared" si="5"/>
        <v>24581543597.725376</v>
      </c>
      <c r="K14" s="34">
        <f t="shared" si="13"/>
        <v>110953185091.53624</v>
      </c>
      <c r="L14" s="37">
        <f t="shared" si="14"/>
        <v>110779417766.52919</v>
      </c>
      <c r="M14" s="34">
        <f t="shared" si="6"/>
        <v>6979103319.2913389</v>
      </c>
      <c r="N14" s="34">
        <f t="shared" si="7"/>
        <v>139295413720.44379</v>
      </c>
      <c r="O14" s="34">
        <f t="shared" si="8"/>
        <v>146274517039.73514</v>
      </c>
      <c r="P14" s="34"/>
      <c r="Q14" s="38">
        <f t="shared" si="15"/>
        <v>146274517039.73514</v>
      </c>
      <c r="R14" s="39">
        <f t="shared" si="16"/>
        <v>0</v>
      </c>
      <c r="S14" s="34">
        <f t="shared" si="17"/>
        <v>139964487432.58658</v>
      </c>
      <c r="T14" s="40">
        <v>8569124911</v>
      </c>
      <c r="U14" s="272">
        <f t="shared" si="9"/>
        <v>2.5853062235832228E-2</v>
      </c>
      <c r="V14" s="282">
        <f t="shared" si="10"/>
        <v>52.648759976350327</v>
      </c>
      <c r="W14" s="283">
        <f>((S14+'Malawi-only'!S14)/(T14*(U14+'Malawi-only'!U14))/12)</f>
        <v>47.712254752585515</v>
      </c>
      <c r="X14" s="284">
        <f>(R14+'Malawi-only'!R14)</f>
        <v>117820114.03048803</v>
      </c>
      <c r="Y14" s="284">
        <f>(L14+'Malawi-only'!L14)</f>
        <v>110892948394.86336</v>
      </c>
      <c r="Z14" s="284">
        <f>(Q14+'Malawi-only'!Q14)</f>
        <v>146510157267.79611</v>
      </c>
    </row>
    <row r="15" spans="1:26" ht="15.75" customHeight="1">
      <c r="A15" s="31" t="s">
        <v>48</v>
      </c>
      <c r="B15" s="32">
        <v>2031</v>
      </c>
      <c r="C15" s="271">
        <f t="shared" si="11"/>
        <v>0.51385270906296721</v>
      </c>
      <c r="D15" s="271">
        <f t="shared" si="1"/>
        <v>0.45839999999999997</v>
      </c>
      <c r="E15" s="42">
        <f t="shared" si="2"/>
        <v>18619774550.880489</v>
      </c>
      <c r="F15" s="34">
        <f t="shared" si="12"/>
        <v>335.7775456873984</v>
      </c>
      <c r="G15" s="34">
        <f t="shared" si="3"/>
        <v>172540201493.98392</v>
      </c>
      <c r="H15" s="34">
        <f t="shared" si="4"/>
        <v>171677500486.51401</v>
      </c>
      <c r="I15" s="35">
        <f t="shared" si="18"/>
        <v>0.16000000000000003</v>
      </c>
      <c r="J15" s="36">
        <f t="shared" si="5"/>
        <v>27468400077.842247</v>
      </c>
      <c r="K15" s="34">
        <f t="shared" si="13"/>
        <v>138421585169.37848</v>
      </c>
      <c r="L15" s="37">
        <f t="shared" si="14"/>
        <v>138178693935.44925</v>
      </c>
      <c r="M15" s="34">
        <f t="shared" si="6"/>
        <v>8705257717.9333019</v>
      </c>
      <c r="N15" s="34">
        <f t="shared" si="7"/>
        <v>144209100408.67175</v>
      </c>
      <c r="O15" s="34">
        <f t="shared" si="8"/>
        <v>152914358126.60504</v>
      </c>
      <c r="P15" s="34"/>
      <c r="Q15" s="38">
        <f t="shared" si="15"/>
        <v>152914358126.60504</v>
      </c>
      <c r="R15" s="39">
        <f t="shared" si="16"/>
        <v>0</v>
      </c>
      <c r="S15" s="34">
        <f t="shared" si="17"/>
        <v>146274517039.73514</v>
      </c>
      <c r="T15" s="40">
        <v>8634119333</v>
      </c>
      <c r="U15" s="272">
        <f t="shared" si="9"/>
        <v>2.5853062235832228E-2</v>
      </c>
      <c r="V15" s="282">
        <f t="shared" si="10"/>
        <v>54.608140505046435</v>
      </c>
      <c r="W15" s="283">
        <f>((S15+'Malawi-only'!S15)/(T15*(U15+'Malawi-only'!U15))/12)</f>
        <v>49.498319331453217</v>
      </c>
      <c r="X15" s="284">
        <f>(R15+'Malawi-only'!R15)</f>
        <v>153901839.71412882</v>
      </c>
      <c r="Y15" s="284">
        <f>(L15+'Malawi-only'!L15)</f>
        <v>138349691896.27017</v>
      </c>
      <c r="Z15" s="284">
        <f>(Q15+'Malawi-only'!Q15)</f>
        <v>153222161806.03329</v>
      </c>
    </row>
    <row r="16" spans="1:26" ht="15.75" customHeight="1">
      <c r="A16" s="31" t="s">
        <v>49</v>
      </c>
      <c r="B16" s="32">
        <v>2032</v>
      </c>
      <c r="C16" s="271">
        <f t="shared" si="11"/>
        <v>0.46246743815667052</v>
      </c>
      <c r="D16" s="271">
        <f t="shared" si="1"/>
        <v>0.45839999999999997</v>
      </c>
      <c r="E16" s="42">
        <f t="shared" si="2"/>
        <v>1589738123.3251774</v>
      </c>
      <c r="F16" s="34">
        <f t="shared" si="12"/>
        <v>390.84506318013172</v>
      </c>
      <c r="G16" s="34">
        <f t="shared" si="3"/>
        <v>180753115085.09753</v>
      </c>
      <c r="H16" s="34">
        <f t="shared" si="4"/>
        <v>179849349509.67206</v>
      </c>
      <c r="I16" s="35">
        <f t="shared" si="18"/>
        <v>0.17000000000000004</v>
      </c>
      <c r="J16" s="36">
        <f t="shared" si="5"/>
        <v>30574389416.644257</v>
      </c>
      <c r="K16" s="34">
        <f t="shared" si="13"/>
        <v>168995974586.02274</v>
      </c>
      <c r="L16" s="37">
        <f t="shared" si="14"/>
        <v>168668706810.41748</v>
      </c>
      <c r="M16" s="34">
        <f t="shared" si="6"/>
        <v>10626128529.056301</v>
      </c>
      <c r="N16" s="34">
        <f t="shared" si="7"/>
        <v>149274960093.0278</v>
      </c>
      <c r="O16" s="34">
        <f t="shared" si="8"/>
        <v>159901088622.08411</v>
      </c>
      <c r="P16" s="34"/>
      <c r="Q16" s="38">
        <f t="shared" si="15"/>
        <v>159901088622.08411</v>
      </c>
      <c r="R16" s="39">
        <f t="shared" si="16"/>
        <v>0</v>
      </c>
      <c r="S16" s="34">
        <f t="shared" si="17"/>
        <v>152914358126.60504</v>
      </c>
      <c r="T16" s="40">
        <v>8698229812</v>
      </c>
      <c r="U16" s="272">
        <f t="shared" si="9"/>
        <v>2.5853062235832228E-2</v>
      </c>
      <c r="V16" s="282">
        <f t="shared" si="10"/>
        <v>56.666207891425039</v>
      </c>
      <c r="W16" s="283">
        <f>((S16+'Malawi-only'!S16)/(T16*(U16+'Malawi-only'!U16))/12)</f>
        <v>51.376370569703035</v>
      </c>
      <c r="X16" s="284">
        <f>(R16+'Malawi-only'!R16)</f>
        <v>198326568.36409953</v>
      </c>
      <c r="Y16" s="284">
        <f>(L16+'Malawi-only'!L16)</f>
        <v>168919009517.07974</v>
      </c>
      <c r="Z16" s="284">
        <f>(Q16+'Malawi-only'!Q16)</f>
        <v>160297741758.81232</v>
      </c>
    </row>
    <row r="17" spans="1:26" ht="15.75" customHeight="1">
      <c r="A17" s="31" t="s">
        <v>50</v>
      </c>
      <c r="B17" s="32">
        <v>2033</v>
      </c>
      <c r="C17" s="271">
        <f t="shared" si="11"/>
        <v>0.41622069434100345</v>
      </c>
      <c r="D17" s="271">
        <f t="shared" ref="D17:D184" si="19">C17</f>
        <v>0.41622069434100345</v>
      </c>
      <c r="E17" s="42">
        <f t="shared" si="2"/>
        <v>0</v>
      </c>
      <c r="F17" s="34">
        <f t="shared" si="12"/>
        <v>454.94365354167331</v>
      </c>
      <c r="G17" s="34">
        <f t="shared" ref="G17:G184" si="20">D17*F17*1000000000</f>
        <v>189356963363.14816</v>
      </c>
      <c r="H17" s="34">
        <f t="shared" si="4"/>
        <v>188410178546.33243</v>
      </c>
      <c r="I17" s="35">
        <f t="shared" si="18"/>
        <v>0.18000000000000005</v>
      </c>
      <c r="J17" s="36">
        <f t="shared" si="5"/>
        <v>33913832138.339848</v>
      </c>
      <c r="K17" s="34">
        <f t="shared" si="13"/>
        <v>202909806724.36258</v>
      </c>
      <c r="L17" s="37">
        <f t="shared" si="14"/>
        <v>202481247679.28296</v>
      </c>
      <c r="M17" s="34">
        <f t="shared" si="6"/>
        <v>12756318603.794827</v>
      </c>
      <c r="N17" s="34">
        <f t="shared" si="7"/>
        <v>154496346407.99258</v>
      </c>
      <c r="O17" s="34">
        <f t="shared" si="8"/>
        <v>167252665011.78741</v>
      </c>
      <c r="P17" s="34"/>
      <c r="Q17" s="38">
        <f t="shared" si="15"/>
        <v>167252665011.78741</v>
      </c>
      <c r="R17" s="39">
        <f t="shared" si="16"/>
        <v>0</v>
      </c>
      <c r="S17" s="34">
        <f t="shared" si="17"/>
        <v>159901088622.08411</v>
      </c>
      <c r="T17" s="40">
        <v>8761449081</v>
      </c>
      <c r="U17" s="272">
        <f t="shared" si="9"/>
        <v>2.5853062235832228E-2</v>
      </c>
      <c r="V17" s="282">
        <f t="shared" si="10"/>
        <v>58.827750450378382</v>
      </c>
      <c r="W17" s="283">
        <f>((S17+'Malawi-only'!S17)/(T17*(U17+'Malawi-only'!U17))/12)</f>
        <v>53.351263035698061</v>
      </c>
      <c r="X17" s="284">
        <f>(R17+'Malawi-only'!R17)</f>
        <v>252811670.55104786</v>
      </c>
      <c r="Y17" s="284">
        <f>(L17+'Malawi-only'!L17)</f>
        <v>202839435951.79718</v>
      </c>
      <c r="Z17" s="284">
        <f>(Q17+'Malawi-only'!Q17)</f>
        <v>167758288352.8895</v>
      </c>
    </row>
    <row r="18" spans="1:26" ht="15.75" customHeight="1">
      <c r="A18" s="31" t="s">
        <v>51</v>
      </c>
      <c r="B18" s="32">
        <v>2034</v>
      </c>
      <c r="C18" s="271">
        <f t="shared" si="11"/>
        <v>0.3745986249069031</v>
      </c>
      <c r="D18" s="271">
        <f t="shared" si="19"/>
        <v>0.3745986249069031</v>
      </c>
      <c r="E18" s="34">
        <f t="shared" ref="E18:E184" si="21">(C18-D18)*(F18*1000000000)</f>
        <v>0</v>
      </c>
      <c r="F18" s="34">
        <f t="shared" si="12"/>
        <v>529.55441272250766</v>
      </c>
      <c r="G18" s="34">
        <f t="shared" si="20"/>
        <v>198370354819.23401</v>
      </c>
      <c r="H18" s="34">
        <f t="shared" si="4"/>
        <v>197378503045.13785</v>
      </c>
      <c r="I18" s="35">
        <f t="shared" si="18"/>
        <v>0.19000000000000006</v>
      </c>
      <c r="J18" s="36">
        <f t="shared" si="5"/>
        <v>37501915578.576202</v>
      </c>
      <c r="K18" s="34">
        <f t="shared" si="13"/>
        <v>240411722302.93878</v>
      </c>
      <c r="L18" s="37">
        <f t="shared" si="14"/>
        <v>239863171676.23026</v>
      </c>
      <c r="M18" s="34">
        <f t="shared" si="6"/>
        <v>15111379815.602507</v>
      </c>
      <c r="N18" s="34">
        <f t="shared" si="7"/>
        <v>159876587466.56165</v>
      </c>
      <c r="O18" s="34">
        <f t="shared" si="8"/>
        <v>174987967282.16415</v>
      </c>
      <c r="P18" s="34"/>
      <c r="Q18" s="38">
        <f t="shared" si="15"/>
        <v>174987967282.16415</v>
      </c>
      <c r="R18" s="39">
        <f t="shared" si="16"/>
        <v>0</v>
      </c>
      <c r="S18" s="34">
        <f t="shared" si="17"/>
        <v>167252665011.78741</v>
      </c>
      <c r="T18" s="40">
        <v>8823784909</v>
      </c>
      <c r="U18" s="272">
        <f t="shared" si="9"/>
        <v>2.5853062235832228E-2</v>
      </c>
      <c r="V18" s="282">
        <f t="shared" si="10"/>
        <v>61.09770479422415</v>
      </c>
      <c r="W18" s="283">
        <f>((S18+'Malawi-only'!S18)/(T18*(U18+'Malawi-only'!U18))/12)</f>
        <v>55.428081842070128</v>
      </c>
      <c r="X18" s="284">
        <f>(R18+'Malawi-only'!R18)</f>
        <v>319405435.27571279</v>
      </c>
      <c r="Y18" s="284">
        <f>(L18+'Malawi-only'!L18)</f>
        <v>240366378897.54156</v>
      </c>
      <c r="Z18" s="284">
        <f>(Q18+'Malawi-only'!Q18)</f>
        <v>175626778152.71558</v>
      </c>
    </row>
    <row r="19" spans="1:26" ht="15.75" customHeight="1">
      <c r="A19" s="31" t="s">
        <v>52</v>
      </c>
      <c r="B19" s="32">
        <v>2035</v>
      </c>
      <c r="C19" s="271">
        <f t="shared" si="11"/>
        <v>0.33713876241621282</v>
      </c>
      <c r="D19" s="271">
        <f t="shared" si="19"/>
        <v>0.33713876241621282</v>
      </c>
      <c r="E19" s="34">
        <f t="shared" si="21"/>
        <v>0</v>
      </c>
      <c r="F19" s="34">
        <f t="shared" si="12"/>
        <v>616.40133640899887</v>
      </c>
      <c r="G19" s="34">
        <f t="shared" si="20"/>
        <v>207812783708.62955</v>
      </c>
      <c r="H19" s="34">
        <f t="shared" si="4"/>
        <v>206773719790.0864</v>
      </c>
      <c r="I19" s="35">
        <f t="shared" ref="I19:I38" si="22">I18+$J$5</f>
        <v>0.23000000000000007</v>
      </c>
      <c r="J19" s="36">
        <f t="shared" si="5"/>
        <v>47557955551.719887</v>
      </c>
      <c r="K19" s="34">
        <f t="shared" si="13"/>
        <v>287969677854.65869</v>
      </c>
      <c r="L19" s="37">
        <f t="shared" si="14"/>
        <v>287277416664.33618</v>
      </c>
      <c r="M19" s="34">
        <f t="shared" si="6"/>
        <v>18098477249.85318</v>
      </c>
      <c r="N19" s="34">
        <f t="shared" si="7"/>
        <v>159215764238.36652</v>
      </c>
      <c r="O19" s="34">
        <f t="shared" si="8"/>
        <v>177314241488.2197</v>
      </c>
      <c r="P19" s="34"/>
      <c r="Q19" s="38">
        <f t="shared" si="15"/>
        <v>177314241488.2197</v>
      </c>
      <c r="R19" s="39">
        <f t="shared" si="16"/>
        <v>0</v>
      </c>
      <c r="S19" s="34">
        <f t="shared" si="17"/>
        <v>174987967282.16415</v>
      </c>
      <c r="T19" s="40">
        <v>8885210181</v>
      </c>
      <c r="U19" s="272">
        <f t="shared" si="9"/>
        <v>2.5853062235832228E-2</v>
      </c>
      <c r="V19" s="282">
        <f t="shared" si="10"/>
        <v>63.481509191232611</v>
      </c>
      <c r="W19" s="283">
        <f>((S19+'Malawi-only'!S19)/(T19*(U19+'Malawi-only'!U19))/12)</f>
        <v>57.60616238116345</v>
      </c>
      <c r="X19" s="284">
        <f>(R19+'Malawi-only'!R19)</f>
        <v>381314301.13042676</v>
      </c>
      <c r="Y19" s="284">
        <f>(L19+'Malawi-only'!L19)</f>
        <v>288012221847.35657</v>
      </c>
      <c r="Z19" s="284">
        <f>(Q19+'Malawi-only'!Q19)</f>
        <v>178076870090.48056</v>
      </c>
    </row>
    <row r="20" spans="1:26" ht="15.75" customHeight="1">
      <c r="A20" s="31" t="s">
        <v>53</v>
      </c>
      <c r="B20" s="32">
        <v>2036</v>
      </c>
      <c r="C20" s="271">
        <f t="shared" si="11"/>
        <v>0.30342488617459157</v>
      </c>
      <c r="D20" s="271">
        <f t="shared" si="19"/>
        <v>0.30342488617459157</v>
      </c>
      <c r="E20" s="34">
        <f t="shared" si="21"/>
        <v>0</v>
      </c>
      <c r="F20" s="34">
        <f t="shared" si="12"/>
        <v>717.49115558007463</v>
      </c>
      <c r="G20" s="34">
        <f t="shared" si="20"/>
        <v>217704672213.16031</v>
      </c>
      <c r="H20" s="34">
        <f t="shared" si="4"/>
        <v>216616148852.09451</v>
      </c>
      <c r="I20" s="35">
        <f t="shared" si="22"/>
        <v>0.27000000000000007</v>
      </c>
      <c r="J20" s="36">
        <f t="shared" si="5"/>
        <v>58486360190.065536</v>
      </c>
      <c r="K20" s="34">
        <f t="shared" si="13"/>
        <v>346456038044.72424</v>
      </c>
      <c r="L20" s="37">
        <f t="shared" si="14"/>
        <v>345590894965.97455</v>
      </c>
      <c r="M20" s="34">
        <f t="shared" si="6"/>
        <v>21772226382.856396</v>
      </c>
      <c r="N20" s="34">
        <f t="shared" si="7"/>
        <v>158129788662.02899</v>
      </c>
      <c r="O20" s="34">
        <f t="shared" si="8"/>
        <v>179902015044.88538</v>
      </c>
      <c r="P20" s="34"/>
      <c r="Q20" s="38">
        <f t="shared" si="15"/>
        <v>179902015044.88538</v>
      </c>
      <c r="R20" s="39">
        <f t="shared" si="16"/>
        <v>0</v>
      </c>
      <c r="S20" s="34">
        <f t="shared" si="17"/>
        <v>177314241488.2197</v>
      </c>
      <c r="T20" s="40">
        <v>8945686614</v>
      </c>
      <c r="U20" s="272">
        <f t="shared" si="9"/>
        <v>2.5853062235832228E-2</v>
      </c>
      <c r="V20" s="282">
        <f t="shared" si="10"/>
        <v>63.890560922088731</v>
      </c>
      <c r="W20" s="283">
        <f>((S20+'Malawi-only'!S20)/(T20*(U20+'Malawi-only'!U20))/12)</f>
        <v>57.998776914174279</v>
      </c>
      <c r="X20" s="284">
        <f>(R20+'Malawi-only'!R20)</f>
        <v>452040054.14075112</v>
      </c>
      <c r="Y20" s="284">
        <f>(L20+'Malawi-only'!L20)</f>
        <v>346677256143.13373</v>
      </c>
      <c r="Z20" s="284">
        <f>(Q20+'Malawi-only'!Q20)</f>
        <v>180806095153.16687</v>
      </c>
    </row>
    <row r="21" spans="1:26" ht="15.75" customHeight="1">
      <c r="A21" s="31" t="s">
        <v>54</v>
      </c>
      <c r="B21" s="32">
        <v>2037</v>
      </c>
      <c r="C21" s="271">
        <f t="shared" si="11"/>
        <v>0.27308239755713243</v>
      </c>
      <c r="D21" s="271">
        <f t="shared" si="19"/>
        <v>0.27308239755713243</v>
      </c>
      <c r="E21" s="34">
        <f t="shared" si="21"/>
        <v>0</v>
      </c>
      <c r="F21" s="34">
        <f t="shared" si="12"/>
        <v>835.15970509520685</v>
      </c>
      <c r="G21" s="34">
        <f t="shared" si="20"/>
        <v>228067414610.50674</v>
      </c>
      <c r="H21" s="34">
        <f t="shared" si="4"/>
        <v>226927077537.45422</v>
      </c>
      <c r="I21" s="35">
        <f t="shared" si="22"/>
        <v>0.31000000000000005</v>
      </c>
      <c r="J21" s="36">
        <f t="shared" si="5"/>
        <v>70347394036.610825</v>
      </c>
      <c r="K21" s="34">
        <f t="shared" si="13"/>
        <v>416803432081.33508</v>
      </c>
      <c r="L21" s="37">
        <f t="shared" si="14"/>
        <v>415730319858.08411</v>
      </c>
      <c r="M21" s="34">
        <f t="shared" si="6"/>
        <v>26191010151.059299</v>
      </c>
      <c r="N21" s="34">
        <f t="shared" si="7"/>
        <v>156579683500.84341</v>
      </c>
      <c r="O21" s="34">
        <f t="shared" si="8"/>
        <v>182770693651.90271</v>
      </c>
      <c r="P21" s="34"/>
      <c r="Q21" s="38">
        <f t="shared" si="15"/>
        <v>182770693651.90271</v>
      </c>
      <c r="R21" s="39">
        <f t="shared" si="16"/>
        <v>0</v>
      </c>
      <c r="S21" s="34">
        <f t="shared" si="17"/>
        <v>179902015044.88538</v>
      </c>
      <c r="T21" s="40">
        <v>9005152624</v>
      </c>
      <c r="U21" s="272">
        <f t="shared" si="9"/>
        <v>2.5853062235832228E-2</v>
      </c>
      <c r="V21" s="282">
        <f t="shared" si="10"/>
        <v>64.394935456702839</v>
      </c>
      <c r="W21" s="283">
        <f>((S21+'Malawi-only'!S21)/(T21*(U21+'Malawi-only'!U21))/12)</f>
        <v>58.480534762061502</v>
      </c>
      <c r="X21" s="284">
        <f>(R21+'Malawi-only'!R21)</f>
        <v>532362677.00147611</v>
      </c>
      <c r="Y21" s="284">
        <f>(L21+'Malawi-only'!L21)</f>
        <v>417331649890.25763</v>
      </c>
      <c r="Z21" s="284">
        <f>(Q21+'Malawi-only'!Q21)</f>
        <v>183835419005.90567</v>
      </c>
    </row>
    <row r="22" spans="1:26" ht="15.75" customHeight="1">
      <c r="A22" s="31" t="s">
        <v>55</v>
      </c>
      <c r="B22" s="32">
        <v>2038</v>
      </c>
      <c r="C22" s="271">
        <f t="shared" si="11"/>
        <v>0.2457741578014192</v>
      </c>
      <c r="D22" s="271">
        <f t="shared" si="19"/>
        <v>0.2457741578014192</v>
      </c>
      <c r="E22" s="34">
        <f t="shared" si="21"/>
        <v>0</v>
      </c>
      <c r="F22" s="34">
        <f t="shared" si="12"/>
        <v>972.12589673082073</v>
      </c>
      <c r="G22" s="34">
        <f t="shared" si="20"/>
        <v>238923423545.96686</v>
      </c>
      <c r="H22" s="34">
        <f t="shared" si="4"/>
        <v>237728806428.23703</v>
      </c>
      <c r="I22" s="35">
        <f t="shared" si="22"/>
        <v>0.35000000000000003</v>
      </c>
      <c r="J22" s="36">
        <f t="shared" si="5"/>
        <v>83205082249.882965</v>
      </c>
      <c r="K22" s="34">
        <f t="shared" si="13"/>
        <v>500008514331.21802</v>
      </c>
      <c r="L22" s="37">
        <f t="shared" si="14"/>
        <v>498685934406.91309</v>
      </c>
      <c r="M22" s="34">
        <f t="shared" si="6"/>
        <v>31417213867.635525</v>
      </c>
      <c r="N22" s="34">
        <f t="shared" si="7"/>
        <v>154523724178.35403</v>
      </c>
      <c r="O22" s="34">
        <f t="shared" si="8"/>
        <v>185940938045.98956</v>
      </c>
      <c r="P22" s="34"/>
      <c r="Q22" s="38">
        <f t="shared" si="15"/>
        <v>185940938045.98956</v>
      </c>
      <c r="R22" s="39">
        <f t="shared" si="16"/>
        <v>0</v>
      </c>
      <c r="S22" s="34">
        <f t="shared" si="17"/>
        <v>182770693651.90271</v>
      </c>
      <c r="T22" s="40">
        <v>9063572926</v>
      </c>
      <c r="U22" s="272">
        <f t="shared" si="9"/>
        <v>2.5853062235832228E-2</v>
      </c>
      <c r="V22" s="282">
        <f t="shared" si="10"/>
        <v>65.000079663718026</v>
      </c>
      <c r="W22" s="283">
        <f>((S22+'Malawi-only'!S22)/(T22*(U22+'Malawi-only'!U22))/12)</f>
        <v>59.056554954654416</v>
      </c>
      <c r="X22" s="284">
        <f>(R22+'Malawi-only'!R22)</f>
        <v>623007549.19415855</v>
      </c>
      <c r="Y22" s="284">
        <f>(L22+'Malawi-only'!L22)</f>
        <v>501021822699.41956</v>
      </c>
      <c r="Z22" s="284">
        <f>(Q22+'Malawi-only'!Q22)</f>
        <v>187186953144.37787</v>
      </c>
    </row>
    <row r="23" spans="1:26" ht="15.75" customHeight="1">
      <c r="A23" s="31" t="s">
        <v>56</v>
      </c>
      <c r="B23" s="32">
        <v>2039</v>
      </c>
      <c r="C23" s="271">
        <f t="shared" si="11"/>
        <v>0.22119674202127729</v>
      </c>
      <c r="D23" s="271">
        <f t="shared" si="19"/>
        <v>0.22119674202127729</v>
      </c>
      <c r="E23" s="34">
        <f t="shared" si="21"/>
        <v>0</v>
      </c>
      <c r="F23" s="34">
        <f t="shared" si="12"/>
        <v>1131.5545437946753</v>
      </c>
      <c r="G23" s="34">
        <f t="shared" si="20"/>
        <v>250296178506.75491</v>
      </c>
      <c r="H23" s="34">
        <f t="shared" si="4"/>
        <v>249044697614.22113</v>
      </c>
      <c r="I23" s="35">
        <f t="shared" si="22"/>
        <v>0.39</v>
      </c>
      <c r="J23" s="36">
        <f t="shared" si="5"/>
        <v>97127432069.546249</v>
      </c>
      <c r="K23" s="34">
        <f t="shared" si="13"/>
        <v>597135946400.76428</v>
      </c>
      <c r="L23" s="37">
        <f t="shared" si="14"/>
        <v>595515459793.22119</v>
      </c>
      <c r="M23" s="34">
        <f t="shared" si="6"/>
        <v>37517473966.972939</v>
      </c>
      <c r="N23" s="34">
        <f t="shared" si="7"/>
        <v>151917265544.6749</v>
      </c>
      <c r="O23" s="34">
        <f t="shared" si="8"/>
        <v>189434739511.64783</v>
      </c>
      <c r="P23" s="34"/>
      <c r="Q23" s="38">
        <f t="shared" si="15"/>
        <v>189434739511.64783</v>
      </c>
      <c r="R23" s="39">
        <f t="shared" si="16"/>
        <v>0</v>
      </c>
      <c r="S23" s="34">
        <f t="shared" si="17"/>
        <v>185940938045.98956</v>
      </c>
      <c r="T23" s="40">
        <v>9120928380</v>
      </c>
      <c r="U23" s="272">
        <f t="shared" si="9"/>
        <v>2.5853062235832228E-2</v>
      </c>
      <c r="V23" s="282">
        <f t="shared" si="10"/>
        <v>65.711704773047799</v>
      </c>
      <c r="W23" s="283">
        <f>((S23+'Malawi-only'!S23)/(T23*(U23+'Malawi-only'!U23))/12)</f>
        <v>59.732159374247722</v>
      </c>
      <c r="X23" s="284">
        <f>(R23+'Malawi-only'!R23)</f>
        <v>724594537.76515603</v>
      </c>
      <c r="Y23" s="284">
        <f>(L23+'Malawi-only'!L23)</f>
        <v>598877675941.28174</v>
      </c>
      <c r="Z23" s="284">
        <f>(Q23+'Malawi-only'!Q23)</f>
        <v>190883928587.17813</v>
      </c>
    </row>
    <row r="24" spans="1:26" ht="15.75" customHeight="1">
      <c r="A24" s="31" t="s">
        <v>57</v>
      </c>
      <c r="B24" s="32">
        <v>2040</v>
      </c>
      <c r="C24" s="271">
        <f t="shared" si="11"/>
        <v>0.19907706781914955</v>
      </c>
      <c r="D24" s="271">
        <f t="shared" si="19"/>
        <v>0.19907706781914955</v>
      </c>
      <c r="E24" s="34">
        <f t="shared" si="21"/>
        <v>0</v>
      </c>
      <c r="F24" s="34">
        <f t="shared" si="12"/>
        <v>1317.129488977002</v>
      </c>
      <c r="G24" s="34">
        <f t="shared" si="20"/>
        <v>262210276603.67639</v>
      </c>
      <c r="H24" s="34">
        <f t="shared" si="4"/>
        <v>260899225220.65802</v>
      </c>
      <c r="I24" s="35">
        <f t="shared" si="22"/>
        <v>0.43</v>
      </c>
      <c r="J24" s="36">
        <f t="shared" si="5"/>
        <v>112186666844.88295</v>
      </c>
      <c r="K24" s="34">
        <f t="shared" si="13"/>
        <v>709322613245.64722</v>
      </c>
      <c r="L24" s="37">
        <f t="shared" si="14"/>
        <v>707348275574.78516</v>
      </c>
      <c r="M24" s="34">
        <f t="shared" si="6"/>
        <v>44562941361.211464</v>
      </c>
      <c r="N24" s="34">
        <f t="shared" si="7"/>
        <v>148712558375.77509</v>
      </c>
      <c r="O24" s="34">
        <f t="shared" si="8"/>
        <v>193275499736.98654</v>
      </c>
      <c r="P24" s="34"/>
      <c r="Q24" s="38">
        <f t="shared" si="15"/>
        <v>193275499736.98654</v>
      </c>
      <c r="R24" s="39">
        <f t="shared" si="16"/>
        <v>0</v>
      </c>
      <c r="S24" s="34">
        <f t="shared" si="17"/>
        <v>189434739511.64783</v>
      </c>
      <c r="T24" s="40">
        <v>9177190203</v>
      </c>
      <c r="U24" s="272">
        <f t="shared" si="9"/>
        <v>2.5853062235832228E-2</v>
      </c>
      <c r="V24" s="282">
        <f t="shared" si="10"/>
        <v>66.535994807769114</v>
      </c>
      <c r="W24" s="283">
        <f>((S24+'Malawi-only'!S24)/(T24*(U24+'Malawi-only'!U24))/12)</f>
        <v>60.513047599027892</v>
      </c>
      <c r="X24" s="284">
        <f>(R24+'Malawi-only'!R24)</f>
        <v>837588360.2580725</v>
      </c>
      <c r="Y24" s="284">
        <f>(L24+'Malawi-only'!L24)</f>
        <v>712120870492.81274</v>
      </c>
      <c r="Z24" s="284">
        <f>(Q24+'Malawi-only'!Q24)</f>
        <v>194950676457.50269</v>
      </c>
    </row>
    <row r="25" spans="1:26" ht="15.75" customHeight="1">
      <c r="A25" s="31" t="s">
        <v>58</v>
      </c>
      <c r="B25" s="32">
        <v>2041</v>
      </c>
      <c r="C25" s="271">
        <f t="shared" si="11"/>
        <v>0.1791693610372346</v>
      </c>
      <c r="D25" s="271">
        <f t="shared" si="19"/>
        <v>0.1791693610372346</v>
      </c>
      <c r="E25" s="34">
        <f t="shared" si="21"/>
        <v>0</v>
      </c>
      <c r="F25" s="34">
        <f t="shared" si="12"/>
        <v>1533.1387251692302</v>
      </c>
      <c r="G25" s="34">
        <f t="shared" si="20"/>
        <v>274691485770.01141</v>
      </c>
      <c r="H25" s="34">
        <f t="shared" si="4"/>
        <v>273318028341.16135</v>
      </c>
      <c r="I25" s="35">
        <f t="shared" si="22"/>
        <v>0.47</v>
      </c>
      <c r="J25" s="36">
        <f t="shared" si="5"/>
        <v>128459473320.34583</v>
      </c>
      <c r="K25" s="34">
        <f t="shared" si="13"/>
        <v>837782086565.99304</v>
      </c>
      <c r="L25" s="37">
        <f t="shared" si="14"/>
        <v>835389845020.68347</v>
      </c>
      <c r="M25" s="34">
        <f t="shared" si="6"/>
        <v>52629560236.303062</v>
      </c>
      <c r="N25" s="34">
        <f t="shared" si="7"/>
        <v>144858555020.81552</v>
      </c>
      <c r="O25" s="34">
        <f t="shared" si="8"/>
        <v>197488115257.11859</v>
      </c>
      <c r="P25" s="34"/>
      <c r="Q25" s="38">
        <f t="shared" si="15"/>
        <v>197488115257.11859</v>
      </c>
      <c r="R25" s="39">
        <f t="shared" si="16"/>
        <v>0</v>
      </c>
      <c r="S25" s="34">
        <f t="shared" si="17"/>
        <v>193275499736.98654</v>
      </c>
      <c r="T25" s="40">
        <v>9232281575</v>
      </c>
      <c r="U25" s="272">
        <f t="shared" si="9"/>
        <v>2.5853062235832228E-2</v>
      </c>
      <c r="V25" s="282">
        <f t="shared" si="10"/>
        <v>67.479914805282277</v>
      </c>
      <c r="W25" s="283">
        <f>((S25+'Malawi-only'!S25)/(T25*(U25+'Malawi-only'!U25))/12)</f>
        <v>61.378313673170616</v>
      </c>
      <c r="X25" s="284">
        <f>(R25+'Malawi-only'!R25)</f>
        <v>876052414.44119537</v>
      </c>
      <c r="Y25" s="284">
        <f>(L25+'Malawi-only'!L25)</f>
        <v>841871146587.00378</v>
      </c>
      <c r="Z25" s="284">
        <f>(Q25+'Malawi-only'!Q25)</f>
        <v>199240220086.00098</v>
      </c>
    </row>
    <row r="26" spans="1:26" ht="15.75" customHeight="1">
      <c r="A26" s="31" t="s">
        <v>59</v>
      </c>
      <c r="B26" s="32">
        <v>2042</v>
      </c>
      <c r="C26" s="271">
        <f t="shared" si="11"/>
        <v>0.16125242493351113</v>
      </c>
      <c r="D26" s="271">
        <f t="shared" si="19"/>
        <v>0.16125242493351113</v>
      </c>
      <c r="E26" s="34">
        <f t="shared" si="21"/>
        <v>0</v>
      </c>
      <c r="F26" s="34">
        <f t="shared" si="12"/>
        <v>1784.5734760969838</v>
      </c>
      <c r="G26" s="34">
        <f t="shared" si="20"/>
        <v>287766800492.66388</v>
      </c>
      <c r="H26" s="34">
        <f t="shared" si="4"/>
        <v>286327966490.20056</v>
      </c>
      <c r="I26" s="35">
        <f t="shared" si="22"/>
        <v>0.51</v>
      </c>
      <c r="J26" s="36">
        <f t="shared" si="5"/>
        <v>146027262910.00229</v>
      </c>
      <c r="K26" s="34">
        <f t="shared" si="13"/>
        <v>983809349475.99536</v>
      </c>
      <c r="L26" s="37">
        <f t="shared" si="14"/>
        <v>980926399376.72046</v>
      </c>
      <c r="M26" s="34">
        <f t="shared" si="6"/>
        <v>61798363160.733391</v>
      </c>
      <c r="N26" s="34">
        <f t="shared" si="7"/>
        <v>140300703580.19827</v>
      </c>
      <c r="O26" s="34">
        <f t="shared" si="8"/>
        <v>202099066740.93167</v>
      </c>
      <c r="P26" s="34"/>
      <c r="Q26" s="38">
        <f t="shared" si="15"/>
        <v>202099066740.93167</v>
      </c>
      <c r="R26" s="39">
        <f t="shared" si="16"/>
        <v>0</v>
      </c>
      <c r="S26" s="34">
        <f t="shared" si="17"/>
        <v>197488115257.11859</v>
      </c>
      <c r="T26" s="40">
        <v>9286110371</v>
      </c>
      <c r="U26" s="272">
        <f t="shared" si="9"/>
        <v>2.5853062235832228E-2</v>
      </c>
      <c r="V26" s="282">
        <f t="shared" si="10"/>
        <v>68.551014469443658</v>
      </c>
      <c r="W26" s="283">
        <f>((S26+'Malawi-only'!S26)/(T26*(U26+'Malawi-only'!U26))/12)</f>
        <v>62.348389824876897</v>
      </c>
      <c r="X26" s="284">
        <f>(R26+'Malawi-only'!R26)</f>
        <v>881867848.49450624</v>
      </c>
      <c r="Y26" s="284">
        <f>(L26+'Malawi-only'!L26)</f>
        <v>989362977277.96509</v>
      </c>
      <c r="Z26" s="284">
        <f>(Q26+'Malawi-only'!Q26)</f>
        <v>203862802437.92068</v>
      </c>
    </row>
    <row r="27" spans="1:26" ht="15.75" customHeight="1">
      <c r="A27" s="31" t="s">
        <v>60</v>
      </c>
      <c r="B27" s="32">
        <v>2043</v>
      </c>
      <c r="C27" s="271">
        <f t="shared" si="11"/>
        <v>0.14512718244016001</v>
      </c>
      <c r="D27" s="271">
        <f t="shared" si="19"/>
        <v>0.14512718244016001</v>
      </c>
      <c r="E27" s="34">
        <f t="shared" si="21"/>
        <v>0</v>
      </c>
      <c r="F27" s="34">
        <f t="shared" si="12"/>
        <v>2077.2435261768892</v>
      </c>
      <c r="G27" s="34">
        <f t="shared" si="20"/>
        <v>301464500196.11475</v>
      </c>
      <c r="H27" s="34">
        <f t="shared" si="4"/>
        <v>299957177695.13416</v>
      </c>
      <c r="I27" s="35">
        <f t="shared" si="22"/>
        <v>0.55000000000000004</v>
      </c>
      <c r="J27" s="36">
        <f t="shared" si="5"/>
        <v>164976447732.32379</v>
      </c>
      <c r="K27" s="34">
        <f t="shared" si="13"/>
        <v>1148785797208.3191</v>
      </c>
      <c r="L27" s="37">
        <f t="shared" si="14"/>
        <v>1145329895685.4897</v>
      </c>
      <c r="M27" s="34">
        <f t="shared" si="6"/>
        <v>72155783428.185852</v>
      </c>
      <c r="N27" s="34">
        <f t="shared" si="7"/>
        <v>134980729962.81036</v>
      </c>
      <c r="O27" s="34">
        <f t="shared" si="8"/>
        <v>207136513390.99622</v>
      </c>
      <c r="P27" s="34"/>
      <c r="Q27" s="38">
        <f t="shared" si="15"/>
        <v>207136513390.99622</v>
      </c>
      <c r="R27" s="39">
        <f t="shared" si="16"/>
        <v>0</v>
      </c>
      <c r="S27" s="34">
        <f t="shared" si="17"/>
        <v>202099066740.93167</v>
      </c>
      <c r="T27" s="40">
        <v>9338661314</v>
      </c>
      <c r="U27" s="272">
        <f t="shared" si="9"/>
        <v>2.5853062235832228E-2</v>
      </c>
      <c r="V27" s="282">
        <f t="shared" si="10"/>
        <v>69.756783217929538</v>
      </c>
      <c r="W27" s="283">
        <f>((S27+'Malawi-only'!S27)/(T27*(U27+'Malawi-only'!U27))/12)</f>
        <v>63.440927178812338</v>
      </c>
      <c r="X27" s="284">
        <f>(R27+'Malawi-only'!R27)</f>
        <v>889239420.60126579</v>
      </c>
      <c r="Y27" s="284">
        <f>(L27+'Malawi-only'!L27)</f>
        <v>1155987874166.0979</v>
      </c>
      <c r="Z27" s="284">
        <f>(Q27+'Malawi-only'!Q27)</f>
        <v>208914992232.19876</v>
      </c>
    </row>
    <row r="28" spans="1:26" ht="15.75" customHeight="1">
      <c r="A28" s="31" t="s">
        <v>61</v>
      </c>
      <c r="B28" s="32">
        <v>2044</v>
      </c>
      <c r="C28" s="271">
        <f t="shared" si="11"/>
        <v>0.130614464196144</v>
      </c>
      <c r="D28" s="271">
        <f t="shared" si="19"/>
        <v>0.130614464196144</v>
      </c>
      <c r="E28" s="34">
        <f t="shared" si="21"/>
        <v>0</v>
      </c>
      <c r="F28" s="34">
        <f t="shared" si="12"/>
        <v>2417.9114644698989</v>
      </c>
      <c r="G28" s="34">
        <f t="shared" si="20"/>
        <v>315814210405.44971</v>
      </c>
      <c r="H28" s="34">
        <f t="shared" si="4"/>
        <v>314235139353.42249</v>
      </c>
      <c r="I28" s="35">
        <f t="shared" si="22"/>
        <v>0.59000000000000008</v>
      </c>
      <c r="J28" s="36">
        <f t="shared" si="5"/>
        <v>185398732218.51929</v>
      </c>
      <c r="K28" s="34">
        <f t="shared" si="13"/>
        <v>1334184529426.8384</v>
      </c>
      <c r="L28" s="37">
        <f t="shared" si="14"/>
        <v>1330063263590.0571</v>
      </c>
      <c r="M28" s="34">
        <f t="shared" si="6"/>
        <v>83793985606.173599</v>
      </c>
      <c r="N28" s="34">
        <f t="shared" si="7"/>
        <v>128836407134.9032</v>
      </c>
      <c r="O28" s="34">
        <f t="shared" si="8"/>
        <v>212630392741.07678</v>
      </c>
      <c r="P28" s="34"/>
      <c r="Q28" s="38">
        <f t="shared" si="15"/>
        <v>212630392741.07678</v>
      </c>
      <c r="R28" s="39">
        <f t="shared" si="16"/>
        <v>0</v>
      </c>
      <c r="S28" s="34">
        <f t="shared" si="17"/>
        <v>207136513390.99622</v>
      </c>
      <c r="T28" s="40">
        <v>9389873693</v>
      </c>
      <c r="U28" s="272">
        <f t="shared" si="9"/>
        <v>2.5853062235832228E-2</v>
      </c>
      <c r="V28" s="282">
        <f t="shared" si="10"/>
        <v>71.105578418285248</v>
      </c>
      <c r="W28" s="283">
        <f>((S28+'Malawi-only'!S28)/(T28*(U28+'Malawi-only'!U28))/12)</f>
        <v>64.663527957509032</v>
      </c>
      <c r="X28" s="284">
        <f>(R28+'Malawi-only'!R28)</f>
        <v>898300605.00967634</v>
      </c>
      <c r="Y28" s="284">
        <f>(L28+'Malawi-only'!L28)</f>
        <v>1343229624402.1245</v>
      </c>
      <c r="Z28" s="284">
        <f>(Q28+'Malawi-only'!Q28)</f>
        <v>214426993951.09613</v>
      </c>
    </row>
    <row r="29" spans="1:26" ht="15.75" customHeight="1">
      <c r="A29" s="31" t="s">
        <v>62</v>
      </c>
      <c r="B29" s="32">
        <v>2045</v>
      </c>
      <c r="C29" s="271">
        <f t="shared" si="11"/>
        <v>0.1175530177765296</v>
      </c>
      <c r="D29" s="271">
        <f t="shared" si="19"/>
        <v>0.1175530177765296</v>
      </c>
      <c r="E29" s="34">
        <f t="shared" si="21"/>
        <v>0</v>
      </c>
      <c r="F29" s="34">
        <f t="shared" si="12"/>
        <v>2814.448944642962</v>
      </c>
      <c r="G29" s="34">
        <f t="shared" si="20"/>
        <v>330846966820.74915</v>
      </c>
      <c r="H29" s="34">
        <f t="shared" si="4"/>
        <v>329192731986.64539</v>
      </c>
      <c r="I29" s="35">
        <f t="shared" si="22"/>
        <v>0.63000000000000012</v>
      </c>
      <c r="J29" s="36">
        <f t="shared" si="5"/>
        <v>207391421151.58664</v>
      </c>
      <c r="K29" s="34">
        <f t="shared" si="13"/>
        <v>1541575950578.425</v>
      </c>
      <c r="L29" s="37">
        <f t="shared" si="14"/>
        <v>1536685957399.2729</v>
      </c>
      <c r="M29" s="34">
        <f t="shared" si="6"/>
        <v>96811215316.15419</v>
      </c>
      <c r="N29" s="34">
        <f t="shared" si="7"/>
        <v>121801310835.05876</v>
      </c>
      <c r="O29" s="34">
        <f t="shared" si="8"/>
        <v>218612526151.21295</v>
      </c>
      <c r="P29" s="34"/>
      <c r="Q29" s="38">
        <f t="shared" si="15"/>
        <v>218612526151.21295</v>
      </c>
      <c r="R29" s="39">
        <f t="shared" si="16"/>
        <v>0</v>
      </c>
      <c r="S29" s="34">
        <f t="shared" si="17"/>
        <v>212630392741.07678</v>
      </c>
      <c r="T29" s="40">
        <v>9439639668</v>
      </c>
      <c r="U29" s="272">
        <f t="shared" si="9"/>
        <v>2.5853062235832228E-2</v>
      </c>
      <c r="V29" s="282">
        <f t="shared" si="10"/>
        <v>72.606698102168806</v>
      </c>
      <c r="W29" s="283">
        <f>((S29+'Malawi-only'!S29)/(T29*(U29+'Malawi-only'!U29))/12)</f>
        <v>66.024650107950322</v>
      </c>
      <c r="X29" s="284">
        <f>(R29+'Malawi-only'!R29)</f>
        <v>909194057.62787211</v>
      </c>
      <c r="Y29" s="284">
        <f>(L29+'Malawi-only'!L29)</f>
        <v>1552669922487.2791</v>
      </c>
      <c r="Z29" s="284">
        <f>(Q29+'Malawi-only'!Q29)</f>
        <v>220430914266.46869</v>
      </c>
    </row>
    <row r="30" spans="1:26" ht="15.75" customHeight="1">
      <c r="A30" s="31" t="s">
        <v>63</v>
      </c>
      <c r="B30" s="32">
        <v>2046</v>
      </c>
      <c r="C30" s="271">
        <f t="shared" si="11"/>
        <v>0.10579771599887665</v>
      </c>
      <c r="D30" s="271">
        <f t="shared" si="19"/>
        <v>0.10579771599887665</v>
      </c>
      <c r="E30" s="34">
        <f t="shared" si="21"/>
        <v>0</v>
      </c>
      <c r="F30" s="34">
        <f t="shared" si="12"/>
        <v>3276.0185715644075</v>
      </c>
      <c r="G30" s="34">
        <f t="shared" si="20"/>
        <v>346595282441.41669</v>
      </c>
      <c r="H30" s="34">
        <f t="shared" si="4"/>
        <v>344862306029.20959</v>
      </c>
      <c r="I30" s="35">
        <f t="shared" si="22"/>
        <v>0.67000000000000015</v>
      </c>
      <c r="J30" s="36">
        <f t="shared" si="5"/>
        <v>231057745039.5705</v>
      </c>
      <c r="K30" s="34">
        <f t="shared" si="13"/>
        <v>1772633695617.9956</v>
      </c>
      <c r="L30" s="37">
        <f t="shared" si="14"/>
        <v>1766859830587.6243</v>
      </c>
      <c r="M30" s="34">
        <f t="shared" si="6"/>
        <v>111312169327.02032</v>
      </c>
      <c r="N30" s="34">
        <f t="shared" si="7"/>
        <v>113804560989.63911</v>
      </c>
      <c r="O30" s="34">
        <f t="shared" si="8"/>
        <v>225116730316.65942</v>
      </c>
      <c r="P30" s="34"/>
      <c r="Q30" s="38">
        <f t="shared" si="15"/>
        <v>225116730316.65942</v>
      </c>
      <c r="R30" s="39">
        <f t="shared" si="16"/>
        <v>0</v>
      </c>
      <c r="S30" s="34">
        <f t="shared" si="17"/>
        <v>218612526151.21295</v>
      </c>
      <c r="T30" s="40">
        <v>9487889604</v>
      </c>
      <c r="U30" s="272">
        <f t="shared" si="9"/>
        <v>2.5853062235832228E-2</v>
      </c>
      <c r="V30" s="282">
        <f t="shared" si="10"/>
        <v>74.2697876460537</v>
      </c>
      <c r="W30" s="283">
        <f>((S30+'Malawi-only'!S30)/(T30*(U30+'Malawi-only'!U30))/12)</f>
        <v>67.533067739219277</v>
      </c>
      <c r="X30" s="284">
        <f>(R30+'Malawi-only'!R30)</f>
        <v>922072187.69695747</v>
      </c>
      <c r="Y30" s="284">
        <f>(L30+'Malawi-only'!L30)</f>
        <v>1785994329146.6282</v>
      </c>
      <c r="Z30" s="284">
        <f>(Q30+'Malawi-only'!Q30)</f>
        <v>226960874692.05334</v>
      </c>
    </row>
    <row r="31" spans="1:26" ht="15.75" customHeight="1">
      <c r="A31" s="31" t="s">
        <v>64</v>
      </c>
      <c r="B31" s="32">
        <v>2047</v>
      </c>
      <c r="C31" s="271">
        <f t="shared" si="11"/>
        <v>9.521794439898898E-2</v>
      </c>
      <c r="D31" s="271">
        <f t="shared" si="19"/>
        <v>9.521794439898898E-2</v>
      </c>
      <c r="E31" s="34">
        <f t="shared" si="21"/>
        <v>0</v>
      </c>
      <c r="F31" s="34">
        <f t="shared" si="12"/>
        <v>3813.28561730097</v>
      </c>
      <c r="G31" s="34">
        <f t="shared" si="20"/>
        <v>363093217885.62811</v>
      </c>
      <c r="H31" s="34">
        <f t="shared" si="4"/>
        <v>361277751796.19995</v>
      </c>
      <c r="I31" s="35">
        <f t="shared" si="22"/>
        <v>0.71000000000000019</v>
      </c>
      <c r="J31" s="36">
        <f t="shared" si="5"/>
        <v>256507203775.30203</v>
      </c>
      <c r="K31" s="34">
        <f t="shared" si="13"/>
        <v>2029140899393.2976</v>
      </c>
      <c r="L31" s="37">
        <f t="shared" si="14"/>
        <v>2022355350845.7449</v>
      </c>
      <c r="M31" s="34">
        <f t="shared" si="6"/>
        <v>127408387103.28192</v>
      </c>
      <c r="N31" s="34">
        <f t="shared" si="7"/>
        <v>104770548020.89792</v>
      </c>
      <c r="O31" s="34">
        <f t="shared" si="8"/>
        <v>232178935124.17984</v>
      </c>
      <c r="P31" s="34"/>
      <c r="Q31" s="38">
        <f t="shared" si="15"/>
        <v>232178935124.17984</v>
      </c>
      <c r="R31" s="39">
        <f t="shared" si="16"/>
        <v>0</v>
      </c>
      <c r="S31" s="34">
        <f t="shared" si="17"/>
        <v>225116730316.65942</v>
      </c>
      <c r="T31" s="40">
        <v>9534545977</v>
      </c>
      <c r="U31" s="272">
        <f t="shared" si="9"/>
        <v>2.5853062235832228E-2</v>
      </c>
      <c r="V31" s="282">
        <f t="shared" si="10"/>
        <v>76.105232532913732</v>
      </c>
      <c r="W31" s="283">
        <f>((S31+'Malawi-only'!S31)/(T31*(U31+'Malawi-only'!U31))/12)</f>
        <v>69.198228356399895</v>
      </c>
      <c r="X31" s="284">
        <f>(R31+'Malawi-only'!R31)</f>
        <v>937097763.08388245</v>
      </c>
      <c r="Y31" s="284">
        <f>(L31+'Malawi-only'!L31)</f>
        <v>2044998575652.5698</v>
      </c>
      <c r="Z31" s="284">
        <f>(Q31+'Malawi-only'!Q31)</f>
        <v>234053130650.3476</v>
      </c>
    </row>
    <row r="32" spans="1:26" ht="15.75" customHeight="1">
      <c r="A32" s="31" t="s">
        <v>65</v>
      </c>
      <c r="B32" s="32">
        <v>2048</v>
      </c>
      <c r="C32" s="271">
        <f t="shared" si="11"/>
        <v>8.5696149959090084E-2</v>
      </c>
      <c r="D32" s="271">
        <f t="shared" si="19"/>
        <v>8.5696149959090084E-2</v>
      </c>
      <c r="E32" s="34">
        <f t="shared" si="21"/>
        <v>0</v>
      </c>
      <c r="F32" s="34">
        <f t="shared" si="12"/>
        <v>4438.6644585383292</v>
      </c>
      <c r="G32" s="34">
        <f t="shared" si="20"/>
        <v>380376455056.98407</v>
      </c>
      <c r="H32" s="34">
        <f t="shared" si="4"/>
        <v>378474572781.69916</v>
      </c>
      <c r="I32" s="35">
        <f t="shared" si="22"/>
        <v>0.75000000000000022</v>
      </c>
      <c r="J32" s="36">
        <f t="shared" si="5"/>
        <v>283855929586.27448</v>
      </c>
      <c r="K32" s="34">
        <f t="shared" si="13"/>
        <v>2312996828979.5723</v>
      </c>
      <c r="L32" s="37">
        <f t="shared" si="14"/>
        <v>2305058174791.8037</v>
      </c>
      <c r="M32" s="34">
        <f t="shared" si="6"/>
        <v>145218665011.88364</v>
      </c>
      <c r="N32" s="34">
        <f t="shared" si="7"/>
        <v>94618643195.424698</v>
      </c>
      <c r="O32" s="34">
        <f t="shared" si="8"/>
        <v>239837308207.30835</v>
      </c>
      <c r="P32" s="34"/>
      <c r="Q32" s="38">
        <f t="shared" si="15"/>
        <v>239837308207.30835</v>
      </c>
      <c r="R32" s="39">
        <f t="shared" si="16"/>
        <v>0</v>
      </c>
      <c r="S32" s="34">
        <f t="shared" si="17"/>
        <v>232178935124.17984</v>
      </c>
      <c r="T32" s="40">
        <v>9579536043</v>
      </c>
      <c r="U32" s="272">
        <f t="shared" si="9"/>
        <v>2.5853062235832228E-2</v>
      </c>
      <c r="V32" s="282">
        <f t="shared" si="10"/>
        <v>78.124113355041928</v>
      </c>
      <c r="W32" s="283">
        <f>((S32+'Malawi-only'!S32)/(T32*(U32+'Malawi-only'!U32))/12)</f>
        <v>71.030211980532769</v>
      </c>
      <c r="X32" s="284">
        <f>(R32+'Malawi-only'!R32)</f>
        <v>954444551.09948862</v>
      </c>
      <c r="Y32" s="284">
        <f>(L32+'Malawi-only'!L32)</f>
        <v>2331595232984</v>
      </c>
      <c r="Z32" s="284">
        <f>(Q32+'Malawi-only'!Q32)</f>
        <v>241746197309.50732</v>
      </c>
    </row>
    <row r="33" spans="1:26" ht="15.75" customHeight="1">
      <c r="A33" s="31" t="s">
        <v>66</v>
      </c>
      <c r="B33" s="32">
        <v>2049</v>
      </c>
      <c r="C33" s="271">
        <f t="shared" si="11"/>
        <v>7.7126534963181073E-2</v>
      </c>
      <c r="D33" s="271">
        <f t="shared" si="19"/>
        <v>7.7126534963181073E-2</v>
      </c>
      <c r="E33" s="34">
        <f t="shared" si="21"/>
        <v>0</v>
      </c>
      <c r="F33" s="42">
        <v>4000</v>
      </c>
      <c r="G33" s="34">
        <f t="shared" si="20"/>
        <v>308506139852.7243</v>
      </c>
      <c r="H33" s="34">
        <f t="shared" si="4"/>
        <v>306963609153.46069</v>
      </c>
      <c r="I33" s="35">
        <f t="shared" si="22"/>
        <v>0.79000000000000026</v>
      </c>
      <c r="J33" s="36">
        <f t="shared" si="5"/>
        <v>242501251231.23404</v>
      </c>
      <c r="K33" s="34">
        <f t="shared" si="13"/>
        <v>2555498080210.8062</v>
      </c>
      <c r="L33" s="37">
        <f t="shared" si="14"/>
        <v>2546285646310.0264</v>
      </c>
      <c r="M33" s="34">
        <f t="shared" si="6"/>
        <v>160415995717.53168</v>
      </c>
      <c r="N33" s="34">
        <f t="shared" si="7"/>
        <v>64462357922.226669</v>
      </c>
      <c r="O33" s="34">
        <f t="shared" si="8"/>
        <v>224878353639.75836</v>
      </c>
      <c r="P33" s="34"/>
      <c r="Q33" s="38">
        <f t="shared" si="15"/>
        <v>224878353639.75836</v>
      </c>
      <c r="R33" s="39">
        <f t="shared" si="16"/>
        <v>0</v>
      </c>
      <c r="S33" s="34">
        <f t="shared" si="17"/>
        <v>239837308207.30835</v>
      </c>
      <c r="T33" s="40">
        <v>9622824029</v>
      </c>
      <c r="U33" s="272">
        <f t="shared" si="9"/>
        <v>2.5853062235832228E-2</v>
      </c>
      <c r="V33" s="282">
        <f t="shared" si="10"/>
        <v>80.337989588200386</v>
      </c>
      <c r="W33" s="283">
        <f>((S33+'Malawi-only'!S33)/(T33*(U33+'Malawi-only'!U33))/12)</f>
        <v>73.034162461703673</v>
      </c>
      <c r="X33" s="284">
        <f>(R33+'Malawi-only'!R33)</f>
        <v>956585946.14522862</v>
      </c>
      <c r="Y33" s="284">
        <f>(L33+'Malawi-only'!L33)</f>
        <v>2576572822540.0503</v>
      </c>
      <c r="Z33" s="284">
        <f>(Q33+'Malawi-only'!Q33)</f>
        <v>226791525532.04883</v>
      </c>
    </row>
    <row r="34" spans="1:26" ht="15.75" customHeight="1">
      <c r="A34" s="31" t="s">
        <v>67</v>
      </c>
      <c r="B34" s="32">
        <v>2050</v>
      </c>
      <c r="C34" s="271">
        <f t="shared" si="11"/>
        <v>6.9413881466862962E-2</v>
      </c>
      <c r="D34" s="271">
        <f t="shared" si="19"/>
        <v>6.9413881466862962E-2</v>
      </c>
      <c r="E34" s="34">
        <f t="shared" si="21"/>
        <v>0</v>
      </c>
      <c r="F34" s="42">
        <v>4000</v>
      </c>
      <c r="G34" s="34">
        <f t="shared" si="20"/>
        <v>277655525867.45184</v>
      </c>
      <c r="H34" s="34">
        <f t="shared" si="4"/>
        <v>276267248238.11456</v>
      </c>
      <c r="I34" s="35">
        <f t="shared" si="22"/>
        <v>0.83000000000000029</v>
      </c>
      <c r="J34" s="36">
        <f t="shared" si="5"/>
        <v>229301816037.63516</v>
      </c>
      <c r="K34" s="34">
        <f t="shared" si="13"/>
        <v>2784799896248.4414</v>
      </c>
      <c r="L34" s="37">
        <f t="shared" si="14"/>
        <v>2774199668616.4878</v>
      </c>
      <c r="M34" s="34">
        <f t="shared" si="6"/>
        <v>174774579122.83875</v>
      </c>
      <c r="N34" s="34">
        <f t="shared" si="7"/>
        <v>46965432200.479393</v>
      </c>
      <c r="O34" s="34">
        <f t="shared" si="8"/>
        <v>221740011323.31815</v>
      </c>
      <c r="P34" s="34"/>
      <c r="Q34" s="38">
        <f t="shared" si="15"/>
        <v>221740011323.31815</v>
      </c>
      <c r="R34" s="39">
        <f t="shared" si="16"/>
        <v>0</v>
      </c>
      <c r="S34" s="34">
        <f t="shared" si="17"/>
        <v>224878353639.75836</v>
      </c>
      <c r="T34" s="40">
        <v>9664378587</v>
      </c>
      <c r="U34" s="272">
        <f t="shared" si="9"/>
        <v>2.5853062235832228E-2</v>
      </c>
      <c r="V34" s="282">
        <f t="shared" si="10"/>
        <v>75.003318830249285</v>
      </c>
      <c r="W34" s="283">
        <f>((S34+'Malawi-only'!S34)/(T34*(U34+'Malawi-only'!U34))/12)</f>
        <v>68.20753400360131</v>
      </c>
      <c r="X34" s="284">
        <f>(R34+'Malawi-only'!R34)</f>
        <v>973238067.83571029</v>
      </c>
      <c r="Y34" s="284">
        <f>(L34+'Malawi-only'!L34)</f>
        <v>2808038911291.5127</v>
      </c>
      <c r="Z34" s="284">
        <f>(Q34+'Malawi-only'!Q34)</f>
        <v>223686487458.98956</v>
      </c>
    </row>
    <row r="35" spans="1:26" ht="15.75" customHeight="1">
      <c r="A35" s="31" t="s">
        <v>68</v>
      </c>
      <c r="B35" s="32">
        <v>2051</v>
      </c>
      <c r="C35" s="271">
        <f t="shared" si="11"/>
        <v>6.2472493320176667E-2</v>
      </c>
      <c r="D35" s="271">
        <f t="shared" si="19"/>
        <v>6.2472493320176667E-2</v>
      </c>
      <c r="E35" s="34">
        <f t="shared" si="21"/>
        <v>0</v>
      </c>
      <c r="F35" s="42">
        <v>4000</v>
      </c>
      <c r="G35" s="34">
        <f t="shared" si="20"/>
        <v>249889973280.70667</v>
      </c>
      <c r="H35" s="34">
        <f t="shared" si="4"/>
        <v>248640523414.30313</v>
      </c>
      <c r="I35" s="35">
        <f t="shared" si="22"/>
        <v>0.87000000000000033</v>
      </c>
      <c r="J35" s="36">
        <f t="shared" si="5"/>
        <v>216317255370.44382</v>
      </c>
      <c r="K35" s="34">
        <f t="shared" si="13"/>
        <v>3001117151618.8853</v>
      </c>
      <c r="L35" s="37">
        <f t="shared" si="14"/>
        <v>2989021665524.9385</v>
      </c>
      <c r="M35" s="34">
        <f t="shared" si="6"/>
        <v>188308364928.07114</v>
      </c>
      <c r="N35" s="34">
        <f t="shared" si="7"/>
        <v>32323268043.859325</v>
      </c>
      <c r="O35" s="34">
        <f t="shared" si="8"/>
        <v>220631632971.93045</v>
      </c>
      <c r="P35" s="34"/>
      <c r="Q35" s="38">
        <f t="shared" si="15"/>
        <v>220631632971.93045</v>
      </c>
      <c r="R35" s="39">
        <f t="shared" si="16"/>
        <v>0</v>
      </c>
      <c r="S35" s="34">
        <f t="shared" si="17"/>
        <v>221740011323.31815</v>
      </c>
      <c r="T35" s="40">
        <v>9704192304</v>
      </c>
      <c r="U35" s="272">
        <f t="shared" si="9"/>
        <v>2.5853062235832228E-2</v>
      </c>
      <c r="V35" s="282">
        <f t="shared" si="10"/>
        <v>73.653168313991387</v>
      </c>
      <c r="W35" s="283">
        <f>((S35+'Malawi-only'!S35)/(T35*(U35+'Malawi-only'!U35))/12)</f>
        <v>67.012103349023448</v>
      </c>
      <c r="X35" s="284">
        <f>(R35+'Malawi-only'!R35)</f>
        <v>1067340472.8343043</v>
      </c>
      <c r="Y35" s="284">
        <f>(L35+'Malawi-only'!L35)</f>
        <v>3026086906790.5498</v>
      </c>
      <c r="Z35" s="284">
        <f>(Q35+'Malawi-only'!Q35)</f>
        <v>222766313917.59906</v>
      </c>
    </row>
    <row r="36" spans="1:26" ht="15.75" customHeight="1">
      <c r="A36" s="31" t="s">
        <v>69</v>
      </c>
      <c r="B36" s="32">
        <v>2052</v>
      </c>
      <c r="C36" s="271">
        <f t="shared" si="11"/>
        <v>5.6225243988159E-2</v>
      </c>
      <c r="D36" s="271">
        <f t="shared" si="19"/>
        <v>5.6225243988159E-2</v>
      </c>
      <c r="E36" s="34">
        <f t="shared" si="21"/>
        <v>0</v>
      </c>
      <c r="F36" s="42">
        <v>4000</v>
      </c>
      <c r="G36" s="34">
        <f t="shared" si="20"/>
        <v>224900975952.63602</v>
      </c>
      <c r="H36" s="34">
        <f t="shared" si="4"/>
        <v>223776471072.87283</v>
      </c>
      <c r="I36" s="35">
        <f t="shared" si="22"/>
        <v>0.91000000000000036</v>
      </c>
      <c r="J36" s="36">
        <f t="shared" si="5"/>
        <v>203636588676.31436</v>
      </c>
      <c r="K36" s="34">
        <f t="shared" si="13"/>
        <v>3204753740295.1997</v>
      </c>
      <c r="L36" s="37">
        <f t="shared" si="14"/>
        <v>3191061925074.1523</v>
      </c>
      <c r="M36" s="34">
        <f t="shared" si="6"/>
        <v>201036901279.6716</v>
      </c>
      <c r="N36" s="34">
        <f t="shared" si="7"/>
        <v>20139882396.558472</v>
      </c>
      <c r="O36" s="34">
        <f t="shared" si="8"/>
        <v>221176783676.23007</v>
      </c>
      <c r="P36" s="34"/>
      <c r="Q36" s="38">
        <f t="shared" si="15"/>
        <v>221176783676.23007</v>
      </c>
      <c r="R36" s="39">
        <f t="shared" si="16"/>
        <v>0</v>
      </c>
      <c r="S36" s="34">
        <f t="shared" si="17"/>
        <v>220631632971.93045</v>
      </c>
      <c r="T36" s="40">
        <v>9742264515</v>
      </c>
      <c r="U36" s="272">
        <f t="shared" si="9"/>
        <v>2.5853062235832228E-2</v>
      </c>
      <c r="V36" s="282">
        <f t="shared" si="10"/>
        <v>72.998615716515928</v>
      </c>
      <c r="W36" s="283">
        <f>((S36+'Malawi-only'!S36)/(T36*(U36+'Malawi-only'!U36))/12)</f>
        <v>66.448651802873698</v>
      </c>
      <c r="X36" s="284">
        <f>(R36+'Malawi-only'!R36)</f>
        <v>1169093307.3792822</v>
      </c>
      <c r="Y36" s="284">
        <f>(L36+'Malawi-only'!L36)</f>
        <v>3231027260109.8623</v>
      </c>
      <c r="Z36" s="284">
        <f>(Q36+'Malawi-only'!Q36)</f>
        <v>223514970290.98865</v>
      </c>
    </row>
    <row r="37" spans="1:26" ht="15.75" customHeight="1">
      <c r="A37" s="31" t="s">
        <v>70</v>
      </c>
      <c r="B37" s="32">
        <v>2053</v>
      </c>
      <c r="C37" s="271">
        <f t="shared" si="11"/>
        <v>5.0602719589343099E-2</v>
      </c>
      <c r="D37" s="271">
        <f t="shared" si="19"/>
        <v>5.0602719589343099E-2</v>
      </c>
      <c r="E37" s="34">
        <f t="shared" si="21"/>
        <v>0</v>
      </c>
      <c r="F37" s="42">
        <v>4000</v>
      </c>
      <c r="G37" s="34">
        <f t="shared" si="20"/>
        <v>202410878357.37241</v>
      </c>
      <c r="H37" s="34">
        <f t="shared" si="4"/>
        <v>201398823965.58554</v>
      </c>
      <c r="I37" s="35">
        <f t="shared" si="22"/>
        <v>0.9500000000000004</v>
      </c>
      <c r="J37" s="36">
        <f t="shared" si="5"/>
        <v>191328882767.30634</v>
      </c>
      <c r="K37" s="34">
        <f t="shared" si="13"/>
        <v>3396082623062.5059</v>
      </c>
      <c r="L37" s="37">
        <f t="shared" si="14"/>
        <v>3380699612437.5381</v>
      </c>
      <c r="M37" s="34">
        <f t="shared" si="6"/>
        <v>212984075583.56491</v>
      </c>
      <c r="N37" s="34">
        <f t="shared" si="7"/>
        <v>10069941198.279196</v>
      </c>
      <c r="O37" s="34">
        <f t="shared" si="8"/>
        <v>223054016781.84412</v>
      </c>
      <c r="P37" s="34"/>
      <c r="Q37" s="38">
        <f t="shared" si="15"/>
        <v>223054016781.84412</v>
      </c>
      <c r="R37" s="39">
        <f t="shared" si="16"/>
        <v>0</v>
      </c>
      <c r="S37" s="34">
        <f t="shared" si="17"/>
        <v>221176783676.23007</v>
      </c>
      <c r="T37" s="40">
        <v>9778614614</v>
      </c>
      <c r="U37" s="272">
        <f t="shared" si="9"/>
        <v>2.5853062235832228E-2</v>
      </c>
      <c r="V37" s="282">
        <f t="shared" si="10"/>
        <v>72.906956696929555</v>
      </c>
      <c r="W37" s="283">
        <f>((S37+'Malawi-only'!S37)/(T37*(U37+'Malawi-only'!U37))/12)</f>
        <v>66.391657261509877</v>
      </c>
      <c r="X37" s="284">
        <f>(R37+'Malawi-only'!R37)</f>
        <v>1260566615.0288482</v>
      </c>
      <c r="Y37" s="284">
        <f>(L37+'Malawi-only'!L37)</f>
        <v>3423271728557.3887</v>
      </c>
      <c r="Z37" s="284">
        <f>(Q37+'Malawi-only'!Q37)</f>
        <v>225575150011.90182</v>
      </c>
    </row>
    <row r="38" spans="1:26" ht="15.75" customHeight="1">
      <c r="A38" s="31" t="s">
        <v>71</v>
      </c>
      <c r="B38" s="32">
        <v>2054</v>
      </c>
      <c r="C38" s="271">
        <f t="shared" si="11"/>
        <v>4.5542447630408787E-2</v>
      </c>
      <c r="D38" s="271">
        <f t="shared" si="19"/>
        <v>4.5542447630408787E-2</v>
      </c>
      <c r="E38" s="34">
        <f t="shared" si="21"/>
        <v>0</v>
      </c>
      <c r="F38" s="42">
        <v>4000</v>
      </c>
      <c r="G38" s="34">
        <f t="shared" si="20"/>
        <v>182169790521.63516</v>
      </c>
      <c r="H38" s="34">
        <f t="shared" si="4"/>
        <v>181258941569.02698</v>
      </c>
      <c r="I38" s="35">
        <f t="shared" si="22"/>
        <v>0.99000000000000044</v>
      </c>
      <c r="J38" s="36">
        <f t="shared" si="5"/>
        <v>179446352153.33679</v>
      </c>
      <c r="K38" s="34">
        <f t="shared" si="13"/>
        <v>3575528975215.8428</v>
      </c>
      <c r="L38" s="37">
        <f t="shared" si="14"/>
        <v>3558365891608.5796</v>
      </c>
      <c r="M38" s="34">
        <f t="shared" si="6"/>
        <v>224177051171.34052</v>
      </c>
      <c r="N38" s="34">
        <f t="shared" si="7"/>
        <v>1812589415.6901908</v>
      </c>
      <c r="O38" s="34">
        <f t="shared" si="8"/>
        <v>225989640587.0307</v>
      </c>
      <c r="P38" s="34"/>
      <c r="Q38" s="38">
        <f t="shared" si="15"/>
        <v>225989640587.0307</v>
      </c>
      <c r="R38" s="39">
        <f t="shared" si="16"/>
        <v>0</v>
      </c>
      <c r="S38" s="34">
        <f t="shared" si="17"/>
        <v>223054016781.84412</v>
      </c>
      <c r="T38" s="40">
        <v>9813251659</v>
      </c>
      <c r="U38" s="272">
        <f t="shared" si="9"/>
        <v>2.5853062235832228E-2</v>
      </c>
      <c r="V38" s="282">
        <f t="shared" si="10"/>
        <v>73.266234958991944</v>
      </c>
      <c r="W38" s="283">
        <f>((S38+'Malawi-only'!S38)/(T38*(U38+'Malawi-only'!U38))/12)</f>
        <v>66.740101071764869</v>
      </c>
      <c r="X38" s="284">
        <f>(R38+'Malawi-only'!R38)</f>
        <v>1342788400.5942638</v>
      </c>
      <c r="Y38" s="284">
        <f>(L38+'Malawi-only'!L38)</f>
        <v>3603280809046.8628</v>
      </c>
      <c r="Z38" s="284">
        <f>(Q38+'Malawi-only'!Q38)</f>
        <v>228675217388.21924</v>
      </c>
    </row>
    <row r="39" spans="1:26" ht="15.75" customHeight="1">
      <c r="A39" s="31" t="s">
        <v>72</v>
      </c>
      <c r="B39" s="32">
        <v>2055</v>
      </c>
      <c r="C39" s="271">
        <f t="shared" si="11"/>
        <v>4.0988202867367908E-2</v>
      </c>
      <c r="D39" s="271">
        <f t="shared" si="19"/>
        <v>4.0988202867367908E-2</v>
      </c>
      <c r="E39" s="34">
        <f t="shared" si="21"/>
        <v>0</v>
      </c>
      <c r="F39" s="42">
        <v>4000</v>
      </c>
      <c r="G39" s="34">
        <f t="shared" si="20"/>
        <v>163952811469.47165</v>
      </c>
      <c r="H39" s="34">
        <f t="shared" si="4"/>
        <v>163133047412.1243</v>
      </c>
      <c r="I39" s="43">
        <v>1</v>
      </c>
      <c r="J39" s="36">
        <f t="shared" si="5"/>
        <v>163133047412.1243</v>
      </c>
      <c r="K39" s="34">
        <f t="shared" si="13"/>
        <v>3738662022627.9673</v>
      </c>
      <c r="L39" s="37">
        <f t="shared" si="14"/>
        <v>3719638189551.1938</v>
      </c>
      <c r="M39" s="34">
        <f t="shared" si="6"/>
        <v>234337205941.72522</v>
      </c>
      <c r="N39" s="34">
        <f t="shared" si="7"/>
        <v>0</v>
      </c>
      <c r="O39" s="34">
        <f t="shared" si="8"/>
        <v>234337205941.72522</v>
      </c>
      <c r="P39" s="34"/>
      <c r="Q39" s="38">
        <f t="shared" si="15"/>
        <v>234337205941.72522</v>
      </c>
      <c r="R39" s="39">
        <f t="shared" si="16"/>
        <v>0</v>
      </c>
      <c r="S39" s="34">
        <f t="shared" si="17"/>
        <v>225989640587.0307</v>
      </c>
      <c r="T39" s="40">
        <v>9846237570</v>
      </c>
      <c r="U39" s="272">
        <f t="shared" si="9"/>
        <v>2.5853062235832228E-2</v>
      </c>
      <c r="V39" s="282">
        <f t="shared" si="10"/>
        <v>73.981815314160528</v>
      </c>
      <c r="W39" s="283">
        <f>((S39+'Malawi-only'!S39)/(T39*(U39+'Malawi-only'!U39))/12)</f>
        <v>67.408607470372331</v>
      </c>
      <c r="X39" s="284">
        <f>(R39+'Malawi-only'!R39)</f>
        <v>1416683868.3796036</v>
      </c>
      <c r="Y39" s="284">
        <f>(L39+'Malawi-only'!L39)</f>
        <v>3766658328169.6011</v>
      </c>
      <c r="Z39" s="284">
        <f>(Q39+'Malawi-only'!Q39)</f>
        <v>237170573678.48444</v>
      </c>
    </row>
    <row r="40" spans="1:26" ht="15.75" customHeight="1">
      <c r="A40" s="31" t="s">
        <v>73</v>
      </c>
      <c r="B40" s="32">
        <v>2056</v>
      </c>
      <c r="C40" s="271">
        <f t="shared" si="11"/>
        <v>3.6889382580631118E-2</v>
      </c>
      <c r="D40" s="271">
        <f t="shared" si="19"/>
        <v>3.6889382580631118E-2</v>
      </c>
      <c r="E40" s="34">
        <f t="shared" si="21"/>
        <v>0</v>
      </c>
      <c r="F40" s="42">
        <v>4000</v>
      </c>
      <c r="G40" s="34">
        <f t="shared" si="20"/>
        <v>147557530322.52448</v>
      </c>
      <c r="H40" s="34">
        <f t="shared" si="4"/>
        <v>146819742670.91187</v>
      </c>
      <c r="I40" s="43">
        <v>1</v>
      </c>
      <c r="J40" s="36">
        <f t="shared" si="5"/>
        <v>146819742670.91187</v>
      </c>
      <c r="K40" s="34">
        <f t="shared" si="13"/>
        <v>3885481765298.8789</v>
      </c>
      <c r="L40" s="37">
        <f t="shared" si="14"/>
        <v>3864524703255.9946</v>
      </c>
      <c r="M40" s="34">
        <f t="shared" si="6"/>
        <v>243465056305.12766</v>
      </c>
      <c r="N40" s="34">
        <f t="shared" si="7"/>
        <v>0</v>
      </c>
      <c r="O40" s="34">
        <f t="shared" si="8"/>
        <v>243465056305.12766</v>
      </c>
      <c r="P40" s="34">
        <f>O40*0.2%</f>
        <v>486930112.6102553</v>
      </c>
      <c r="Q40" s="38">
        <f t="shared" si="15"/>
        <v>242978126192.5174</v>
      </c>
      <c r="R40" s="39">
        <f t="shared" si="16"/>
        <v>0</v>
      </c>
      <c r="S40" s="34">
        <f t="shared" si="17"/>
        <v>234337205941.72522</v>
      </c>
      <c r="T40" s="40">
        <v>9877680392</v>
      </c>
      <c r="U40" s="272">
        <f t="shared" si="9"/>
        <v>2.5853062235832228E-2</v>
      </c>
      <c r="V40" s="282">
        <f t="shared" si="10"/>
        <v>76.470343311379963</v>
      </c>
      <c r="W40" s="283">
        <f>((S40+'Malawi-only'!S40)/(T40*(U40+'Malawi-only'!U40))/12)</f>
        <v>69.679314059181635</v>
      </c>
      <c r="X40" s="284">
        <f>(R40+'Malawi-only'!R40)</f>
        <v>1480119530.8280222</v>
      </c>
      <c r="Y40" s="284">
        <f>(L40+'Malawi-only'!L40)</f>
        <v>3913436242580.0513</v>
      </c>
      <c r="Z40" s="284">
        <f>(Q40+'Malawi-only'!Q40)</f>
        <v>245938365254.17343</v>
      </c>
    </row>
    <row r="41" spans="1:26" ht="15.75" customHeight="1">
      <c r="A41" s="31" t="s">
        <v>74</v>
      </c>
      <c r="B41" s="32">
        <v>2057</v>
      </c>
      <c r="C41" s="271">
        <f t="shared" si="11"/>
        <v>3.320044432256801E-2</v>
      </c>
      <c r="D41" s="271">
        <f t="shared" si="19"/>
        <v>3.320044432256801E-2</v>
      </c>
      <c r="E41" s="34">
        <f t="shared" si="21"/>
        <v>0</v>
      </c>
      <c r="F41" s="42">
        <v>4000</v>
      </c>
      <c r="G41" s="34">
        <f t="shared" si="20"/>
        <v>132801777290.27205</v>
      </c>
      <c r="H41" s="34">
        <f t="shared" si="4"/>
        <v>132137768403.82069</v>
      </c>
      <c r="I41" s="43">
        <v>1</v>
      </c>
      <c r="J41" s="36">
        <f t="shared" si="5"/>
        <v>132137768403.82069</v>
      </c>
      <c r="K41" s="34">
        <f t="shared" si="13"/>
        <v>4017619533702.6997</v>
      </c>
      <c r="L41" s="37">
        <f t="shared" si="14"/>
        <v>3994664140423.9858</v>
      </c>
      <c r="M41" s="34">
        <f t="shared" si="6"/>
        <v>251663840846.71112</v>
      </c>
      <c r="N41" s="34">
        <f t="shared" si="7"/>
        <v>0</v>
      </c>
      <c r="O41" s="34">
        <f t="shared" si="8"/>
        <v>251663840846.71112</v>
      </c>
      <c r="P41" s="34">
        <f>O41*0.4%</f>
        <v>1006655363.3868445</v>
      </c>
      <c r="Q41" s="38">
        <f t="shared" si="15"/>
        <v>250657185483.32428</v>
      </c>
      <c r="R41" s="39">
        <f t="shared" si="16"/>
        <v>0</v>
      </c>
      <c r="S41" s="34">
        <f t="shared" si="17"/>
        <v>242978126192.5174</v>
      </c>
      <c r="T41" s="40">
        <v>9907637193</v>
      </c>
      <c r="U41" s="272">
        <f t="shared" si="9"/>
        <v>2.5853062235832228E-2</v>
      </c>
      <c r="V41" s="282">
        <f t="shared" si="10"/>
        <v>79.050358896609339</v>
      </c>
      <c r="W41" s="283">
        <f>((S41+'Malawi-only'!S41)/(T41*(U41+'Malawi-only'!U41))/12)</f>
        <v>72.030761019201478</v>
      </c>
      <c r="X41" s="284">
        <f>(R41+'Malawi-only'!R41)</f>
        <v>1536572344.3193781</v>
      </c>
      <c r="Y41" s="284">
        <f>(L41+'Malawi-only'!L41)</f>
        <v>4045280602848.3438</v>
      </c>
      <c r="Z41" s="284">
        <f>(Q41+'Malawi-only'!Q41)</f>
        <v>253730330171.96304</v>
      </c>
    </row>
    <row r="42" spans="1:26" ht="15.75" customHeight="1">
      <c r="A42" s="31" t="s">
        <v>75</v>
      </c>
      <c r="B42" s="32">
        <v>2058</v>
      </c>
      <c r="C42" s="271">
        <f t="shared" si="11"/>
        <v>2.9880399890311209E-2</v>
      </c>
      <c r="D42" s="271">
        <f t="shared" si="19"/>
        <v>2.9880399890311209E-2</v>
      </c>
      <c r="E42" s="34">
        <f t="shared" si="21"/>
        <v>0</v>
      </c>
      <c r="F42" s="42">
        <v>4000</v>
      </c>
      <c r="G42" s="34">
        <f t="shared" si="20"/>
        <v>119521599561.24484</v>
      </c>
      <c r="H42" s="34">
        <f t="shared" si="4"/>
        <v>118923991563.43861</v>
      </c>
      <c r="I42" s="43">
        <v>1</v>
      </c>
      <c r="J42" s="36">
        <f t="shared" si="5"/>
        <v>118923991563.43861</v>
      </c>
      <c r="K42" s="34">
        <f t="shared" si="13"/>
        <v>4136543525266.1382</v>
      </c>
      <c r="L42" s="37">
        <f t="shared" si="14"/>
        <v>4111531337921.4307</v>
      </c>
      <c r="M42" s="34">
        <f t="shared" si="6"/>
        <v>259026474289.05014</v>
      </c>
      <c r="N42" s="34">
        <f t="shared" si="7"/>
        <v>0</v>
      </c>
      <c r="O42" s="34">
        <f t="shared" si="8"/>
        <v>259026474289.05014</v>
      </c>
      <c r="P42" s="34">
        <f>O42*0.6%</f>
        <v>1554158845.7343009</v>
      </c>
      <c r="Q42" s="38">
        <f t="shared" si="15"/>
        <v>257472315443.31583</v>
      </c>
      <c r="R42" s="39">
        <f t="shared" si="16"/>
        <v>0</v>
      </c>
      <c r="S42" s="34">
        <f t="shared" si="17"/>
        <v>250657185483.32428</v>
      </c>
      <c r="T42" s="40">
        <v>9936164379</v>
      </c>
      <c r="U42" s="272">
        <f t="shared" si="9"/>
        <v>2.5853062235832228E-2</v>
      </c>
      <c r="V42" s="282">
        <f t="shared" si="10"/>
        <v>81.314529513031786</v>
      </c>
      <c r="W42" s="283">
        <f>((S42+'Malawi-only'!S42)/(T42*(U42+'Malawi-only'!U42))/12)</f>
        <v>74.094405898231642</v>
      </c>
      <c r="X42" s="284">
        <f>(R42+'Malawi-only'!R42)</f>
        <v>1586940034.6605339</v>
      </c>
      <c r="Y42" s="284">
        <f>(L42+'Malawi-only'!L42)</f>
        <v>4163685967606.6826</v>
      </c>
      <c r="Z42" s="284">
        <f>(Q42+'Malawi-only'!Q42)</f>
        <v>260646195512.6369</v>
      </c>
    </row>
    <row r="43" spans="1:26" ht="15.75" customHeight="1">
      <c r="A43" s="31" t="s">
        <v>76</v>
      </c>
      <c r="B43" s="32">
        <v>2059</v>
      </c>
      <c r="C43" s="271">
        <f t="shared" si="11"/>
        <v>2.689235990128009E-2</v>
      </c>
      <c r="D43" s="271">
        <f t="shared" si="19"/>
        <v>2.689235990128009E-2</v>
      </c>
      <c r="E43" s="34">
        <f t="shared" si="21"/>
        <v>0</v>
      </c>
      <c r="F43" s="42">
        <v>4000</v>
      </c>
      <c r="G43" s="34">
        <f t="shared" si="20"/>
        <v>107569439605.12036</v>
      </c>
      <c r="H43" s="34">
        <f t="shared" si="4"/>
        <v>107031592407.09476</v>
      </c>
      <c r="I43" s="43">
        <v>1</v>
      </c>
      <c r="J43" s="36">
        <f t="shared" si="5"/>
        <v>107031592407.09476</v>
      </c>
      <c r="K43" s="34">
        <f t="shared" si="13"/>
        <v>4243575117673.2329</v>
      </c>
      <c r="L43" s="37">
        <f t="shared" si="14"/>
        <v>4216453648863.3613</v>
      </c>
      <c r="M43" s="34">
        <f t="shared" si="6"/>
        <v>265636579878.39175</v>
      </c>
      <c r="N43" s="34">
        <f t="shared" si="7"/>
        <v>0</v>
      </c>
      <c r="O43" s="34">
        <f t="shared" si="8"/>
        <v>265636579878.39175</v>
      </c>
      <c r="P43" s="34">
        <f>O43*0.8%</f>
        <v>2125092639.0271342</v>
      </c>
      <c r="Q43" s="38">
        <f t="shared" si="15"/>
        <v>263511487239.36462</v>
      </c>
      <c r="R43" s="39">
        <f t="shared" si="16"/>
        <v>0</v>
      </c>
      <c r="S43" s="34">
        <f t="shared" si="17"/>
        <v>257472315443.31583</v>
      </c>
      <c r="T43" s="40">
        <v>9963337082</v>
      </c>
      <c r="U43" s="272">
        <f t="shared" si="9"/>
        <v>2.5853062235832228E-2</v>
      </c>
      <c r="V43" s="282">
        <f t="shared" si="10"/>
        <v>83.297597825663061</v>
      </c>
      <c r="W43" s="283">
        <f>((S43+'Malawi-only'!S43)/(T43*(U43+'Malawi-only'!U43))/12)</f>
        <v>75.901916182411838</v>
      </c>
      <c r="X43" s="284">
        <f>(R43+'Malawi-only'!R43)</f>
        <v>1631874970.1996276</v>
      </c>
      <c r="Y43" s="284">
        <f>(L43+'Malawi-only'!L43)</f>
        <v>4269997416063.7705</v>
      </c>
      <c r="Z43" s="284">
        <f>(Q43+'Malawi-only'!Q43)</f>
        <v>266775237179.76389</v>
      </c>
    </row>
    <row r="44" spans="1:26" ht="15.75" customHeight="1">
      <c r="A44" s="31" t="s">
        <v>77</v>
      </c>
      <c r="B44" s="32">
        <v>2060</v>
      </c>
      <c r="C44" s="271">
        <f t="shared" si="11"/>
        <v>2.4203123911152081E-2</v>
      </c>
      <c r="D44" s="271">
        <f t="shared" si="19"/>
        <v>2.4203123911152081E-2</v>
      </c>
      <c r="E44" s="34">
        <f t="shared" si="21"/>
        <v>0</v>
      </c>
      <c r="F44" s="42">
        <v>4000</v>
      </c>
      <c r="G44" s="34">
        <f t="shared" si="20"/>
        <v>96812495644.608322</v>
      </c>
      <c r="H44" s="34">
        <f t="shared" si="4"/>
        <v>96328433166.385284</v>
      </c>
      <c r="I44" s="43">
        <v>1</v>
      </c>
      <c r="J44" s="36">
        <f t="shared" si="5"/>
        <v>96328433166.385284</v>
      </c>
      <c r="K44" s="34">
        <f t="shared" si="13"/>
        <v>4339903550839.6182</v>
      </c>
      <c r="L44" s="37">
        <f t="shared" si="14"/>
        <v>4310625690988.7319</v>
      </c>
      <c r="M44" s="34">
        <f t="shared" si="6"/>
        <v>271569418532.2901</v>
      </c>
      <c r="N44" s="34">
        <f t="shared" si="7"/>
        <v>0</v>
      </c>
      <c r="O44" s="34">
        <f t="shared" si="8"/>
        <v>271569418532.2901</v>
      </c>
      <c r="P44" s="34">
        <f>O44*1%</f>
        <v>2715694185.3229012</v>
      </c>
      <c r="Q44" s="38">
        <f t="shared" si="15"/>
        <v>268853724346.96719</v>
      </c>
      <c r="R44" s="39">
        <f t="shared" si="16"/>
        <v>0</v>
      </c>
      <c r="S44" s="34">
        <f t="shared" si="17"/>
        <v>263511487239.36462</v>
      </c>
      <c r="T44" s="40">
        <v>9989232292</v>
      </c>
      <c r="U44" s="272">
        <f t="shared" si="9"/>
        <v>2.5853062235832228E-2</v>
      </c>
      <c r="V44" s="282">
        <f t="shared" si="10"/>
        <v>85.030396064822369</v>
      </c>
      <c r="W44" s="283">
        <f>((S44+'Malawi-only'!S44)/(T44*(U44+'Malawi-only'!U44))/12)</f>
        <v>77.4813947861022</v>
      </c>
      <c r="X44" s="284">
        <f>(R44+'Malawi-only'!R44)</f>
        <v>1671962225.8201895</v>
      </c>
      <c r="Y44" s="284">
        <f>(L44+'Malawi-only'!L44)</f>
        <v>4365425498866.7539</v>
      </c>
      <c r="Z44" s="284">
        <f>(Q44+'Malawi-only'!Q44)</f>
        <v>272197648798.60757</v>
      </c>
    </row>
    <row r="45" spans="1:26" ht="15.75" customHeight="1">
      <c r="A45" s="31" t="s">
        <v>78</v>
      </c>
      <c r="B45" s="32">
        <v>2061</v>
      </c>
      <c r="C45" s="271">
        <f t="shared" si="11"/>
        <v>2.1782811520036874E-2</v>
      </c>
      <c r="D45" s="271">
        <f t="shared" si="19"/>
        <v>2.1782811520036874E-2</v>
      </c>
      <c r="E45" s="34">
        <f t="shared" si="21"/>
        <v>0</v>
      </c>
      <c r="F45" s="42">
        <v>4000</v>
      </c>
      <c r="G45" s="34">
        <f t="shared" si="20"/>
        <v>87131246080.147491</v>
      </c>
      <c r="H45" s="34">
        <f t="shared" si="4"/>
        <v>86695589849.74675</v>
      </c>
      <c r="I45" s="43">
        <v>1</v>
      </c>
      <c r="J45" s="36">
        <f t="shared" si="5"/>
        <v>86695589849.74675</v>
      </c>
      <c r="K45" s="34">
        <f t="shared" si="13"/>
        <v>4426599140689.3652</v>
      </c>
      <c r="L45" s="37">
        <f t="shared" si="14"/>
        <v>4395122620198.0596</v>
      </c>
      <c r="M45" s="34">
        <f t="shared" si="6"/>
        <v>276892725072.47778</v>
      </c>
      <c r="N45" s="34">
        <f t="shared" si="7"/>
        <v>0</v>
      </c>
      <c r="O45" s="34">
        <f t="shared" si="8"/>
        <v>276892725072.47778</v>
      </c>
      <c r="P45" s="34">
        <f>O45*1.2%</f>
        <v>3322712700.8697333</v>
      </c>
      <c r="Q45" s="38">
        <f t="shared" si="15"/>
        <v>273570012371.60806</v>
      </c>
      <c r="R45" s="39">
        <f t="shared" si="16"/>
        <v>0</v>
      </c>
      <c r="S45" s="34">
        <f t="shared" si="17"/>
        <v>268853724346.96719</v>
      </c>
      <c r="T45" s="40">
        <v>10013916213</v>
      </c>
      <c r="U45" s="272">
        <f t="shared" si="9"/>
        <v>2.5853062235832228E-2</v>
      </c>
      <c r="V45" s="282">
        <f t="shared" si="10"/>
        <v>86.540393574304503</v>
      </c>
      <c r="W45" s="283">
        <f>((S45+'Malawi-only'!S45)/(T45*(U45+'Malawi-only'!U45))/12)</f>
        <v>78.857879165674646</v>
      </c>
      <c r="X45" s="284">
        <f>(R45+'Malawi-only'!R45)</f>
        <v>1707726522.502409</v>
      </c>
      <c r="Y45" s="284">
        <f>(L45+'Malawi-only'!L45)</f>
        <v>4451059693610.6787</v>
      </c>
      <c r="Z45" s="284">
        <f>(Q45+'Malawi-only'!Q45)</f>
        <v>276985465416.61285</v>
      </c>
    </row>
    <row r="46" spans="1:26" ht="15.75" customHeight="1">
      <c r="A46" s="31" t="s">
        <v>79</v>
      </c>
      <c r="B46" s="32">
        <v>2062</v>
      </c>
      <c r="C46" s="271">
        <f t="shared" si="11"/>
        <v>1.9604530368033186E-2</v>
      </c>
      <c r="D46" s="271">
        <f t="shared" si="19"/>
        <v>1.9604530368033186E-2</v>
      </c>
      <c r="E46" s="34">
        <f t="shared" si="21"/>
        <v>0</v>
      </c>
      <c r="F46" s="42">
        <v>4000</v>
      </c>
      <c r="G46" s="34">
        <f t="shared" si="20"/>
        <v>78418121472.132736</v>
      </c>
      <c r="H46" s="34">
        <f t="shared" si="4"/>
        <v>78026030864.772079</v>
      </c>
      <c r="I46" s="43">
        <v>1</v>
      </c>
      <c r="J46" s="36">
        <f t="shared" si="5"/>
        <v>78026030864.772079</v>
      </c>
      <c r="K46" s="34">
        <f t="shared" si="13"/>
        <v>4504625171554.1377</v>
      </c>
      <c r="L46" s="37">
        <f t="shared" si="14"/>
        <v>4470912076737.3008</v>
      </c>
      <c r="M46" s="34">
        <f t="shared" si="6"/>
        <v>281667460834.44995</v>
      </c>
      <c r="N46" s="34">
        <f t="shared" si="7"/>
        <v>0</v>
      </c>
      <c r="O46" s="34">
        <f t="shared" si="8"/>
        <v>281667460834.44995</v>
      </c>
      <c r="P46" s="34">
        <f>O46*1.4%</f>
        <v>3943344451.6822991</v>
      </c>
      <c r="Q46" s="38">
        <f t="shared" si="15"/>
        <v>277724116382.76764</v>
      </c>
      <c r="R46" s="39">
        <f t="shared" si="16"/>
        <v>0</v>
      </c>
      <c r="S46" s="34">
        <f t="shared" si="17"/>
        <v>273570012371.60806</v>
      </c>
      <c r="T46" s="40">
        <v>10037466600</v>
      </c>
      <c r="U46" s="272">
        <f t="shared" si="9"/>
        <v>2.5853062235832228E-2</v>
      </c>
      <c r="V46" s="282">
        <f t="shared" si="10"/>
        <v>87.851896085189864</v>
      </c>
      <c r="W46" s="283">
        <f>((S46+'Malawi-only'!S46)/(T46*(U46+'Malawi-only'!U46))/12)</f>
        <v>80.053523055161989</v>
      </c>
      <c r="X46" s="284">
        <f>(R46+'Malawi-only'!R46)</f>
        <v>1739638452.2295084</v>
      </c>
      <c r="Y46" s="284">
        <f>(L46+'Malawi-only'!L46)</f>
        <v>4527880514558.3555</v>
      </c>
      <c r="Z46" s="284">
        <f>(Q46+'Malawi-only'!Q46)</f>
        <v>281203393287.22668</v>
      </c>
    </row>
    <row r="47" spans="1:26" ht="15.75" customHeight="1">
      <c r="A47" s="31" t="s">
        <v>80</v>
      </c>
      <c r="B47" s="32">
        <v>2063</v>
      </c>
      <c r="C47" s="271">
        <f t="shared" si="11"/>
        <v>1.7644077331229868E-2</v>
      </c>
      <c r="D47" s="271">
        <f t="shared" si="19"/>
        <v>1.7644077331229868E-2</v>
      </c>
      <c r="E47" s="34">
        <f t="shared" si="21"/>
        <v>0</v>
      </c>
      <c r="F47" s="42">
        <v>4000</v>
      </c>
      <c r="G47" s="34">
        <f t="shared" si="20"/>
        <v>70576309324.919464</v>
      </c>
      <c r="H47" s="34">
        <f t="shared" si="4"/>
        <v>70223427778.294861</v>
      </c>
      <c r="I47" s="43">
        <v>1</v>
      </c>
      <c r="J47" s="36">
        <f t="shared" si="5"/>
        <v>70223427778.294861</v>
      </c>
      <c r="K47" s="34">
        <f t="shared" si="13"/>
        <v>4574848599332.4326</v>
      </c>
      <c r="L47" s="37">
        <f t="shared" si="14"/>
        <v>4538864936763.3379</v>
      </c>
      <c r="M47" s="34">
        <f t="shared" si="6"/>
        <v>285948491016.09027</v>
      </c>
      <c r="N47" s="34">
        <f t="shared" si="7"/>
        <v>0</v>
      </c>
      <c r="O47" s="34">
        <f t="shared" si="8"/>
        <v>285948491016.09027</v>
      </c>
      <c r="P47" s="34">
        <f>O47*1.6%</f>
        <v>4575175856.2574444</v>
      </c>
      <c r="Q47" s="38">
        <f t="shared" si="15"/>
        <v>281373315159.83282</v>
      </c>
      <c r="R47" s="39">
        <f t="shared" si="16"/>
        <v>0</v>
      </c>
      <c r="S47" s="34">
        <f t="shared" si="17"/>
        <v>277724116382.76764</v>
      </c>
      <c r="T47" s="40">
        <v>10059950035</v>
      </c>
      <c r="U47" s="272">
        <f t="shared" si="9"/>
        <v>2.5853062235832228E-2</v>
      </c>
      <c r="V47" s="282">
        <f t="shared" si="10"/>
        <v>88.98658334164891</v>
      </c>
      <c r="W47" s="283">
        <f>((S47+'Malawi-only'!S47)/(T47*(U47+'Malawi-only'!U47))/12)</f>
        <v>81.088086494413929</v>
      </c>
      <c r="X47" s="284">
        <f>(R47+'Malawi-only'!R47)</f>
        <v>1768120061.8282635</v>
      </c>
      <c r="Y47" s="284">
        <f>(L47+'Malawi-only'!L47)</f>
        <v>4596770411174.4092</v>
      </c>
      <c r="Z47" s="284">
        <f>(Q47+'Malawi-only'!Q47)</f>
        <v>284909555283.48938</v>
      </c>
    </row>
    <row r="48" spans="1:26" ht="15.75" customHeight="1">
      <c r="A48" s="31" t="s">
        <v>81</v>
      </c>
      <c r="B48" s="32">
        <v>2064</v>
      </c>
      <c r="C48" s="271">
        <f t="shared" si="11"/>
        <v>1.5879669598106882E-2</v>
      </c>
      <c r="D48" s="271">
        <f t="shared" si="19"/>
        <v>1.5879669598106882E-2</v>
      </c>
      <c r="E48" s="34">
        <f t="shared" si="21"/>
        <v>0</v>
      </c>
      <c r="F48" s="42">
        <v>4000</v>
      </c>
      <c r="G48" s="34">
        <f t="shared" si="20"/>
        <v>63518678392.427528</v>
      </c>
      <c r="H48" s="34">
        <f t="shared" si="4"/>
        <v>63201085000.465393</v>
      </c>
      <c r="I48" s="43">
        <v>1</v>
      </c>
      <c r="J48" s="36">
        <f t="shared" si="5"/>
        <v>63201085000.465393</v>
      </c>
      <c r="K48" s="34">
        <f t="shared" si="13"/>
        <v>4638049684332.8984</v>
      </c>
      <c r="L48" s="37">
        <f t="shared" si="14"/>
        <v>4599764988752.9219</v>
      </c>
      <c r="M48" s="34">
        <f t="shared" si="6"/>
        <v>289785194291.43408</v>
      </c>
      <c r="N48" s="34">
        <f t="shared" si="7"/>
        <v>0</v>
      </c>
      <c r="O48" s="34">
        <f t="shared" si="8"/>
        <v>289785194291.43408</v>
      </c>
      <c r="P48" s="34">
        <f>O48*1.8%</f>
        <v>5216133497.2458143</v>
      </c>
      <c r="Q48" s="38">
        <f t="shared" si="15"/>
        <v>284569060794.18829</v>
      </c>
      <c r="R48" s="39">
        <f t="shared" si="16"/>
        <v>0</v>
      </c>
      <c r="S48" s="34">
        <f t="shared" si="17"/>
        <v>281373315159.83282</v>
      </c>
      <c r="T48" s="40">
        <v>10081402737</v>
      </c>
      <c r="U48" s="272">
        <f t="shared" si="9"/>
        <v>2.5853062235832228E-2</v>
      </c>
      <c r="V48" s="282">
        <f t="shared" si="10"/>
        <v>89.963989308853812</v>
      </c>
      <c r="W48" s="283">
        <f>((S48+'Malawi-only'!S48)/(T48*(U48+'Malawi-only'!U48))/12)</f>
        <v>81.97937352631341</v>
      </c>
      <c r="X48" s="284">
        <f>(R48+'Malawi-only'!R48)</f>
        <v>1793549861.7563396</v>
      </c>
      <c r="Y48" s="284">
        <f>(L48+'Malawi-only'!L48)</f>
        <v>4658523576614.417</v>
      </c>
      <c r="Z48" s="284">
        <f>(Q48+'Malawi-only'!Q48)</f>
        <v>288156160517.70099</v>
      </c>
    </row>
    <row r="49" spans="1:26" ht="15.75" customHeight="1">
      <c r="A49" s="31" t="s">
        <v>82</v>
      </c>
      <c r="B49" s="32">
        <v>2065</v>
      </c>
      <c r="C49" s="271">
        <f t="shared" si="11"/>
        <v>1.4291702638296195E-2</v>
      </c>
      <c r="D49" s="271">
        <f t="shared" si="19"/>
        <v>1.4291702638296195E-2</v>
      </c>
      <c r="E49" s="34">
        <f t="shared" si="21"/>
        <v>0</v>
      </c>
      <c r="F49" s="42">
        <v>4000</v>
      </c>
      <c r="G49" s="34">
        <f t="shared" si="20"/>
        <v>57166810553.184784</v>
      </c>
      <c r="H49" s="34">
        <f t="shared" si="4"/>
        <v>56880976500.418861</v>
      </c>
      <c r="I49" s="43">
        <v>1</v>
      </c>
      <c r="J49" s="36">
        <f t="shared" si="5"/>
        <v>56880976500.418861</v>
      </c>
      <c r="K49" s="34">
        <f t="shared" si="13"/>
        <v>4694930660833.3174</v>
      </c>
      <c r="L49" s="37">
        <f t="shared" si="14"/>
        <v>4654317642270.7148</v>
      </c>
      <c r="M49" s="34">
        <f t="shared" si="6"/>
        <v>293222011463.05505</v>
      </c>
      <c r="N49" s="34">
        <f t="shared" si="7"/>
        <v>0</v>
      </c>
      <c r="O49" s="34">
        <f t="shared" si="8"/>
        <v>293222011463.05505</v>
      </c>
      <c r="P49" s="34">
        <f>O49*2%</f>
        <v>5864440229.2611008</v>
      </c>
      <c r="Q49" s="38">
        <f t="shared" si="15"/>
        <v>287357571233.79395</v>
      </c>
      <c r="R49" s="39">
        <f t="shared" si="16"/>
        <v>0</v>
      </c>
      <c r="S49" s="34">
        <f t="shared" si="17"/>
        <v>284569060794.18829</v>
      </c>
      <c r="T49" s="40">
        <v>10101849561</v>
      </c>
      <c r="U49" s="272">
        <f t="shared" si="9"/>
        <v>2.5853062235832228E-2</v>
      </c>
      <c r="V49" s="282">
        <f t="shared" si="10"/>
        <v>90.801609401862962</v>
      </c>
      <c r="W49" s="283">
        <f>((S49+'Malawi-only'!S49)/(T49*(U49+'Malawi-only'!U49))/12)</f>
        <v>82.743330009378539</v>
      </c>
      <c r="X49" s="284">
        <f>(R49+'Malawi-only'!R49)</f>
        <v>1816267319.0526826</v>
      </c>
      <c r="Y49" s="284">
        <f>(L49+'Malawi-only'!L49)</f>
        <v>4713854775193.6396</v>
      </c>
      <c r="Z49" s="284">
        <f>(Q49+'Malawi-only'!Q49)</f>
        <v>290990105871.89929</v>
      </c>
    </row>
    <row r="50" spans="1:26" ht="15.75" customHeight="1">
      <c r="A50" s="31" t="s">
        <v>83</v>
      </c>
      <c r="B50" s="32">
        <v>2066</v>
      </c>
      <c r="C50" s="271">
        <f t="shared" si="11"/>
        <v>1.2862532374466575E-2</v>
      </c>
      <c r="D50" s="271">
        <f t="shared" si="19"/>
        <v>1.2862532374466575E-2</v>
      </c>
      <c r="E50" s="34">
        <f t="shared" si="21"/>
        <v>0</v>
      </c>
      <c r="F50" s="42">
        <v>4000</v>
      </c>
      <c r="G50" s="34">
        <f t="shared" si="20"/>
        <v>51450129497.866302</v>
      </c>
      <c r="H50" s="34">
        <f t="shared" si="4"/>
        <v>51192878850.376968</v>
      </c>
      <c r="I50" s="43">
        <v>1</v>
      </c>
      <c r="J50" s="36">
        <f t="shared" si="5"/>
        <v>51192878850.376968</v>
      </c>
      <c r="K50" s="34">
        <f t="shared" si="13"/>
        <v>4746123539683.6943</v>
      </c>
      <c r="L50" s="37">
        <f t="shared" si="14"/>
        <v>4703157765860.5313</v>
      </c>
      <c r="M50" s="34">
        <f t="shared" si="6"/>
        <v>296298939249.2135</v>
      </c>
      <c r="N50" s="34">
        <f t="shared" si="7"/>
        <v>0</v>
      </c>
      <c r="O50" s="34">
        <f t="shared" si="8"/>
        <v>296298939249.2135</v>
      </c>
      <c r="P50" s="34">
        <f>O50*2.2%</f>
        <v>6518576663.4826975</v>
      </c>
      <c r="Q50" s="38">
        <f t="shared" si="15"/>
        <v>289780362585.73077</v>
      </c>
      <c r="R50" s="39">
        <f t="shared" si="16"/>
        <v>0</v>
      </c>
      <c r="S50" s="34">
        <f t="shared" si="17"/>
        <v>287357571233.79395</v>
      </c>
      <c r="T50" s="40">
        <v>10121317107</v>
      </c>
      <c r="U50" s="272">
        <f t="shared" si="9"/>
        <v>2.5853062235832228E-2</v>
      </c>
      <c r="V50" s="282">
        <f t="shared" si="10"/>
        <v>91.515019128985742</v>
      </c>
      <c r="W50" s="283">
        <f>((S50+'Malawi-only'!S50)/(T50*(U50+'Malawi-only'!U50))/12)</f>
        <v>83.394151813909133</v>
      </c>
      <c r="X50" s="284">
        <f>(R50+'Malawi-only'!R50)</f>
        <v>1836576887.5704801</v>
      </c>
      <c r="Y50" s="284">
        <f>(L50+'Malawi-only'!L50)</f>
        <v>4763407286955.4014</v>
      </c>
      <c r="Z50" s="284">
        <f>(Q50+'Malawi-only'!Q50)</f>
        <v>293453516360.8717</v>
      </c>
    </row>
    <row r="51" spans="1:26" ht="15.75" customHeight="1">
      <c r="A51" s="31" t="s">
        <v>84</v>
      </c>
      <c r="B51" s="32">
        <v>2067</v>
      </c>
      <c r="C51" s="271">
        <f t="shared" si="11"/>
        <v>1.1576279137019918E-2</v>
      </c>
      <c r="D51" s="271">
        <f t="shared" si="19"/>
        <v>1.1576279137019918E-2</v>
      </c>
      <c r="E51" s="34">
        <f t="shared" si="21"/>
        <v>0</v>
      </c>
      <c r="F51" s="42">
        <v>4000</v>
      </c>
      <c r="G51" s="34">
        <f t="shared" si="20"/>
        <v>46305116548.079674</v>
      </c>
      <c r="H51" s="34">
        <f t="shared" si="4"/>
        <v>46073590965.339272</v>
      </c>
      <c r="I51" s="43">
        <v>1</v>
      </c>
      <c r="J51" s="36">
        <f t="shared" si="5"/>
        <v>46073590965.339272</v>
      </c>
      <c r="K51" s="34">
        <f t="shared" si="13"/>
        <v>4792197130649.0332</v>
      </c>
      <c r="L51" s="37">
        <f t="shared" si="14"/>
        <v>4746856741147.457</v>
      </c>
      <c r="M51" s="34">
        <f t="shared" si="6"/>
        <v>299051974692.28979</v>
      </c>
      <c r="N51" s="34">
        <f t="shared" si="7"/>
        <v>0</v>
      </c>
      <c r="O51" s="34">
        <f t="shared" si="8"/>
        <v>299051974692.28979</v>
      </c>
      <c r="P51" s="34">
        <f>O51*2.4%</f>
        <v>7177247392.6149549</v>
      </c>
      <c r="Q51" s="38">
        <f t="shared" si="15"/>
        <v>291874727299.67487</v>
      </c>
      <c r="R51" s="39">
        <f t="shared" si="16"/>
        <v>0</v>
      </c>
      <c r="S51" s="34">
        <f t="shared" si="17"/>
        <v>289780362585.73077</v>
      </c>
      <c r="T51" s="40">
        <v>10139808361</v>
      </c>
      <c r="U51" s="272">
        <f t="shared" si="9"/>
        <v>2.5853062235832228E-2</v>
      </c>
      <c r="V51" s="282">
        <f t="shared" si="10"/>
        <v>92.118311044179279</v>
      </c>
      <c r="W51" s="283">
        <f>((S51+'Malawi-only'!S51)/(T51*(U51+'Malawi-only'!U51))/12)</f>
        <v>83.944683068386709</v>
      </c>
      <c r="X51" s="284">
        <f>(R51+'Malawi-only'!R51)</f>
        <v>1854751623.1431141</v>
      </c>
      <c r="Y51" s="284">
        <f>(L51+'Malawi-only'!L51)</f>
        <v>4807760057645.333</v>
      </c>
      <c r="Z51" s="284">
        <f>(Q51+'Malawi-only'!Q51)</f>
        <v>295584230545.96112</v>
      </c>
    </row>
    <row r="52" spans="1:26" ht="15.75" customHeight="1">
      <c r="A52" s="31" t="s">
        <v>85</v>
      </c>
      <c r="B52" s="32">
        <v>2068</v>
      </c>
      <c r="C52" s="271">
        <f t="shared" si="11"/>
        <v>1.0418651223317926E-2</v>
      </c>
      <c r="D52" s="271">
        <f t="shared" si="19"/>
        <v>1.0418651223317926E-2</v>
      </c>
      <c r="E52" s="34">
        <f t="shared" si="21"/>
        <v>0</v>
      </c>
      <c r="F52" s="42">
        <v>4000</v>
      </c>
      <c r="G52" s="34">
        <f t="shared" si="20"/>
        <v>41674604893.271706</v>
      </c>
      <c r="H52" s="34">
        <f t="shared" si="4"/>
        <v>41466231868.805344</v>
      </c>
      <c r="I52" s="43">
        <v>1</v>
      </c>
      <c r="J52" s="36">
        <f t="shared" si="5"/>
        <v>41466231868.805344</v>
      </c>
      <c r="K52" s="34">
        <f t="shared" si="13"/>
        <v>4833663362517.8389</v>
      </c>
      <c r="L52" s="37">
        <f t="shared" si="14"/>
        <v>4785928811529.7549</v>
      </c>
      <c r="M52" s="34">
        <f t="shared" si="6"/>
        <v>301513515126.37457</v>
      </c>
      <c r="N52" s="34">
        <f t="shared" si="7"/>
        <v>0</v>
      </c>
      <c r="O52" s="34">
        <f t="shared" si="8"/>
        <v>301513515126.37457</v>
      </c>
      <c r="P52" s="34">
        <f>O52*2.6%</f>
        <v>7839351393.2857399</v>
      </c>
      <c r="Q52" s="38">
        <f t="shared" si="15"/>
        <v>293674163733.08881</v>
      </c>
      <c r="R52" s="39">
        <f t="shared" si="16"/>
        <v>0</v>
      </c>
      <c r="S52" s="34">
        <f t="shared" si="17"/>
        <v>291874727299.67487</v>
      </c>
      <c r="T52" s="40">
        <v>10157301941</v>
      </c>
      <c r="U52" s="272">
        <f t="shared" si="9"/>
        <v>2.5853062235832228E-2</v>
      </c>
      <c r="V52" s="282">
        <f t="shared" si="10"/>
        <v>92.624289951240442</v>
      </c>
      <c r="W52" s="283">
        <f>((S52+'Malawi-only'!S52)/(T52*(U52+'Malawi-only'!U52))/12)</f>
        <v>84.406594109293792</v>
      </c>
      <c r="X52" s="284">
        <f>(R52+'Malawi-only'!R52)</f>
        <v>1871036426.4274976</v>
      </c>
      <c r="Y52" s="284">
        <f>(L52+'Malawi-only'!L52)</f>
        <v>4847434133565.4189</v>
      </c>
      <c r="Z52" s="284">
        <f>(Q52+'Malawi-only'!Q52)</f>
        <v>297416236585.94379</v>
      </c>
    </row>
    <row r="53" spans="1:26" ht="15.75" customHeight="1">
      <c r="A53" s="31" t="s">
        <v>86</v>
      </c>
      <c r="B53" s="32">
        <v>2069</v>
      </c>
      <c r="C53" s="271">
        <f t="shared" si="11"/>
        <v>9.3767861009861342E-3</v>
      </c>
      <c r="D53" s="271">
        <f t="shared" si="19"/>
        <v>9.3767861009861342E-3</v>
      </c>
      <c r="E53" s="34">
        <f t="shared" si="21"/>
        <v>0</v>
      </c>
      <c r="F53" s="42">
        <v>4000</v>
      </c>
      <c r="G53" s="34">
        <f t="shared" si="20"/>
        <v>37507144403.944534</v>
      </c>
      <c r="H53" s="34">
        <f t="shared" si="4"/>
        <v>37319608681.924812</v>
      </c>
      <c r="I53" s="43">
        <v>1</v>
      </c>
      <c r="J53" s="36">
        <f t="shared" si="5"/>
        <v>37319608681.924812</v>
      </c>
      <c r="K53" s="34">
        <f t="shared" si="13"/>
        <v>4870982971199.7637</v>
      </c>
      <c r="L53" s="37">
        <f t="shared" si="14"/>
        <v>4820836796001.5742</v>
      </c>
      <c r="M53" s="34">
        <f t="shared" si="6"/>
        <v>303712718148.09918</v>
      </c>
      <c r="N53" s="34">
        <f t="shared" si="7"/>
        <v>0</v>
      </c>
      <c r="O53" s="34">
        <f t="shared" si="8"/>
        <v>303712718148.09918</v>
      </c>
      <c r="P53" s="34">
        <f>O53*2.8%</f>
        <v>8503956108.1467762</v>
      </c>
      <c r="Q53" s="38">
        <f t="shared" si="15"/>
        <v>295208762039.95239</v>
      </c>
      <c r="R53" s="39">
        <f t="shared" si="16"/>
        <v>0</v>
      </c>
      <c r="S53" s="34">
        <f t="shared" si="17"/>
        <v>293674163733.08881</v>
      </c>
      <c r="T53" s="40">
        <v>10173782135</v>
      </c>
      <c r="U53" s="272">
        <f t="shared" si="9"/>
        <v>2.5853062235832228E-2</v>
      </c>
      <c r="V53" s="282">
        <f t="shared" si="10"/>
        <v>93.044363599300553</v>
      </c>
      <c r="W53" s="283">
        <f>((S53+'Malawi-only'!S53)/(T53*(U53+'Malawi-only'!U53))/12)</f>
        <v>84.790281930674325</v>
      </c>
      <c r="X53" s="284">
        <f>(R53+'Malawi-only'!R53)</f>
        <v>1885650951.7682226</v>
      </c>
      <c r="Y53" s="284">
        <f>(L53+'Malawi-only'!L53)</f>
        <v>4882898452832.9385</v>
      </c>
      <c r="Z53" s="284">
        <f>(Q53+'Malawi-only'!Q53)</f>
        <v>298980063943.48883</v>
      </c>
    </row>
    <row r="54" spans="1:26" ht="15.75" customHeight="1">
      <c r="A54" s="31" t="s">
        <v>87</v>
      </c>
      <c r="B54" s="32">
        <v>2070</v>
      </c>
      <c r="C54" s="271">
        <f t="shared" si="11"/>
        <v>8.4391074908875211E-3</v>
      </c>
      <c r="D54" s="271">
        <f t="shared" si="19"/>
        <v>8.4391074908875211E-3</v>
      </c>
      <c r="E54" s="34">
        <f t="shared" si="21"/>
        <v>0</v>
      </c>
      <c r="F54" s="42">
        <v>4000</v>
      </c>
      <c r="G54" s="34">
        <f t="shared" si="20"/>
        <v>33756429963.550083</v>
      </c>
      <c r="H54" s="34">
        <f t="shared" si="4"/>
        <v>33587647813.732334</v>
      </c>
      <c r="I54" s="43">
        <v>1</v>
      </c>
      <c r="J54" s="36">
        <f t="shared" si="5"/>
        <v>33587647813.732334</v>
      </c>
      <c r="K54" s="34">
        <f t="shared" si="13"/>
        <v>4904570619013.4961</v>
      </c>
      <c r="L54" s="37">
        <f t="shared" si="14"/>
        <v>4851997231593.3994</v>
      </c>
      <c r="M54" s="34">
        <f t="shared" si="6"/>
        <v>305675825590.38416</v>
      </c>
      <c r="N54" s="34">
        <f t="shared" si="7"/>
        <v>0</v>
      </c>
      <c r="O54" s="34">
        <f t="shared" si="8"/>
        <v>305675825590.38416</v>
      </c>
      <c r="P54" s="34">
        <f>O54*3%</f>
        <v>9170274767.711525</v>
      </c>
      <c r="Q54" s="38">
        <f t="shared" si="15"/>
        <v>296505550822.67261</v>
      </c>
      <c r="R54" s="39">
        <f t="shared" si="16"/>
        <v>0</v>
      </c>
      <c r="S54" s="34">
        <f t="shared" si="17"/>
        <v>295208762039.95239</v>
      </c>
      <c r="T54" s="40">
        <v>10189241959</v>
      </c>
      <c r="U54" s="272">
        <f t="shared" si="9"/>
        <v>2.5853062235832228E-2</v>
      </c>
      <c r="V54" s="282">
        <f t="shared" si="10"/>
        <v>93.388657117712327</v>
      </c>
      <c r="W54" s="283">
        <f>((S54+'Malawi-only'!S54)/(T54*(U54+'Malawi-only'!U54))/12)</f>
        <v>85.104974506537772</v>
      </c>
      <c r="X54" s="284">
        <f>(R54+'Malawi-only'!R54)</f>
        <v>1898792216.4780772</v>
      </c>
      <c r="Y54" s="284">
        <f>(L54+'Malawi-only'!L54)</f>
        <v>4914575057415.5869</v>
      </c>
      <c r="Z54" s="284">
        <f>(Q54+'Malawi-only'!Q54)</f>
        <v>300303135255.62878</v>
      </c>
    </row>
    <row r="55" spans="1:26" ht="15.75" customHeight="1">
      <c r="A55" s="31" t="s">
        <v>88</v>
      </c>
      <c r="B55" s="32">
        <v>2071</v>
      </c>
      <c r="C55" s="271">
        <f t="shared" si="11"/>
        <v>7.5951967417987694E-3</v>
      </c>
      <c r="D55" s="271">
        <f t="shared" si="19"/>
        <v>7.5951967417987694E-3</v>
      </c>
      <c r="E55" s="34">
        <f t="shared" si="21"/>
        <v>0</v>
      </c>
      <c r="F55" s="42">
        <v>4000</v>
      </c>
      <c r="G55" s="34">
        <f t="shared" si="20"/>
        <v>30380786967.19508</v>
      </c>
      <c r="H55" s="34">
        <f t="shared" si="4"/>
        <v>30228883032.359104</v>
      </c>
      <c r="I55" s="43">
        <v>1</v>
      </c>
      <c r="J55" s="36">
        <f t="shared" si="5"/>
        <v>30228883032.359104</v>
      </c>
      <c r="K55" s="34">
        <f t="shared" si="13"/>
        <v>4934799502045.8555</v>
      </c>
      <c r="L55" s="37">
        <f t="shared" si="14"/>
        <v>4879785001568.4463</v>
      </c>
      <c r="M55" s="34">
        <f t="shared" si="6"/>
        <v>307426455098.81213</v>
      </c>
      <c r="N55" s="34">
        <f t="shared" si="7"/>
        <v>0</v>
      </c>
      <c r="O55" s="34">
        <f t="shared" si="8"/>
        <v>307426455098.81213</v>
      </c>
      <c r="P55" s="34">
        <f>O55*3.2%</f>
        <v>9837646563.1619892</v>
      </c>
      <c r="Q55" s="38">
        <f t="shared" si="15"/>
        <v>297588808535.65015</v>
      </c>
      <c r="R55" s="39">
        <f t="shared" si="16"/>
        <v>0</v>
      </c>
      <c r="S55" s="34">
        <f t="shared" si="17"/>
        <v>296505550822.67261</v>
      </c>
      <c r="T55" s="40">
        <v>10203681568</v>
      </c>
      <c r="U55" s="272">
        <f t="shared" si="9"/>
        <v>2.5853062235832228E-2</v>
      </c>
      <c r="V55" s="282">
        <f t="shared" si="10"/>
        <v>93.66615516067867</v>
      </c>
      <c r="W55" s="283">
        <f>((S55+'Malawi-only'!S55)/(T55*(U55+'Malawi-only'!U55))/12)</f>
        <v>85.358860357971608</v>
      </c>
      <c r="X55" s="284">
        <f>(R55+'Malawi-only'!R55)</f>
        <v>1910636941.389065</v>
      </c>
      <c r="Y55" s="284">
        <f>(L55+'Malawi-only'!L55)</f>
        <v>4942843783875.6963</v>
      </c>
      <c r="Z55" s="284">
        <f>(Q55+'Malawi-only'!Q55)</f>
        <v>301410082418.42828</v>
      </c>
    </row>
    <row r="56" spans="1:26" ht="15.75" customHeight="1">
      <c r="A56" s="31" t="s">
        <v>89</v>
      </c>
      <c r="B56" s="32">
        <v>2072</v>
      </c>
      <c r="C56" s="271">
        <f t="shared" si="11"/>
        <v>6.8356770676188923E-3</v>
      </c>
      <c r="D56" s="271">
        <f t="shared" si="19"/>
        <v>6.8356770676188923E-3</v>
      </c>
      <c r="E56" s="34">
        <f t="shared" si="21"/>
        <v>0</v>
      </c>
      <c r="F56" s="42">
        <v>4000</v>
      </c>
      <c r="G56" s="34">
        <f t="shared" si="20"/>
        <v>27342708270.475571</v>
      </c>
      <c r="H56" s="34">
        <f t="shared" si="4"/>
        <v>27205994729.123192</v>
      </c>
      <c r="I56" s="43">
        <v>1</v>
      </c>
      <c r="J56" s="36">
        <f t="shared" si="5"/>
        <v>27205994729.123192</v>
      </c>
      <c r="K56" s="34">
        <f t="shared" si="13"/>
        <v>4962005496774.9785</v>
      </c>
      <c r="L56" s="37">
        <f t="shared" si="14"/>
        <v>4904537500799.4209</v>
      </c>
      <c r="M56" s="34">
        <f t="shared" si="6"/>
        <v>308985862550.36353</v>
      </c>
      <c r="N56" s="34">
        <f t="shared" si="7"/>
        <v>0</v>
      </c>
      <c r="O56" s="34">
        <f t="shared" si="8"/>
        <v>308985862550.36353</v>
      </c>
      <c r="P56" s="34">
        <f>O56*3.4%</f>
        <v>10505519326.71236</v>
      </c>
      <c r="Q56" s="38">
        <f t="shared" si="15"/>
        <v>298480343223.65118</v>
      </c>
      <c r="R56" s="39">
        <f t="shared" si="16"/>
        <v>0</v>
      </c>
      <c r="S56" s="34">
        <f t="shared" si="17"/>
        <v>297588808535.65015</v>
      </c>
      <c r="T56" s="40">
        <v>10217055169</v>
      </c>
      <c r="U56" s="272">
        <f t="shared" si="9"/>
        <v>2.5853062235832228E-2</v>
      </c>
      <c r="V56" s="282">
        <f t="shared" si="10"/>
        <v>93.885304345697634</v>
      </c>
      <c r="W56" s="283">
        <f>((S56+'Malawi-only'!S56)/(T56*(U56+'Malawi-only'!U56))/12)</f>
        <v>85.559637591501485</v>
      </c>
      <c r="X56" s="284">
        <f>(R56+'Malawi-only'!R56)</f>
        <v>1921343650.3512371</v>
      </c>
      <c r="Y56" s="284">
        <f>(L56+'Malawi-only'!L56)</f>
        <v>4968046484962.1836</v>
      </c>
      <c r="Z56" s="284">
        <f>(Q56+'Malawi-only'!Q56)</f>
        <v>302323030524.35364</v>
      </c>
    </row>
    <row r="57" spans="1:26" ht="15.75" customHeight="1">
      <c r="A57" s="31" t="s">
        <v>90</v>
      </c>
      <c r="B57" s="32">
        <v>2073</v>
      </c>
      <c r="C57" s="271">
        <f t="shared" si="11"/>
        <v>6.1521093608570034E-3</v>
      </c>
      <c r="D57" s="271">
        <f t="shared" si="19"/>
        <v>6.1521093608570034E-3</v>
      </c>
      <c r="E57" s="34">
        <f t="shared" si="21"/>
        <v>0</v>
      </c>
      <c r="F57" s="42">
        <v>4000</v>
      </c>
      <c r="G57" s="34">
        <f t="shared" si="20"/>
        <v>24608437443.428013</v>
      </c>
      <c r="H57" s="34">
        <f t="shared" si="4"/>
        <v>24485395256.210873</v>
      </c>
      <c r="I57" s="35">
        <f t="shared" ref="I57:I184" si="23">100%</f>
        <v>1</v>
      </c>
      <c r="J57" s="36">
        <f t="shared" si="5"/>
        <v>24485395256.210873</v>
      </c>
      <c r="K57" s="34">
        <f t="shared" si="13"/>
        <v>4986490892031.1895</v>
      </c>
      <c r="L57" s="37">
        <f t="shared" si="14"/>
        <v>4926558384607.6045</v>
      </c>
      <c r="M57" s="34">
        <f t="shared" si="6"/>
        <v>310373178230.27911</v>
      </c>
      <c r="N57" s="34">
        <f t="shared" si="7"/>
        <v>0</v>
      </c>
      <c r="O57" s="34">
        <f t="shared" si="8"/>
        <v>310373178230.27911</v>
      </c>
      <c r="P57" s="34">
        <f>O57*3.6%</f>
        <v>11173434416.290049</v>
      </c>
      <c r="Q57" s="38">
        <f t="shared" si="15"/>
        <v>299199743813.98907</v>
      </c>
      <c r="R57" s="39">
        <f t="shared" si="16"/>
        <v>0</v>
      </c>
      <c r="S57" s="34">
        <f t="shared" si="17"/>
        <v>298480343223.65118</v>
      </c>
      <c r="T57" s="40">
        <v>10229327824</v>
      </c>
      <c r="U57" s="272">
        <f t="shared" si="9"/>
        <v>2.5853062235832228E-2</v>
      </c>
      <c r="V57" s="282">
        <f t="shared" si="10"/>
        <v>94.05359514319683</v>
      </c>
      <c r="W57" s="283">
        <f>((S57+'Malawi-only'!S57)/(T57*(U57+'Malawi-only'!U57))/12)</f>
        <v>85.714132908639655</v>
      </c>
      <c r="X57" s="284">
        <f>(R57+'Malawi-only'!R57)</f>
        <v>1931054553.506882</v>
      </c>
      <c r="Y57" s="284">
        <f>(L57+'Malawi-only'!L57)</f>
        <v>4990490828973.999</v>
      </c>
      <c r="Z57" s="284">
        <f>(Q57+'Malawi-only'!Q57)</f>
        <v>303061852921.00287</v>
      </c>
    </row>
    <row r="58" spans="1:26" ht="15.75" customHeight="1">
      <c r="A58" s="31" t="s">
        <v>91</v>
      </c>
      <c r="B58" s="32">
        <v>2074</v>
      </c>
      <c r="C58" s="271">
        <f t="shared" si="11"/>
        <v>5.5368984247713034E-3</v>
      </c>
      <c r="D58" s="271">
        <f t="shared" si="19"/>
        <v>5.5368984247713034E-3</v>
      </c>
      <c r="E58" s="34">
        <f t="shared" si="21"/>
        <v>0</v>
      </c>
      <c r="F58" s="42">
        <v>4000</v>
      </c>
      <c r="G58" s="34">
        <f t="shared" si="20"/>
        <v>22147593699.085213</v>
      </c>
      <c r="H58" s="34">
        <f t="shared" si="4"/>
        <v>22036855730.589787</v>
      </c>
      <c r="I58" s="35">
        <f t="shared" si="23"/>
        <v>1</v>
      </c>
      <c r="J58" s="36">
        <f t="shared" si="5"/>
        <v>22036855730.589787</v>
      </c>
      <c r="K58" s="34">
        <f t="shared" si="13"/>
        <v>5008527747761.7793</v>
      </c>
      <c r="L58" s="37">
        <f t="shared" si="14"/>
        <v>4946120942718.0254</v>
      </c>
      <c r="M58" s="34">
        <f t="shared" si="6"/>
        <v>311605619391.2356</v>
      </c>
      <c r="N58" s="34">
        <f t="shared" si="7"/>
        <v>0</v>
      </c>
      <c r="O58" s="34">
        <f t="shared" si="8"/>
        <v>311605619391.2356</v>
      </c>
      <c r="P58" s="34">
        <f>O58*3.8%</f>
        <v>11841013536.866953</v>
      </c>
      <c r="Q58" s="38">
        <f t="shared" si="15"/>
        <v>299764605854.36865</v>
      </c>
      <c r="R58" s="39">
        <f t="shared" si="16"/>
        <v>0</v>
      </c>
      <c r="S58" s="34">
        <f t="shared" si="17"/>
        <v>299199743813.98907</v>
      </c>
      <c r="T58" s="40">
        <v>10240485056</v>
      </c>
      <c r="U58" s="272">
        <f t="shared" si="9"/>
        <v>2.5853062235832228E-2</v>
      </c>
      <c r="V58" s="282">
        <f t="shared" si="10"/>
        <v>94.177563720151909</v>
      </c>
      <c r="W58" s="283">
        <f>((S58+'Malawi-only'!S58)/(T58*(U58+'Malawi-only'!U58))/12)</f>
        <v>85.828303300343421</v>
      </c>
      <c r="X58" s="284">
        <f>(R58+'Malawi-only'!R58)</f>
        <v>1939897236.6112804</v>
      </c>
      <c r="Y58" s="284">
        <f>(L58+'Malawi-only'!L58)</f>
        <v>5010453719125.6309</v>
      </c>
      <c r="Z58" s="284">
        <f>(Q58+'Malawi-only'!Q58)</f>
        <v>303644400327.59119</v>
      </c>
    </row>
    <row r="59" spans="1:26" ht="15.75" customHeight="1">
      <c r="A59" s="31" t="s">
        <v>92</v>
      </c>
      <c r="B59" s="32">
        <v>2075</v>
      </c>
      <c r="C59" s="271">
        <f t="shared" si="11"/>
        <v>4.9832085822941732E-3</v>
      </c>
      <c r="D59" s="271">
        <f t="shared" si="19"/>
        <v>4.9832085822941732E-3</v>
      </c>
      <c r="E59" s="34">
        <f t="shared" si="21"/>
        <v>0</v>
      </c>
      <c r="F59" s="42">
        <v>4000</v>
      </c>
      <c r="G59" s="34">
        <f t="shared" si="20"/>
        <v>19932834329.176693</v>
      </c>
      <c r="H59" s="34">
        <f t="shared" si="4"/>
        <v>19833170157.530811</v>
      </c>
      <c r="I59" s="35">
        <f t="shared" si="23"/>
        <v>1</v>
      </c>
      <c r="J59" s="36">
        <f t="shared" si="5"/>
        <v>19833170157.530811</v>
      </c>
      <c r="K59" s="34">
        <f t="shared" si="13"/>
        <v>5028360917919.3105</v>
      </c>
      <c r="L59" s="37">
        <f t="shared" si="14"/>
        <v>4963471135819.1191</v>
      </c>
      <c r="M59" s="34">
        <f t="shared" si="6"/>
        <v>312698681556.60449</v>
      </c>
      <c r="N59" s="34">
        <f t="shared" si="7"/>
        <v>0</v>
      </c>
      <c r="O59" s="34">
        <f t="shared" si="8"/>
        <v>312698681556.60449</v>
      </c>
      <c r="P59" s="34">
        <f>O59*4%</f>
        <v>12507947262.264179</v>
      </c>
      <c r="Q59" s="38">
        <f t="shared" si="15"/>
        <v>300190734294.34033</v>
      </c>
      <c r="R59" s="39">
        <f t="shared" si="16"/>
        <v>0</v>
      </c>
      <c r="S59" s="34">
        <f t="shared" si="17"/>
        <v>299764605854.36865</v>
      </c>
      <c r="T59" s="40">
        <v>10250496432</v>
      </c>
      <c r="U59" s="272">
        <f t="shared" si="9"/>
        <v>2.5853062235832228E-2</v>
      </c>
      <c r="V59" s="282">
        <f t="shared" si="10"/>
        <v>94.26320816837368</v>
      </c>
      <c r="W59" s="283">
        <f>((S59+'Malawi-only'!S59)/(T59*(U59+'Malawi-only'!U59))/12)</f>
        <v>85.907615384126473</v>
      </c>
      <c r="X59" s="284">
        <f>(R59+'Malawi-only'!R59)</f>
        <v>1947986176.3780553</v>
      </c>
      <c r="Y59" s="284">
        <f>(L59+'Malawi-only'!L59)</f>
        <v>5028184370921.4199</v>
      </c>
      <c r="Z59" s="284">
        <f>(Q59+'Malawi-only'!Q59)</f>
        <v>304086706647.09644</v>
      </c>
    </row>
    <row r="60" spans="1:26" ht="15.75" customHeight="1">
      <c r="A60" s="31" t="s">
        <v>93</v>
      </c>
      <c r="B60" s="32">
        <v>2076</v>
      </c>
      <c r="C60" s="271">
        <f t="shared" si="11"/>
        <v>4.484887724064756E-3</v>
      </c>
      <c r="D60" s="271">
        <f t="shared" si="19"/>
        <v>4.484887724064756E-3</v>
      </c>
      <c r="E60" s="34">
        <f t="shared" si="21"/>
        <v>0</v>
      </c>
      <c r="F60" s="42">
        <v>4000</v>
      </c>
      <c r="G60" s="34">
        <f t="shared" si="20"/>
        <v>17939550896.259026</v>
      </c>
      <c r="H60" s="34">
        <f t="shared" si="4"/>
        <v>17849853141.777729</v>
      </c>
      <c r="I60" s="35">
        <f t="shared" si="23"/>
        <v>1</v>
      </c>
      <c r="J60" s="36">
        <f t="shared" si="5"/>
        <v>17849853141.777729</v>
      </c>
      <c r="K60" s="34">
        <f t="shared" si="13"/>
        <v>5046210771061.0879</v>
      </c>
      <c r="L60" s="37">
        <f t="shared" ref="L60:L184" si="24">(L59+J60+P59)*(1-$L$3)</f>
        <v>4991332021755.0498</v>
      </c>
      <c r="M60" s="34">
        <f t="shared" si="6"/>
        <v>314453917370.56812</v>
      </c>
      <c r="N60" s="34">
        <f t="shared" si="7"/>
        <v>0</v>
      </c>
      <c r="O60" s="34">
        <f t="shared" si="8"/>
        <v>314453917370.56812</v>
      </c>
      <c r="P60" s="34">
        <f>O60*4.5%</f>
        <v>14150426281.675564</v>
      </c>
      <c r="Q60" s="38">
        <f t="shared" si="15"/>
        <v>300303491088.89258</v>
      </c>
      <c r="R60" s="39">
        <f t="shared" si="16"/>
        <v>0</v>
      </c>
      <c r="S60" s="34">
        <f t="shared" si="17"/>
        <v>300190734294.34033</v>
      </c>
      <c r="T60" s="40">
        <v>10259351432</v>
      </c>
      <c r="U60" s="272">
        <f t="shared" si="9"/>
        <v>2.5853062235832228E-2</v>
      </c>
      <c r="V60" s="282">
        <f t="shared" si="10"/>
        <v>94.315731778657423</v>
      </c>
      <c r="W60" s="283">
        <f>((S60+'Malawi-only'!S60)/(T60*(U60+'Malawi-only'!U60))/12)</f>
        <v>85.955069406078607</v>
      </c>
      <c r="X60" s="284">
        <f>(R60+'Malawi-only'!R60)</f>
        <v>1949300642.255151</v>
      </c>
      <c r="Y60" s="284">
        <f>(L60+'Malawi-only'!L60)</f>
        <v>5056408775032.667</v>
      </c>
      <c r="Z60" s="284">
        <f>(Q60+'Malawi-only'!Q60)</f>
        <v>304202092373.40289</v>
      </c>
    </row>
    <row r="61" spans="1:26" ht="15.75" customHeight="1">
      <c r="A61" s="31" t="s">
        <v>94</v>
      </c>
      <c r="B61" s="32">
        <v>2077</v>
      </c>
      <c r="C61" s="271">
        <f t="shared" si="11"/>
        <v>4.0363989516582809E-3</v>
      </c>
      <c r="D61" s="271">
        <f t="shared" si="19"/>
        <v>4.0363989516582809E-3</v>
      </c>
      <c r="E61" s="34">
        <f t="shared" si="21"/>
        <v>0</v>
      </c>
      <c r="F61" s="42">
        <v>4000</v>
      </c>
      <c r="G61" s="34">
        <f t="shared" si="20"/>
        <v>16145595806.633125</v>
      </c>
      <c r="H61" s="34">
        <f t="shared" si="4"/>
        <v>16064867827.59996</v>
      </c>
      <c r="I61" s="35">
        <f t="shared" si="23"/>
        <v>1</v>
      </c>
      <c r="J61" s="36">
        <f t="shared" si="5"/>
        <v>16064867827.59996</v>
      </c>
      <c r="K61" s="34">
        <f t="shared" si="13"/>
        <v>5062275638888.6875</v>
      </c>
      <c r="L61" s="37">
        <f t="shared" si="24"/>
        <v>5019036542206.3936</v>
      </c>
      <c r="M61" s="34">
        <f t="shared" si="6"/>
        <v>316199302159.00281</v>
      </c>
      <c r="N61" s="34">
        <f t="shared" si="7"/>
        <v>0</v>
      </c>
      <c r="O61" s="34">
        <f t="shared" si="8"/>
        <v>316199302159.00281</v>
      </c>
      <c r="P61" s="34">
        <f>O61*5%</f>
        <v>15809965107.950142</v>
      </c>
      <c r="Q61" s="38">
        <f t="shared" si="15"/>
        <v>300389337051.05267</v>
      </c>
      <c r="R61" s="39">
        <f t="shared" si="16"/>
        <v>0</v>
      </c>
      <c r="S61" s="34">
        <f t="shared" si="17"/>
        <v>300303491088.89258</v>
      </c>
      <c r="T61" s="40">
        <v>10267045023</v>
      </c>
      <c r="U61" s="272">
        <f t="shared" si="9"/>
        <v>2.5853062235832228E-2</v>
      </c>
      <c r="V61" s="282">
        <f t="shared" si="10"/>
        <v>94.280456522858927</v>
      </c>
      <c r="W61" s="283">
        <f>((S61+'Malawi-only'!S61)/(T61*(U61+'Malawi-only'!U61))/12)</f>
        <v>85.922908252849368</v>
      </c>
      <c r="X61" s="284">
        <f>(R61+'Malawi-only'!R61)</f>
        <v>1949987492.8306777</v>
      </c>
      <c r="Y61" s="284">
        <f>(L61+'Malawi-only'!L61)</f>
        <v>5084474819254.9629</v>
      </c>
      <c r="Z61" s="284">
        <f>(Q61+'Malawi-only'!Q61)</f>
        <v>304289312036.71405</v>
      </c>
    </row>
    <row r="62" spans="1:26" ht="15.75" customHeight="1">
      <c r="A62" s="31" t="s">
        <v>95</v>
      </c>
      <c r="B62" s="32">
        <v>2078</v>
      </c>
      <c r="C62" s="271">
        <f t="shared" si="11"/>
        <v>3.6327590564924528E-3</v>
      </c>
      <c r="D62" s="271">
        <f t="shared" si="19"/>
        <v>3.6327590564924528E-3</v>
      </c>
      <c r="E62" s="34">
        <f t="shared" si="21"/>
        <v>0</v>
      </c>
      <c r="F62" s="42">
        <v>4000</v>
      </c>
      <c r="G62" s="34">
        <f t="shared" si="20"/>
        <v>14531036225.969812</v>
      </c>
      <c r="H62" s="34">
        <f t="shared" si="4"/>
        <v>14458381044.839964</v>
      </c>
      <c r="I62" s="35">
        <f t="shared" si="23"/>
        <v>1</v>
      </c>
      <c r="J62" s="36">
        <f t="shared" si="5"/>
        <v>14458381044.839964</v>
      </c>
      <c r="K62" s="34">
        <f t="shared" si="13"/>
        <v>5076734019933.5273</v>
      </c>
      <c r="L62" s="37">
        <f t="shared" si="24"/>
        <v>5046780235915.0039</v>
      </c>
      <c r="M62" s="34">
        <f t="shared" si="6"/>
        <v>317947154862.64526</v>
      </c>
      <c r="N62" s="34">
        <f t="shared" si="7"/>
        <v>0</v>
      </c>
      <c r="O62" s="34">
        <f t="shared" si="8"/>
        <v>317947154862.64526</v>
      </c>
      <c r="P62" s="34">
        <f>O62*5.5%</f>
        <v>17487093517.445488</v>
      </c>
      <c r="Q62" s="38">
        <f t="shared" si="15"/>
        <v>300460061345.19977</v>
      </c>
      <c r="R62" s="39">
        <f t="shared" si="16"/>
        <v>0</v>
      </c>
      <c r="S62" s="34">
        <f t="shared" si="17"/>
        <v>300389337051.05267</v>
      </c>
      <c r="T62" s="40">
        <v>10273556322</v>
      </c>
      <c r="U62" s="272">
        <f t="shared" si="9"/>
        <v>2.5853062235832228E-2</v>
      </c>
      <c r="V62" s="282">
        <f t="shared" si="10"/>
        <v>94.247636621232914</v>
      </c>
      <c r="W62" s="283">
        <f>((S62+'Malawi-only'!S62)/(T62*(U62+'Malawi-only'!U62))/12)</f>
        <v>85.892984996165595</v>
      </c>
      <c r="X62" s="284">
        <f>(R62+'Malawi-only'!R62)</f>
        <v>1950500237.6734259</v>
      </c>
      <c r="Y62" s="284">
        <f>(L62+'Malawi-only'!L62)</f>
        <v>5112580558827.4307</v>
      </c>
      <c r="Z62" s="284">
        <f>(Q62+'Malawi-only'!Q62)</f>
        <v>304361061820.54663</v>
      </c>
    </row>
    <row r="63" spans="1:26" ht="15.75" customHeight="1">
      <c r="A63" s="31" t="s">
        <v>96</v>
      </c>
      <c r="B63" s="32">
        <v>2079</v>
      </c>
      <c r="C63" s="271">
        <f t="shared" si="11"/>
        <v>3.2694831508432074E-3</v>
      </c>
      <c r="D63" s="271">
        <f t="shared" si="19"/>
        <v>3.2694831508432074E-3</v>
      </c>
      <c r="E63" s="34">
        <f t="shared" si="21"/>
        <v>0</v>
      </c>
      <c r="F63" s="42">
        <v>4000</v>
      </c>
      <c r="G63" s="34">
        <f t="shared" si="20"/>
        <v>13077932603.372829</v>
      </c>
      <c r="H63" s="34">
        <f t="shared" si="4"/>
        <v>13012542940.355965</v>
      </c>
      <c r="I63" s="35">
        <f t="shared" si="23"/>
        <v>1</v>
      </c>
      <c r="J63" s="36">
        <f t="shared" si="5"/>
        <v>13012542940.355965</v>
      </c>
      <c r="K63" s="34">
        <f t="shared" si="13"/>
        <v>5089746562873.8838</v>
      </c>
      <c r="L63" s="37">
        <f t="shared" si="24"/>
        <v>5074741232436.6191</v>
      </c>
      <c r="M63" s="34">
        <f t="shared" si="6"/>
        <v>319708697643.50702</v>
      </c>
      <c r="N63" s="34">
        <f t="shared" si="7"/>
        <v>0</v>
      </c>
      <c r="O63" s="34">
        <f t="shared" si="8"/>
        <v>319708697643.50702</v>
      </c>
      <c r="P63" s="34">
        <f>O63*6%</f>
        <v>19182521858.61042</v>
      </c>
      <c r="Q63" s="38">
        <f t="shared" si="15"/>
        <v>300526175784.89661</v>
      </c>
      <c r="R63" s="39">
        <f t="shared" si="16"/>
        <v>0</v>
      </c>
      <c r="S63" s="34">
        <f t="shared" si="17"/>
        <v>300460061345.19977</v>
      </c>
      <c r="T63" s="40">
        <v>10278887473</v>
      </c>
      <c r="U63" s="272">
        <f t="shared" si="9"/>
        <v>2.5853062235832228E-2</v>
      </c>
      <c r="V63" s="282">
        <f t="shared" si="10"/>
        <v>94.220933381389841</v>
      </c>
      <c r="W63" s="283">
        <f>((S63+'Malawi-only'!S63)/(T63*(U63+'Malawi-only'!U63))/12)</f>
        <v>85.868636097130192</v>
      </c>
      <c r="X63" s="284">
        <f>(R63+'Malawi-only'!R63)</f>
        <v>1950914432.0337603</v>
      </c>
      <c r="Y63" s="284">
        <f>(L63+'Malawi-only'!L63)</f>
        <v>5140906441725.0527</v>
      </c>
      <c r="Z63" s="284">
        <f>(Q63+'Malawi-only'!Q63)</f>
        <v>304428004648.96411</v>
      </c>
    </row>
    <row r="64" spans="1:26" ht="15.75" customHeight="1">
      <c r="A64" s="31" t="s">
        <v>97</v>
      </c>
      <c r="B64" s="32">
        <v>2080</v>
      </c>
      <c r="C64" s="271">
        <f t="shared" si="11"/>
        <v>2.9425348357588867E-3</v>
      </c>
      <c r="D64" s="271">
        <f t="shared" si="19"/>
        <v>2.9425348357588867E-3</v>
      </c>
      <c r="E64" s="34">
        <f t="shared" si="21"/>
        <v>0</v>
      </c>
      <c r="F64" s="42">
        <v>4000</v>
      </c>
      <c r="G64" s="34">
        <f t="shared" si="20"/>
        <v>11770139343.035547</v>
      </c>
      <c r="H64" s="34">
        <f t="shared" si="4"/>
        <v>11711288646.32037</v>
      </c>
      <c r="I64" s="35">
        <f t="shared" si="23"/>
        <v>1</v>
      </c>
      <c r="J64" s="36">
        <f t="shared" si="5"/>
        <v>11711288646.32037</v>
      </c>
      <c r="K64" s="34">
        <f t="shared" si="13"/>
        <v>5101457851520.2041</v>
      </c>
      <c r="L64" s="37">
        <f t="shared" si="24"/>
        <v>5103082225420.0791</v>
      </c>
      <c r="M64" s="34">
        <f t="shared" si="6"/>
        <v>321494180201.46497</v>
      </c>
      <c r="N64" s="34">
        <f t="shared" si="7"/>
        <v>0</v>
      </c>
      <c r="O64" s="34">
        <f t="shared" si="8"/>
        <v>321494180201.46497</v>
      </c>
      <c r="P64" s="34">
        <f>O64*6.5%</f>
        <v>20897121713.095222</v>
      </c>
      <c r="Q64" s="38">
        <f t="shared" si="15"/>
        <v>300597058488.36975</v>
      </c>
      <c r="R64" s="39">
        <f t="shared" si="16"/>
        <v>0</v>
      </c>
      <c r="S64" s="34">
        <f t="shared" si="17"/>
        <v>300526175784.89661</v>
      </c>
      <c r="T64" s="40">
        <v>10283078029</v>
      </c>
      <c r="U64" s="272">
        <f t="shared" si="9"/>
        <v>2.5853062235832228E-2</v>
      </c>
      <c r="V64" s="282">
        <f t="shared" si="10"/>
        <v>94.203260806817653</v>
      </c>
      <c r="W64" s="283">
        <f>((S64+'Malawi-only'!S64)/(T64*(U64+'Malawi-only'!U64))/12)</f>
        <v>85.852517204295381</v>
      </c>
      <c r="X64" s="284">
        <f>(R64+'Malawi-only'!R64)</f>
        <v>1951298202.1010079</v>
      </c>
      <c r="Y64" s="284">
        <f>(L64+'Malawi-only'!L64)</f>
        <v>5169617277001.3418</v>
      </c>
      <c r="Z64" s="284">
        <f>(Q64+'Malawi-only'!Q64)</f>
        <v>304499654892.57178</v>
      </c>
    </row>
    <row r="65" spans="1:26" ht="15.75" customHeight="1">
      <c r="A65" s="31" t="s">
        <v>98</v>
      </c>
      <c r="B65" s="32">
        <v>2081</v>
      </c>
      <c r="C65" s="271">
        <f t="shared" si="11"/>
        <v>2.6482813521829982E-3</v>
      </c>
      <c r="D65" s="271">
        <f t="shared" si="19"/>
        <v>2.6482813521829982E-3</v>
      </c>
      <c r="E65" s="34">
        <f t="shared" si="21"/>
        <v>0</v>
      </c>
      <c r="F65" s="42">
        <v>4000</v>
      </c>
      <c r="G65" s="34">
        <f t="shared" si="20"/>
        <v>10593125408.731993</v>
      </c>
      <c r="H65" s="34">
        <f t="shared" si="4"/>
        <v>10540159781.688334</v>
      </c>
      <c r="I65" s="35">
        <f t="shared" si="23"/>
        <v>1</v>
      </c>
      <c r="J65" s="36">
        <f t="shared" si="5"/>
        <v>10540159781.688334</v>
      </c>
      <c r="K65" s="34">
        <f t="shared" si="13"/>
        <v>5111998011301.8926</v>
      </c>
      <c r="L65" s="37">
        <f t="shared" si="24"/>
        <v>5131952247161.4063</v>
      </c>
      <c r="M65" s="34">
        <f t="shared" si="6"/>
        <v>323312991571.16858</v>
      </c>
      <c r="N65" s="34">
        <f t="shared" si="7"/>
        <v>0</v>
      </c>
      <c r="O65" s="34">
        <f t="shared" si="8"/>
        <v>323312991571.16858</v>
      </c>
      <c r="P65" s="34">
        <f>O65*7%</f>
        <v>22631909409.981804</v>
      </c>
      <c r="Q65" s="38">
        <f t="shared" si="15"/>
        <v>300681082161.18677</v>
      </c>
      <c r="R65" s="39">
        <f t="shared" si="16"/>
        <v>0</v>
      </c>
      <c r="S65" s="34">
        <f t="shared" si="17"/>
        <v>300597058488.36975</v>
      </c>
      <c r="T65" s="40">
        <v>10286161735</v>
      </c>
      <c r="U65" s="272">
        <f t="shared" si="9"/>
        <v>2.5853062235832228E-2</v>
      </c>
      <c r="V65" s="282">
        <f t="shared" si="10"/>
        <v>94.197231758317102</v>
      </c>
      <c r="W65" s="283">
        <f>((S65+'Malawi-only'!S65)/(T65*(U65+'Malawi-only'!U65))/12)</f>
        <v>85.847009502728682</v>
      </c>
      <c r="X65" s="284">
        <f>(R65+'Malawi-only'!R65)</f>
        <v>1951712256.3888559</v>
      </c>
      <c r="Y65" s="284">
        <f>(L65+'Malawi-only'!L65)</f>
        <v>5198864032770.1367</v>
      </c>
      <c r="Z65" s="284">
        <f>(Q65+'Malawi-only'!Q65)</f>
        <v>304584506673.96448</v>
      </c>
    </row>
    <row r="66" spans="1:26" ht="15.75" customHeight="1">
      <c r="A66" s="31" t="s">
        <v>99</v>
      </c>
      <c r="B66" s="32">
        <v>2082</v>
      </c>
      <c r="C66" s="271">
        <f t="shared" si="11"/>
        <v>2.3834532169646986E-3</v>
      </c>
      <c r="D66" s="271">
        <f t="shared" si="19"/>
        <v>2.3834532169646986E-3</v>
      </c>
      <c r="E66" s="34">
        <f t="shared" si="21"/>
        <v>0</v>
      </c>
      <c r="F66" s="42">
        <v>4000</v>
      </c>
      <c r="G66" s="34">
        <f t="shared" si="20"/>
        <v>9533812867.8587933</v>
      </c>
      <c r="H66" s="34">
        <f t="shared" si="4"/>
        <v>9486143803.5194988</v>
      </c>
      <c r="I66" s="35">
        <f t="shared" si="23"/>
        <v>1</v>
      </c>
      <c r="J66" s="36">
        <f t="shared" si="5"/>
        <v>9486143803.5194988</v>
      </c>
      <c r="K66" s="34">
        <f t="shared" si="13"/>
        <v>5121484155105.4121</v>
      </c>
      <c r="L66" s="37">
        <f t="shared" si="24"/>
        <v>5161488265224.7197</v>
      </c>
      <c r="M66" s="34">
        <f t="shared" si="6"/>
        <v>325173760709.15735</v>
      </c>
      <c r="N66" s="34">
        <f t="shared" si="7"/>
        <v>0</v>
      </c>
      <c r="O66" s="34">
        <f t="shared" si="8"/>
        <v>325173760709.15735</v>
      </c>
      <c r="P66" s="34">
        <f>O66*7.5%</f>
        <v>24388032053.186802</v>
      </c>
      <c r="Q66" s="38">
        <f t="shared" si="15"/>
        <v>300785728655.97052</v>
      </c>
      <c r="R66" s="39">
        <f t="shared" si="16"/>
        <v>0</v>
      </c>
      <c r="S66" s="34">
        <f t="shared" si="17"/>
        <v>300681082161.18677</v>
      </c>
      <c r="T66" s="40">
        <v>10288205050</v>
      </c>
      <c r="U66" s="272">
        <f t="shared" si="9"/>
        <v>2.5853062235832228E-2</v>
      </c>
      <c r="V66" s="282">
        <f t="shared" si="10"/>
        <v>94.204848504931078</v>
      </c>
      <c r="W66" s="283">
        <f>((S66+'Malawi-only'!S66)/(T66*(U66+'Malawi-only'!U66))/12)</f>
        <v>85.853937699437196</v>
      </c>
      <c r="X66" s="284">
        <f>(R66+'Malawi-only'!R66)</f>
        <v>1952210729.3444476</v>
      </c>
      <c r="Y66" s="284">
        <f>(L66+'Malawi-only'!L66)</f>
        <v>5228785453811.5596</v>
      </c>
      <c r="Z66" s="284">
        <f>(Q66+'Malawi-only'!Q66)</f>
        <v>304690150114.65942</v>
      </c>
    </row>
    <row r="67" spans="1:26" ht="15.75" customHeight="1">
      <c r="A67" s="31" t="s">
        <v>100</v>
      </c>
      <c r="B67" s="32">
        <v>2083</v>
      </c>
      <c r="C67" s="271">
        <f t="shared" si="11"/>
        <v>2.1451078952682287E-3</v>
      </c>
      <c r="D67" s="271">
        <f t="shared" si="19"/>
        <v>2.1451078952682287E-3</v>
      </c>
      <c r="E67" s="34">
        <f t="shared" si="21"/>
        <v>0</v>
      </c>
      <c r="F67" s="42">
        <v>4000</v>
      </c>
      <c r="G67" s="34">
        <f t="shared" si="20"/>
        <v>8580431581.0729151</v>
      </c>
      <c r="H67" s="34">
        <f t="shared" si="4"/>
        <v>8537529423.1675501</v>
      </c>
      <c r="I67" s="35">
        <f t="shared" si="23"/>
        <v>1</v>
      </c>
      <c r="J67" s="36">
        <f t="shared" si="5"/>
        <v>8537529423.1675501</v>
      </c>
      <c r="K67" s="34">
        <f t="shared" si="13"/>
        <v>5130021684528.5801</v>
      </c>
      <c r="L67" s="37">
        <f t="shared" si="24"/>
        <v>5191816619787.7236</v>
      </c>
      <c r="M67" s="34">
        <f t="shared" si="6"/>
        <v>327084447046.62659</v>
      </c>
      <c r="N67" s="34">
        <f t="shared" si="7"/>
        <v>0</v>
      </c>
      <c r="O67" s="34">
        <f t="shared" si="8"/>
        <v>327084447046.62659</v>
      </c>
      <c r="P67" s="34">
        <f>O67*8%</f>
        <v>26166755763.730129</v>
      </c>
      <c r="Q67" s="38">
        <f t="shared" si="15"/>
        <v>300917691282.89648</v>
      </c>
      <c r="R67" s="39">
        <f t="shared" si="16"/>
        <v>0</v>
      </c>
      <c r="S67" s="34">
        <f t="shared" si="17"/>
        <v>300785728655.97052</v>
      </c>
      <c r="T67" s="40">
        <v>10289247323</v>
      </c>
      <c r="U67" s="272">
        <f t="shared" si="9"/>
        <v>2.5853062235832228E-2</v>
      </c>
      <c r="V67" s="282">
        <f t="shared" si="10"/>
        <v>94.228088743566033</v>
      </c>
      <c r="W67" s="283">
        <f>((S67+'Malawi-only'!S67)/(T67*(U67+'Malawi-only'!U67))/12)</f>
        <v>85.875104096531516</v>
      </c>
      <c r="X67" s="284">
        <f>(R67+'Malawi-only'!R67)</f>
        <v>1952841931.9068773</v>
      </c>
      <c r="Y67" s="284">
        <f>(L67+'Malawi-only'!L67)</f>
        <v>5259509517796.0176</v>
      </c>
      <c r="Z67" s="284">
        <f>(Q67+'Malawi-only'!Q67)</f>
        <v>304823375146.71027</v>
      </c>
    </row>
    <row r="68" spans="1:26" ht="15.75" customHeight="1">
      <c r="A68" s="31" t="s">
        <v>101</v>
      </c>
      <c r="B68" s="32">
        <v>2084</v>
      </c>
      <c r="C68" s="271">
        <f t="shared" si="11"/>
        <v>1.9305971057414059E-3</v>
      </c>
      <c r="D68" s="271">
        <f t="shared" si="19"/>
        <v>1.9305971057414059E-3</v>
      </c>
      <c r="E68" s="34">
        <f t="shared" si="21"/>
        <v>0</v>
      </c>
      <c r="F68" s="42">
        <v>4000</v>
      </c>
      <c r="G68" s="34">
        <f t="shared" si="20"/>
        <v>7722388422.9656239</v>
      </c>
      <c r="H68" s="34">
        <f t="shared" si="4"/>
        <v>7683776480.8507957</v>
      </c>
      <c r="I68" s="35">
        <f t="shared" si="23"/>
        <v>1</v>
      </c>
      <c r="J68" s="36">
        <f t="shared" si="5"/>
        <v>7683776480.8507957</v>
      </c>
      <c r="K68" s="34">
        <f t="shared" si="13"/>
        <v>5137705461009.4307</v>
      </c>
      <c r="L68" s="37">
        <f t="shared" si="24"/>
        <v>5223054318456.2891</v>
      </c>
      <c r="M68" s="34">
        <f t="shared" si="6"/>
        <v>329052422062.74622</v>
      </c>
      <c r="N68" s="34">
        <f t="shared" si="7"/>
        <v>0</v>
      </c>
      <c r="O68" s="34">
        <f t="shared" si="8"/>
        <v>329052422062.74622</v>
      </c>
      <c r="P68" s="34">
        <f>O68*8.5%</f>
        <v>27969455875.333431</v>
      </c>
      <c r="Q68" s="38">
        <f t="shared" si="15"/>
        <v>301082966187.41278</v>
      </c>
      <c r="R68" s="39">
        <f t="shared" si="16"/>
        <v>0</v>
      </c>
      <c r="S68" s="34">
        <f t="shared" si="17"/>
        <v>300917691282.89648</v>
      </c>
      <c r="T68" s="40">
        <v>10289315244</v>
      </c>
      <c r="U68" s="272">
        <f t="shared" si="9"/>
        <v>2.5853062235832228E-2</v>
      </c>
      <c r="V68" s="282">
        <f t="shared" si="10"/>
        <v>94.268806805882306</v>
      </c>
      <c r="W68" s="283">
        <f>((S68+'Malawi-only'!S68)/(T68*(U68+'Malawi-only'!U68))/12)</f>
        <v>85.912198557165581</v>
      </c>
      <c r="X68" s="284">
        <f>(R68+'Malawi-only'!R68)</f>
        <v>1953649021.413681</v>
      </c>
      <c r="Y68" s="284">
        <f>(L68+'Malawi-only'!L68)</f>
        <v>5291154747092.5742</v>
      </c>
      <c r="Z68" s="284">
        <f>(Q68+'Malawi-only'!Q68)</f>
        <v>304990264230.24011</v>
      </c>
    </row>
    <row r="69" spans="1:26" ht="15.75" customHeight="1">
      <c r="A69" s="31" t="s">
        <v>102</v>
      </c>
      <c r="B69" s="32">
        <v>2085</v>
      </c>
      <c r="C69" s="271">
        <f t="shared" si="11"/>
        <v>1.7375373951672654E-3</v>
      </c>
      <c r="D69" s="271">
        <f t="shared" si="19"/>
        <v>1.7375373951672654E-3</v>
      </c>
      <c r="E69" s="34">
        <f t="shared" si="21"/>
        <v>0</v>
      </c>
      <c r="F69" s="42">
        <v>4000</v>
      </c>
      <c r="G69" s="34">
        <f t="shared" si="20"/>
        <v>6950149580.6690617</v>
      </c>
      <c r="H69" s="34">
        <f t="shared" si="4"/>
        <v>6915398832.7657166</v>
      </c>
      <c r="I69" s="35">
        <f t="shared" si="23"/>
        <v>1</v>
      </c>
      <c r="J69" s="36">
        <f t="shared" si="5"/>
        <v>6915398832.7657166</v>
      </c>
      <c r="K69" s="34">
        <f t="shared" si="13"/>
        <v>5144620859842.1963</v>
      </c>
      <c r="L69" s="37">
        <f t="shared" si="24"/>
        <v>5255310203577.8057</v>
      </c>
      <c r="M69" s="34">
        <f t="shared" si="6"/>
        <v>331084542825.40173</v>
      </c>
      <c r="N69" s="34">
        <f t="shared" si="7"/>
        <v>0</v>
      </c>
      <c r="O69" s="34">
        <f t="shared" si="8"/>
        <v>331084542825.40173</v>
      </c>
      <c r="P69" s="34">
        <f>O69*9%</f>
        <v>29797608854.286156</v>
      </c>
      <c r="Q69" s="38">
        <f t="shared" si="15"/>
        <v>301286933971.1156</v>
      </c>
      <c r="R69" s="39">
        <f t="shared" si="16"/>
        <v>0</v>
      </c>
      <c r="S69" s="34">
        <f t="shared" si="17"/>
        <v>301082966187.41278</v>
      </c>
      <c r="T69" s="40">
        <v>10288456599</v>
      </c>
      <c r="U69" s="272">
        <f t="shared" si="9"/>
        <v>2.5853062235832228E-2</v>
      </c>
      <c r="V69" s="282">
        <f t="shared" si="10"/>
        <v>94.328454376465274</v>
      </c>
      <c r="W69" s="283">
        <f>((S69+'Malawi-only'!S69)/(T69*(U69+'Malawi-only'!U69))/12)</f>
        <v>85.966543982313794</v>
      </c>
      <c r="X69" s="284">
        <f>(R69+'Malawi-only'!R69)</f>
        <v>1954670599.5465775</v>
      </c>
      <c r="Y69" s="284">
        <f>(L69+'Malawi-only'!L69)</f>
        <v>5323831391390.5645</v>
      </c>
      <c r="Z69" s="284">
        <f>(Q69+'Malawi-only'!Q69)</f>
        <v>305196275170.20874</v>
      </c>
    </row>
    <row r="70" spans="1:26" ht="15.75" customHeight="1">
      <c r="A70" s="31" t="s">
        <v>103</v>
      </c>
      <c r="B70" s="32">
        <v>2086</v>
      </c>
      <c r="C70" s="271">
        <f t="shared" si="11"/>
        <v>1.5637836556505389E-3</v>
      </c>
      <c r="D70" s="271">
        <f t="shared" si="19"/>
        <v>1.5637836556505389E-3</v>
      </c>
      <c r="E70" s="34">
        <f t="shared" si="21"/>
        <v>0</v>
      </c>
      <c r="F70" s="42">
        <v>4000</v>
      </c>
      <c r="G70" s="34">
        <f t="shared" si="20"/>
        <v>6255134622.6021557</v>
      </c>
      <c r="H70" s="34">
        <f t="shared" si="4"/>
        <v>6223858949.4891453</v>
      </c>
      <c r="I70" s="35">
        <f t="shared" si="23"/>
        <v>1</v>
      </c>
      <c r="J70" s="36">
        <f t="shared" si="5"/>
        <v>6223858949.4891453</v>
      </c>
      <c r="K70" s="34">
        <f t="shared" si="13"/>
        <v>5150844718791.6855</v>
      </c>
      <c r="L70" s="37">
        <f t="shared" si="24"/>
        <v>5288686005545.8906</v>
      </c>
      <c r="M70" s="34">
        <f t="shared" si="6"/>
        <v>333187218349.39111</v>
      </c>
      <c r="N70" s="34">
        <f t="shared" si="7"/>
        <v>0</v>
      </c>
      <c r="O70" s="34">
        <f t="shared" si="8"/>
        <v>333187218349.39111</v>
      </c>
      <c r="P70" s="34">
        <f>O70*9.5%</f>
        <v>31652785743.192158</v>
      </c>
      <c r="Q70" s="38">
        <f t="shared" si="15"/>
        <v>301534432606.19897</v>
      </c>
      <c r="R70" s="39">
        <f t="shared" si="16"/>
        <v>0</v>
      </c>
      <c r="S70" s="34">
        <f t="shared" si="17"/>
        <v>301286933971.1156</v>
      </c>
      <c r="T70" s="40">
        <v>10286708360</v>
      </c>
      <c r="U70" s="272">
        <f t="shared" si="9"/>
        <v>2.5853062235832228E-2</v>
      </c>
      <c r="V70" s="282">
        <f t="shared" si="10"/>
        <v>94.408399014329063</v>
      </c>
      <c r="W70" s="283">
        <f>((S70+'Malawi-only'!S70)/(T70*(U70+'Malawi-only'!U70))/12)</f>
        <v>86.039386597506009</v>
      </c>
      <c r="X70" s="284">
        <f>(R70+'Malawi-only'!R70)</f>
        <v>1955941246.0834908</v>
      </c>
      <c r="Y70" s="284">
        <f>(L70+'Malawi-only'!L70)</f>
        <v>5357642494805.7627</v>
      </c>
      <c r="Z70" s="284">
        <f>(Q70+'Malawi-only'!Q70)</f>
        <v>305446315098.36597</v>
      </c>
    </row>
    <row r="71" spans="1:26" ht="15.75" customHeight="1">
      <c r="A71" s="31" t="s">
        <v>104</v>
      </c>
      <c r="B71" s="32">
        <v>2087</v>
      </c>
      <c r="C71" s="271">
        <f t="shared" si="11"/>
        <v>1.407405290085485E-3</v>
      </c>
      <c r="D71" s="271">
        <f t="shared" si="19"/>
        <v>1.407405290085485E-3</v>
      </c>
      <c r="E71" s="34">
        <f t="shared" si="21"/>
        <v>0</v>
      </c>
      <c r="F71" s="42">
        <v>4000</v>
      </c>
      <c r="G71" s="34">
        <f t="shared" si="20"/>
        <v>5629621160.3419399</v>
      </c>
      <c r="H71" s="34">
        <f t="shared" si="4"/>
        <v>5601473054.5402298</v>
      </c>
      <c r="I71" s="35">
        <f t="shared" si="23"/>
        <v>1</v>
      </c>
      <c r="J71" s="36">
        <f t="shared" si="5"/>
        <v>5601473054.5402298</v>
      </c>
      <c r="K71" s="34">
        <f t="shared" si="13"/>
        <v>5156446191846.2256</v>
      </c>
      <c r="L71" s="37">
        <f t="shared" si="24"/>
        <v>5323277294211.4512</v>
      </c>
      <c r="M71" s="34">
        <f t="shared" si="6"/>
        <v>335366469535.32141</v>
      </c>
      <c r="N71" s="34">
        <f t="shared" si="7"/>
        <v>0</v>
      </c>
      <c r="O71" s="34">
        <f t="shared" si="8"/>
        <v>335366469535.32141</v>
      </c>
      <c r="P71" s="34">
        <f t="shared" ref="P71:P86" si="25">O71*$P$5</f>
        <v>33536646953.532143</v>
      </c>
      <c r="Q71" s="38">
        <f t="shared" si="15"/>
        <v>301829822581.78925</v>
      </c>
      <c r="R71" s="39">
        <f t="shared" si="16"/>
        <v>0</v>
      </c>
      <c r="S71" s="34">
        <f t="shared" si="17"/>
        <v>301534432606.19897</v>
      </c>
      <c r="T71" s="40">
        <v>10284111374</v>
      </c>
      <c r="U71" s="272">
        <f t="shared" si="9"/>
        <v>2.5853062235832228E-2</v>
      </c>
      <c r="V71" s="282">
        <f t="shared" si="10"/>
        <v>94.509812805689023</v>
      </c>
      <c r="W71" s="283">
        <f>((S71+'Malawi-only'!S71)/(T71*(U71+'Malawi-only'!U71))/12)</f>
        <v>86.131794476947903</v>
      </c>
      <c r="X71" s="284">
        <f>(R71+'Malawi-only'!R71)</f>
        <v>1957491995.3912306</v>
      </c>
      <c r="Y71" s="284">
        <f>(L71+'Malawi-only'!L71)</f>
        <v>5392684859746.502</v>
      </c>
      <c r="Z71" s="284">
        <f>(Q71+'Malawi-only'!Q71)</f>
        <v>305744806572.57172</v>
      </c>
    </row>
    <row r="72" spans="1:26" ht="15.75" customHeight="1">
      <c r="A72" s="31" t="s">
        <v>105</v>
      </c>
      <c r="B72" s="32">
        <v>2088</v>
      </c>
      <c r="C72" s="271">
        <f t="shared" si="11"/>
        <v>1.2666647610769365E-3</v>
      </c>
      <c r="D72" s="271">
        <f t="shared" si="19"/>
        <v>1.2666647610769365E-3</v>
      </c>
      <c r="E72" s="34">
        <f t="shared" si="21"/>
        <v>0</v>
      </c>
      <c r="F72" s="42">
        <v>4000</v>
      </c>
      <c r="G72" s="34">
        <f t="shared" si="20"/>
        <v>5066659044.3077459</v>
      </c>
      <c r="H72" s="34">
        <f t="shared" si="4"/>
        <v>5041325749.0862074</v>
      </c>
      <c r="I72" s="35">
        <f t="shared" si="23"/>
        <v>1</v>
      </c>
      <c r="J72" s="36">
        <f t="shared" si="5"/>
        <v>5041325749.0862074</v>
      </c>
      <c r="K72" s="34">
        <f t="shared" si="13"/>
        <v>5161487517595.3115</v>
      </c>
      <c r="L72" s="37">
        <f t="shared" si="24"/>
        <v>5359174339280.6123</v>
      </c>
      <c r="M72" s="34">
        <f t="shared" si="6"/>
        <v>337627983374.67859</v>
      </c>
      <c r="N72" s="34">
        <f t="shared" si="7"/>
        <v>0</v>
      </c>
      <c r="O72" s="34">
        <f t="shared" si="8"/>
        <v>337627983374.67859</v>
      </c>
      <c r="P72" s="34">
        <f t="shared" si="25"/>
        <v>33762798337.467861</v>
      </c>
      <c r="Q72" s="38">
        <f t="shared" si="15"/>
        <v>303865185037.21075</v>
      </c>
      <c r="R72" s="39">
        <f t="shared" si="16"/>
        <v>0</v>
      </c>
      <c r="S72" s="34">
        <f t="shared" si="17"/>
        <v>301829822581.78925</v>
      </c>
      <c r="T72" s="40">
        <v>10280704572</v>
      </c>
      <c r="U72" s="272">
        <f t="shared" si="9"/>
        <v>2.5853062235832228E-2</v>
      </c>
      <c r="V72" s="282">
        <f t="shared" si="10"/>
        <v>94.633745941566417</v>
      </c>
      <c r="W72" s="283">
        <f>((S72+'Malawi-only'!S72)/(T72*(U72+'Malawi-only'!U72))/12)</f>
        <v>86.247832158516346</v>
      </c>
      <c r="X72" s="284">
        <f>(R72+'Malawi-only'!R72)</f>
        <v>1970296855.4914327</v>
      </c>
      <c r="Y72" s="284">
        <f>(L72+'Malawi-only'!L72)</f>
        <v>5429049918564.1855</v>
      </c>
      <c r="Z72" s="284">
        <f>(Q72+'Malawi-only'!Q72)</f>
        <v>307805778748.1936</v>
      </c>
    </row>
    <row r="73" spans="1:26" ht="15.75" customHeight="1">
      <c r="A73" s="31" t="s">
        <v>106</v>
      </c>
      <c r="B73" s="32">
        <v>2089</v>
      </c>
      <c r="C73" s="271">
        <f t="shared" si="11"/>
        <v>1.139998284969243E-3</v>
      </c>
      <c r="D73" s="271">
        <f t="shared" si="19"/>
        <v>1.139998284969243E-3</v>
      </c>
      <c r="E73" s="34">
        <f t="shared" si="21"/>
        <v>0</v>
      </c>
      <c r="F73" s="42">
        <v>4000</v>
      </c>
      <c r="G73" s="34">
        <f t="shared" si="20"/>
        <v>4559993139.8769722</v>
      </c>
      <c r="H73" s="34">
        <f t="shared" si="4"/>
        <v>4537193174.1775875</v>
      </c>
      <c r="I73" s="35">
        <f t="shared" si="23"/>
        <v>1</v>
      </c>
      <c r="J73" s="36">
        <f t="shared" si="5"/>
        <v>4537193174.1775875</v>
      </c>
      <c r="K73" s="34">
        <f t="shared" si="13"/>
        <v>5166024710769.4893</v>
      </c>
      <c r="L73" s="37">
        <f t="shared" si="24"/>
        <v>5394775593626.8623</v>
      </c>
      <c r="M73" s="34">
        <f t="shared" si="6"/>
        <v>339870862398.49231</v>
      </c>
      <c r="N73" s="34">
        <f t="shared" si="7"/>
        <v>0</v>
      </c>
      <c r="O73" s="34">
        <f t="shared" si="8"/>
        <v>339870862398.49231</v>
      </c>
      <c r="P73" s="34">
        <f t="shared" si="25"/>
        <v>33987086239.849232</v>
      </c>
      <c r="Q73" s="38">
        <f t="shared" si="15"/>
        <v>305883776158.64307</v>
      </c>
      <c r="R73" s="39">
        <f t="shared" si="16"/>
        <v>0</v>
      </c>
      <c r="S73" s="34">
        <f t="shared" si="17"/>
        <v>303865185037.21075</v>
      </c>
      <c r="T73" s="40">
        <v>10276518280</v>
      </c>
      <c r="U73" s="272">
        <f t="shared" si="9"/>
        <v>2.5853062235832228E-2</v>
      </c>
      <c r="V73" s="282">
        <f t="shared" si="10"/>
        <v>95.310710576885356</v>
      </c>
      <c r="W73" s="283">
        <f>((S73+'Malawi-only'!S73)/(T73*(U73+'Malawi-only'!U73))/12)</f>
        <v>86.864807728867447</v>
      </c>
      <c r="X73" s="284">
        <f>(R73+'Malawi-only'!R73)</f>
        <v>1983582525.5755365</v>
      </c>
      <c r="Y73" s="284">
        <f>(L73+'Malawi-only'!L73)</f>
        <v>5465115235847.6104</v>
      </c>
      <c r="Z73" s="284">
        <f>(Q73+'Malawi-only'!Q73)</f>
        <v>309850941209.79413</v>
      </c>
    </row>
    <row r="74" spans="1:26" ht="15.75" customHeight="1">
      <c r="A74" s="31" t="s">
        <v>107</v>
      </c>
      <c r="B74" s="32">
        <v>2090</v>
      </c>
      <c r="C74" s="271">
        <f t="shared" si="11"/>
        <v>1.0259984564723187E-3</v>
      </c>
      <c r="D74" s="271">
        <f t="shared" si="19"/>
        <v>1.0259984564723187E-3</v>
      </c>
      <c r="E74" s="34">
        <f t="shared" si="21"/>
        <v>0</v>
      </c>
      <c r="F74" s="42">
        <v>4000</v>
      </c>
      <c r="G74" s="34">
        <f t="shared" si="20"/>
        <v>4103993825.8892741</v>
      </c>
      <c r="H74" s="34">
        <f t="shared" si="4"/>
        <v>4083473856.7598276</v>
      </c>
      <c r="I74" s="35">
        <f t="shared" si="23"/>
        <v>1</v>
      </c>
      <c r="J74" s="36">
        <f t="shared" si="5"/>
        <v>4083473856.7598276</v>
      </c>
      <c r="K74" s="34">
        <f t="shared" si="13"/>
        <v>5170108184626.249</v>
      </c>
      <c r="L74" s="37">
        <f t="shared" si="24"/>
        <v>5430129730646.6104</v>
      </c>
      <c r="M74" s="34">
        <f t="shared" si="6"/>
        <v>342098173030.73645</v>
      </c>
      <c r="N74" s="34">
        <f t="shared" si="7"/>
        <v>0</v>
      </c>
      <c r="O74" s="34">
        <f t="shared" si="8"/>
        <v>342098173030.73645</v>
      </c>
      <c r="P74" s="34">
        <f t="shared" si="25"/>
        <v>34209817303.073647</v>
      </c>
      <c r="Q74" s="38">
        <f t="shared" si="15"/>
        <v>307888355727.66278</v>
      </c>
      <c r="R74" s="39">
        <f t="shared" si="16"/>
        <v>0</v>
      </c>
      <c r="S74" s="34">
        <f t="shared" si="17"/>
        <v>305883776158.64307</v>
      </c>
      <c r="T74" s="40">
        <v>10271565070</v>
      </c>
      <c r="U74" s="272">
        <f t="shared" si="9"/>
        <v>2.5853062235832228E-2</v>
      </c>
      <c r="V74" s="282">
        <f t="shared" si="10"/>
        <v>95.990130809481798</v>
      </c>
      <c r="W74" s="283">
        <f>((S74+'Malawi-only'!S74)/(T74*(U74+'Malawi-only'!U74))/12)</f>
        <v>87.484020535571332</v>
      </c>
      <c r="X74" s="284">
        <f>(R74+'Malawi-only'!R74)</f>
        <v>1996756042.5951571</v>
      </c>
      <c r="Y74" s="284">
        <f>(L74+'Malawi-only'!L74)</f>
        <v>5500930251818.2969</v>
      </c>
      <c r="Z74" s="284">
        <f>(Q74+'Malawi-only'!Q74)</f>
        <v>311881867812.85309</v>
      </c>
    </row>
    <row r="75" spans="1:26" ht="15.75" customHeight="1">
      <c r="A75" s="31" t="s">
        <v>108</v>
      </c>
      <c r="B75" s="32">
        <v>2091</v>
      </c>
      <c r="C75" s="271">
        <f t="shared" si="11"/>
        <v>9.2339861082508688E-4</v>
      </c>
      <c r="D75" s="271">
        <f t="shared" si="19"/>
        <v>9.2339861082508688E-4</v>
      </c>
      <c r="E75" s="34">
        <f t="shared" si="21"/>
        <v>0</v>
      </c>
      <c r="F75" s="42">
        <v>4000</v>
      </c>
      <c r="G75" s="34">
        <f t="shared" si="20"/>
        <v>3693594443.3003478</v>
      </c>
      <c r="H75" s="34">
        <f t="shared" si="4"/>
        <v>3675126471.0838461</v>
      </c>
      <c r="I75" s="35">
        <f t="shared" si="23"/>
        <v>1</v>
      </c>
      <c r="J75" s="36">
        <f t="shared" si="5"/>
        <v>3675126471.0838461</v>
      </c>
      <c r="K75" s="34">
        <f t="shared" si="13"/>
        <v>5173783311097.333</v>
      </c>
      <c r="L75" s="37">
        <f t="shared" si="24"/>
        <v>5465280667083.5576</v>
      </c>
      <c r="M75" s="34">
        <f t="shared" si="6"/>
        <v>344312682026.26416</v>
      </c>
      <c r="N75" s="34">
        <f t="shared" si="7"/>
        <v>0</v>
      </c>
      <c r="O75" s="34">
        <f t="shared" si="8"/>
        <v>344312682026.26416</v>
      </c>
      <c r="P75" s="34">
        <f t="shared" si="25"/>
        <v>34431268202.626419</v>
      </c>
      <c r="Q75" s="38">
        <f t="shared" si="15"/>
        <v>309881413823.63776</v>
      </c>
      <c r="R75" s="39">
        <f t="shared" si="16"/>
        <v>0</v>
      </c>
      <c r="S75" s="34">
        <f t="shared" si="17"/>
        <v>307888355727.66278</v>
      </c>
      <c r="T75" s="40">
        <v>10265861714</v>
      </c>
      <c r="U75" s="272">
        <f t="shared" si="9"/>
        <v>2.5853062235832228E-2</v>
      </c>
      <c r="V75" s="282">
        <f t="shared" si="10"/>
        <v>96.672871059020565</v>
      </c>
      <c r="W75" s="283">
        <f>((S75+'Malawi-only'!S75)/(T75*(U75+'Malawi-only'!U75))/12)</f>
        <v>88.106259463858052</v>
      </c>
      <c r="X75" s="284">
        <f>(R75+'Malawi-only'!R75)</f>
        <v>2009839174.6830652</v>
      </c>
      <c r="Y75" s="284">
        <f>(L75+'Malawi-only'!L75)</f>
        <v>5536539451544.1504</v>
      </c>
      <c r="Z75" s="284">
        <f>(Q75+'Malawi-only'!Q75)</f>
        <v>313901092173.00391</v>
      </c>
    </row>
    <row r="76" spans="1:26" ht="15.75" customHeight="1">
      <c r="A76" s="31" t="s">
        <v>109</v>
      </c>
      <c r="B76" s="32">
        <v>2092</v>
      </c>
      <c r="C76" s="271">
        <f t="shared" si="11"/>
        <v>8.3105874974257821E-4</v>
      </c>
      <c r="D76" s="271">
        <f t="shared" si="19"/>
        <v>8.3105874974257821E-4</v>
      </c>
      <c r="E76" s="34">
        <f t="shared" si="21"/>
        <v>0</v>
      </c>
      <c r="F76" s="42">
        <v>4000</v>
      </c>
      <c r="G76" s="34">
        <f t="shared" si="20"/>
        <v>3324234998.9703126</v>
      </c>
      <c r="H76" s="34">
        <f t="shared" si="4"/>
        <v>3307613823.975461</v>
      </c>
      <c r="I76" s="35">
        <f t="shared" si="23"/>
        <v>1</v>
      </c>
      <c r="J76" s="36">
        <f t="shared" si="5"/>
        <v>3307613823.975461</v>
      </c>
      <c r="K76" s="34">
        <f t="shared" si="13"/>
        <v>5177090924921.3086</v>
      </c>
      <c r="L76" s="37">
        <f t="shared" si="24"/>
        <v>5500268039335.6045</v>
      </c>
      <c r="M76" s="34">
        <f t="shared" si="6"/>
        <v>346516886478.14307</v>
      </c>
      <c r="N76" s="34">
        <f t="shared" si="7"/>
        <v>0</v>
      </c>
      <c r="O76" s="34">
        <f t="shared" si="8"/>
        <v>346516886478.14307</v>
      </c>
      <c r="P76" s="34">
        <f t="shared" si="25"/>
        <v>34651688647.814308</v>
      </c>
      <c r="Q76" s="38">
        <f t="shared" si="15"/>
        <v>311865197830.32874</v>
      </c>
      <c r="R76" s="39">
        <f t="shared" si="16"/>
        <v>0</v>
      </c>
      <c r="S76" s="34">
        <f t="shared" si="17"/>
        <v>309881413823.63776</v>
      </c>
      <c r="T76" s="40">
        <v>10259408375</v>
      </c>
      <c r="U76" s="272">
        <f t="shared" si="9"/>
        <v>2.5853062235832228E-2</v>
      </c>
      <c r="V76" s="282">
        <f t="shared" si="10"/>
        <v>97.359867420918192</v>
      </c>
      <c r="W76" s="283">
        <f>((S76+'Malawi-only'!S76)/(T76*(U76+'Malawi-only'!U76))/12)</f>
        <v>88.73237762335701</v>
      </c>
      <c r="X76" s="284">
        <f>(R76+'Malawi-only'!R76)</f>
        <v>2022848055.0574181</v>
      </c>
      <c r="Y76" s="284">
        <f>(L76+'Malawi-only'!L76)</f>
        <v>5571982985145.5752</v>
      </c>
      <c r="Z76" s="284">
        <f>(Q76+'Malawi-only'!Q76)</f>
        <v>315910893940.44354</v>
      </c>
    </row>
    <row r="77" spans="1:26" ht="15.75" customHeight="1">
      <c r="A77" s="31" t="s">
        <v>110</v>
      </c>
      <c r="B77" s="32">
        <v>2093</v>
      </c>
      <c r="C77" s="271">
        <f t="shared" si="11"/>
        <v>7.4795287476832036E-4</v>
      </c>
      <c r="D77" s="271">
        <f t="shared" si="19"/>
        <v>7.4795287476832036E-4</v>
      </c>
      <c r="E77" s="34">
        <f t="shared" si="21"/>
        <v>0</v>
      </c>
      <c r="F77" s="42">
        <v>4000</v>
      </c>
      <c r="G77" s="34">
        <f t="shared" si="20"/>
        <v>2991811499.0732818</v>
      </c>
      <c r="H77" s="34">
        <f t="shared" si="4"/>
        <v>2976852441.5779152</v>
      </c>
      <c r="I77" s="35">
        <f t="shared" si="23"/>
        <v>1</v>
      </c>
      <c r="J77" s="36">
        <f t="shared" si="5"/>
        <v>2976852441.5779152</v>
      </c>
      <c r="K77" s="34">
        <f t="shared" si="13"/>
        <v>5180067777362.8867</v>
      </c>
      <c r="L77" s="37">
        <f t="shared" si="24"/>
        <v>5535127632134.7852</v>
      </c>
      <c r="M77" s="34">
        <f t="shared" si="6"/>
        <v>348713040824.49146</v>
      </c>
      <c r="N77" s="34">
        <f t="shared" si="7"/>
        <v>0</v>
      </c>
      <c r="O77" s="34">
        <f t="shared" si="8"/>
        <v>348713040824.49146</v>
      </c>
      <c r="P77" s="34">
        <f t="shared" si="25"/>
        <v>34871304082.44915</v>
      </c>
      <c r="Q77" s="38">
        <f t="shared" si="15"/>
        <v>313841736742.0423</v>
      </c>
      <c r="R77" s="39">
        <f t="shared" si="16"/>
        <v>0</v>
      </c>
      <c r="S77" s="34">
        <f t="shared" si="17"/>
        <v>311865197830.32874</v>
      </c>
      <c r="T77" s="40">
        <v>10252184759</v>
      </c>
      <c r="U77" s="272">
        <f t="shared" si="9"/>
        <v>2.5853062235832228E-2</v>
      </c>
      <c r="V77" s="282">
        <f t="shared" si="10"/>
        <v>98.052179381283509</v>
      </c>
      <c r="W77" s="283">
        <f>((S77+'Malawi-only'!S77)/(T77*(U77+'Malawi-only'!U77))/12)</f>
        <v>89.36334058998834</v>
      </c>
      <c r="X77" s="284">
        <f>(R77+'Malawi-only'!R77)</f>
        <v>2035797266.9386628</v>
      </c>
      <c r="Y77" s="284">
        <f>(L77+'Malawi-only'!L77)</f>
        <v>5607297101162.5117</v>
      </c>
      <c r="Z77" s="284">
        <f>(Q77+'Malawi-only'!Q77)</f>
        <v>317913331275.91962</v>
      </c>
    </row>
    <row r="78" spans="1:26" ht="15.75" customHeight="1">
      <c r="A78" s="31" t="s">
        <v>111</v>
      </c>
      <c r="B78" s="32">
        <v>2094</v>
      </c>
      <c r="C78" s="271">
        <f t="shared" si="11"/>
        <v>6.731575872914883E-4</v>
      </c>
      <c r="D78" s="271">
        <f t="shared" si="19"/>
        <v>6.731575872914883E-4</v>
      </c>
      <c r="E78" s="34">
        <f t="shared" si="21"/>
        <v>0</v>
      </c>
      <c r="F78" s="42">
        <v>4000</v>
      </c>
      <c r="G78" s="34">
        <f t="shared" si="20"/>
        <v>2692630349.1659532</v>
      </c>
      <c r="H78" s="34">
        <f t="shared" si="4"/>
        <v>2679167197.4201236</v>
      </c>
      <c r="I78" s="35">
        <f t="shared" si="23"/>
        <v>1</v>
      </c>
      <c r="J78" s="36">
        <f t="shared" si="5"/>
        <v>2679167197.4201236</v>
      </c>
      <c r="K78" s="34">
        <f t="shared" si="13"/>
        <v>5182746944560.3066</v>
      </c>
      <c r="L78" s="37">
        <f t="shared" si="24"/>
        <v>5569891764362.9473</v>
      </c>
      <c r="M78" s="34">
        <f t="shared" si="6"/>
        <v>350903181154.86566</v>
      </c>
      <c r="N78" s="34">
        <f t="shared" si="7"/>
        <v>0</v>
      </c>
      <c r="O78" s="34">
        <f t="shared" si="8"/>
        <v>350903181154.86566</v>
      </c>
      <c r="P78" s="34">
        <f t="shared" si="25"/>
        <v>35090318115.486565</v>
      </c>
      <c r="Q78" s="38">
        <f t="shared" si="15"/>
        <v>315812863039.37909</v>
      </c>
      <c r="R78" s="39">
        <f t="shared" si="16"/>
        <v>0</v>
      </c>
      <c r="S78" s="34">
        <f t="shared" si="17"/>
        <v>313841736742.0423</v>
      </c>
      <c r="T78" s="40">
        <v>10244185837</v>
      </c>
      <c r="U78" s="272">
        <f t="shared" si="9"/>
        <v>2.5853062235832228E-2</v>
      </c>
      <c r="V78" s="282">
        <f t="shared" si="10"/>
        <v>98.750661255979324</v>
      </c>
      <c r="W78" s="283">
        <f>((S78+'Malawi-only'!S78)/(T78*(U78+'Malawi-only'!U78))/12)</f>
        <v>89.999926952984239</v>
      </c>
      <c r="X78" s="284">
        <f>(R78+'Malawi-only'!R78)</f>
        <v>2048699976.6042428</v>
      </c>
      <c r="Y78" s="284">
        <f>(L78+'Malawi-only'!L78)</f>
        <v>5642514537374.9922</v>
      </c>
      <c r="Z78" s="284">
        <f>(Q78+'Malawi-only'!Q78)</f>
        <v>319910262992.58759</v>
      </c>
    </row>
    <row r="79" spans="1:26" ht="15.75" customHeight="1">
      <c r="A79" s="31" t="s">
        <v>112</v>
      </c>
      <c r="B79" s="32">
        <v>2095</v>
      </c>
      <c r="C79" s="274">
        <f t="shared" si="11"/>
        <v>6.0584182856233948E-4</v>
      </c>
      <c r="D79" s="271">
        <f t="shared" si="19"/>
        <v>6.0584182856233948E-4</v>
      </c>
      <c r="E79" s="34">
        <f t="shared" si="21"/>
        <v>0</v>
      </c>
      <c r="F79" s="42">
        <v>4000</v>
      </c>
      <c r="G79" s="34">
        <f t="shared" si="20"/>
        <v>2423367314.2493577</v>
      </c>
      <c r="H79" s="34">
        <f t="shared" si="4"/>
        <v>2411250477.6781111</v>
      </c>
      <c r="I79" s="35">
        <f t="shared" si="23"/>
        <v>1</v>
      </c>
      <c r="J79" s="36">
        <f t="shared" si="5"/>
        <v>2411250477.6781111</v>
      </c>
      <c r="K79" s="34">
        <f t="shared" si="13"/>
        <v>5185158195037.9844</v>
      </c>
      <c r="L79" s="37">
        <f t="shared" si="24"/>
        <v>5604589636289.6338</v>
      </c>
      <c r="M79" s="34">
        <f t="shared" si="6"/>
        <v>353089147086.24695</v>
      </c>
      <c r="N79" s="34">
        <f t="shared" si="7"/>
        <v>0</v>
      </c>
      <c r="O79" s="34">
        <f t="shared" si="8"/>
        <v>353089147086.24695</v>
      </c>
      <c r="P79" s="34">
        <f t="shared" si="25"/>
        <v>35308914708.624695</v>
      </c>
      <c r="Q79" s="38">
        <f t="shared" si="15"/>
        <v>317780232377.62225</v>
      </c>
      <c r="R79" s="39">
        <f t="shared" si="16"/>
        <v>0</v>
      </c>
      <c r="S79" s="34">
        <f t="shared" si="17"/>
        <v>315812863039.37909</v>
      </c>
      <c r="T79" s="40">
        <v>10235403601</v>
      </c>
      <c r="U79" s="272">
        <f t="shared" si="9"/>
        <v>2.5853062235832228E-2</v>
      </c>
      <c r="V79" s="282">
        <f t="shared" si="10"/>
        <v>99.456141133942822</v>
      </c>
      <c r="W79" s="283">
        <f>((S79+'Malawi-only'!S79)/(T79*(U79+'Malawi-only'!U79))/12)</f>
        <v>90.642891401035982</v>
      </c>
      <c r="X79" s="284">
        <f>(R79+'Malawi-only'!R79)</f>
        <v>2061568075.4634831</v>
      </c>
      <c r="Y79" s="284">
        <f>(L79+'Malawi-only'!L79)</f>
        <v>5677664872540.4902</v>
      </c>
      <c r="Z79" s="284">
        <f>(Q79+'Malawi-only'!Q79)</f>
        <v>321903368528.54919</v>
      </c>
    </row>
    <row r="80" spans="1:26" ht="15.75" customHeight="1">
      <c r="A80" s="31" t="s">
        <v>113</v>
      </c>
      <c r="B80" s="32">
        <v>2096</v>
      </c>
      <c r="C80" s="274">
        <f t="shared" si="11"/>
        <v>5.452576457061055E-4</v>
      </c>
      <c r="D80" s="271">
        <f t="shared" si="19"/>
        <v>5.452576457061055E-4</v>
      </c>
      <c r="E80" s="34">
        <f t="shared" si="21"/>
        <v>0</v>
      </c>
      <c r="F80" s="42">
        <v>4000</v>
      </c>
      <c r="G80" s="34">
        <f t="shared" si="20"/>
        <v>2181030582.8244219</v>
      </c>
      <c r="H80" s="34">
        <f t="shared" si="4"/>
        <v>2170125429.9102998</v>
      </c>
      <c r="I80" s="35">
        <f t="shared" si="23"/>
        <v>1</v>
      </c>
      <c r="J80" s="36">
        <f t="shared" si="5"/>
        <v>2170125429.9102998</v>
      </c>
      <c r="K80" s="34">
        <f t="shared" si="13"/>
        <v>5187328320467.8945</v>
      </c>
      <c r="L80" s="37">
        <f t="shared" si="24"/>
        <v>5639247642089.9551</v>
      </c>
      <c r="M80" s="34">
        <f t="shared" si="6"/>
        <v>355272601451.66718</v>
      </c>
      <c r="N80" s="34">
        <f t="shared" si="7"/>
        <v>0</v>
      </c>
      <c r="O80" s="34">
        <f t="shared" si="8"/>
        <v>355272601451.66718</v>
      </c>
      <c r="P80" s="34">
        <f t="shared" si="25"/>
        <v>35527260145.166718</v>
      </c>
      <c r="Q80" s="38">
        <f t="shared" si="15"/>
        <v>319745341306.50049</v>
      </c>
      <c r="R80" s="39">
        <f t="shared" si="16"/>
        <v>0</v>
      </c>
      <c r="S80" s="34">
        <f t="shared" si="17"/>
        <v>317780232377.62225</v>
      </c>
      <c r="T80" s="40">
        <v>10225850874</v>
      </c>
      <c r="U80" s="272">
        <f t="shared" si="9"/>
        <v>2.5853062235832228E-2</v>
      </c>
      <c r="V80" s="282">
        <f t="shared" si="10"/>
        <v>100.16919544610751</v>
      </c>
      <c r="W80" s="283">
        <f>((S80+'Malawi-only'!S80)/(T80*(U80+'Malawi-only'!U80))/12)</f>
        <v>91.29275926743145</v>
      </c>
      <c r="X80" s="284">
        <f>(R80+'Malawi-only'!R80)</f>
        <v>2074412307.7857361</v>
      </c>
      <c r="Y80" s="284">
        <f>(L80+'Malawi-only'!L80)</f>
        <v>5712774842961.3994</v>
      </c>
      <c r="Z80" s="284">
        <f>(Q80+'Malawi-only'!Q80)</f>
        <v>323894165922.07196</v>
      </c>
    </row>
    <row r="81" spans="1:26" ht="15.75" customHeight="1">
      <c r="A81" s="31" t="s">
        <v>114</v>
      </c>
      <c r="B81" s="32">
        <v>2097</v>
      </c>
      <c r="C81" s="274">
        <f t="shared" si="11"/>
        <v>4.9073188113549497E-4</v>
      </c>
      <c r="D81" s="271">
        <f t="shared" si="19"/>
        <v>4.9073188113549497E-4</v>
      </c>
      <c r="E81" s="34">
        <f t="shared" si="21"/>
        <v>0</v>
      </c>
      <c r="F81" s="42">
        <v>4000</v>
      </c>
      <c r="G81" s="34">
        <f t="shared" si="20"/>
        <v>1962927524.54198</v>
      </c>
      <c r="H81" s="34">
        <f t="shared" si="4"/>
        <v>1953112886.91927</v>
      </c>
      <c r="I81" s="35">
        <f t="shared" si="23"/>
        <v>1</v>
      </c>
      <c r="J81" s="36">
        <f t="shared" si="5"/>
        <v>1953112886.91927</v>
      </c>
      <c r="K81" s="34">
        <f t="shared" si="13"/>
        <v>5189281433354.8135</v>
      </c>
      <c r="L81" s="37">
        <f t="shared" si="24"/>
        <v>5673889651114.4805</v>
      </c>
      <c r="M81" s="34">
        <f t="shared" si="6"/>
        <v>357455048020.21228</v>
      </c>
      <c r="N81" s="34">
        <f t="shared" si="7"/>
        <v>0</v>
      </c>
      <c r="O81" s="34">
        <f t="shared" si="8"/>
        <v>357455048020.21228</v>
      </c>
      <c r="P81" s="34">
        <f t="shared" si="25"/>
        <v>35745504802.021233</v>
      </c>
      <c r="Q81" s="38">
        <f t="shared" si="15"/>
        <v>321709543218.19104</v>
      </c>
      <c r="R81" s="39">
        <f t="shared" si="16"/>
        <v>0</v>
      </c>
      <c r="S81" s="34">
        <f t="shared" si="17"/>
        <v>319745341306.50049</v>
      </c>
      <c r="T81" s="40">
        <v>10215549310</v>
      </c>
      <c r="U81" s="272">
        <f t="shared" si="9"/>
        <v>2.5853062235832228E-2</v>
      </c>
      <c r="V81" s="282">
        <f t="shared" si="10"/>
        <v>100.89026513819941</v>
      </c>
      <c r="W81" s="283">
        <f>((S81+'Malawi-only'!S81)/(T81*(U81+'Malawi-only'!U81))/12)</f>
        <v>91.949932408052561</v>
      </c>
      <c r="X81" s="284">
        <f>(R81+'Malawi-only'!R81)</f>
        <v>2087242385.6579974</v>
      </c>
      <c r="Y81" s="284">
        <f>(L81+'Malawi-only'!L81)</f>
        <v>5747868627399.6279</v>
      </c>
      <c r="Z81" s="284">
        <f>(Q81+'Malawi-only'!Q81)</f>
        <v>325884027989.50702</v>
      </c>
    </row>
    <row r="82" spans="1:26" ht="15.75" customHeight="1">
      <c r="A82" s="31" t="s">
        <v>115</v>
      </c>
      <c r="B82" s="32">
        <v>2098</v>
      </c>
      <c r="C82" s="274">
        <f t="shared" si="11"/>
        <v>4.4165869302194549E-4</v>
      </c>
      <c r="D82" s="271">
        <f t="shared" si="19"/>
        <v>4.4165869302194549E-4</v>
      </c>
      <c r="E82" s="34">
        <f t="shared" si="21"/>
        <v>0</v>
      </c>
      <c r="F82" s="42">
        <v>4000</v>
      </c>
      <c r="G82" s="34">
        <f t="shared" si="20"/>
        <v>1766634772.0877819</v>
      </c>
      <c r="H82" s="34">
        <f t="shared" si="4"/>
        <v>1757801598.2273431</v>
      </c>
      <c r="I82" s="35">
        <f t="shared" si="23"/>
        <v>1</v>
      </c>
      <c r="J82" s="36">
        <f t="shared" si="5"/>
        <v>1757801598.2273431</v>
      </c>
      <c r="K82" s="34">
        <f t="shared" si="13"/>
        <v>5191039234953.041</v>
      </c>
      <c r="L82" s="37">
        <f t="shared" si="24"/>
        <v>5708537261035.9727</v>
      </c>
      <c r="M82" s="34">
        <f t="shared" si="6"/>
        <v>359637847445.2663</v>
      </c>
      <c r="N82" s="34">
        <f t="shared" si="7"/>
        <v>0</v>
      </c>
      <c r="O82" s="34">
        <f t="shared" si="8"/>
        <v>359637847445.2663</v>
      </c>
      <c r="P82" s="34">
        <f t="shared" si="25"/>
        <v>35963784744.526634</v>
      </c>
      <c r="Q82" s="38">
        <f t="shared" si="15"/>
        <v>323674062700.73969</v>
      </c>
      <c r="R82" s="39">
        <f t="shared" si="16"/>
        <v>0</v>
      </c>
      <c r="S82" s="34">
        <f t="shared" si="17"/>
        <v>321709543218.19104</v>
      </c>
      <c r="T82" s="40">
        <v>10204489862</v>
      </c>
      <c r="U82" s="272">
        <f t="shared" si="9"/>
        <v>2.5853062235832228E-2</v>
      </c>
      <c r="V82" s="282">
        <f t="shared" si="10"/>
        <v>101.62005082375401</v>
      </c>
      <c r="W82" s="283">
        <f>((S82+'Malawi-only'!S82)/(T82*(U82+'Malawi-only'!U82))/12)</f>
        <v>92.61504933794582</v>
      </c>
      <c r="X82" s="284">
        <f>(R82+'Malawi-only'!R82)</f>
        <v>2100067092.4481781</v>
      </c>
      <c r="Y82" s="284">
        <f>(L82+'Malawi-only'!L82)</f>
        <v>5782968103503.6025</v>
      </c>
      <c r="Z82" s="284">
        <f>(Q82+'Malawi-only'!Q82)</f>
        <v>327874196885.63605</v>
      </c>
    </row>
    <row r="83" spans="1:26" ht="15.75" customHeight="1">
      <c r="A83" s="31" t="s">
        <v>116</v>
      </c>
      <c r="B83" s="32">
        <v>2099</v>
      </c>
      <c r="C83" s="274">
        <f t="shared" si="11"/>
        <v>3.9749282371975093E-4</v>
      </c>
      <c r="D83" s="271">
        <f t="shared" si="19"/>
        <v>3.9749282371975093E-4</v>
      </c>
      <c r="E83" s="34">
        <f t="shared" si="21"/>
        <v>0</v>
      </c>
      <c r="F83" s="42">
        <v>4000</v>
      </c>
      <c r="G83" s="34">
        <f t="shared" si="20"/>
        <v>1589971294.8790038</v>
      </c>
      <c r="H83" s="34">
        <f t="shared" si="4"/>
        <v>1582021438.4046087</v>
      </c>
      <c r="I83" s="35">
        <f t="shared" si="23"/>
        <v>1</v>
      </c>
      <c r="J83" s="36">
        <f t="shared" si="5"/>
        <v>1582021438.4046087</v>
      </c>
      <c r="K83" s="34">
        <f t="shared" si="13"/>
        <v>5192621256391.4453</v>
      </c>
      <c r="L83" s="37">
        <f t="shared" si="24"/>
        <v>5743210025685.2939</v>
      </c>
      <c r="M83" s="34">
        <f t="shared" si="6"/>
        <v>361822231618.17352</v>
      </c>
      <c r="N83" s="34">
        <f t="shared" si="7"/>
        <v>0</v>
      </c>
      <c r="O83" s="34">
        <f t="shared" si="8"/>
        <v>361822231618.17352</v>
      </c>
      <c r="P83" s="34">
        <f t="shared" si="25"/>
        <v>36182223161.817352</v>
      </c>
      <c r="Q83" s="38">
        <f t="shared" si="15"/>
        <v>325640008456.3562</v>
      </c>
      <c r="R83" s="39">
        <f t="shared" si="16"/>
        <v>0</v>
      </c>
      <c r="S83" s="34">
        <f t="shared" si="17"/>
        <v>323674062700.73969</v>
      </c>
      <c r="T83" s="40">
        <v>10192689066</v>
      </c>
      <c r="U83" s="272">
        <f t="shared" si="9"/>
        <v>2.5853062235832228E-2</v>
      </c>
      <c r="V83" s="282">
        <f t="shared" si="10"/>
        <v>102.35896486984672</v>
      </c>
      <c r="W83" s="283">
        <f>((S83+'Malawi-only'!S83)/(T83*(U83+'Malawi-only'!U83))/12)</f>
        <v>93.288485869993721</v>
      </c>
      <c r="X83" s="284">
        <f>(R83+'Malawi-only'!R83)</f>
        <v>2112894375.9234607</v>
      </c>
      <c r="Y83" s="284">
        <f>(L83+'Malawi-only'!L83)</f>
        <v>5818093078596.4766</v>
      </c>
      <c r="Z83" s="284">
        <f>(Q83+'Malawi-only'!Q83)</f>
        <v>329865797208.20313</v>
      </c>
    </row>
    <row r="84" spans="1:26" ht="15.75" customHeight="1">
      <c r="A84" s="31" t="s">
        <v>117</v>
      </c>
      <c r="B84" s="32">
        <v>2100</v>
      </c>
      <c r="C84" s="274">
        <f t="shared" si="11"/>
        <v>3.5774354134777584E-4</v>
      </c>
      <c r="D84" s="271">
        <f t="shared" si="19"/>
        <v>3.5774354134777584E-4</v>
      </c>
      <c r="E84" s="34">
        <f t="shared" si="21"/>
        <v>0</v>
      </c>
      <c r="F84" s="42">
        <v>4000</v>
      </c>
      <c r="G84" s="34">
        <f t="shared" si="20"/>
        <v>1430974165.3911035</v>
      </c>
      <c r="H84" s="34">
        <f t="shared" si="4"/>
        <v>1423819294.5641479</v>
      </c>
      <c r="I84" s="35">
        <f t="shared" si="23"/>
        <v>1</v>
      </c>
      <c r="J84" s="36">
        <f t="shared" si="5"/>
        <v>1423819294.5641479</v>
      </c>
      <c r="K84" s="34">
        <f t="shared" si="13"/>
        <v>5194045075686.0098</v>
      </c>
      <c r="L84" s="37">
        <f t="shared" si="24"/>
        <v>5777925660107.6055</v>
      </c>
      <c r="M84" s="34">
        <f t="shared" si="6"/>
        <v>364009316586.77917</v>
      </c>
      <c r="N84" s="34">
        <f t="shared" si="7"/>
        <v>0</v>
      </c>
      <c r="O84" s="34">
        <f t="shared" si="8"/>
        <v>364009316586.77917</v>
      </c>
      <c r="P84" s="34">
        <f t="shared" si="25"/>
        <v>36400931658.677917</v>
      </c>
      <c r="Q84" s="38">
        <f t="shared" si="15"/>
        <v>327608384928.10126</v>
      </c>
      <c r="R84" s="39">
        <f t="shared" si="16"/>
        <v>0</v>
      </c>
      <c r="S84" s="34">
        <f t="shared" si="17"/>
        <v>325640008456.3562</v>
      </c>
      <c r="T84" s="40">
        <v>10180160751</v>
      </c>
      <c r="U84" s="272">
        <f t="shared" si="9"/>
        <v>2.5853062235832228E-2</v>
      </c>
      <c r="V84" s="282">
        <f t="shared" si="10"/>
        <v>103.10741143569413</v>
      </c>
      <c r="W84" s="283">
        <f>((S84+'Malawi-only'!S84)/(T84*(U84+'Malawi-only'!U84))/12)</f>
        <v>93.97061033790213</v>
      </c>
      <c r="X84" s="284">
        <f>(R84+'Malawi-only'!R84)</f>
        <v>2125731432.058255</v>
      </c>
      <c r="Y84" s="284">
        <f>(L84+'Malawi-only'!L84)</f>
        <v>5853261497389.4512</v>
      </c>
      <c r="Z84" s="284">
        <f>(Q84+'Malawi-only'!Q84)</f>
        <v>331859847792.21777</v>
      </c>
    </row>
    <row r="85" spans="1:26" ht="15.75" customHeight="1">
      <c r="A85" s="31" t="s">
        <v>118</v>
      </c>
      <c r="B85" s="32">
        <v>2101</v>
      </c>
      <c r="C85" s="274">
        <f t="shared" si="11"/>
        <v>3.2196918721299827E-4</v>
      </c>
      <c r="D85" s="271">
        <f t="shared" si="19"/>
        <v>3.2196918721299827E-4</v>
      </c>
      <c r="E85" s="34">
        <f t="shared" si="21"/>
        <v>0</v>
      </c>
      <c r="F85" s="42">
        <v>4000</v>
      </c>
      <c r="G85" s="34">
        <f t="shared" si="20"/>
        <v>1287876748.8519931</v>
      </c>
      <c r="H85" s="34">
        <f t="shared" si="4"/>
        <v>1281437365.107733</v>
      </c>
      <c r="I85" s="35">
        <f t="shared" si="23"/>
        <v>1</v>
      </c>
      <c r="J85" s="36">
        <f t="shared" si="5"/>
        <v>1281437365.107733</v>
      </c>
      <c r="K85" s="34">
        <f t="shared" si="13"/>
        <v>5195326513051.1172</v>
      </c>
      <c r="L85" s="37">
        <f t="shared" si="24"/>
        <v>5812700225116.8252</v>
      </c>
      <c r="M85" s="34">
        <f t="shared" si="6"/>
        <v>366200114182.35999</v>
      </c>
      <c r="N85" s="34">
        <f t="shared" si="7"/>
        <v>0</v>
      </c>
      <c r="O85" s="34">
        <f t="shared" si="8"/>
        <v>366200114182.35999</v>
      </c>
      <c r="P85" s="34">
        <f t="shared" si="25"/>
        <v>36620011418.236</v>
      </c>
      <c r="Q85" s="38">
        <f t="shared" si="15"/>
        <v>329580102764.12396</v>
      </c>
      <c r="R85" s="39">
        <f t="shared" si="16"/>
        <v>0</v>
      </c>
      <c r="S85" s="34">
        <f t="shared" si="17"/>
        <v>327608384928.10126</v>
      </c>
      <c r="T85" s="40">
        <f t="shared" ref="T85:T184" si="26">T84*99.9%</f>
        <v>10169980590.249001</v>
      </c>
      <c r="U85" s="272">
        <f t="shared" si="9"/>
        <v>2.5853062235832228E-2</v>
      </c>
      <c r="V85" s="282">
        <f t="shared" si="10"/>
        <v>103.83449306505128</v>
      </c>
      <c r="W85" s="283">
        <f>((S85+'Malawi-only'!S85)/(T85*(U85+'Malawi-only'!U85))/12)</f>
        <v>94.633263234556864</v>
      </c>
      <c r="X85" s="284">
        <f>(R85+'Malawi-only'!R85)</f>
        <v>2138584780.4627943</v>
      </c>
      <c r="Y85" s="284">
        <f>(L85+'Malawi-only'!L85)</f>
        <v>5888489628927.6885</v>
      </c>
      <c r="Z85" s="284">
        <f>(Q85+'Malawi-only'!Q85)</f>
        <v>333857272325.04956</v>
      </c>
    </row>
    <row r="86" spans="1:26" ht="15.75" customHeight="1">
      <c r="A86" s="31" t="s">
        <v>119</v>
      </c>
      <c r="B86" s="32">
        <v>2102</v>
      </c>
      <c r="C86" s="274">
        <f t="shared" si="11"/>
        <v>2.8977226849169843E-4</v>
      </c>
      <c r="D86" s="271">
        <f t="shared" si="19"/>
        <v>2.8977226849169843E-4</v>
      </c>
      <c r="E86" s="34">
        <f t="shared" si="21"/>
        <v>0</v>
      </c>
      <c r="F86" s="42">
        <v>4000</v>
      </c>
      <c r="G86" s="34">
        <f t="shared" si="20"/>
        <v>1159089073.9667935</v>
      </c>
      <c r="H86" s="34">
        <f t="shared" si="4"/>
        <v>1153293628.5969596</v>
      </c>
      <c r="I86" s="35">
        <f t="shared" si="23"/>
        <v>1</v>
      </c>
      <c r="J86" s="36">
        <f t="shared" si="5"/>
        <v>1153293628.5969596</v>
      </c>
      <c r="K86" s="34">
        <f t="shared" si="13"/>
        <v>5196479806679.7139</v>
      </c>
      <c r="L86" s="37">
        <f t="shared" si="24"/>
        <v>5847548293398.5771</v>
      </c>
      <c r="M86" s="34">
        <f t="shared" si="6"/>
        <v>368395542484.11035</v>
      </c>
      <c r="N86" s="34">
        <f t="shared" si="7"/>
        <v>0</v>
      </c>
      <c r="O86" s="34">
        <f t="shared" si="8"/>
        <v>368395542484.11035</v>
      </c>
      <c r="P86" s="34">
        <f t="shared" si="25"/>
        <v>36839554248.411034</v>
      </c>
      <c r="Q86" s="38">
        <f t="shared" si="15"/>
        <v>331555988235.69934</v>
      </c>
      <c r="R86" s="39">
        <f t="shared" si="16"/>
        <v>0</v>
      </c>
      <c r="S86" s="34">
        <f t="shared" si="17"/>
        <v>329580102764.12396</v>
      </c>
      <c r="T86" s="40">
        <f t="shared" si="26"/>
        <v>10159810609.658752</v>
      </c>
      <c r="U86" s="272">
        <f t="shared" si="9"/>
        <v>2.5853062235832228E-2</v>
      </c>
      <c r="V86" s="282">
        <f t="shared" si="10"/>
        <v>104.56398709481171</v>
      </c>
      <c r="W86" s="283">
        <f>((S86+'Malawi-only'!S86)/(T86*(U86+'Malawi-only'!U86))/12)</f>
        <v>95.298114873000017</v>
      </c>
      <c r="X86" s="284">
        <f>(R86+'Malawi-only'!R86)</f>
        <v>2151460332.2703204</v>
      </c>
      <c r="Y86" s="284">
        <f>(L86+'Malawi-only'!L86)</f>
        <v>5923792234845.6299</v>
      </c>
      <c r="Z86" s="284">
        <f>(Q86+'Malawi-only'!Q86)</f>
        <v>335858908900.23999</v>
      </c>
    </row>
    <row r="87" spans="1:26" ht="15.75" customHeight="1">
      <c r="A87" s="31" t="s">
        <v>120</v>
      </c>
      <c r="B87" s="32">
        <v>2103</v>
      </c>
      <c r="C87" s="274">
        <f t="shared" si="11"/>
        <v>2.6079504164252859E-4</v>
      </c>
      <c r="D87" s="271">
        <f t="shared" si="19"/>
        <v>2.6079504164252859E-4</v>
      </c>
      <c r="E87" s="34">
        <f t="shared" si="21"/>
        <v>0</v>
      </c>
      <c r="F87" s="42">
        <v>4000</v>
      </c>
      <c r="G87" s="34">
        <f t="shared" si="20"/>
        <v>1043180166.5701144</v>
      </c>
      <c r="H87" s="34">
        <f t="shared" si="4"/>
        <v>1037964265.7372638</v>
      </c>
      <c r="I87" s="35">
        <f t="shared" si="23"/>
        <v>1</v>
      </c>
      <c r="J87" s="36">
        <f t="shared" si="5"/>
        <v>1037964265.7372638</v>
      </c>
      <c r="K87" s="34">
        <f t="shared" si="13"/>
        <v>5197517770945.4512</v>
      </c>
      <c r="L87" s="37">
        <f t="shared" si="24"/>
        <v>5882483099006.7695</v>
      </c>
      <c r="M87" s="34">
        <f t="shared" si="6"/>
        <v>370596435237.42645</v>
      </c>
      <c r="N87" s="34">
        <f t="shared" si="7"/>
        <v>0</v>
      </c>
      <c r="O87" s="34">
        <f t="shared" si="8"/>
        <v>370596435237.42645</v>
      </c>
      <c r="P87" s="34">
        <f>O87*6%</f>
        <v>22235786114.245586</v>
      </c>
      <c r="Q87" s="38">
        <f t="shared" si="15"/>
        <v>348360649123.18085</v>
      </c>
      <c r="R87" s="39">
        <f t="shared" si="16"/>
        <v>0</v>
      </c>
      <c r="S87" s="34">
        <f t="shared" si="17"/>
        <v>331555988235.69934</v>
      </c>
      <c r="T87" s="40">
        <f t="shared" si="26"/>
        <v>10149650799.049095</v>
      </c>
      <c r="U87" s="272">
        <f t="shared" si="9"/>
        <v>2.5853062235832228E-2</v>
      </c>
      <c r="V87" s="282">
        <f t="shared" si="10"/>
        <v>105.29616109597708</v>
      </c>
      <c r="W87" s="283">
        <f>((S87+'Malawi-only'!S87)/(T87*(U87+'Malawi-only'!U87))/12)</f>
        <v>95.965409105297553</v>
      </c>
      <c r="X87" s="284">
        <f>(R87+'Malawi-only'!R87)</f>
        <v>2164363451.2369971</v>
      </c>
      <c r="Y87" s="284">
        <f>(L87+'Malawi-only'!L87)</f>
        <v>5959182720800.748</v>
      </c>
      <c r="Z87" s="284">
        <f>(Q87+'Malawi-only'!Q87)</f>
        <v>352689376025.65485</v>
      </c>
    </row>
    <row r="88" spans="1:26" ht="15.75" customHeight="1">
      <c r="A88" s="31" t="s">
        <v>121</v>
      </c>
      <c r="B88" s="32">
        <v>2104</v>
      </c>
      <c r="C88" s="274">
        <f t="shared" si="11"/>
        <v>2.3471553747827573E-4</v>
      </c>
      <c r="D88" s="271">
        <f t="shared" si="19"/>
        <v>2.3471553747827573E-4</v>
      </c>
      <c r="E88" s="34">
        <f t="shared" si="21"/>
        <v>0</v>
      </c>
      <c r="F88" s="42">
        <v>4000</v>
      </c>
      <c r="G88" s="34">
        <f t="shared" si="20"/>
        <v>938862149.91310287</v>
      </c>
      <c r="H88" s="34">
        <f t="shared" si="4"/>
        <v>934167839.16353738</v>
      </c>
      <c r="I88" s="35">
        <f t="shared" si="23"/>
        <v>1</v>
      </c>
      <c r="J88" s="36">
        <f t="shared" si="5"/>
        <v>934167839.16353738</v>
      </c>
      <c r="K88" s="34">
        <f t="shared" si="13"/>
        <v>5198451938784.6143</v>
      </c>
      <c r="L88" s="37">
        <f t="shared" si="24"/>
        <v>5902700226433.6982</v>
      </c>
      <c r="M88" s="34">
        <f t="shared" si="6"/>
        <v>371870114265.323</v>
      </c>
      <c r="N88" s="34">
        <f t="shared" si="7"/>
        <v>0</v>
      </c>
      <c r="O88" s="34">
        <f t="shared" si="8"/>
        <v>371870114265.323</v>
      </c>
      <c r="P88" s="34">
        <f>O88*6.5%</f>
        <v>24171557427.245995</v>
      </c>
      <c r="Q88" s="38">
        <f t="shared" si="15"/>
        <v>347698556838.07703</v>
      </c>
      <c r="R88" s="39">
        <f t="shared" si="16"/>
        <v>0</v>
      </c>
      <c r="S88" s="34">
        <f t="shared" si="17"/>
        <v>348360649123.18085</v>
      </c>
      <c r="T88" s="40">
        <f t="shared" si="26"/>
        <v>10139501148.250048</v>
      </c>
      <c r="U88" s="272">
        <f t="shared" si="9"/>
        <v>2.5853062235832228E-2</v>
      </c>
      <c r="V88" s="282">
        <f t="shared" si="10"/>
        <v>110.74375999584639</v>
      </c>
      <c r="W88" s="283">
        <f>((S88+'Malawi-only'!S88)/(T88*(U88+'Malawi-only'!U88))/12)</f>
        <v>100.90241910625156</v>
      </c>
      <c r="X88" s="284">
        <f>(R88+'Malawi-only'!R88)</f>
        <v>2177299008.7333088</v>
      </c>
      <c r="Y88" s="284">
        <f>(L88+'Malawi-only'!L88)</f>
        <v>5979856827287.1689</v>
      </c>
      <c r="Z88" s="284">
        <f>(Q88+'Malawi-only'!Q88)</f>
        <v>352053154855.54364</v>
      </c>
    </row>
    <row r="89" spans="1:26" ht="15.75" customHeight="1">
      <c r="A89" s="31" t="s">
        <v>122</v>
      </c>
      <c r="B89" s="32">
        <v>2105</v>
      </c>
      <c r="C89" s="274">
        <f t="shared" si="11"/>
        <v>2.1124398373044816E-4</v>
      </c>
      <c r="D89" s="271">
        <f t="shared" si="19"/>
        <v>2.1124398373044816E-4</v>
      </c>
      <c r="E89" s="34">
        <f t="shared" si="21"/>
        <v>0</v>
      </c>
      <c r="F89" s="42">
        <v>4000</v>
      </c>
      <c r="G89" s="34">
        <f t="shared" si="20"/>
        <v>844975934.92179263</v>
      </c>
      <c r="H89" s="34">
        <f t="shared" si="4"/>
        <v>840751055.24718368</v>
      </c>
      <c r="I89" s="35">
        <f t="shared" si="23"/>
        <v>1</v>
      </c>
      <c r="J89" s="36">
        <f t="shared" si="5"/>
        <v>840751055.24718368</v>
      </c>
      <c r="K89" s="34">
        <f t="shared" si="13"/>
        <v>5199292689839.8613</v>
      </c>
      <c r="L89" s="37">
        <f t="shared" si="24"/>
        <v>5924748678648.7334</v>
      </c>
      <c r="M89" s="34">
        <f t="shared" si="6"/>
        <v>373259166754.87018</v>
      </c>
      <c r="N89" s="34">
        <f t="shared" si="7"/>
        <v>0</v>
      </c>
      <c r="O89" s="34">
        <f t="shared" si="8"/>
        <v>373259166754.87018</v>
      </c>
      <c r="P89" s="34">
        <f>O89*7%</f>
        <v>26128141672.840916</v>
      </c>
      <c r="Q89" s="38">
        <f t="shared" si="15"/>
        <v>347131025082.02924</v>
      </c>
      <c r="R89" s="39">
        <f t="shared" si="16"/>
        <v>0</v>
      </c>
      <c r="S89" s="34">
        <f t="shared" si="17"/>
        <v>347698556838.07703</v>
      </c>
      <c r="T89" s="40">
        <f t="shared" si="26"/>
        <v>10129361647.101799</v>
      </c>
      <c r="U89" s="272">
        <f t="shared" si="9"/>
        <v>2.5853062235832228E-2</v>
      </c>
      <c r="V89" s="282">
        <f t="shared" si="10"/>
        <v>110.64392495510545</v>
      </c>
      <c r="W89" s="283">
        <f>((S89+'Malawi-only'!S89)/(T89*(U89+'Malawi-only'!U89))/12)</f>
        <v>100.81638620959909</v>
      </c>
      <c r="X89" s="284">
        <f>(R89+'Malawi-only'!R89)</f>
        <v>2190271433.2377748</v>
      </c>
      <c r="Y89" s="284">
        <f>(L89+'Malawi-only'!L89)</f>
        <v>6002363699243.5684</v>
      </c>
      <c r="Z89" s="284">
        <f>(Q89+'Malawi-only'!Q89)</f>
        <v>351511567948.50476</v>
      </c>
    </row>
    <row r="90" spans="1:26" ht="15.75" customHeight="1">
      <c r="A90" s="31" t="s">
        <v>123</v>
      </c>
      <c r="B90" s="32">
        <v>2106</v>
      </c>
      <c r="C90" s="274">
        <f t="shared" si="11"/>
        <v>1.9011958535740335E-4</v>
      </c>
      <c r="D90" s="271">
        <f t="shared" si="19"/>
        <v>1.9011958535740335E-4</v>
      </c>
      <c r="E90" s="34">
        <f t="shared" si="21"/>
        <v>0</v>
      </c>
      <c r="F90" s="42">
        <v>4000</v>
      </c>
      <c r="G90" s="34">
        <f t="shared" si="20"/>
        <v>760478341.42961335</v>
      </c>
      <c r="H90" s="34">
        <f t="shared" si="4"/>
        <v>756675949.72246528</v>
      </c>
      <c r="I90" s="35">
        <f t="shared" si="23"/>
        <v>1</v>
      </c>
      <c r="J90" s="36">
        <f t="shared" si="5"/>
        <v>756675949.72246528</v>
      </c>
      <c r="K90" s="34">
        <f t="shared" si="13"/>
        <v>5200049365789.584</v>
      </c>
      <c r="L90" s="37">
        <f t="shared" si="24"/>
        <v>5948657679523.1611</v>
      </c>
      <c r="M90" s="34">
        <f t="shared" si="6"/>
        <v>374765433809.95917</v>
      </c>
      <c r="N90" s="34">
        <f t="shared" si="7"/>
        <v>0</v>
      </c>
      <c r="O90" s="34">
        <f t="shared" si="8"/>
        <v>374765433809.95917</v>
      </c>
      <c r="P90" s="34">
        <f>O90*7.5%</f>
        <v>28107407535.746937</v>
      </c>
      <c r="Q90" s="38">
        <f t="shared" si="15"/>
        <v>346658026274.21222</v>
      </c>
      <c r="R90" s="39">
        <f t="shared" si="16"/>
        <v>0</v>
      </c>
      <c r="S90" s="34">
        <f t="shared" si="17"/>
        <v>347131025082.02924</v>
      </c>
      <c r="T90" s="40">
        <f t="shared" si="26"/>
        <v>10119232285.454699</v>
      </c>
      <c r="U90" s="272">
        <f t="shared" si="9"/>
        <v>2.5853062235832228E-2</v>
      </c>
      <c r="V90" s="282">
        <f t="shared" si="10"/>
        <v>110.57390005833003</v>
      </c>
      <c r="W90" s="283">
        <f>((S90+'Malawi-only'!S90)/(T90*(U90+'Malawi-only'!U90))/12)</f>
        <v>100.75736555389032</v>
      </c>
      <c r="X90" s="284">
        <f>(R90+'Malawi-only'!R90)</f>
        <v>2203284754.8827848</v>
      </c>
      <c r="Y90" s="284">
        <f>(L90+'Malawi-only'!L90)</f>
        <v>6026732689890.3613</v>
      </c>
      <c r="Z90" s="284">
        <f>(Q90+'Malawi-only'!Q90)</f>
        <v>351064595783.97778</v>
      </c>
    </row>
    <row r="91" spans="1:26" ht="15.75" customHeight="1">
      <c r="A91" s="31" t="s">
        <v>124</v>
      </c>
      <c r="B91" s="32">
        <v>2107</v>
      </c>
      <c r="C91" s="274">
        <f t="shared" si="11"/>
        <v>1.7110762682166303E-4</v>
      </c>
      <c r="D91" s="271">
        <f t="shared" si="19"/>
        <v>1.7110762682166303E-4</v>
      </c>
      <c r="E91" s="34">
        <f t="shared" si="21"/>
        <v>0</v>
      </c>
      <c r="F91" s="42">
        <v>4000</v>
      </c>
      <c r="G91" s="34">
        <f t="shared" si="20"/>
        <v>684430507.28665209</v>
      </c>
      <c r="H91" s="34">
        <f t="shared" si="4"/>
        <v>681008354.75021887</v>
      </c>
      <c r="I91" s="35">
        <f t="shared" si="23"/>
        <v>1</v>
      </c>
      <c r="J91" s="36">
        <f t="shared" si="5"/>
        <v>681008354.75021887</v>
      </c>
      <c r="K91" s="34">
        <f t="shared" si="13"/>
        <v>5200730374144.334</v>
      </c>
      <c r="L91" s="37">
        <f t="shared" si="24"/>
        <v>5974457372365.9521</v>
      </c>
      <c r="M91" s="34">
        <f t="shared" si="6"/>
        <v>376390814459.05499</v>
      </c>
      <c r="N91" s="34">
        <f t="shared" si="7"/>
        <v>0</v>
      </c>
      <c r="O91" s="34">
        <f t="shared" si="8"/>
        <v>376390814459.05499</v>
      </c>
      <c r="P91" s="34">
        <f>O91*8%</f>
        <v>30111265156.7244</v>
      </c>
      <c r="Q91" s="38">
        <f t="shared" si="15"/>
        <v>346279549302.33057</v>
      </c>
      <c r="R91" s="39">
        <f t="shared" si="16"/>
        <v>0</v>
      </c>
      <c r="S91" s="34">
        <f t="shared" si="17"/>
        <v>346658026274.21222</v>
      </c>
      <c r="T91" s="40">
        <f t="shared" si="26"/>
        <v>10109113053.169245</v>
      </c>
      <c r="U91" s="272">
        <f t="shared" si="9"/>
        <v>2.5853062235832228E-2</v>
      </c>
      <c r="V91" s="282">
        <f t="shared" si="10"/>
        <v>110.53376644235989</v>
      </c>
      <c r="W91" s="283">
        <f>((S91+'Malawi-only'!S91)/(T91*(U91+'Malawi-only'!U91))/12)</f>
        <v>100.7254317139044</v>
      </c>
      <c r="X91" s="284">
        <f>(R91+'Malawi-only'!R91)</f>
        <v>2216342645.5473342</v>
      </c>
      <c r="Y91" s="284">
        <f>(L91+'Malawi-only'!L91)</f>
        <v>6052994060536.6328</v>
      </c>
      <c r="Z91" s="284">
        <f>(Q91+'Malawi-only'!Q91)</f>
        <v>350712234593.42523</v>
      </c>
    </row>
    <row r="92" spans="1:26" ht="15.75" customHeight="1">
      <c r="A92" s="31" t="s">
        <v>125</v>
      </c>
      <c r="B92" s="32">
        <v>2108</v>
      </c>
      <c r="C92" s="274">
        <f t="shared" si="11"/>
        <v>1.5399686413949674E-4</v>
      </c>
      <c r="D92" s="271">
        <f t="shared" si="19"/>
        <v>1.5399686413949674E-4</v>
      </c>
      <c r="E92" s="34">
        <f t="shared" si="21"/>
        <v>0</v>
      </c>
      <c r="F92" s="42">
        <v>4000</v>
      </c>
      <c r="G92" s="34">
        <f t="shared" si="20"/>
        <v>615987456.55798697</v>
      </c>
      <c r="H92" s="34">
        <f t="shared" si="4"/>
        <v>612907519.27519703</v>
      </c>
      <c r="I92" s="35">
        <f t="shared" si="23"/>
        <v>1</v>
      </c>
      <c r="J92" s="36">
        <f t="shared" si="5"/>
        <v>612907519.27519703</v>
      </c>
      <c r="K92" s="34">
        <f t="shared" si="13"/>
        <v>5201343281663.6094</v>
      </c>
      <c r="L92" s="37">
        <f t="shared" si="24"/>
        <v>6002178954269.4316</v>
      </c>
      <c r="M92" s="34">
        <f t="shared" si="6"/>
        <v>378137274118.97418</v>
      </c>
      <c r="N92" s="34">
        <f t="shared" si="7"/>
        <v>0</v>
      </c>
      <c r="O92" s="34">
        <f t="shared" si="8"/>
        <v>378137274118.97418</v>
      </c>
      <c r="P92" s="34">
        <f>O92*8.5%</f>
        <v>32141668300.112808</v>
      </c>
      <c r="Q92" s="38">
        <f t="shared" si="15"/>
        <v>345995605818.86139</v>
      </c>
      <c r="R92" s="39">
        <f t="shared" si="16"/>
        <v>0</v>
      </c>
      <c r="S92" s="34">
        <f t="shared" si="17"/>
        <v>346279549302.33057</v>
      </c>
      <c r="T92" s="40">
        <f t="shared" si="26"/>
        <v>10099003940.116077</v>
      </c>
      <c r="U92" s="272">
        <f t="shared" si="9"/>
        <v>2.5853062235832228E-2</v>
      </c>
      <c r="V92" s="282">
        <f t="shared" si="10"/>
        <v>110.52361064551148</v>
      </c>
      <c r="W92" s="283">
        <f>((S92+'Malawi-only'!S92)/(T92*(U92+'Malawi-only'!U92))/12)</f>
        <v>100.72066406654444</v>
      </c>
      <c r="X92" s="284">
        <f>(R92+'Malawi-only'!R92)</f>
        <v>2229448454.9419794</v>
      </c>
      <c r="Y92" s="284">
        <f>(L92+'Malawi-only'!L92)</f>
        <v>6081179116069.9102</v>
      </c>
      <c r="Z92" s="284">
        <f>(Q92+'Malawi-only'!Q92)</f>
        <v>350454502728.74536</v>
      </c>
    </row>
    <row r="93" spans="1:26" ht="15.75" customHeight="1">
      <c r="A93" s="31" t="s">
        <v>126</v>
      </c>
      <c r="B93" s="32">
        <v>2109</v>
      </c>
      <c r="C93" s="274">
        <f t="shared" si="11"/>
        <v>1.3859717772554708E-4</v>
      </c>
      <c r="D93" s="271">
        <f t="shared" si="19"/>
        <v>1.3859717772554708E-4</v>
      </c>
      <c r="E93" s="34">
        <f t="shared" si="21"/>
        <v>0</v>
      </c>
      <c r="F93" s="42">
        <v>4000</v>
      </c>
      <c r="G93" s="34">
        <f t="shared" si="20"/>
        <v>554388710.9021883</v>
      </c>
      <c r="H93" s="34">
        <f t="shared" si="4"/>
        <v>551616767.34767735</v>
      </c>
      <c r="I93" s="35">
        <f t="shared" si="23"/>
        <v>1</v>
      </c>
      <c r="J93" s="36">
        <f t="shared" si="5"/>
        <v>551616767.34767735</v>
      </c>
      <c r="K93" s="34">
        <f t="shared" si="13"/>
        <v>5201894898430.957</v>
      </c>
      <c r="L93" s="37">
        <f t="shared" si="24"/>
        <v>6031854803217.2246</v>
      </c>
      <c r="M93" s="34">
        <f t="shared" si="6"/>
        <v>380006852602.68518</v>
      </c>
      <c r="N93" s="34">
        <f t="shared" si="7"/>
        <v>0</v>
      </c>
      <c r="O93" s="34">
        <f t="shared" si="8"/>
        <v>380006852602.68518</v>
      </c>
      <c r="P93" s="34">
        <f>O93*9%</f>
        <v>34200616734.241665</v>
      </c>
      <c r="Q93" s="38">
        <f t="shared" si="15"/>
        <v>345806235868.44354</v>
      </c>
      <c r="R93" s="39">
        <f t="shared" si="16"/>
        <v>0</v>
      </c>
      <c r="S93" s="34">
        <f t="shared" si="17"/>
        <v>345995605818.86139</v>
      </c>
      <c r="T93" s="40">
        <f t="shared" si="26"/>
        <v>10088904936.175962</v>
      </c>
      <c r="U93" s="272">
        <f t="shared" si="9"/>
        <v>2.5853062235832228E-2</v>
      </c>
      <c r="V93" s="282">
        <f t="shared" si="10"/>
        <v>110.54352664571068</v>
      </c>
      <c r="W93" s="283">
        <f>((S93+'Malawi-only'!S93)/(T93*(U93+'Malawi-only'!U93))/12)</f>
        <v>100.74314864525617</v>
      </c>
      <c r="X93" s="284">
        <f>(R93+'Malawi-only'!R93)</f>
        <v>2242605243.0868139</v>
      </c>
      <c r="Y93" s="284">
        <f>(L93+'Malawi-only'!L93)</f>
        <v>6111320333093.8477</v>
      </c>
      <c r="Z93" s="284">
        <f>(Q93+'Malawi-only'!Q93)</f>
        <v>350291446354.61719</v>
      </c>
    </row>
    <row r="94" spans="1:26" ht="15.75" customHeight="1">
      <c r="A94" s="31" t="s">
        <v>127</v>
      </c>
      <c r="B94" s="32">
        <v>2110</v>
      </c>
      <c r="C94" s="274">
        <f t="shared" si="11"/>
        <v>1.2473745995299237E-4</v>
      </c>
      <c r="D94" s="271">
        <f t="shared" si="19"/>
        <v>1.2473745995299237E-4</v>
      </c>
      <c r="E94" s="34">
        <f t="shared" si="21"/>
        <v>0</v>
      </c>
      <c r="F94" s="42">
        <v>4000</v>
      </c>
      <c r="G94" s="34">
        <f t="shared" si="20"/>
        <v>498949839.81196952</v>
      </c>
      <c r="H94" s="34">
        <f t="shared" si="4"/>
        <v>496455090.61290967</v>
      </c>
      <c r="I94" s="35">
        <f t="shared" si="23"/>
        <v>1</v>
      </c>
      <c r="J94" s="36">
        <f t="shared" si="5"/>
        <v>496455090.61290967</v>
      </c>
      <c r="K94" s="34">
        <f t="shared" si="13"/>
        <v>5202391353521.5703</v>
      </c>
      <c r="L94" s="37">
        <f t="shared" si="24"/>
        <v>6063518599104.5586</v>
      </c>
      <c r="M94" s="34">
        <f t="shared" si="6"/>
        <v>382001671743.58722</v>
      </c>
      <c r="N94" s="34">
        <f t="shared" si="7"/>
        <v>0</v>
      </c>
      <c r="O94" s="34">
        <f t="shared" si="8"/>
        <v>382001671743.58722</v>
      </c>
      <c r="P94" s="34">
        <f>O94*9.5%</f>
        <v>36290158815.640785</v>
      </c>
      <c r="Q94" s="38">
        <f t="shared" si="15"/>
        <v>345711512927.94641</v>
      </c>
      <c r="R94" s="39">
        <f t="shared" si="16"/>
        <v>0</v>
      </c>
      <c r="S94" s="34">
        <f t="shared" si="17"/>
        <v>345806235868.44354</v>
      </c>
      <c r="T94" s="40">
        <f t="shared" si="26"/>
        <v>10078816031.239788</v>
      </c>
      <c r="U94" s="272">
        <f t="shared" si="9"/>
        <v>2.5853062235832228E-2</v>
      </c>
      <c r="V94" s="282">
        <f t="shared" si="10"/>
        <v>110.59361769687821</v>
      </c>
      <c r="W94" s="283">
        <f>((S94+'Malawi-only'!S94)/(T94*(U94+'Malawi-only'!U94))/12)</f>
        <v>100.79297981088365</v>
      </c>
      <c r="X94" s="284">
        <f>(R94+'Malawi-only'!R94)</f>
        <v>2255815809.5431499</v>
      </c>
      <c r="Y94" s="284">
        <f>(L94+'Malawi-only'!L94)</f>
        <v>6143451481875.3545</v>
      </c>
      <c r="Z94" s="284">
        <f>(Q94+'Malawi-only'!Q94)</f>
        <v>350223144547.03271</v>
      </c>
    </row>
    <row r="95" spans="1:26" ht="15.75" customHeight="1">
      <c r="A95" s="31" t="s">
        <v>128</v>
      </c>
      <c r="B95" s="32">
        <v>2111</v>
      </c>
      <c r="C95" s="274">
        <f t="shared" si="11"/>
        <v>1.1226371395769313E-4</v>
      </c>
      <c r="D95" s="271">
        <f t="shared" si="19"/>
        <v>1.1226371395769313E-4</v>
      </c>
      <c r="E95" s="34">
        <f t="shared" si="21"/>
        <v>0</v>
      </c>
      <c r="F95" s="42">
        <v>4000</v>
      </c>
      <c r="G95" s="34">
        <f t="shared" si="20"/>
        <v>449054855.83077252</v>
      </c>
      <c r="H95" s="34">
        <f t="shared" si="4"/>
        <v>446809581.55161864</v>
      </c>
      <c r="I95" s="35">
        <f t="shared" si="23"/>
        <v>1</v>
      </c>
      <c r="J95" s="36">
        <f t="shared" si="5"/>
        <v>446809581.55161864</v>
      </c>
      <c r="K95" s="34">
        <f t="shared" si="13"/>
        <v>5202838163103.1221</v>
      </c>
      <c r="L95" s="37">
        <f t="shared" si="24"/>
        <v>6097205439718</v>
      </c>
      <c r="M95" s="34">
        <f t="shared" si="6"/>
        <v>384123942702.23401</v>
      </c>
      <c r="N95" s="34">
        <f t="shared" si="7"/>
        <v>0</v>
      </c>
      <c r="O95" s="34">
        <f t="shared" si="8"/>
        <v>384123942702.23401</v>
      </c>
      <c r="P95" s="34">
        <f t="shared" ref="P95:P184" si="27">O95*$P$5</f>
        <v>38412394270.223404</v>
      </c>
      <c r="Q95" s="38">
        <f t="shared" si="15"/>
        <v>345711548432.01062</v>
      </c>
      <c r="R95" s="39">
        <f t="shared" si="16"/>
        <v>0</v>
      </c>
      <c r="S95" s="34">
        <f t="shared" si="17"/>
        <v>345711512927.94641</v>
      </c>
      <c r="T95" s="40">
        <f t="shared" si="26"/>
        <v>10068737215.208549</v>
      </c>
      <c r="U95" s="272">
        <f t="shared" si="9"/>
        <v>2.5853062235832228E-2</v>
      </c>
      <c r="V95" s="282">
        <f t="shared" si="10"/>
        <v>110.67399798821259</v>
      </c>
      <c r="W95" s="283">
        <f>((S95+'Malawi-only'!S95)/(T95*(U95+'Malawi-only'!U95))/12)</f>
        <v>100.87026176136659</v>
      </c>
      <c r="X95" s="284">
        <f>(R95+'Malawi-only'!R95)</f>
        <v>2269082719.7235622</v>
      </c>
      <c r="Y95" s="284">
        <f>(L95+'Malawi-only'!L95)</f>
        <v>6177607743158.5273</v>
      </c>
      <c r="Z95" s="284">
        <f>(Q95+'Malawi-only'!Q95)</f>
        <v>350249713871.45776</v>
      </c>
    </row>
    <row r="96" spans="1:26" ht="15.75" customHeight="1">
      <c r="A96" s="31" t="s">
        <v>129</v>
      </c>
      <c r="B96" s="32">
        <v>2112</v>
      </c>
      <c r="C96" s="274">
        <f t="shared" si="11"/>
        <v>1.0103734256192382E-4</v>
      </c>
      <c r="D96" s="271">
        <f t="shared" si="19"/>
        <v>1.0103734256192382E-4</v>
      </c>
      <c r="E96" s="34">
        <f t="shared" si="21"/>
        <v>0</v>
      </c>
      <c r="F96" s="42">
        <v>4000</v>
      </c>
      <c r="G96" s="34">
        <f t="shared" si="20"/>
        <v>404149370.24769527</v>
      </c>
      <c r="H96" s="34">
        <f t="shared" si="4"/>
        <v>402128623.39645678</v>
      </c>
      <c r="I96" s="35">
        <f t="shared" si="23"/>
        <v>1</v>
      </c>
      <c r="J96" s="36">
        <f t="shared" si="5"/>
        <v>402128623.39645678</v>
      </c>
      <c r="K96" s="34">
        <f t="shared" si="13"/>
        <v>5203240291726.5186</v>
      </c>
      <c r="L96" s="37">
        <f t="shared" si="24"/>
        <v>6132951952630.3145</v>
      </c>
      <c r="M96" s="34">
        <f t="shared" si="6"/>
        <v>386375973015.70984</v>
      </c>
      <c r="N96" s="34">
        <f t="shared" si="7"/>
        <v>0</v>
      </c>
      <c r="O96" s="34">
        <f t="shared" si="8"/>
        <v>386375973015.70984</v>
      </c>
      <c r="P96" s="34">
        <f t="shared" si="27"/>
        <v>38637597301.570984</v>
      </c>
      <c r="Q96" s="38">
        <f t="shared" si="15"/>
        <v>347738375714.13885</v>
      </c>
      <c r="R96" s="39">
        <f t="shared" si="16"/>
        <v>0</v>
      </c>
      <c r="S96" s="34">
        <f t="shared" si="17"/>
        <v>345711548432.01062</v>
      </c>
      <c r="T96" s="40">
        <f t="shared" si="26"/>
        <v>10058668477.993341</v>
      </c>
      <c r="U96" s="272">
        <f t="shared" si="9"/>
        <v>2.5853062235832228E-2</v>
      </c>
      <c r="V96" s="282">
        <f t="shared" si="10"/>
        <v>110.7847941484179</v>
      </c>
      <c r="W96" s="283">
        <f>((S96+'Malawi-only'!S96)/(T96*(U96+'Malawi-only'!U96))/12)</f>
        <v>100.97510990032032</v>
      </c>
      <c r="X96" s="284">
        <f>(R96+'Malawi-only'!R96)</f>
        <v>2282408328.5724587</v>
      </c>
      <c r="Y96" s="284">
        <f>(L96+'Malawi-only'!L96)</f>
        <v>6213825820810.3359</v>
      </c>
      <c r="Z96" s="284">
        <f>(Q96+'Malawi-only'!Q96)</f>
        <v>352303192371.28375</v>
      </c>
    </row>
    <row r="97" spans="1:26" ht="15.75" customHeight="1">
      <c r="A97" s="31" t="s">
        <v>130</v>
      </c>
      <c r="B97" s="32">
        <v>2113</v>
      </c>
      <c r="C97" s="274">
        <f t="shared" si="11"/>
        <v>9.0933608305731434E-5</v>
      </c>
      <c r="D97" s="271">
        <f t="shared" si="19"/>
        <v>9.0933608305731434E-5</v>
      </c>
      <c r="E97" s="34">
        <f t="shared" si="21"/>
        <v>0</v>
      </c>
      <c r="F97" s="42">
        <v>4000</v>
      </c>
      <c r="G97" s="34">
        <f t="shared" si="20"/>
        <v>363734433.22292578</v>
      </c>
      <c r="H97" s="34">
        <f t="shared" si="4"/>
        <v>361915761.05681115</v>
      </c>
      <c r="I97" s="35">
        <f t="shared" si="23"/>
        <v>1</v>
      </c>
      <c r="J97" s="36">
        <f t="shared" si="5"/>
        <v>361915761.05681115</v>
      </c>
      <c r="K97" s="34">
        <f t="shared" si="13"/>
        <v>5203602207487.5752</v>
      </c>
      <c r="L97" s="37">
        <f t="shared" si="24"/>
        <v>6168865489960.0967</v>
      </c>
      <c r="M97" s="34">
        <f t="shared" si="6"/>
        <v>388638525867.48608</v>
      </c>
      <c r="N97" s="34">
        <f t="shared" si="7"/>
        <v>0</v>
      </c>
      <c r="O97" s="34">
        <f t="shared" si="8"/>
        <v>388638525867.48608</v>
      </c>
      <c r="P97" s="34">
        <f t="shared" si="27"/>
        <v>38863852586.748611</v>
      </c>
      <c r="Q97" s="38">
        <f t="shared" si="15"/>
        <v>349774673280.73749</v>
      </c>
      <c r="R97" s="39">
        <f t="shared" si="16"/>
        <v>0</v>
      </c>
      <c r="S97" s="34">
        <f t="shared" si="17"/>
        <v>347738375714.13885</v>
      </c>
      <c r="T97" s="40">
        <f t="shared" si="26"/>
        <v>10048609809.515348</v>
      </c>
      <c r="U97" s="272">
        <f t="shared" si="9"/>
        <v>2.5853062235832228E-2</v>
      </c>
      <c r="V97" s="282">
        <f t="shared" si="10"/>
        <v>111.54584575770416</v>
      </c>
      <c r="W97" s="283">
        <f>((S97+'Malawi-only'!S97)/(T97*(U97+'Malawi-only'!U97))/12)</f>
        <v>101.66877403569219</v>
      </c>
      <c r="X97" s="284">
        <f>(R97+'Malawi-only'!R97)</f>
        <v>2295794801.8801327</v>
      </c>
      <c r="Y97" s="284">
        <f>(L97+'Malawi-only'!L97)</f>
        <v>6250213137256.0566</v>
      </c>
      <c r="Z97" s="284">
        <f>(Q97+'Malawi-only'!Q97)</f>
        <v>354366262884.49774</v>
      </c>
    </row>
    <row r="98" spans="1:26" ht="15.75" customHeight="1">
      <c r="A98" s="31" t="s">
        <v>131</v>
      </c>
      <c r="B98" s="32">
        <v>2114</v>
      </c>
      <c r="C98" s="274">
        <f t="shared" si="11"/>
        <v>8.1840247475158288E-5</v>
      </c>
      <c r="D98" s="271">
        <f t="shared" si="19"/>
        <v>8.1840247475158288E-5</v>
      </c>
      <c r="E98" s="34">
        <f t="shared" si="21"/>
        <v>0</v>
      </c>
      <c r="F98" s="42">
        <v>4000</v>
      </c>
      <c r="G98" s="34">
        <f t="shared" si="20"/>
        <v>327360989.90063316</v>
      </c>
      <c r="H98" s="34">
        <f t="shared" si="4"/>
        <v>325724184.95112997</v>
      </c>
      <c r="I98" s="35">
        <f t="shared" si="23"/>
        <v>1</v>
      </c>
      <c r="J98" s="36">
        <f t="shared" si="5"/>
        <v>325724184.95112997</v>
      </c>
      <c r="K98" s="34">
        <f t="shared" si="13"/>
        <v>5203927931672.5264</v>
      </c>
      <c r="L98" s="37">
        <f t="shared" si="24"/>
        <v>6204951039198.4316</v>
      </c>
      <c r="M98" s="34">
        <f t="shared" si="6"/>
        <v>390911915469.50122</v>
      </c>
      <c r="N98" s="34">
        <f t="shared" si="7"/>
        <v>0</v>
      </c>
      <c r="O98" s="34">
        <f t="shared" si="8"/>
        <v>390911915469.50122</v>
      </c>
      <c r="P98" s="34">
        <f t="shared" si="27"/>
        <v>39091191546.950127</v>
      </c>
      <c r="Q98" s="38">
        <f t="shared" si="15"/>
        <v>351820723922.55109</v>
      </c>
      <c r="R98" s="39">
        <f t="shared" si="16"/>
        <v>0</v>
      </c>
      <c r="S98" s="34">
        <f t="shared" si="17"/>
        <v>349774673280.73749</v>
      </c>
      <c r="T98" s="40">
        <f t="shared" si="26"/>
        <v>10038561199.705833</v>
      </c>
      <c r="U98" s="272">
        <f t="shared" si="9"/>
        <v>2.5853062235832228E-2</v>
      </c>
      <c r="V98" s="282">
        <f t="shared" si="10"/>
        <v>112.3113508603733</v>
      </c>
      <c r="W98" s="283">
        <f>((S98+'Malawi-only'!S98)/(T98*(U98+'Malawi-only'!U98))/12)</f>
        <v>102.36649742103678</v>
      </c>
      <c r="X98" s="284">
        <f>(R98+'Malawi-only'!R98)</f>
        <v>2309244135.4669604</v>
      </c>
      <c r="Y98" s="284">
        <f>(L98+'Malawi-only'!L98)</f>
        <v>6286774744914.208</v>
      </c>
      <c r="Z98" s="284">
        <f>(Q98+'Malawi-only'!Q98)</f>
        <v>356439212193.48499</v>
      </c>
    </row>
    <row r="99" spans="1:26" ht="15.75" customHeight="1">
      <c r="A99" s="31" t="s">
        <v>132</v>
      </c>
      <c r="B99" s="32">
        <v>2115</v>
      </c>
      <c r="C99" s="274">
        <f t="shared" si="11"/>
        <v>7.3656222727642455E-5</v>
      </c>
      <c r="D99" s="271">
        <f t="shared" si="19"/>
        <v>7.3656222727642455E-5</v>
      </c>
      <c r="E99" s="34">
        <f t="shared" si="21"/>
        <v>0</v>
      </c>
      <c r="F99" s="42">
        <v>4000</v>
      </c>
      <c r="G99" s="34">
        <f t="shared" si="20"/>
        <v>294624890.91056979</v>
      </c>
      <c r="H99" s="34">
        <f t="shared" si="4"/>
        <v>293151766.45601696</v>
      </c>
      <c r="I99" s="35">
        <f t="shared" si="23"/>
        <v>1</v>
      </c>
      <c r="J99" s="36">
        <f t="shared" si="5"/>
        <v>293151766.45601696</v>
      </c>
      <c r="K99" s="34">
        <f t="shared" si="13"/>
        <v>5204221083438.9824</v>
      </c>
      <c r="L99" s="37">
        <f t="shared" si="24"/>
        <v>6241213214820.582</v>
      </c>
      <c r="M99" s="34">
        <f t="shared" si="6"/>
        <v>393196432533.69666</v>
      </c>
      <c r="N99" s="34">
        <f t="shared" si="7"/>
        <v>0</v>
      </c>
      <c r="O99" s="34">
        <f t="shared" si="8"/>
        <v>393196432533.69666</v>
      </c>
      <c r="P99" s="34">
        <f t="shared" si="27"/>
        <v>39319643253.369667</v>
      </c>
      <c r="Q99" s="38">
        <f t="shared" si="15"/>
        <v>353876789280.32697</v>
      </c>
      <c r="R99" s="39">
        <f t="shared" si="16"/>
        <v>0</v>
      </c>
      <c r="S99" s="34">
        <f t="shared" si="17"/>
        <v>351820723922.55109</v>
      </c>
      <c r="T99" s="40">
        <f t="shared" si="26"/>
        <v>10028522638.506128</v>
      </c>
      <c r="U99" s="272">
        <f t="shared" si="9"/>
        <v>2.5853062235832228E-2</v>
      </c>
      <c r="V99" s="282">
        <f t="shared" si="10"/>
        <v>113.08141154762272</v>
      </c>
      <c r="W99" s="283">
        <f>((S99+'Malawi-only'!S99)/(T99*(U99+'Malawi-only'!U99))/12)</f>
        <v>103.0683731010087</v>
      </c>
      <c r="X99" s="284">
        <f>(R99+'Malawi-only'!R99)</f>
        <v>2322758172.4507437</v>
      </c>
      <c r="Y99" s="284">
        <f>(L99+'Malawi-only'!L99)</f>
        <v>6323515318355.7441</v>
      </c>
      <c r="Z99" s="284">
        <f>(Q99+'Malawi-only'!Q99)</f>
        <v>358522305625.22845</v>
      </c>
    </row>
    <row r="100" spans="1:26" ht="15.75" customHeight="1">
      <c r="A100" s="31" t="s">
        <v>133</v>
      </c>
      <c r="B100" s="32">
        <v>2116</v>
      </c>
      <c r="C100" s="274">
        <f t="shared" si="11"/>
        <v>6.6290600454878206E-5</v>
      </c>
      <c r="D100" s="271">
        <f t="shared" si="19"/>
        <v>6.6290600454878206E-5</v>
      </c>
      <c r="E100" s="34">
        <f t="shared" si="21"/>
        <v>0</v>
      </c>
      <c r="F100" s="42">
        <v>4000</v>
      </c>
      <c r="G100" s="34">
        <f t="shared" si="20"/>
        <v>265162401.81951284</v>
      </c>
      <c r="H100" s="34">
        <f t="shared" si="4"/>
        <v>263836589.81041527</v>
      </c>
      <c r="I100" s="35">
        <f t="shared" si="23"/>
        <v>1</v>
      </c>
      <c r="J100" s="36">
        <f t="shared" si="5"/>
        <v>263836589.81041527</v>
      </c>
      <c r="K100" s="34">
        <f t="shared" si="13"/>
        <v>5204484920028.793</v>
      </c>
      <c r="L100" s="37">
        <f t="shared" si="24"/>
        <v>6277656296316.4316</v>
      </c>
      <c r="M100" s="34">
        <f t="shared" si="6"/>
        <v>395492346667.93518</v>
      </c>
      <c r="N100" s="34">
        <f t="shared" si="7"/>
        <v>0</v>
      </c>
      <c r="O100" s="34">
        <f t="shared" si="8"/>
        <v>395492346667.93518</v>
      </c>
      <c r="P100" s="34">
        <f t="shared" si="27"/>
        <v>39549234666.793518</v>
      </c>
      <c r="Q100" s="38">
        <f t="shared" si="15"/>
        <v>355943112001.14166</v>
      </c>
      <c r="R100" s="39">
        <f t="shared" si="16"/>
        <v>0</v>
      </c>
      <c r="S100" s="34">
        <f t="shared" si="17"/>
        <v>353876789280.32697</v>
      </c>
      <c r="T100" s="40">
        <f t="shared" si="26"/>
        <v>10018494115.867622</v>
      </c>
      <c r="U100" s="272">
        <f t="shared" si="9"/>
        <v>2.5853062235832228E-2</v>
      </c>
      <c r="V100" s="282">
        <f t="shared" si="10"/>
        <v>113.85612349080266</v>
      </c>
      <c r="W100" s="283">
        <f>((S100+'Malawi-only'!S100)/(T100*(U100+'Malawi-only'!U100))/12)</f>
        <v>103.77448826956824</v>
      </c>
      <c r="X100" s="284">
        <f>(R100+'Malawi-only'!R100)</f>
        <v>2336338618.7888765</v>
      </c>
      <c r="Y100" s="284">
        <f>(L100+'Malawi-only'!L100)</f>
        <v>6360439192827.3027</v>
      </c>
      <c r="Z100" s="284">
        <f>(Q100+'Malawi-only'!Q100)</f>
        <v>360615789238.71942</v>
      </c>
    </row>
    <row r="101" spans="1:26" ht="15.75" customHeight="1">
      <c r="A101" s="31" t="s">
        <v>134</v>
      </c>
      <c r="B101" s="32">
        <v>2117</v>
      </c>
      <c r="C101" s="274">
        <f t="shared" si="11"/>
        <v>5.9661540409390384E-5</v>
      </c>
      <c r="D101" s="271">
        <f t="shared" si="19"/>
        <v>5.9661540409390384E-5</v>
      </c>
      <c r="E101" s="34">
        <f t="shared" si="21"/>
        <v>0</v>
      </c>
      <c r="F101" s="42">
        <v>4000</v>
      </c>
      <c r="G101" s="34">
        <f t="shared" si="20"/>
        <v>238646161.63756153</v>
      </c>
      <c r="H101" s="34">
        <f t="shared" si="4"/>
        <v>237452930.82937372</v>
      </c>
      <c r="I101" s="35">
        <f t="shared" si="23"/>
        <v>1</v>
      </c>
      <c r="J101" s="36">
        <f t="shared" si="5"/>
        <v>237452930.82937372</v>
      </c>
      <c r="K101" s="34">
        <f t="shared" si="13"/>
        <v>5204722372959.6221</v>
      </c>
      <c r="L101" s="37">
        <f t="shared" si="24"/>
        <v>6314284262422.0977</v>
      </c>
      <c r="M101" s="34">
        <f t="shared" si="6"/>
        <v>397799908532.59216</v>
      </c>
      <c r="N101" s="34">
        <f t="shared" si="7"/>
        <v>0</v>
      </c>
      <c r="O101" s="34">
        <f t="shared" si="8"/>
        <v>397799908532.59216</v>
      </c>
      <c r="P101" s="34">
        <f t="shared" si="27"/>
        <v>39779990853.259216</v>
      </c>
      <c r="Q101" s="38">
        <f t="shared" si="15"/>
        <v>358019917679.33295</v>
      </c>
      <c r="R101" s="39">
        <f t="shared" si="16"/>
        <v>0</v>
      </c>
      <c r="S101" s="34">
        <f t="shared" si="17"/>
        <v>355943112001.14166</v>
      </c>
      <c r="T101" s="40">
        <f t="shared" si="26"/>
        <v>10008475621.751757</v>
      </c>
      <c r="U101" s="272">
        <f t="shared" si="9"/>
        <v>2.5853062235832228E-2</v>
      </c>
      <c r="V101" s="282">
        <f t="shared" si="10"/>
        <v>114.6355766027724</v>
      </c>
      <c r="W101" s="283">
        <f>((S101+'Malawi-only'!S101)/(T101*(U101+'Malawi-only'!U101))/12)</f>
        <v>104.48492487270782</v>
      </c>
      <c r="X101" s="284">
        <f>(R101+'Malawi-only'!R101)</f>
        <v>2349987057.267879</v>
      </c>
      <c r="Y101" s="284">
        <f>(L101+'Malawi-only'!L101)</f>
        <v>6397550398926.4053</v>
      </c>
      <c r="Z101" s="284">
        <f>(Q101+'Malawi-only'!Q101)</f>
        <v>362719891793.86871</v>
      </c>
    </row>
    <row r="102" spans="1:26" ht="15.75" customHeight="1">
      <c r="A102" s="31" t="s">
        <v>135</v>
      </c>
      <c r="B102" s="32">
        <v>2118</v>
      </c>
      <c r="C102" s="274">
        <f t="shared" si="11"/>
        <v>5.3695386368451346E-5</v>
      </c>
      <c r="D102" s="271">
        <f t="shared" si="19"/>
        <v>5.3695386368451346E-5</v>
      </c>
      <c r="E102" s="34">
        <f t="shared" si="21"/>
        <v>0</v>
      </c>
      <c r="F102" s="42">
        <v>4000</v>
      </c>
      <c r="G102" s="34">
        <f t="shared" si="20"/>
        <v>214781545.47380537</v>
      </c>
      <c r="H102" s="34">
        <f t="shared" si="4"/>
        <v>213707637.74643633</v>
      </c>
      <c r="I102" s="35">
        <f t="shared" si="23"/>
        <v>1</v>
      </c>
      <c r="J102" s="36">
        <f t="shared" si="5"/>
        <v>213707637.74643633</v>
      </c>
      <c r="K102" s="34">
        <f t="shared" si="13"/>
        <v>5204936080597.3682</v>
      </c>
      <c r="L102" s="37">
        <f t="shared" si="24"/>
        <v>6351100821932.6465</v>
      </c>
      <c r="M102" s="34">
        <f t="shared" si="6"/>
        <v>400119351781.75671</v>
      </c>
      <c r="N102" s="34">
        <f t="shared" si="7"/>
        <v>0</v>
      </c>
      <c r="O102" s="34">
        <f t="shared" si="8"/>
        <v>400119351781.75671</v>
      </c>
      <c r="P102" s="34">
        <f t="shared" si="27"/>
        <v>40011935178.175674</v>
      </c>
      <c r="Q102" s="38">
        <f t="shared" si="15"/>
        <v>360107416603.58105</v>
      </c>
      <c r="R102" s="39">
        <f t="shared" si="16"/>
        <v>0</v>
      </c>
      <c r="S102" s="34">
        <f t="shared" si="17"/>
        <v>358019917679.33295</v>
      </c>
      <c r="T102" s="40">
        <f t="shared" si="26"/>
        <v>9998467146.1300068</v>
      </c>
      <c r="U102" s="272">
        <f t="shared" si="9"/>
        <v>2.5853062235832228E-2</v>
      </c>
      <c r="V102" s="282">
        <f t="shared" si="10"/>
        <v>115.41985563388766</v>
      </c>
      <c r="W102" s="283">
        <f>((S102+'Malawi-only'!S102)/(T102*(U102+'Malawi-only'!U102))/12)</f>
        <v>105.19976015160485</v>
      </c>
      <c r="X102" s="284">
        <f>(R102+'Malawi-only'!R102)</f>
        <v>2363704960.0955644</v>
      </c>
      <c r="Y102" s="284">
        <f>(L102+'Malawi-only'!L102)</f>
        <v>6434852693813.4521</v>
      </c>
      <c r="Z102" s="284">
        <f>(Q102+'Malawi-only'!Q102)</f>
        <v>364834826523.77216</v>
      </c>
    </row>
    <row r="103" spans="1:26" ht="15.75" customHeight="1">
      <c r="A103" s="31" t="s">
        <v>136</v>
      </c>
      <c r="B103" s="32">
        <v>2119</v>
      </c>
      <c r="C103" s="274">
        <f t="shared" si="11"/>
        <v>4.8325847731606215E-5</v>
      </c>
      <c r="D103" s="271">
        <f t="shared" si="19"/>
        <v>4.8325847731606215E-5</v>
      </c>
      <c r="E103" s="34">
        <f t="shared" si="21"/>
        <v>0</v>
      </c>
      <c r="F103" s="42">
        <v>4000</v>
      </c>
      <c r="G103" s="34">
        <f t="shared" si="20"/>
        <v>193303390.92642486</v>
      </c>
      <c r="H103" s="34">
        <f t="shared" si="4"/>
        <v>192336873.97179273</v>
      </c>
      <c r="I103" s="35">
        <f t="shared" si="23"/>
        <v>1</v>
      </c>
      <c r="J103" s="36">
        <f t="shared" si="5"/>
        <v>192336873.97179273</v>
      </c>
      <c r="K103" s="34">
        <f t="shared" si="13"/>
        <v>5205128417471.3398</v>
      </c>
      <c r="L103" s="37">
        <f t="shared" si="24"/>
        <v>6388109441437.8018</v>
      </c>
      <c r="M103" s="34">
        <f t="shared" si="6"/>
        <v>402450894810.58154</v>
      </c>
      <c r="N103" s="34">
        <f t="shared" si="7"/>
        <v>0</v>
      </c>
      <c r="O103" s="34">
        <f t="shared" si="8"/>
        <v>402450894810.58154</v>
      </c>
      <c r="P103" s="34">
        <f t="shared" si="27"/>
        <v>40245089481.058159</v>
      </c>
      <c r="Q103" s="38">
        <f t="shared" si="15"/>
        <v>362205805329.52338</v>
      </c>
      <c r="R103" s="39">
        <f t="shared" si="16"/>
        <v>0</v>
      </c>
      <c r="S103" s="34">
        <f t="shared" si="17"/>
        <v>360107416603.58105</v>
      </c>
      <c r="T103" s="40">
        <f t="shared" si="26"/>
        <v>9988468678.9838772</v>
      </c>
      <c r="U103" s="272">
        <f t="shared" si="9"/>
        <v>2.5853062235832228E-2</v>
      </c>
      <c r="V103" s="282">
        <f t="shared" si="10"/>
        <v>116.20904070909889</v>
      </c>
      <c r="W103" s="283">
        <f>((S103+'Malawi-only'!S103)/(T103*(U103+'Malawi-only'!U103))/12)</f>
        <v>105.91906713210597</v>
      </c>
      <c r="X103" s="284">
        <f>(R103+'Malawi-only'!R103)</f>
        <v>2377493700.2355809</v>
      </c>
      <c r="Y103" s="284">
        <f>(L103+'Malawi-only'!L103)</f>
        <v>6472349589306.8389</v>
      </c>
      <c r="Z103" s="284">
        <f>(Q103+'Malawi-only'!Q103)</f>
        <v>366960792729.99457</v>
      </c>
    </row>
    <row r="104" spans="1:26" ht="15.75" customHeight="1">
      <c r="A104" s="31" t="s">
        <v>137</v>
      </c>
      <c r="B104" s="32">
        <v>2120</v>
      </c>
      <c r="C104" s="274">
        <f t="shared" si="11"/>
        <v>4.3493262958445591E-5</v>
      </c>
      <c r="D104" s="271">
        <f t="shared" si="19"/>
        <v>4.3493262958445591E-5</v>
      </c>
      <c r="E104" s="34">
        <f t="shared" si="21"/>
        <v>0</v>
      </c>
      <c r="F104" s="42">
        <v>4000</v>
      </c>
      <c r="G104" s="34">
        <f t="shared" si="20"/>
        <v>173973051.83378237</v>
      </c>
      <c r="H104" s="34">
        <f t="shared" si="4"/>
        <v>173103186.57461345</v>
      </c>
      <c r="I104" s="35">
        <f t="shared" si="23"/>
        <v>1</v>
      </c>
      <c r="J104" s="36">
        <f t="shared" si="5"/>
        <v>173103186.57461345</v>
      </c>
      <c r="K104" s="34">
        <f t="shared" si="13"/>
        <v>5205301520657.9141</v>
      </c>
      <c r="L104" s="37">
        <f t="shared" si="24"/>
        <v>6425313370288.3818</v>
      </c>
      <c r="M104" s="34">
        <f t="shared" si="6"/>
        <v>404794742328.16803</v>
      </c>
      <c r="N104" s="34">
        <f t="shared" si="7"/>
        <v>0</v>
      </c>
      <c r="O104" s="34">
        <f t="shared" si="8"/>
        <v>404794742328.16803</v>
      </c>
      <c r="P104" s="34">
        <f t="shared" si="27"/>
        <v>40479474232.816803</v>
      </c>
      <c r="Q104" s="38">
        <f t="shared" si="15"/>
        <v>364315268095.3512</v>
      </c>
      <c r="R104" s="39">
        <f t="shared" si="16"/>
        <v>0</v>
      </c>
      <c r="S104" s="34">
        <f t="shared" si="17"/>
        <v>362205805329.52338</v>
      </c>
      <c r="T104" s="40">
        <f t="shared" si="26"/>
        <v>9978480210.3048935</v>
      </c>
      <c r="U104" s="272">
        <f t="shared" si="9"/>
        <v>2.5853062235832228E-2</v>
      </c>
      <c r="V104" s="282">
        <f t="shared" si="10"/>
        <v>117.00320781199662</v>
      </c>
      <c r="W104" s="283">
        <f>((S104+'Malawi-only'!S104)/(T104*(U104+'Malawi-only'!U104))/12)</f>
        <v>106.64291506586143</v>
      </c>
      <c r="X104" s="284">
        <f>(R104+'Malawi-only'!R104)</f>
        <v>2391354561.6101079</v>
      </c>
      <c r="Y104" s="284">
        <f>(L104+'Malawi-only'!L104)</f>
        <v>6510044377172.9238</v>
      </c>
      <c r="Z104" s="284">
        <f>(Q104+'Malawi-only'!Q104)</f>
        <v>369097977218.57141</v>
      </c>
    </row>
    <row r="105" spans="1:26" ht="15.75" customHeight="1">
      <c r="A105" s="31" t="s">
        <v>138</v>
      </c>
      <c r="B105" s="32">
        <v>2121</v>
      </c>
      <c r="C105" s="274">
        <f t="shared" si="11"/>
        <v>3.9143936662601032E-5</v>
      </c>
      <c r="D105" s="271">
        <f t="shared" si="19"/>
        <v>3.9143936662601032E-5</v>
      </c>
      <c r="E105" s="34">
        <f t="shared" si="21"/>
        <v>0</v>
      </c>
      <c r="F105" s="42">
        <v>4000</v>
      </c>
      <c r="G105" s="34">
        <f t="shared" si="20"/>
        <v>156575746.65040413</v>
      </c>
      <c r="H105" s="34">
        <f t="shared" si="4"/>
        <v>155792867.91715211</v>
      </c>
      <c r="I105" s="35">
        <f t="shared" si="23"/>
        <v>1</v>
      </c>
      <c r="J105" s="36">
        <f t="shared" si="5"/>
        <v>155792867.91715211</v>
      </c>
      <c r="K105" s="34">
        <f t="shared" si="13"/>
        <v>5205457313525.8311</v>
      </c>
      <c r="L105" s="37">
        <f t="shared" si="24"/>
        <v>6462715663070.4209</v>
      </c>
      <c r="M105" s="34">
        <f t="shared" si="6"/>
        <v>407151086773.43652</v>
      </c>
      <c r="N105" s="34">
        <f t="shared" si="7"/>
        <v>0</v>
      </c>
      <c r="O105" s="34">
        <f t="shared" si="8"/>
        <v>407151086773.43652</v>
      </c>
      <c r="P105" s="34">
        <f t="shared" si="27"/>
        <v>40715108677.343651</v>
      </c>
      <c r="Q105" s="38">
        <f t="shared" si="15"/>
        <v>366435978096.0929</v>
      </c>
      <c r="R105" s="39">
        <f t="shared" si="16"/>
        <v>0</v>
      </c>
      <c r="S105" s="34">
        <f t="shared" si="17"/>
        <v>364315268095.3512</v>
      </c>
      <c r="T105" s="40">
        <f t="shared" si="26"/>
        <v>9968501730.0945892</v>
      </c>
      <c r="U105" s="272">
        <f t="shared" si="9"/>
        <v>2.5853062235832228E-2</v>
      </c>
      <c r="V105" s="282">
        <f t="shared" si="10"/>
        <v>117.80242922106333</v>
      </c>
      <c r="W105" s="283">
        <f>((S105+'Malawi-only'!S105)/(T105*(U105+'Malawi-only'!U105))/12)</f>
        <v>107.37136982790322</v>
      </c>
      <c r="X105" s="284">
        <f>(R105+'Malawi-only'!R105)</f>
        <v>2405288748.2838917</v>
      </c>
      <c r="Y105" s="284">
        <f>(L105+'Malawi-only'!L105)</f>
        <v>6547940151891.375</v>
      </c>
      <c r="Z105" s="284">
        <f>(Q105+'Malawi-only'!Q105)</f>
        <v>371246555592.66071</v>
      </c>
    </row>
    <row r="106" spans="1:26" ht="15.75" customHeight="1">
      <c r="A106" s="31" t="s">
        <v>139</v>
      </c>
      <c r="B106" s="32">
        <v>2122</v>
      </c>
      <c r="C106" s="274">
        <f t="shared" si="11"/>
        <v>3.5229542996340929E-5</v>
      </c>
      <c r="D106" s="271">
        <f t="shared" si="19"/>
        <v>3.5229542996340929E-5</v>
      </c>
      <c r="E106" s="34">
        <f t="shared" si="21"/>
        <v>0</v>
      </c>
      <c r="F106" s="42">
        <v>4000</v>
      </c>
      <c r="G106" s="34">
        <f t="shared" si="20"/>
        <v>140918171.98536372</v>
      </c>
      <c r="H106" s="34">
        <f t="shared" si="4"/>
        <v>140213581.1254369</v>
      </c>
      <c r="I106" s="35">
        <f t="shared" si="23"/>
        <v>1</v>
      </c>
      <c r="J106" s="36">
        <f t="shared" si="5"/>
        <v>140213581.1254369</v>
      </c>
      <c r="K106" s="34">
        <f t="shared" si="13"/>
        <v>5205597527106.9561</v>
      </c>
      <c r="L106" s="37">
        <f t="shared" si="24"/>
        <v>6500319199836.2256</v>
      </c>
      <c r="M106" s="34">
        <f t="shared" si="6"/>
        <v>409520109589.68219</v>
      </c>
      <c r="N106" s="34">
        <f t="shared" si="7"/>
        <v>0</v>
      </c>
      <c r="O106" s="34">
        <f t="shared" si="8"/>
        <v>409520109589.68219</v>
      </c>
      <c r="P106" s="34">
        <f t="shared" si="27"/>
        <v>40952010958.968224</v>
      </c>
      <c r="Q106" s="38">
        <f t="shared" si="15"/>
        <v>368568098630.71399</v>
      </c>
      <c r="R106" s="39">
        <f t="shared" si="16"/>
        <v>0</v>
      </c>
      <c r="S106" s="34">
        <f t="shared" si="17"/>
        <v>366435978096.0929</v>
      </c>
      <c r="T106" s="40">
        <f t="shared" si="26"/>
        <v>9958533228.3644962</v>
      </c>
      <c r="U106" s="272">
        <f t="shared" si="9"/>
        <v>2.5853062235832228E-2</v>
      </c>
      <c r="V106" s="282">
        <f t="shared" si="10"/>
        <v>118.60677390286905</v>
      </c>
      <c r="W106" s="283">
        <f>((S106+'Malawi-only'!S106)/(T106*(U106+'Malawi-only'!U106))/12)</f>
        <v>108.10449427498349</v>
      </c>
      <c r="X106" s="284">
        <f>(R106+'Malawi-only'!R106)</f>
        <v>2419297392.7315116</v>
      </c>
      <c r="Y106" s="284">
        <f>(L106+'Malawi-only'!L106)</f>
        <v>6586039831148.3955</v>
      </c>
      <c r="Z106" s="284">
        <f>(Q106+'Malawi-only'!Q106)</f>
        <v>373406693416.177</v>
      </c>
    </row>
    <row r="107" spans="1:26" ht="15.75" customHeight="1">
      <c r="A107" s="31" t="s">
        <v>140</v>
      </c>
      <c r="B107" s="32">
        <v>2123</v>
      </c>
      <c r="C107" s="274">
        <f t="shared" si="11"/>
        <v>3.1706588696706838E-5</v>
      </c>
      <c r="D107" s="271">
        <f t="shared" si="19"/>
        <v>3.1706588696706838E-5</v>
      </c>
      <c r="E107" s="34">
        <f t="shared" si="21"/>
        <v>0</v>
      </c>
      <c r="F107" s="42">
        <v>4000</v>
      </c>
      <c r="G107" s="34">
        <f t="shared" si="20"/>
        <v>126826354.78682736</v>
      </c>
      <c r="H107" s="34">
        <f t="shared" si="4"/>
        <v>126192223.01289321</v>
      </c>
      <c r="I107" s="35">
        <f t="shared" si="23"/>
        <v>1</v>
      </c>
      <c r="J107" s="36">
        <f t="shared" si="5"/>
        <v>126192223.01289321</v>
      </c>
      <c r="K107" s="34">
        <f t="shared" si="13"/>
        <v>5205723719329.9688</v>
      </c>
      <c r="L107" s="37">
        <f t="shared" si="24"/>
        <v>6538126704316.6973</v>
      </c>
      <c r="M107" s="34">
        <f t="shared" si="6"/>
        <v>411901982371.9519</v>
      </c>
      <c r="N107" s="34">
        <f t="shared" si="7"/>
        <v>0</v>
      </c>
      <c r="O107" s="34">
        <f t="shared" si="8"/>
        <v>411901982371.9519</v>
      </c>
      <c r="P107" s="34">
        <f t="shared" si="27"/>
        <v>41190198237.19519</v>
      </c>
      <c r="Q107" s="38">
        <f t="shared" si="15"/>
        <v>370711784134.75671</v>
      </c>
      <c r="R107" s="39">
        <f t="shared" si="16"/>
        <v>0</v>
      </c>
      <c r="S107" s="34">
        <f t="shared" si="17"/>
        <v>368568098630.71399</v>
      </c>
      <c r="T107" s="40">
        <f t="shared" si="26"/>
        <v>9948574695.1361332</v>
      </c>
      <c r="U107" s="272">
        <f t="shared" si="9"/>
        <v>2.5853062235832228E-2</v>
      </c>
      <c r="V107" s="282">
        <f t="shared" si="10"/>
        <v>119.41630786647823</v>
      </c>
      <c r="W107" s="283">
        <f>((S107+'Malawi-only'!S107)/(T107*(U107+'Malawi-only'!U107))/12)</f>
        <v>108.84234856856331</v>
      </c>
      <c r="X107" s="284">
        <f>(R107+'Malawi-only'!R107)</f>
        <v>2433381563.2795353</v>
      </c>
      <c r="Y107" s="284">
        <f>(L107+'Malawi-only'!L107)</f>
        <v>6624346174285.0498</v>
      </c>
      <c r="Z107" s="284">
        <f>(Q107+'Malawi-only'!Q107)</f>
        <v>375578547261.3158</v>
      </c>
    </row>
    <row r="108" spans="1:26" ht="15.75" customHeight="1">
      <c r="A108" s="31" t="s">
        <v>141</v>
      </c>
      <c r="B108" s="32">
        <v>2124</v>
      </c>
      <c r="C108" s="274">
        <f t="shared" si="11"/>
        <v>2.8535929827036154E-5</v>
      </c>
      <c r="D108" s="271">
        <f t="shared" si="19"/>
        <v>2.8535929827036154E-5</v>
      </c>
      <c r="E108" s="34">
        <f t="shared" si="21"/>
        <v>0</v>
      </c>
      <c r="F108" s="42">
        <v>4000</v>
      </c>
      <c r="G108" s="34">
        <f t="shared" si="20"/>
        <v>114143719.30814461</v>
      </c>
      <c r="H108" s="34">
        <f t="shared" si="4"/>
        <v>113573000.71160389</v>
      </c>
      <c r="I108" s="35">
        <f t="shared" si="23"/>
        <v>1</v>
      </c>
      <c r="J108" s="36">
        <f t="shared" si="5"/>
        <v>113573000.71160389</v>
      </c>
      <c r="K108" s="34">
        <f t="shared" si="13"/>
        <v>5205837292330.6807</v>
      </c>
      <c r="L108" s="37">
        <f t="shared" si="24"/>
        <v>6576140760316.8271</v>
      </c>
      <c r="M108" s="34">
        <f t="shared" si="6"/>
        <v>414296867899.96008</v>
      </c>
      <c r="N108" s="34">
        <f t="shared" si="7"/>
        <v>0</v>
      </c>
      <c r="O108" s="34">
        <f t="shared" si="8"/>
        <v>414296867899.96008</v>
      </c>
      <c r="P108" s="34">
        <f t="shared" si="27"/>
        <v>41429686789.99601</v>
      </c>
      <c r="Q108" s="38">
        <f t="shared" si="15"/>
        <v>372867181109.96405</v>
      </c>
      <c r="R108" s="39">
        <f t="shared" si="16"/>
        <v>0</v>
      </c>
      <c r="S108" s="34">
        <f t="shared" si="17"/>
        <v>370711784134.75671</v>
      </c>
      <c r="T108" s="40">
        <f t="shared" si="26"/>
        <v>9938626120.4409981</v>
      </c>
      <c r="U108" s="272">
        <f t="shared" si="9"/>
        <v>2.5853062235832228E-2</v>
      </c>
      <c r="V108" s="282">
        <f t="shared" si="10"/>
        <v>120.23109448291412</v>
      </c>
      <c r="W108" s="283">
        <f>((S108+'Malawi-only'!S108)/(T108*(U108+'Malawi-only'!U108))/12)</f>
        <v>109.58499046595635</v>
      </c>
      <c r="X108" s="284">
        <f>(R108+'Malawi-only'!R108)</f>
        <v>2447542270.8061204</v>
      </c>
      <c r="Y108" s="284">
        <f>(L108+'Malawi-only'!L108)</f>
        <v>6662861798905.2227</v>
      </c>
      <c r="Z108" s="284">
        <f>(Q108+'Malawi-only'!Q108)</f>
        <v>377762265651.57629</v>
      </c>
    </row>
    <row r="109" spans="1:26" ht="15.75" customHeight="1">
      <c r="A109" s="31" t="s">
        <v>142</v>
      </c>
      <c r="B109" s="32">
        <v>2125</v>
      </c>
      <c r="C109" s="274">
        <f t="shared" si="11"/>
        <v>2.568233684433254E-5</v>
      </c>
      <c r="D109" s="271">
        <f t="shared" si="19"/>
        <v>2.568233684433254E-5</v>
      </c>
      <c r="E109" s="34">
        <f t="shared" si="21"/>
        <v>0</v>
      </c>
      <c r="F109" s="42">
        <v>4000</v>
      </c>
      <c r="G109" s="34">
        <f t="shared" si="20"/>
        <v>102729347.37733017</v>
      </c>
      <c r="H109" s="34">
        <f t="shared" si="4"/>
        <v>102215700.64044352</v>
      </c>
      <c r="I109" s="35">
        <f t="shared" si="23"/>
        <v>1</v>
      </c>
      <c r="J109" s="36">
        <f t="shared" si="5"/>
        <v>102215700.64044352</v>
      </c>
      <c r="K109" s="34">
        <f t="shared" si="13"/>
        <v>5205939508031.3213</v>
      </c>
      <c r="L109" s="37">
        <f t="shared" si="24"/>
        <v>6614363826476.0605</v>
      </c>
      <c r="M109" s="34">
        <f t="shared" si="6"/>
        <v>416704921067.99182</v>
      </c>
      <c r="N109" s="34">
        <f t="shared" si="7"/>
        <v>0</v>
      </c>
      <c r="O109" s="34">
        <f t="shared" si="8"/>
        <v>416704921067.99182</v>
      </c>
      <c r="P109" s="34">
        <f t="shared" si="27"/>
        <v>41670492106.799187</v>
      </c>
      <c r="Q109" s="38">
        <f t="shared" si="15"/>
        <v>375034428961.19263</v>
      </c>
      <c r="R109" s="39">
        <f t="shared" si="16"/>
        <v>0</v>
      </c>
      <c r="S109" s="34">
        <f t="shared" si="17"/>
        <v>372867181109.96405</v>
      </c>
      <c r="T109" s="40">
        <f t="shared" si="26"/>
        <v>9928687494.3205585</v>
      </c>
      <c r="U109" s="272">
        <f t="shared" si="9"/>
        <v>2.5853062235832228E-2</v>
      </c>
      <c r="V109" s="282">
        <f t="shared" si="10"/>
        <v>121.05119477314342</v>
      </c>
      <c r="W109" s="283">
        <f>((S109+'Malawi-only'!S109)/(T109*(U109+'Malawi-only'!U109))/12)</f>
        <v>110.33247558278366</v>
      </c>
      <c r="X109" s="284">
        <f>(R109+'Malawi-only'!R109)</f>
        <v>2461780474.7722917</v>
      </c>
      <c r="Y109" s="284">
        <f>(L109+'Malawi-only'!L109)</f>
        <v>6701589195827.2598</v>
      </c>
      <c r="Z109" s="284">
        <f>(Q109+'Malawi-only'!Q109)</f>
        <v>379957989910.73718</v>
      </c>
    </row>
    <row r="110" spans="1:26" ht="15.75" customHeight="1">
      <c r="A110" s="31" t="s">
        <v>143</v>
      </c>
      <c r="B110" s="32">
        <v>2126</v>
      </c>
      <c r="C110" s="274">
        <f t="shared" si="11"/>
        <v>2.3114103159899286E-5</v>
      </c>
      <c r="D110" s="271">
        <f t="shared" si="19"/>
        <v>2.3114103159899286E-5</v>
      </c>
      <c r="E110" s="34">
        <f t="shared" si="21"/>
        <v>0</v>
      </c>
      <c r="F110" s="42">
        <v>4000</v>
      </c>
      <c r="G110" s="34">
        <f t="shared" si="20"/>
        <v>92456412.639597148</v>
      </c>
      <c r="H110" s="34">
        <f t="shared" si="4"/>
        <v>91994130.576399162</v>
      </c>
      <c r="I110" s="35">
        <f t="shared" si="23"/>
        <v>1</v>
      </c>
      <c r="J110" s="36">
        <f t="shared" si="5"/>
        <v>91994130.576399162</v>
      </c>
      <c r="K110" s="34">
        <f t="shared" si="13"/>
        <v>5206031502161.8975</v>
      </c>
      <c r="L110" s="37">
        <f t="shared" si="24"/>
        <v>6652798249557.0791</v>
      </c>
      <c r="M110" s="34">
        <f t="shared" si="6"/>
        <v>419126289722.09601</v>
      </c>
      <c r="N110" s="34">
        <f t="shared" si="7"/>
        <v>0</v>
      </c>
      <c r="O110" s="34">
        <f t="shared" si="8"/>
        <v>419126289722.09601</v>
      </c>
      <c r="P110" s="34">
        <f t="shared" si="27"/>
        <v>41912628972.209602</v>
      </c>
      <c r="Q110" s="38">
        <f t="shared" si="15"/>
        <v>377213660749.88641</v>
      </c>
      <c r="R110" s="39">
        <f t="shared" si="16"/>
        <v>0</v>
      </c>
      <c r="S110" s="34">
        <f t="shared" si="17"/>
        <v>375034428961.19263</v>
      </c>
      <c r="T110" s="40">
        <f t="shared" si="26"/>
        <v>9918758806.8262386</v>
      </c>
      <c r="U110" s="272">
        <f t="shared" si="9"/>
        <v>2.5853062235832228E-2</v>
      </c>
      <c r="V110" s="282">
        <f t="shared" si="10"/>
        <v>121.87666766770288</v>
      </c>
      <c r="W110" s="283">
        <f>((S110+'Malawi-only'!S110)/(T110*(U110+'Malawi-only'!U110))/12)</f>
        <v>111.08485762958433</v>
      </c>
      <c r="X110" s="284">
        <f>(R110+'Malawi-only'!R110)</f>
        <v>2476097088.6517606</v>
      </c>
      <c r="Y110" s="284">
        <f>(L110+'Malawi-only'!L110)</f>
        <v>6740530742544.957</v>
      </c>
      <c r="Z110" s="284">
        <f>(Q110+'Malawi-only'!Q110)</f>
        <v>382165854927.18994</v>
      </c>
    </row>
    <row r="111" spans="1:26" ht="15.75" customHeight="1">
      <c r="A111" s="31" t="s">
        <v>144</v>
      </c>
      <c r="B111" s="32">
        <v>2127</v>
      </c>
      <c r="C111" s="274">
        <f t="shared" si="11"/>
        <v>2.0802692843909359E-5</v>
      </c>
      <c r="D111" s="271">
        <f t="shared" si="19"/>
        <v>2.0802692843909359E-5</v>
      </c>
      <c r="E111" s="34">
        <f t="shared" si="21"/>
        <v>0</v>
      </c>
      <c r="F111" s="42">
        <v>4000</v>
      </c>
      <c r="G111" s="34">
        <f t="shared" si="20"/>
        <v>83210771.375637442</v>
      </c>
      <c r="H111" s="34">
        <f t="shared" si="4"/>
        <v>82794717.518759251</v>
      </c>
      <c r="I111" s="35">
        <f t="shared" si="23"/>
        <v>1</v>
      </c>
      <c r="J111" s="36">
        <f t="shared" si="5"/>
        <v>82794717.518759251</v>
      </c>
      <c r="K111" s="34">
        <f t="shared" si="13"/>
        <v>5206114296879.416</v>
      </c>
      <c r="L111" s="37">
        <f t="shared" si="24"/>
        <v>6691446276410.1846</v>
      </c>
      <c r="M111" s="34">
        <f t="shared" si="6"/>
        <v>421561115413.84161</v>
      </c>
      <c r="N111" s="34">
        <f t="shared" si="7"/>
        <v>0</v>
      </c>
      <c r="O111" s="34">
        <f t="shared" si="8"/>
        <v>421561115413.84161</v>
      </c>
      <c r="P111" s="34">
        <f t="shared" si="27"/>
        <v>42156111541.384163</v>
      </c>
      <c r="Q111" s="38">
        <f t="shared" si="15"/>
        <v>379405003872.45746</v>
      </c>
      <c r="R111" s="39">
        <f t="shared" si="16"/>
        <v>0</v>
      </c>
      <c r="S111" s="34">
        <f t="shared" si="17"/>
        <v>377213660749.88641</v>
      </c>
      <c r="T111" s="40">
        <f t="shared" si="26"/>
        <v>9908840048.019413</v>
      </c>
      <c r="U111" s="272">
        <f t="shared" si="9"/>
        <v>2.5853062235832228E-2</v>
      </c>
      <c r="V111" s="282">
        <f t="shared" si="10"/>
        <v>122.70757024077902</v>
      </c>
      <c r="W111" s="283">
        <f>((S111+'Malawi-only'!S111)/(T111*(U111+'Malawi-only'!U111))/12)</f>
        <v>111.84218862514405</v>
      </c>
      <c r="X111" s="284">
        <f>(R111+'Malawi-only'!R111)</f>
        <v>2490492984.8194356</v>
      </c>
      <c r="Y111" s="284">
        <f>(L111+'Malawi-only'!L111)</f>
        <v>6779688715346.9912</v>
      </c>
      <c r="Z111" s="284">
        <f>(Q111+'Malawi-only'!Q111)</f>
        <v>384385989842.09631</v>
      </c>
    </row>
    <row r="112" spans="1:26" ht="15.75" customHeight="1">
      <c r="A112" s="31" t="s">
        <v>145</v>
      </c>
      <c r="B112" s="32">
        <v>2128</v>
      </c>
      <c r="C112" s="274">
        <f t="shared" si="11"/>
        <v>1.8722423559518423E-5</v>
      </c>
      <c r="D112" s="271">
        <f t="shared" si="19"/>
        <v>1.8722423559518423E-5</v>
      </c>
      <c r="E112" s="34">
        <f t="shared" si="21"/>
        <v>0</v>
      </c>
      <c r="F112" s="42">
        <v>4000</v>
      </c>
      <c r="G112" s="34">
        <f t="shared" si="20"/>
        <v>74889694.238073692</v>
      </c>
      <c r="H112" s="34">
        <f t="shared" si="4"/>
        <v>74515245.766883329</v>
      </c>
      <c r="I112" s="35">
        <f t="shared" si="23"/>
        <v>1</v>
      </c>
      <c r="J112" s="36">
        <f t="shared" si="5"/>
        <v>74515245.766883329</v>
      </c>
      <c r="K112" s="34">
        <f t="shared" si="13"/>
        <v>5206188812125.1826</v>
      </c>
      <c r="L112" s="37">
        <f t="shared" si="24"/>
        <v>6730310064745.7363</v>
      </c>
      <c r="M112" s="34">
        <f t="shared" si="6"/>
        <v>424009534078.98138</v>
      </c>
      <c r="N112" s="34">
        <f t="shared" si="7"/>
        <v>0</v>
      </c>
      <c r="O112" s="34">
        <f t="shared" si="8"/>
        <v>424009534078.98138</v>
      </c>
      <c r="P112" s="34">
        <f t="shared" si="27"/>
        <v>42400953407.89814</v>
      </c>
      <c r="Q112" s="38">
        <f t="shared" si="15"/>
        <v>381608580671.08325</v>
      </c>
      <c r="R112" s="39">
        <f t="shared" si="16"/>
        <v>0</v>
      </c>
      <c r="S112" s="34">
        <f t="shared" si="17"/>
        <v>379405003872.45746</v>
      </c>
      <c r="T112" s="40">
        <f t="shared" si="26"/>
        <v>9898931207.9713955</v>
      </c>
      <c r="U112" s="272">
        <f t="shared" si="9"/>
        <v>2.5853062235832228E-2</v>
      </c>
      <c r="V112" s="282">
        <f t="shared" si="10"/>
        <v>123.54395792127377</v>
      </c>
      <c r="W112" s="283">
        <f>((S112+'Malawi-only'!S112)/(T112*(U112+'Malawi-only'!U112))/12)</f>
        <v>112.60451908884976</v>
      </c>
      <c r="X112" s="284">
        <f>(R112+'Malawi-only'!R112)</f>
        <v>2504968998.9527512</v>
      </c>
      <c r="Y112" s="284">
        <f>(L112+'Malawi-only'!L112)</f>
        <v>6819065300228.9561</v>
      </c>
      <c r="Z112" s="284">
        <f>(Q112+'Malawi-only'!Q112)</f>
        <v>386618518668.98877</v>
      </c>
    </row>
    <row r="113" spans="1:26" ht="15.75" customHeight="1">
      <c r="A113" s="31" t="s">
        <v>146</v>
      </c>
      <c r="B113" s="32">
        <v>2129</v>
      </c>
      <c r="C113" s="274">
        <f t="shared" si="11"/>
        <v>1.6850181203566583E-5</v>
      </c>
      <c r="D113" s="271">
        <f t="shared" si="19"/>
        <v>1.6850181203566583E-5</v>
      </c>
      <c r="E113" s="34">
        <f t="shared" si="21"/>
        <v>0</v>
      </c>
      <c r="F113" s="42">
        <v>4000</v>
      </c>
      <c r="G113" s="34">
        <f t="shared" si="20"/>
        <v>67400724.814266324</v>
      </c>
      <c r="H113" s="34">
        <f t="shared" si="4"/>
        <v>67063721.190194994</v>
      </c>
      <c r="I113" s="35">
        <f t="shared" si="23"/>
        <v>1</v>
      </c>
      <c r="J113" s="36">
        <f t="shared" si="5"/>
        <v>67063721.190194994</v>
      </c>
      <c r="K113" s="34">
        <f t="shared" si="13"/>
        <v>5206255875846.373</v>
      </c>
      <c r="L113" s="37">
        <f t="shared" si="24"/>
        <v>6769391692833.8877</v>
      </c>
      <c r="M113" s="34">
        <f t="shared" si="6"/>
        <v>426471676648.53491</v>
      </c>
      <c r="N113" s="34">
        <f t="shared" si="7"/>
        <v>0</v>
      </c>
      <c r="O113" s="34">
        <f t="shared" si="8"/>
        <v>426471676648.53491</v>
      </c>
      <c r="P113" s="34">
        <f t="shared" si="27"/>
        <v>42647167664.853493</v>
      </c>
      <c r="Q113" s="38">
        <f t="shared" si="15"/>
        <v>383824508983.6814</v>
      </c>
      <c r="R113" s="39">
        <f t="shared" si="16"/>
        <v>0</v>
      </c>
      <c r="S113" s="34">
        <f t="shared" si="17"/>
        <v>381608580671.08325</v>
      </c>
      <c r="T113" s="40">
        <f t="shared" si="26"/>
        <v>9889032276.7634258</v>
      </c>
      <c r="U113" s="272">
        <f t="shared" si="9"/>
        <v>2.5853062235832228E-2</v>
      </c>
      <c r="V113" s="282">
        <f t="shared" si="10"/>
        <v>124.38588468313846</v>
      </c>
      <c r="W113" s="283">
        <f>((S113+'Malawi-only'!S113)/(T113*(U113+'Malawi-only'!U113))/12)</f>
        <v>113.37189821415062</v>
      </c>
      <c r="X113" s="284">
        <f>(R113+'Malawi-only'!R113)</f>
        <v>2519525933.9945683</v>
      </c>
      <c r="Y113" s="284">
        <f>(L113+'Malawi-only'!L113)</f>
        <v>6858662602718.8008</v>
      </c>
      <c r="Z113" s="284">
        <f>(Q113+'Malawi-only'!Q113)</f>
        <v>388863560851.67053</v>
      </c>
    </row>
    <row r="114" spans="1:26" ht="15.75" customHeight="1">
      <c r="A114" s="31" t="s">
        <v>147</v>
      </c>
      <c r="B114" s="32">
        <v>2130</v>
      </c>
      <c r="C114" s="274">
        <f t="shared" si="11"/>
        <v>1.5165163083209925E-5</v>
      </c>
      <c r="D114" s="271">
        <f t="shared" si="19"/>
        <v>1.5165163083209925E-5</v>
      </c>
      <c r="E114" s="34">
        <f t="shared" si="21"/>
        <v>0</v>
      </c>
      <c r="F114" s="42">
        <v>4000</v>
      </c>
      <c r="G114" s="34">
        <f t="shared" si="20"/>
        <v>60660652.332839705</v>
      </c>
      <c r="H114" s="34">
        <f t="shared" si="4"/>
        <v>60357349.071175508</v>
      </c>
      <c r="I114" s="35">
        <f t="shared" si="23"/>
        <v>1</v>
      </c>
      <c r="J114" s="36">
        <f t="shared" si="5"/>
        <v>60357349.071175508</v>
      </c>
      <c r="K114" s="34">
        <f t="shared" si="13"/>
        <v>5206316233195.4443</v>
      </c>
      <c r="L114" s="37">
        <f t="shared" si="24"/>
        <v>6808693168238.8887</v>
      </c>
      <c r="M114" s="34">
        <f t="shared" si="6"/>
        <v>428947669599.04999</v>
      </c>
      <c r="N114" s="34">
        <f t="shared" si="7"/>
        <v>0</v>
      </c>
      <c r="O114" s="34">
        <f t="shared" si="8"/>
        <v>428947669599.04999</v>
      </c>
      <c r="P114" s="34">
        <f t="shared" si="27"/>
        <v>42894766959.904999</v>
      </c>
      <c r="Q114" s="38">
        <f t="shared" si="15"/>
        <v>386052902639.14502</v>
      </c>
      <c r="R114" s="39">
        <f t="shared" si="16"/>
        <v>0</v>
      </c>
      <c r="S114" s="34">
        <f t="shared" si="17"/>
        <v>383824508983.6814</v>
      </c>
      <c r="T114" s="40">
        <f t="shared" si="26"/>
        <v>9879143244.4866638</v>
      </c>
      <c r="U114" s="272">
        <f t="shared" si="9"/>
        <v>2.5853062235832228E-2</v>
      </c>
      <c r="V114" s="282">
        <f t="shared" si="10"/>
        <v>125.23340321703107</v>
      </c>
      <c r="W114" s="283">
        <f>((S114+'Malawi-only'!S114)/(T114*(U114+'Malawi-only'!U114))/12)</f>
        <v>114.14437402499783</v>
      </c>
      <c r="X114" s="284">
        <f>(R114+'Malawi-only'!R114)</f>
        <v>2534164563.7214756</v>
      </c>
      <c r="Y114" s="284">
        <f>(L114+'Malawi-only'!L114)</f>
        <v>6898482656724.3223</v>
      </c>
      <c r="Z114" s="284">
        <f>(Q114+'Malawi-only'!Q114)</f>
        <v>391121231766.58795</v>
      </c>
    </row>
    <row r="115" spans="1:26" ht="15.75" customHeight="1">
      <c r="A115" s="31" t="s">
        <v>148</v>
      </c>
      <c r="B115" s="32">
        <v>2131</v>
      </c>
      <c r="C115" s="274">
        <f t="shared" si="11"/>
        <v>1.3648646774888933E-5</v>
      </c>
      <c r="D115" s="271">
        <f t="shared" si="19"/>
        <v>1.3648646774888933E-5</v>
      </c>
      <c r="E115" s="34">
        <f t="shared" si="21"/>
        <v>0</v>
      </c>
      <c r="F115" s="42">
        <v>4000</v>
      </c>
      <c r="G115" s="34">
        <f t="shared" si="20"/>
        <v>54594587.099555731</v>
      </c>
      <c r="H115" s="34">
        <f t="shared" si="4"/>
        <v>54321614.164057955</v>
      </c>
      <c r="I115" s="35">
        <f t="shared" si="23"/>
        <v>1</v>
      </c>
      <c r="J115" s="36">
        <f t="shared" si="5"/>
        <v>54321614.164057955</v>
      </c>
      <c r="K115" s="34">
        <f t="shared" si="13"/>
        <v>5206370554809.6084</v>
      </c>
      <c r="L115" s="37">
        <f t="shared" si="24"/>
        <v>6848216435684.5518</v>
      </c>
      <c r="M115" s="34">
        <f t="shared" si="6"/>
        <v>431437635448.12677</v>
      </c>
      <c r="N115" s="34">
        <f t="shared" si="7"/>
        <v>0</v>
      </c>
      <c r="O115" s="34">
        <f t="shared" si="8"/>
        <v>431437635448.12677</v>
      </c>
      <c r="P115" s="34">
        <f t="shared" si="27"/>
        <v>43143763544.812683</v>
      </c>
      <c r="Q115" s="38">
        <f t="shared" si="15"/>
        <v>388293871903.31409</v>
      </c>
      <c r="R115" s="39">
        <f t="shared" si="16"/>
        <v>0</v>
      </c>
      <c r="S115" s="34">
        <f t="shared" si="17"/>
        <v>386052902639.14502</v>
      </c>
      <c r="T115" s="40">
        <f t="shared" si="26"/>
        <v>9869264101.242178</v>
      </c>
      <c r="U115" s="272">
        <f t="shared" si="9"/>
        <v>2.5853062235832228E-2</v>
      </c>
      <c r="V115" s="282">
        <f t="shared" si="10"/>
        <v>126.08656508514957</v>
      </c>
      <c r="W115" s="283">
        <f>((S115+'Malawi-only'!S115)/(T115*(U115+'Malawi-only'!U115))/12)</f>
        <v>114.92199351695221</v>
      </c>
      <c r="X115" s="284">
        <f>(R115+'Malawi-only'!R115)</f>
        <v>2548885635.9569721</v>
      </c>
      <c r="Y115" s="284">
        <f>(L115+'Malawi-only'!L115)</f>
        <v>6938527432500.5654</v>
      </c>
      <c r="Z115" s="284">
        <f>(Q115+'Malawi-only'!Q115)</f>
        <v>393391643175.22803</v>
      </c>
    </row>
    <row r="116" spans="1:26" ht="15.75" customHeight="1">
      <c r="A116" s="31" t="s">
        <v>149</v>
      </c>
      <c r="B116" s="32">
        <v>2132</v>
      </c>
      <c r="C116" s="274">
        <f t="shared" si="11"/>
        <v>1.2283782097400039E-5</v>
      </c>
      <c r="D116" s="271">
        <f t="shared" si="19"/>
        <v>1.2283782097400039E-5</v>
      </c>
      <c r="E116" s="34">
        <f t="shared" si="21"/>
        <v>0</v>
      </c>
      <c r="F116" s="42">
        <v>4000</v>
      </c>
      <c r="G116" s="34">
        <f t="shared" si="20"/>
        <v>49135128.389600158</v>
      </c>
      <c r="H116" s="34">
        <f t="shared" si="4"/>
        <v>48889452.747652158</v>
      </c>
      <c r="I116" s="35">
        <f t="shared" si="23"/>
        <v>1</v>
      </c>
      <c r="J116" s="36">
        <f t="shared" si="5"/>
        <v>48889452.747652158</v>
      </c>
      <c r="K116" s="34">
        <f t="shared" si="13"/>
        <v>5206419444262.3564</v>
      </c>
      <c r="L116" s="37">
        <f t="shared" si="24"/>
        <v>6887963384137.7715</v>
      </c>
      <c r="M116" s="34">
        <f t="shared" si="6"/>
        <v>433941693200.67963</v>
      </c>
      <c r="N116" s="34">
        <f t="shared" si="7"/>
        <v>0</v>
      </c>
      <c r="O116" s="34">
        <f t="shared" si="8"/>
        <v>433941693200.67963</v>
      </c>
      <c r="P116" s="34">
        <f t="shared" si="27"/>
        <v>43394169320.067963</v>
      </c>
      <c r="Q116" s="38">
        <f t="shared" si="15"/>
        <v>390547523880.61169</v>
      </c>
      <c r="R116" s="39">
        <f t="shared" si="16"/>
        <v>0</v>
      </c>
      <c r="S116" s="34">
        <f t="shared" si="17"/>
        <v>388293871903.31409</v>
      </c>
      <c r="T116" s="40">
        <f t="shared" si="26"/>
        <v>9859394837.1409378</v>
      </c>
      <c r="U116" s="272">
        <f t="shared" si="9"/>
        <v>2.5853062235832228E-2</v>
      </c>
      <c r="V116" s="282">
        <f t="shared" si="10"/>
        <v>126.94542086090964</v>
      </c>
      <c r="W116" s="283">
        <f>((S116+'Malawi-only'!S116)/(T116*(U116+'Malawi-only'!U116))/12)</f>
        <v>115.70480278447933</v>
      </c>
      <c r="X116" s="284">
        <f>(R116+'Malawi-only'!R116)</f>
        <v>2563689875.4650602</v>
      </c>
      <c r="Y116" s="284">
        <f>(L116+'Malawi-only'!L116)</f>
        <v>6978798843825.1387</v>
      </c>
      <c r="Z116" s="284">
        <f>(Q116+'Malawi-only'!Q116)</f>
        <v>395674903631.54181</v>
      </c>
    </row>
    <row r="117" spans="1:26" ht="15.75" customHeight="1">
      <c r="A117" s="31" t="s">
        <v>150</v>
      </c>
      <c r="B117" s="32">
        <v>2133</v>
      </c>
      <c r="C117" s="274">
        <f t="shared" si="11"/>
        <v>1.1055403887660035E-5</v>
      </c>
      <c r="D117" s="271">
        <f t="shared" si="19"/>
        <v>1.1055403887660035E-5</v>
      </c>
      <c r="E117" s="34">
        <f t="shared" si="21"/>
        <v>0</v>
      </c>
      <c r="F117" s="42">
        <v>4000</v>
      </c>
      <c r="G117" s="34">
        <f t="shared" si="20"/>
        <v>44221615.550640136</v>
      </c>
      <c r="H117" s="34">
        <f t="shared" si="4"/>
        <v>44000507.472886935</v>
      </c>
      <c r="I117" s="35">
        <f t="shared" si="23"/>
        <v>1</v>
      </c>
      <c r="J117" s="36">
        <f t="shared" si="5"/>
        <v>44000507.472886935</v>
      </c>
      <c r="K117" s="34">
        <f t="shared" si="13"/>
        <v>5206463444769.8291</v>
      </c>
      <c r="L117" s="37">
        <f t="shared" si="24"/>
        <v>6927935853188.3301</v>
      </c>
      <c r="M117" s="34">
        <f t="shared" si="6"/>
        <v>436459958750.86481</v>
      </c>
      <c r="N117" s="34">
        <f t="shared" si="7"/>
        <v>0</v>
      </c>
      <c r="O117" s="34">
        <f t="shared" si="8"/>
        <v>436459958750.86481</v>
      </c>
      <c r="P117" s="34">
        <f t="shared" si="27"/>
        <v>43645995875.086487</v>
      </c>
      <c r="Q117" s="38">
        <f t="shared" si="15"/>
        <v>392813962875.77832</v>
      </c>
      <c r="R117" s="39">
        <f t="shared" si="16"/>
        <v>0</v>
      </c>
      <c r="S117" s="34">
        <f t="shared" si="17"/>
        <v>390547523880.61169</v>
      </c>
      <c r="T117" s="40">
        <f t="shared" si="26"/>
        <v>9849535442.3037987</v>
      </c>
      <c r="U117" s="272">
        <f t="shared" si="9"/>
        <v>2.5853062235832228E-2</v>
      </c>
      <c r="V117" s="282">
        <f t="shared" si="10"/>
        <v>127.81002025496984</v>
      </c>
      <c r="W117" s="283">
        <f>((S117+'Malawi-only'!S117)/(T117*(U117+'Malawi-only'!U117))/12)</f>
        <v>116.49284713580285</v>
      </c>
      <c r="X117" s="284">
        <f>(R117+'Malawi-only'!R117)</f>
        <v>2578577986.5561938</v>
      </c>
      <c r="Y117" s="284">
        <f>(L117+'Malawi-only'!L117)</f>
        <v>7019298754460.7061</v>
      </c>
      <c r="Z117" s="284">
        <f>(Q117+'Malawi-only'!Q117)</f>
        <v>397971118848.89069</v>
      </c>
    </row>
    <row r="118" spans="1:26" ht="15.75" customHeight="1">
      <c r="A118" s="31" t="s">
        <v>151</v>
      </c>
      <c r="B118" s="32">
        <v>2134</v>
      </c>
      <c r="C118" s="274">
        <f t="shared" si="11"/>
        <v>9.949863498894032E-6</v>
      </c>
      <c r="D118" s="271">
        <f t="shared" si="19"/>
        <v>9.949863498894032E-6</v>
      </c>
      <c r="E118" s="34">
        <f t="shared" si="21"/>
        <v>0</v>
      </c>
      <c r="F118" s="42">
        <v>4000</v>
      </c>
      <c r="G118" s="34">
        <f t="shared" si="20"/>
        <v>39799453.995576128</v>
      </c>
      <c r="H118" s="34">
        <f t="shared" si="4"/>
        <v>39600456.725598246</v>
      </c>
      <c r="I118" s="35">
        <f t="shared" si="23"/>
        <v>1</v>
      </c>
      <c r="J118" s="36">
        <f t="shared" si="5"/>
        <v>39600456.725598246</v>
      </c>
      <c r="K118" s="34">
        <f t="shared" si="13"/>
        <v>5206503045226.5547</v>
      </c>
      <c r="L118" s="37">
        <f t="shared" si="24"/>
        <v>6968135638795.3828</v>
      </c>
      <c r="M118" s="34">
        <f t="shared" si="6"/>
        <v>438992545244.10913</v>
      </c>
      <c r="N118" s="34">
        <f t="shared" si="7"/>
        <v>0</v>
      </c>
      <c r="O118" s="34">
        <f t="shared" si="8"/>
        <v>438992545244.10913</v>
      </c>
      <c r="P118" s="34">
        <f t="shared" si="27"/>
        <v>43899254524.410919</v>
      </c>
      <c r="Q118" s="38">
        <f t="shared" si="15"/>
        <v>395093290719.69824</v>
      </c>
      <c r="R118" s="39">
        <f t="shared" si="16"/>
        <v>0</v>
      </c>
      <c r="S118" s="34">
        <f t="shared" si="17"/>
        <v>392813962875.77832</v>
      </c>
      <c r="T118" s="40">
        <f t="shared" si="26"/>
        <v>9839685906.861496</v>
      </c>
      <c r="U118" s="272">
        <f t="shared" si="9"/>
        <v>2.5853062235832228E-2</v>
      </c>
      <c r="V118" s="282">
        <f t="shared" si="10"/>
        <v>128.68041222895857</v>
      </c>
      <c r="W118" s="283">
        <f>((S118+'Malawi-only'!S118)/(T118*(U118+'Malawi-only'!U118))/12)</f>
        <v>117.28617119654967</v>
      </c>
      <c r="X118" s="284">
        <f>(R118+'Malawi-only'!R118)</f>
        <v>2593550655.4343867</v>
      </c>
      <c r="Y118" s="284">
        <f>(L118+'Malawi-only'!L118)</f>
        <v>7060028983975.9424</v>
      </c>
      <c r="Z118" s="284">
        <f>(Q118+'Malawi-only'!Q118)</f>
        <v>400280392030.56702</v>
      </c>
    </row>
    <row r="119" spans="1:26" ht="15.75" customHeight="1">
      <c r="A119" s="31" t="s">
        <v>152</v>
      </c>
      <c r="B119" s="32">
        <v>2135</v>
      </c>
      <c r="C119" s="274">
        <f t="shared" si="11"/>
        <v>8.9548771490046286E-6</v>
      </c>
      <c r="D119" s="271">
        <f t="shared" si="19"/>
        <v>8.9548771490046286E-6</v>
      </c>
      <c r="E119" s="34">
        <f t="shared" si="21"/>
        <v>0</v>
      </c>
      <c r="F119" s="42">
        <v>4000</v>
      </c>
      <c r="G119" s="34">
        <f t="shared" si="20"/>
        <v>35819508.596018516</v>
      </c>
      <c r="H119" s="34">
        <f t="shared" si="4"/>
        <v>35640411.053038426</v>
      </c>
      <c r="I119" s="35">
        <f t="shared" si="23"/>
        <v>1</v>
      </c>
      <c r="J119" s="36">
        <f t="shared" si="5"/>
        <v>35640411.053038426</v>
      </c>
      <c r="K119" s="34">
        <f t="shared" si="13"/>
        <v>5206538685637.6074</v>
      </c>
      <c r="L119" s="37">
        <f t="shared" si="24"/>
        <v>7008564498463.9814</v>
      </c>
      <c r="M119" s="34">
        <f t="shared" si="6"/>
        <v>441539563403.23083</v>
      </c>
      <c r="N119" s="34">
        <f t="shared" si="7"/>
        <v>0</v>
      </c>
      <c r="O119" s="34">
        <f t="shared" si="8"/>
        <v>441539563403.23083</v>
      </c>
      <c r="P119" s="34">
        <f t="shared" si="27"/>
        <v>44153956340.32309</v>
      </c>
      <c r="Q119" s="38">
        <f t="shared" si="15"/>
        <v>397385607062.90771</v>
      </c>
      <c r="R119" s="39">
        <f t="shared" si="16"/>
        <v>0</v>
      </c>
      <c r="S119" s="34">
        <f t="shared" si="17"/>
        <v>395093290719.69824</v>
      </c>
      <c r="T119" s="40">
        <f t="shared" si="26"/>
        <v>9829846220.9546356</v>
      </c>
      <c r="U119" s="272">
        <f t="shared" si="9"/>
        <v>2.5853062235832228E-2</v>
      </c>
      <c r="V119" s="282">
        <f t="shared" si="10"/>
        <v>129.55664509812286</v>
      </c>
      <c r="W119" s="283">
        <f>((S119+'Malawi-only'!S119)/(T119*(U119+'Malawi-only'!U119))/12)</f>
        <v>118.08481900329896</v>
      </c>
      <c r="X119" s="284">
        <f>(R119+'Malawi-only'!R119)</f>
        <v>2608608552.3113537</v>
      </c>
      <c r="Y119" s="284">
        <f>(L119+'Malawi-only'!L119)</f>
        <v>7100991312989.1484</v>
      </c>
      <c r="Z119" s="284">
        <f>(Q119+'Malawi-only'!Q119)</f>
        <v>402602824167.5304</v>
      </c>
    </row>
    <row r="120" spans="1:26" ht="15.75" customHeight="1">
      <c r="A120" s="31" t="s">
        <v>153</v>
      </c>
      <c r="B120" s="32">
        <v>2136</v>
      </c>
      <c r="C120" s="274">
        <f t="shared" si="11"/>
        <v>8.0593894341041663E-6</v>
      </c>
      <c r="D120" s="271">
        <f t="shared" si="19"/>
        <v>8.0593894341041663E-6</v>
      </c>
      <c r="E120" s="34">
        <f t="shared" si="21"/>
        <v>0</v>
      </c>
      <c r="F120" s="42">
        <v>4000</v>
      </c>
      <c r="G120" s="34">
        <f t="shared" si="20"/>
        <v>32237557.736416664</v>
      </c>
      <c r="H120" s="34">
        <f t="shared" si="4"/>
        <v>32076369.947734579</v>
      </c>
      <c r="I120" s="35">
        <f t="shared" si="23"/>
        <v>1</v>
      </c>
      <c r="J120" s="36">
        <f t="shared" si="5"/>
        <v>32076369.947734579</v>
      </c>
      <c r="K120" s="34">
        <f t="shared" si="13"/>
        <v>5206570762007.5547</v>
      </c>
      <c r="L120" s="37">
        <f t="shared" si="24"/>
        <v>7049224155908.665</v>
      </c>
      <c r="M120" s="34">
        <f t="shared" si="6"/>
        <v>444101121822.24591</v>
      </c>
      <c r="N120" s="34">
        <f t="shared" si="7"/>
        <v>0</v>
      </c>
      <c r="O120" s="34">
        <f t="shared" si="8"/>
        <v>444101121822.24591</v>
      </c>
      <c r="P120" s="34">
        <f t="shared" si="27"/>
        <v>44410112182.224594</v>
      </c>
      <c r="Q120" s="38">
        <f t="shared" si="15"/>
        <v>399691009640.0213</v>
      </c>
      <c r="R120" s="39">
        <f t="shared" si="16"/>
        <v>0</v>
      </c>
      <c r="S120" s="34">
        <f t="shared" si="17"/>
        <v>397385607062.90771</v>
      </c>
      <c r="T120" s="40">
        <f t="shared" si="26"/>
        <v>9820016374.7336826</v>
      </c>
      <c r="U120" s="272">
        <f t="shared" si="9"/>
        <v>2.5853062235832228E-2</v>
      </c>
      <c r="V120" s="282">
        <f t="shared" si="10"/>
        <v>130.43876662399802</v>
      </c>
      <c r="W120" s="283">
        <f>((S120+'Malawi-only'!S120)/(T120*(U120+'Malawi-only'!U120))/12)</f>
        <v>118.88883408803689</v>
      </c>
      <c r="X120" s="284">
        <f>(R120+'Malawi-only'!R120)</f>
        <v>2623752333.3109961</v>
      </c>
      <c r="Y120" s="284">
        <f>(L120+'Malawi-only'!L120)</f>
        <v>7142187487892.2852</v>
      </c>
      <c r="Z120" s="284">
        <f>(Q120+'Malawi-only'!Q120)</f>
        <v>404938514306.64331</v>
      </c>
    </row>
    <row r="121" spans="1:26" ht="15.75" customHeight="1">
      <c r="A121" s="31" t="s">
        <v>154</v>
      </c>
      <c r="B121" s="32">
        <v>2137</v>
      </c>
      <c r="C121" s="274">
        <f t="shared" si="11"/>
        <v>7.2534504906937495E-6</v>
      </c>
      <c r="D121" s="271">
        <f t="shared" si="19"/>
        <v>7.2534504906937495E-6</v>
      </c>
      <c r="E121" s="34">
        <f t="shared" si="21"/>
        <v>0</v>
      </c>
      <c r="F121" s="42">
        <v>4000</v>
      </c>
      <c r="G121" s="34">
        <f t="shared" si="20"/>
        <v>29013801.962774996</v>
      </c>
      <c r="H121" s="34">
        <f t="shared" si="4"/>
        <v>28868732.952961121</v>
      </c>
      <c r="I121" s="35">
        <f t="shared" si="23"/>
        <v>1</v>
      </c>
      <c r="J121" s="36">
        <f t="shared" si="5"/>
        <v>28868732.952961121</v>
      </c>
      <c r="K121" s="34">
        <f t="shared" si="13"/>
        <v>5206599630740.5078</v>
      </c>
      <c r="L121" s="37">
        <f t="shared" si="24"/>
        <v>7090116305255.4316</v>
      </c>
      <c r="M121" s="34">
        <f t="shared" si="6"/>
        <v>446677327231.09222</v>
      </c>
      <c r="N121" s="34">
        <f t="shared" si="7"/>
        <v>0</v>
      </c>
      <c r="O121" s="34">
        <f t="shared" si="8"/>
        <v>446677327231.09222</v>
      </c>
      <c r="P121" s="34">
        <f t="shared" si="27"/>
        <v>44667732723.109222</v>
      </c>
      <c r="Q121" s="38">
        <f t="shared" si="15"/>
        <v>402009594507.98303</v>
      </c>
      <c r="R121" s="39">
        <f t="shared" si="16"/>
        <v>0</v>
      </c>
      <c r="S121" s="34">
        <f t="shared" si="17"/>
        <v>399691009640.0213</v>
      </c>
      <c r="T121" s="40">
        <f t="shared" si="26"/>
        <v>9810196358.3589497</v>
      </c>
      <c r="U121" s="272">
        <f t="shared" si="9"/>
        <v>2.5853062235832228E-2</v>
      </c>
      <c r="V121" s="282">
        <f t="shared" si="10"/>
        <v>131.32682409808885</v>
      </c>
      <c r="W121" s="283">
        <f>((S121+'Malawi-only'!S121)/(T121*(U121+'Malawi-only'!U121))/12)</f>
        <v>119.69825955441938</v>
      </c>
      <c r="X121" s="284">
        <f>(R121+'Malawi-only'!R121)</f>
        <v>2638982642.1852136</v>
      </c>
      <c r="Y121" s="284">
        <f>(L121+'Malawi-only'!L121)</f>
        <v>7183619225107.4053</v>
      </c>
      <c r="Z121" s="284">
        <f>(Q121+'Malawi-only'!Q121)</f>
        <v>407287559792.35345</v>
      </c>
    </row>
    <row r="122" spans="1:26" ht="15.75" customHeight="1">
      <c r="A122" s="31" t="s">
        <v>155</v>
      </c>
      <c r="B122" s="32">
        <v>2138</v>
      </c>
      <c r="C122" s="274">
        <f t="shared" si="11"/>
        <v>6.528105441624375E-6</v>
      </c>
      <c r="D122" s="271">
        <f t="shared" si="19"/>
        <v>6.528105441624375E-6</v>
      </c>
      <c r="E122" s="34">
        <f t="shared" si="21"/>
        <v>0</v>
      </c>
      <c r="F122" s="42">
        <v>4000</v>
      </c>
      <c r="G122" s="34">
        <f t="shared" si="20"/>
        <v>26112421.7664975</v>
      </c>
      <c r="H122" s="34">
        <f t="shared" si="4"/>
        <v>25981859.657665014</v>
      </c>
      <c r="I122" s="35">
        <f t="shared" si="23"/>
        <v>1</v>
      </c>
      <c r="J122" s="36">
        <f t="shared" si="5"/>
        <v>25981859.657665014</v>
      </c>
      <c r="K122" s="34">
        <f t="shared" si="13"/>
        <v>5206625612600.165</v>
      </c>
      <c r="L122" s="37">
        <f t="shared" si="24"/>
        <v>7131242614828.2793</v>
      </c>
      <c r="M122" s="34">
        <f t="shared" si="6"/>
        <v>449268284734.18158</v>
      </c>
      <c r="N122" s="34">
        <f t="shared" si="7"/>
        <v>0</v>
      </c>
      <c r="O122" s="34">
        <f t="shared" si="8"/>
        <v>449268284734.18158</v>
      </c>
      <c r="P122" s="34">
        <f t="shared" si="27"/>
        <v>44926828473.418159</v>
      </c>
      <c r="Q122" s="38">
        <f t="shared" si="15"/>
        <v>404341456260.76343</v>
      </c>
      <c r="R122" s="39">
        <f t="shared" si="16"/>
        <v>0</v>
      </c>
      <c r="S122" s="34">
        <f t="shared" si="17"/>
        <v>402009594507.98303</v>
      </c>
      <c r="T122" s="40">
        <f t="shared" si="26"/>
        <v>9800386162.0005913</v>
      </c>
      <c r="U122" s="272">
        <f t="shared" si="9"/>
        <v>2.5853062235832228E-2</v>
      </c>
      <c r="V122" s="282">
        <f t="shared" si="10"/>
        <v>132.22086441745361</v>
      </c>
      <c r="W122" s="283">
        <f>((S122+'Malawi-only'!S122)/(T122*(U122+'Malawi-only'!U122))/12)</f>
        <v>120.51313814665605</v>
      </c>
      <c r="X122" s="284">
        <f>(R122+'Malawi-only'!R122)</f>
        <v>2654300111.8599129</v>
      </c>
      <c r="Y122" s="284">
        <f>(L122+'Malawi-only'!L122)</f>
        <v>7225288214922.2725</v>
      </c>
      <c r="Z122" s="284">
        <f>(Q122+'Malawi-only'!Q122)</f>
        <v>409650056484.48328</v>
      </c>
    </row>
    <row r="123" spans="1:26" ht="15.75" customHeight="1">
      <c r="A123" s="31" t="s">
        <v>156</v>
      </c>
      <c r="B123" s="32">
        <v>2139</v>
      </c>
      <c r="C123" s="274">
        <f t="shared" si="11"/>
        <v>5.8752948974619378E-6</v>
      </c>
      <c r="D123" s="271">
        <f t="shared" si="19"/>
        <v>5.8752948974619378E-6</v>
      </c>
      <c r="E123" s="34">
        <f t="shared" si="21"/>
        <v>0</v>
      </c>
      <c r="F123" s="42">
        <v>4000</v>
      </c>
      <c r="G123" s="34">
        <f t="shared" si="20"/>
        <v>23501179.589847751</v>
      </c>
      <c r="H123" s="34">
        <f t="shared" si="4"/>
        <v>23383673.691898514</v>
      </c>
      <c r="I123" s="35">
        <f t="shared" si="23"/>
        <v>1</v>
      </c>
      <c r="J123" s="36">
        <f t="shared" si="5"/>
        <v>23383673.691898514</v>
      </c>
      <c r="K123" s="34">
        <f t="shared" si="13"/>
        <v>5206648996273.8574</v>
      </c>
      <c r="L123" s="37">
        <f t="shared" si="24"/>
        <v>7172604730561.9023</v>
      </c>
      <c r="M123" s="34">
        <f t="shared" si="6"/>
        <v>451874098025.39984</v>
      </c>
      <c r="N123" s="34">
        <f t="shared" si="7"/>
        <v>0</v>
      </c>
      <c r="O123" s="34">
        <f t="shared" si="8"/>
        <v>451874098025.39984</v>
      </c>
      <c r="P123" s="34">
        <f t="shared" si="27"/>
        <v>45187409802.539986</v>
      </c>
      <c r="Q123" s="38">
        <f t="shared" si="15"/>
        <v>406686688222.85986</v>
      </c>
      <c r="R123" s="39">
        <f t="shared" si="16"/>
        <v>0</v>
      </c>
      <c r="S123" s="34">
        <f t="shared" si="17"/>
        <v>404341456260.76343</v>
      </c>
      <c r="T123" s="40">
        <f t="shared" si="26"/>
        <v>9790585775.8385925</v>
      </c>
      <c r="U123" s="272">
        <f t="shared" si="9"/>
        <v>2.5853062235832228E-2</v>
      </c>
      <c r="V123" s="282">
        <f t="shared" si="10"/>
        <v>133.1209341529952</v>
      </c>
      <c r="W123" s="283">
        <f>((S123+'Malawi-only'!S123)/(T123*(U123+'Malawi-only'!U123))/12)</f>
        <v>121.33351231174737</v>
      </c>
      <c r="X123" s="284">
        <f>(R123+'Malawi-only'!R123)</f>
        <v>2669705365.8282089</v>
      </c>
      <c r="Y123" s="284">
        <f>(L123+'Malawi-only'!L123)</f>
        <v>7267196124947.292</v>
      </c>
      <c r="Z123" s="284">
        <f>(Q123+'Malawi-only'!Q123)</f>
        <v>412026098954.5163</v>
      </c>
    </row>
    <row r="124" spans="1:26" ht="15.75" customHeight="1">
      <c r="A124" s="31" t="s">
        <v>157</v>
      </c>
      <c r="B124" s="32">
        <v>2140</v>
      </c>
      <c r="C124" s="274">
        <f t="shared" si="11"/>
        <v>5.2877654077157445E-6</v>
      </c>
      <c r="D124" s="271">
        <f t="shared" si="19"/>
        <v>5.2877654077157445E-6</v>
      </c>
      <c r="E124" s="34">
        <f t="shared" si="21"/>
        <v>0</v>
      </c>
      <c r="F124" s="42">
        <v>4000</v>
      </c>
      <c r="G124" s="34">
        <f t="shared" si="20"/>
        <v>21151061.630862977</v>
      </c>
      <c r="H124" s="34">
        <f t="shared" si="4"/>
        <v>21045306.322708663</v>
      </c>
      <c r="I124" s="35">
        <f t="shared" si="23"/>
        <v>1</v>
      </c>
      <c r="J124" s="36">
        <f t="shared" si="5"/>
        <v>21045306.322708663</v>
      </c>
      <c r="K124" s="34">
        <f t="shared" si="13"/>
        <v>5206670041580.1797</v>
      </c>
      <c r="L124" s="37">
        <f t="shared" si="24"/>
        <v>7214204279077.9297</v>
      </c>
      <c r="M124" s="34">
        <f t="shared" si="6"/>
        <v>454494869581.90955</v>
      </c>
      <c r="N124" s="34">
        <f t="shared" si="7"/>
        <v>0</v>
      </c>
      <c r="O124" s="34">
        <f t="shared" si="8"/>
        <v>454494869581.90955</v>
      </c>
      <c r="P124" s="34">
        <f t="shared" si="27"/>
        <v>45449486958.190956</v>
      </c>
      <c r="Q124" s="38">
        <f t="shared" si="15"/>
        <v>409045382623.71857</v>
      </c>
      <c r="R124" s="39">
        <f t="shared" si="16"/>
        <v>0</v>
      </c>
      <c r="S124" s="34">
        <f t="shared" si="17"/>
        <v>406686688222.85986</v>
      </c>
      <c r="T124" s="40">
        <f t="shared" si="26"/>
        <v>9780795190.0627556</v>
      </c>
      <c r="U124" s="272">
        <f t="shared" si="9"/>
        <v>2.5853062235832228E-2</v>
      </c>
      <c r="V124" s="282">
        <f t="shared" si="10"/>
        <v>134.02707961118389</v>
      </c>
      <c r="W124" s="283">
        <f>((S124+'Malawi-only'!S124)/(T124*(U124+'Malawi-only'!U124))/12)</f>
        <v>122.15942425573587</v>
      </c>
      <c r="X124" s="284">
        <f>(R124+'Malawi-only'!R124)</f>
        <v>2685199019.4061041</v>
      </c>
      <c r="Y124" s="284">
        <f>(L124+'Malawi-only'!L124)</f>
        <v>7309344603231.626</v>
      </c>
      <c r="Z124" s="284">
        <f>(Q124+'Malawi-only'!Q124)</f>
        <v>414415780662.53076</v>
      </c>
    </row>
    <row r="125" spans="1:26" ht="15.75" customHeight="1">
      <c r="A125" s="31" t="s">
        <v>158</v>
      </c>
      <c r="B125" s="32">
        <v>2141</v>
      </c>
      <c r="C125" s="274">
        <f t="shared" si="11"/>
        <v>4.7589888669441704E-6</v>
      </c>
      <c r="D125" s="271">
        <f t="shared" si="19"/>
        <v>4.7589888669441704E-6</v>
      </c>
      <c r="E125" s="34">
        <f t="shared" si="21"/>
        <v>0</v>
      </c>
      <c r="F125" s="42">
        <v>4000</v>
      </c>
      <c r="G125" s="34">
        <f t="shared" si="20"/>
        <v>19035955.467776682</v>
      </c>
      <c r="H125" s="34">
        <f t="shared" si="4"/>
        <v>18940775.690437797</v>
      </c>
      <c r="I125" s="35">
        <f t="shared" si="23"/>
        <v>1</v>
      </c>
      <c r="J125" s="36">
        <f t="shared" si="5"/>
        <v>18940775.690437797</v>
      </c>
      <c r="K125" s="34">
        <f t="shared" si="13"/>
        <v>5206688982355.8701</v>
      </c>
      <c r="L125" s="37">
        <f t="shared" si="24"/>
        <v>7256042870458.4063</v>
      </c>
      <c r="M125" s="34">
        <f t="shared" si="6"/>
        <v>457130700838.87958</v>
      </c>
      <c r="N125" s="34">
        <f t="shared" si="7"/>
        <v>0</v>
      </c>
      <c r="O125" s="34">
        <f t="shared" si="8"/>
        <v>457130700838.87958</v>
      </c>
      <c r="P125" s="34">
        <f t="shared" si="27"/>
        <v>45713070083.887962</v>
      </c>
      <c r="Q125" s="38">
        <f t="shared" si="15"/>
        <v>411417630754.99164</v>
      </c>
      <c r="R125" s="39">
        <f t="shared" si="16"/>
        <v>0</v>
      </c>
      <c r="S125" s="34">
        <f t="shared" si="17"/>
        <v>409045382623.71857</v>
      </c>
      <c r="T125" s="40">
        <f t="shared" si="26"/>
        <v>9771014394.872694</v>
      </c>
      <c r="U125" s="272">
        <f t="shared" si="9"/>
        <v>2.5853062235832228E-2</v>
      </c>
      <c r="V125" s="282">
        <f t="shared" si="10"/>
        <v>134.93934688986263</v>
      </c>
      <c r="W125" s="283">
        <f>((S125+'Malawi-only'!S125)/(T125*(U125+'Malawi-only'!U125))/12)</f>
        <v>122.99091599456439</v>
      </c>
      <c r="X125" s="284">
        <f>(R125+'Malawi-only'!R125)</f>
        <v>2700781680.8644176</v>
      </c>
      <c r="Y125" s="284">
        <f>(L125+'Malawi-only'!L125)</f>
        <v>7351735281072.6182</v>
      </c>
      <c r="Z125" s="284">
        <f>(Q125+'Malawi-only'!Q125)</f>
        <v>416819194116.72046</v>
      </c>
    </row>
    <row r="126" spans="1:26" ht="15.75" customHeight="1">
      <c r="A126" s="31" t="s">
        <v>159</v>
      </c>
      <c r="B126" s="32">
        <v>2142</v>
      </c>
      <c r="C126" s="274">
        <f t="shared" si="11"/>
        <v>4.2830899802497538E-6</v>
      </c>
      <c r="D126" s="271">
        <f t="shared" si="19"/>
        <v>4.2830899802497538E-6</v>
      </c>
      <c r="E126" s="34">
        <f t="shared" si="21"/>
        <v>0</v>
      </c>
      <c r="F126" s="42">
        <v>4000</v>
      </c>
      <c r="G126" s="34">
        <f t="shared" si="20"/>
        <v>17132359.920999017</v>
      </c>
      <c r="H126" s="34">
        <f t="shared" si="4"/>
        <v>17046698.121394023</v>
      </c>
      <c r="I126" s="35">
        <f t="shared" si="23"/>
        <v>1</v>
      </c>
      <c r="J126" s="36">
        <f t="shared" si="5"/>
        <v>17046698.121394023</v>
      </c>
      <c r="K126" s="34">
        <f t="shared" si="13"/>
        <v>5206706029053.9912</v>
      </c>
      <c r="L126" s="37">
        <f t="shared" si="24"/>
        <v>7298122100746.7949</v>
      </c>
      <c r="M126" s="34">
        <f t="shared" si="6"/>
        <v>459781692347.0481</v>
      </c>
      <c r="N126" s="34">
        <f t="shared" si="7"/>
        <v>0</v>
      </c>
      <c r="O126" s="34">
        <f t="shared" si="8"/>
        <v>459781692347.0481</v>
      </c>
      <c r="P126" s="34">
        <f t="shared" si="27"/>
        <v>45978169234.704811</v>
      </c>
      <c r="Q126" s="38">
        <f t="shared" si="15"/>
        <v>413803523112.34326</v>
      </c>
      <c r="R126" s="39">
        <f t="shared" si="16"/>
        <v>0</v>
      </c>
      <c r="S126" s="34">
        <f t="shared" si="17"/>
        <v>411417630754.99164</v>
      </c>
      <c r="T126" s="40">
        <f t="shared" si="26"/>
        <v>9761243380.4778233</v>
      </c>
      <c r="U126" s="272">
        <f t="shared" si="9"/>
        <v>2.5853062235832228E-2</v>
      </c>
      <c r="V126" s="282">
        <f t="shared" si="10"/>
        <v>135.85778192872408</v>
      </c>
      <c r="W126" s="283">
        <f>((S126+'Malawi-only'!S126)/(T126*(U126+'Malawi-only'!U126))/12)</f>
        <v>123.82802940007876</v>
      </c>
      <c r="X126" s="284">
        <f>(R126+'Malawi-only'!R126)</f>
        <v>2716453952.4493361</v>
      </c>
      <c r="Y126" s="284">
        <f>(L126+'Malawi-only'!L126)</f>
        <v>7394369775549.2246</v>
      </c>
      <c r="Z126" s="284">
        <f>(Q126+'Malawi-only'!Q126)</f>
        <v>419236431017.24194</v>
      </c>
    </row>
    <row r="127" spans="1:26" ht="15.75" customHeight="1">
      <c r="A127" s="31" t="s">
        <v>160</v>
      </c>
      <c r="B127" s="32">
        <v>2143</v>
      </c>
      <c r="C127" s="274">
        <f t="shared" si="11"/>
        <v>3.8547809822247786E-6</v>
      </c>
      <c r="D127" s="271">
        <f t="shared" si="19"/>
        <v>3.8547809822247786E-6</v>
      </c>
      <c r="E127" s="34">
        <f t="shared" si="21"/>
        <v>0</v>
      </c>
      <c r="F127" s="42">
        <v>4000</v>
      </c>
      <c r="G127" s="34">
        <f t="shared" si="20"/>
        <v>15419123.928899113</v>
      </c>
      <c r="H127" s="34">
        <f t="shared" si="4"/>
        <v>15342028.309254618</v>
      </c>
      <c r="I127" s="35">
        <f t="shared" si="23"/>
        <v>1</v>
      </c>
      <c r="J127" s="36">
        <f t="shared" si="5"/>
        <v>15342028.309254618</v>
      </c>
      <c r="K127" s="34">
        <f t="shared" si="13"/>
        <v>5206721371082.3008</v>
      </c>
      <c r="L127" s="37">
        <f t="shared" si="24"/>
        <v>7340443554203.8047</v>
      </c>
      <c r="M127" s="34">
        <f t="shared" si="6"/>
        <v>462447943914.83972</v>
      </c>
      <c r="N127" s="34">
        <f t="shared" si="7"/>
        <v>0</v>
      </c>
      <c r="O127" s="34">
        <f t="shared" si="8"/>
        <v>462447943914.83972</v>
      </c>
      <c r="P127" s="34">
        <f t="shared" si="27"/>
        <v>46244794391.483978</v>
      </c>
      <c r="Q127" s="38">
        <f t="shared" si="15"/>
        <v>416203149523.35571</v>
      </c>
      <c r="R127" s="39">
        <f t="shared" si="16"/>
        <v>0</v>
      </c>
      <c r="S127" s="34">
        <f t="shared" si="17"/>
        <v>413803523112.34326</v>
      </c>
      <c r="T127" s="40">
        <f t="shared" si="26"/>
        <v>9751482137.0973473</v>
      </c>
      <c r="U127" s="272">
        <f t="shared" si="9"/>
        <v>2.5853062235832228E-2</v>
      </c>
      <c r="V127" s="282">
        <f t="shared" si="10"/>
        <v>136.78243055498791</v>
      </c>
      <c r="W127" s="283">
        <f>((S127+'Malawi-only'!S127)/(T127*(U127+'Malawi-only'!U127))/12)</f>
        <v>124.6708062416556</v>
      </c>
      <c r="X127" s="284">
        <f>(R127+'Malawi-only'!R127)</f>
        <v>2732216431.3027506</v>
      </c>
      <c r="Y127" s="284">
        <f>(L127+'Malawi-only'!L127)</f>
        <v>7437249691807.082</v>
      </c>
      <c r="Z127" s="284">
        <f>(Q127+'Malawi-only'!Q127)</f>
        <v>421667582385.96124</v>
      </c>
    </row>
    <row r="128" spans="1:26" ht="15.75" customHeight="1">
      <c r="A128" s="31" t="s">
        <v>161</v>
      </c>
      <c r="B128" s="32">
        <v>2144</v>
      </c>
      <c r="C128" s="274">
        <f t="shared" si="11"/>
        <v>3.4693028840023008E-6</v>
      </c>
      <c r="D128" s="271">
        <f t="shared" si="19"/>
        <v>3.4693028840023008E-6</v>
      </c>
      <c r="E128" s="34">
        <f t="shared" si="21"/>
        <v>0</v>
      </c>
      <c r="F128" s="42">
        <v>4000</v>
      </c>
      <c r="G128" s="34">
        <f t="shared" si="20"/>
        <v>13877211.536009202</v>
      </c>
      <c r="H128" s="34">
        <f t="shared" si="4"/>
        <v>13807825.478329156</v>
      </c>
      <c r="I128" s="35">
        <f t="shared" si="23"/>
        <v>1</v>
      </c>
      <c r="J128" s="36">
        <f t="shared" si="5"/>
        <v>13807825.478329156</v>
      </c>
      <c r="K128" s="34">
        <f t="shared" si="13"/>
        <v>5206735178907.7793</v>
      </c>
      <c r="L128" s="37">
        <f t="shared" si="24"/>
        <v>7383008805342.5576</v>
      </c>
      <c r="M128" s="34">
        <f t="shared" si="6"/>
        <v>465129554736.58112</v>
      </c>
      <c r="N128" s="34">
        <f t="shared" si="7"/>
        <v>0</v>
      </c>
      <c r="O128" s="34">
        <f t="shared" si="8"/>
        <v>465129554736.58112</v>
      </c>
      <c r="P128" s="34">
        <f t="shared" si="27"/>
        <v>46512955473.658112</v>
      </c>
      <c r="Q128" s="38">
        <f t="shared" si="15"/>
        <v>418616599262.92297</v>
      </c>
      <c r="R128" s="39">
        <f t="shared" si="16"/>
        <v>0</v>
      </c>
      <c r="S128" s="34">
        <f t="shared" si="17"/>
        <v>416203149523.35571</v>
      </c>
      <c r="T128" s="40">
        <f t="shared" si="26"/>
        <v>9741730654.9602509</v>
      </c>
      <c r="U128" s="272">
        <f t="shared" si="9"/>
        <v>2.5853062235832228E-2</v>
      </c>
      <c r="V128" s="282">
        <f t="shared" si="10"/>
        <v>137.71333852475584</v>
      </c>
      <c r="W128" s="283">
        <f>((S128+'Malawi-only'!S128)/(T128*(U128+'Malawi-only'!U128))/12)</f>
        <v>125.51928822389185</v>
      </c>
      <c r="X128" s="284">
        <f>(R128+'Malawi-only'!R128)</f>
        <v>2748069710.292397</v>
      </c>
      <c r="Y128" s="284">
        <f>(L128+'Malawi-only'!L128)</f>
        <v>7480376625120.0586</v>
      </c>
      <c r="Z128" s="284">
        <f>(Q128+'Malawi-only'!Q128)</f>
        <v>424112738683.50775</v>
      </c>
    </row>
    <row r="129" spans="1:26" ht="15.75" customHeight="1">
      <c r="A129" s="31" t="s">
        <v>162</v>
      </c>
      <c r="B129" s="32">
        <v>2145</v>
      </c>
      <c r="C129" s="274">
        <f t="shared" si="11"/>
        <v>3.1223725956020708E-6</v>
      </c>
      <c r="D129" s="271">
        <f t="shared" si="19"/>
        <v>3.1223725956020708E-6</v>
      </c>
      <c r="E129" s="34">
        <f t="shared" si="21"/>
        <v>0</v>
      </c>
      <c r="F129" s="42">
        <v>4000</v>
      </c>
      <c r="G129" s="34">
        <f t="shared" si="20"/>
        <v>12489490.382408284</v>
      </c>
      <c r="H129" s="34">
        <f t="shared" si="4"/>
        <v>12427042.930496242</v>
      </c>
      <c r="I129" s="35">
        <f t="shared" si="23"/>
        <v>1</v>
      </c>
      <c r="J129" s="36">
        <f t="shared" si="5"/>
        <v>12427042.930496242</v>
      </c>
      <c r="K129" s="34">
        <f t="shared" si="13"/>
        <v>5206747605950.71</v>
      </c>
      <c r="L129" s="37">
        <f t="shared" si="24"/>
        <v>7425819420765.2178</v>
      </c>
      <c r="M129" s="34">
        <f t="shared" si="6"/>
        <v>467826623508.20874</v>
      </c>
      <c r="N129" s="34">
        <f t="shared" si="7"/>
        <v>0</v>
      </c>
      <c r="O129" s="34">
        <f t="shared" si="8"/>
        <v>467826623508.20874</v>
      </c>
      <c r="P129" s="34">
        <f t="shared" si="27"/>
        <v>46782662350.820877</v>
      </c>
      <c r="Q129" s="38">
        <f t="shared" si="15"/>
        <v>421043961157.38788</v>
      </c>
      <c r="R129" s="39">
        <f t="shared" si="16"/>
        <v>0</v>
      </c>
      <c r="S129" s="34">
        <f t="shared" si="17"/>
        <v>418616599262.92297</v>
      </c>
      <c r="T129" s="40">
        <f t="shared" si="26"/>
        <v>9731988924.3052921</v>
      </c>
      <c r="U129" s="272">
        <f t="shared" si="9"/>
        <v>2.5853062235832228E-2</v>
      </c>
      <c r="V129" s="282">
        <f t="shared" si="10"/>
        <v>138.6505515604737</v>
      </c>
      <c r="W129" s="283">
        <f>((S129+'Malawi-only'!S129)/(T129*(U129+'Malawi-only'!U129))/12)</f>
        <v>126.37351702074572</v>
      </c>
      <c r="X129" s="284">
        <f>(R129+'Malawi-only'!R129)</f>
        <v>2764014378.7608414</v>
      </c>
      <c r="Y129" s="284">
        <f>(L129+'Malawi-only'!L129)</f>
        <v>7523752162750.6943</v>
      </c>
      <c r="Z129" s="284">
        <f>(Q129+'Malawi-only'!Q129)</f>
        <v>426571989914.90955</v>
      </c>
    </row>
    <row r="130" spans="1:26" ht="15.75" customHeight="1">
      <c r="A130" s="31" t="s">
        <v>163</v>
      </c>
      <c r="B130" s="32">
        <v>2146</v>
      </c>
      <c r="C130" s="274">
        <f t="shared" si="11"/>
        <v>2.8101353360418636E-6</v>
      </c>
      <c r="D130" s="271">
        <f t="shared" si="19"/>
        <v>2.8101353360418636E-6</v>
      </c>
      <c r="E130" s="34">
        <f t="shared" si="21"/>
        <v>0</v>
      </c>
      <c r="F130" s="42">
        <v>4000</v>
      </c>
      <c r="G130" s="34">
        <f t="shared" si="20"/>
        <v>11240541.344167454</v>
      </c>
      <c r="H130" s="34">
        <f t="shared" si="4"/>
        <v>11184338.637446618</v>
      </c>
      <c r="I130" s="35">
        <f t="shared" si="23"/>
        <v>1</v>
      </c>
      <c r="J130" s="36">
        <f t="shared" si="5"/>
        <v>11184338.637446618</v>
      </c>
      <c r="K130" s="34">
        <f t="shared" si="13"/>
        <v>5206758790289.3477</v>
      </c>
      <c r="L130" s="37">
        <f t="shared" si="24"/>
        <v>7468876960820.9502</v>
      </c>
      <c r="M130" s="34">
        <f t="shared" si="6"/>
        <v>470539248531.71985</v>
      </c>
      <c r="N130" s="34">
        <f t="shared" si="7"/>
        <v>0</v>
      </c>
      <c r="O130" s="34">
        <f t="shared" si="8"/>
        <v>470539248531.71985</v>
      </c>
      <c r="P130" s="34">
        <f t="shared" si="27"/>
        <v>47053924853.171989</v>
      </c>
      <c r="Q130" s="38">
        <f t="shared" si="15"/>
        <v>423485323678.54785</v>
      </c>
      <c r="R130" s="39">
        <f t="shared" si="16"/>
        <v>0</v>
      </c>
      <c r="S130" s="34">
        <f t="shared" si="17"/>
        <v>421043961157.38788</v>
      </c>
      <c r="T130" s="40">
        <f t="shared" si="26"/>
        <v>9722256935.3809872</v>
      </c>
      <c r="U130" s="272">
        <f t="shared" si="9"/>
        <v>2.5853062235832228E-2</v>
      </c>
      <c r="V130" s="282">
        <f t="shared" si="10"/>
        <v>139.59411538488834</v>
      </c>
      <c r="W130" s="283">
        <f>((S130+'Malawi-only'!S130)/(T130*(U130+'Malawi-only'!U130))/12)</f>
        <v>127.23353430648363</v>
      </c>
      <c r="X130" s="284">
        <f>(R130+'Malawi-only'!R130)</f>
        <v>2780051023.2014294</v>
      </c>
      <c r="Y130" s="284">
        <f>(L130+'Malawi-only'!L130)</f>
        <v>7567377885629.6602</v>
      </c>
      <c r="Z130" s="284">
        <f>(Q130+'Malawi-only'!Q130)</f>
        <v>429045425724.95068</v>
      </c>
    </row>
    <row r="131" spans="1:26" ht="15.75" customHeight="1">
      <c r="A131" s="31" t="s">
        <v>164</v>
      </c>
      <c r="B131" s="32">
        <v>2147</v>
      </c>
      <c r="C131" s="274">
        <f t="shared" si="11"/>
        <v>2.5291218024376773E-6</v>
      </c>
      <c r="D131" s="271">
        <f t="shared" si="19"/>
        <v>2.5291218024376773E-6</v>
      </c>
      <c r="E131" s="34">
        <f t="shared" si="21"/>
        <v>0</v>
      </c>
      <c r="F131" s="42">
        <v>4000</v>
      </c>
      <c r="G131" s="34">
        <f t="shared" si="20"/>
        <v>10116487.209750708</v>
      </c>
      <c r="H131" s="34">
        <f t="shared" si="4"/>
        <v>10065904.773701955</v>
      </c>
      <c r="I131" s="35">
        <f t="shared" si="23"/>
        <v>1</v>
      </c>
      <c r="J131" s="36">
        <f t="shared" si="5"/>
        <v>10065904.773701955</v>
      </c>
      <c r="K131" s="34">
        <f t="shared" si="13"/>
        <v>5206768856194.1211</v>
      </c>
      <c r="L131" s="37">
        <f t="shared" si="24"/>
        <v>7512182981103.1064</v>
      </c>
      <c r="M131" s="34">
        <f t="shared" si="6"/>
        <v>473267527809.49573</v>
      </c>
      <c r="N131" s="34">
        <f t="shared" si="7"/>
        <v>0</v>
      </c>
      <c r="O131" s="34">
        <f t="shared" si="8"/>
        <v>473267527809.49573</v>
      </c>
      <c r="P131" s="34">
        <f t="shared" si="27"/>
        <v>47326752780.949577</v>
      </c>
      <c r="Q131" s="38">
        <f t="shared" si="15"/>
        <v>425940775028.54614</v>
      </c>
      <c r="R131" s="39">
        <f t="shared" si="16"/>
        <v>0</v>
      </c>
      <c r="S131" s="34">
        <f t="shared" si="17"/>
        <v>423485323678.54785</v>
      </c>
      <c r="T131" s="40">
        <f t="shared" si="26"/>
        <v>9712534678.4456081</v>
      </c>
      <c r="U131" s="272">
        <f t="shared" si="9"/>
        <v>2.5853062235832228E-2</v>
      </c>
      <c r="V131" s="282">
        <f t="shared" si="10"/>
        <v>140.5440757518472</v>
      </c>
      <c r="W131" s="283">
        <f>((S131+'Malawi-only'!S131)/(T131*(U131+'Malawi-only'!U131))/12)</f>
        <v>128.09938178374972</v>
      </c>
      <c r="X131" s="284">
        <f>(R131+'Malawi-only'!R131)</f>
        <v>2796180227.8685188</v>
      </c>
      <c r="Y131" s="284">
        <f>(L131+'Malawi-only'!L131)</f>
        <v>7611255369872.3496</v>
      </c>
      <c r="Z131" s="284">
        <f>(Q131+'Malawi-only'!Q131)</f>
        <v>431533135484.2832</v>
      </c>
    </row>
    <row r="132" spans="1:26" ht="15.75" customHeight="1">
      <c r="A132" s="31" t="s">
        <v>165</v>
      </c>
      <c r="B132" s="32">
        <v>2148</v>
      </c>
      <c r="C132" s="274">
        <f t="shared" si="11"/>
        <v>2.2762096221939099E-6</v>
      </c>
      <c r="D132" s="271">
        <f t="shared" si="19"/>
        <v>2.2762096221939099E-6</v>
      </c>
      <c r="E132" s="34">
        <f t="shared" si="21"/>
        <v>0</v>
      </c>
      <c r="F132" s="42">
        <v>4000</v>
      </c>
      <c r="G132" s="34">
        <f t="shared" si="20"/>
        <v>9104838.4887756407</v>
      </c>
      <c r="H132" s="34">
        <f t="shared" si="4"/>
        <v>9059314.2963317633</v>
      </c>
      <c r="I132" s="35">
        <f t="shared" si="23"/>
        <v>1</v>
      </c>
      <c r="J132" s="36">
        <f t="shared" si="5"/>
        <v>9059314.2963317633</v>
      </c>
      <c r="K132" s="34">
        <f t="shared" si="13"/>
        <v>5206777915508.417</v>
      </c>
      <c r="L132" s="37">
        <f t="shared" si="24"/>
        <v>7555739033801.7529</v>
      </c>
      <c r="M132" s="34">
        <f t="shared" si="6"/>
        <v>476011559129.51044</v>
      </c>
      <c r="N132" s="34">
        <f t="shared" si="7"/>
        <v>0</v>
      </c>
      <c r="O132" s="34">
        <f t="shared" si="8"/>
        <v>476011559129.51044</v>
      </c>
      <c r="P132" s="34">
        <f t="shared" si="27"/>
        <v>47601155912.95105</v>
      </c>
      <c r="Q132" s="38">
        <f t="shared" si="15"/>
        <v>428410403216.55939</v>
      </c>
      <c r="R132" s="39">
        <f t="shared" si="16"/>
        <v>0</v>
      </c>
      <c r="S132" s="34">
        <f t="shared" si="17"/>
        <v>425940775028.54614</v>
      </c>
      <c r="T132" s="40">
        <f t="shared" si="26"/>
        <v>9702822143.7671642</v>
      </c>
      <c r="U132" s="272">
        <f t="shared" si="9"/>
        <v>2.5853062235832228E-2</v>
      </c>
      <c r="V132" s="282">
        <f t="shared" si="10"/>
        <v>141.50047847425634</v>
      </c>
      <c r="W132" s="283">
        <f>((S132+'Malawi-only'!S132)/(T132*(U132+'Malawi-only'!U132))/12)</f>
        <v>128.97110120904523</v>
      </c>
      <c r="X132" s="284">
        <f>(R132+'Malawi-only'!R132)</f>
        <v>2812402575.3285728</v>
      </c>
      <c r="Y132" s="284">
        <f>(L132+'Malawi-only'!L132)</f>
        <v>7655386188148.9551</v>
      </c>
      <c r="Z132" s="284">
        <f>(Q132+'Malawi-only'!Q132)</f>
        <v>434035208367.21655</v>
      </c>
    </row>
    <row r="133" spans="1:26" ht="15.75" customHeight="1">
      <c r="A133" s="31" t="s">
        <v>166</v>
      </c>
      <c r="B133" s="32">
        <v>2149</v>
      </c>
      <c r="C133" s="274">
        <f t="shared" si="11"/>
        <v>2.0485886599745188E-6</v>
      </c>
      <c r="D133" s="271">
        <f t="shared" si="19"/>
        <v>2.0485886599745188E-6</v>
      </c>
      <c r="E133" s="34">
        <f t="shared" si="21"/>
        <v>0</v>
      </c>
      <c r="F133" s="42">
        <v>4000</v>
      </c>
      <c r="G133" s="34">
        <f t="shared" si="20"/>
        <v>8194354.6398980748</v>
      </c>
      <c r="H133" s="34">
        <f t="shared" si="4"/>
        <v>8153382.8666985845</v>
      </c>
      <c r="I133" s="35">
        <f t="shared" si="23"/>
        <v>1</v>
      </c>
      <c r="J133" s="36">
        <f t="shared" si="5"/>
        <v>8153382.8666985845</v>
      </c>
      <c r="K133" s="34">
        <f t="shared" si="13"/>
        <v>5206786068891.2832</v>
      </c>
      <c r="L133" s="37">
        <f t="shared" si="24"/>
        <v>7599546668926.0215</v>
      </c>
      <c r="M133" s="34">
        <f t="shared" si="6"/>
        <v>478771440142.33936</v>
      </c>
      <c r="N133" s="34">
        <f t="shared" si="7"/>
        <v>0</v>
      </c>
      <c r="O133" s="34">
        <f t="shared" si="8"/>
        <v>478771440142.33936</v>
      </c>
      <c r="P133" s="34">
        <f t="shared" si="27"/>
        <v>47877144014.23394</v>
      </c>
      <c r="Q133" s="38">
        <f t="shared" si="15"/>
        <v>430894296128.10541</v>
      </c>
      <c r="R133" s="39">
        <f t="shared" si="16"/>
        <v>0</v>
      </c>
      <c r="S133" s="34">
        <f t="shared" si="17"/>
        <v>428410403216.55939</v>
      </c>
      <c r="T133" s="40">
        <f t="shared" si="26"/>
        <v>9693119321.6233978</v>
      </c>
      <c r="U133" s="272">
        <f t="shared" si="9"/>
        <v>2.5853062235832228E-2</v>
      </c>
      <c r="V133" s="282">
        <f t="shared" si="10"/>
        <v>142.46336944947791</v>
      </c>
      <c r="W133" s="283">
        <f>((S133+'Malawi-only'!S133)/(T133*(U133+'Malawi-only'!U133))/12)</f>
        <v>129.84873441587533</v>
      </c>
      <c r="X133" s="284">
        <f>(R133+'Malawi-only'!R133)</f>
        <v>2828718646.9580436</v>
      </c>
      <c r="Y133" s="284">
        <f>(L133+'Malawi-only'!L133)</f>
        <v>7699771910922.6641</v>
      </c>
      <c r="Z133" s="284">
        <f>(Q133+'Malawi-only'!Q133)</f>
        <v>436551733422.02148</v>
      </c>
    </row>
    <row r="134" spans="1:26" ht="15.75" customHeight="1">
      <c r="A134" s="31" t="s">
        <v>167</v>
      </c>
      <c r="B134" s="32">
        <v>2150</v>
      </c>
      <c r="C134" s="274">
        <f t="shared" si="11"/>
        <v>1.8437297939770669E-6</v>
      </c>
      <c r="D134" s="271">
        <f t="shared" si="19"/>
        <v>1.8437297939770669E-6</v>
      </c>
      <c r="E134" s="34">
        <f t="shared" si="21"/>
        <v>0</v>
      </c>
      <c r="F134" s="42">
        <v>4000</v>
      </c>
      <c r="G134" s="34">
        <f t="shared" si="20"/>
        <v>7374919.1759082675</v>
      </c>
      <c r="H134" s="34">
        <f t="shared" si="4"/>
        <v>7338044.5800287258</v>
      </c>
      <c r="I134" s="35">
        <f t="shared" si="23"/>
        <v>1</v>
      </c>
      <c r="J134" s="36">
        <f t="shared" si="5"/>
        <v>7338044.5800287258</v>
      </c>
      <c r="K134" s="34">
        <f t="shared" si="13"/>
        <v>5206793406935.8633</v>
      </c>
      <c r="L134" s="37">
        <f t="shared" si="24"/>
        <v>7643607435409.3438</v>
      </c>
      <c r="M134" s="34">
        <f t="shared" si="6"/>
        <v>481547268430.78864</v>
      </c>
      <c r="N134" s="34">
        <f t="shared" si="7"/>
        <v>0</v>
      </c>
      <c r="O134" s="34">
        <f t="shared" si="8"/>
        <v>481547268430.78864</v>
      </c>
      <c r="P134" s="34">
        <f t="shared" si="27"/>
        <v>48154726843.078865</v>
      </c>
      <c r="Q134" s="38">
        <f t="shared" si="15"/>
        <v>433392541587.70978</v>
      </c>
      <c r="R134" s="39">
        <f t="shared" si="16"/>
        <v>0</v>
      </c>
      <c r="S134" s="34">
        <f t="shared" si="17"/>
        <v>430894296128.10541</v>
      </c>
      <c r="T134" s="40">
        <f t="shared" si="26"/>
        <v>9683426202.301775</v>
      </c>
      <c r="U134" s="272">
        <f t="shared" si="9"/>
        <v>2.5853062235832228E-2</v>
      </c>
      <c r="V134" s="282">
        <f t="shared" si="10"/>
        <v>143.43279468242434</v>
      </c>
      <c r="W134" s="283">
        <f>((S134+'Malawi-only'!S134)/(T134*(U134+'Malawi-only'!U134))/12)</f>
        <v>130.73232333579554</v>
      </c>
      <c r="X134" s="284">
        <f>(R134+'Malawi-only'!R134)</f>
        <v>2845129023.3933778</v>
      </c>
      <c r="Y134" s="284">
        <f>(L134+'Malawi-only'!L134)</f>
        <v>7744414107569.2295</v>
      </c>
      <c r="Z134" s="284">
        <f>(Q134+'Malawi-only'!Q134)</f>
        <v>439082799634.49652</v>
      </c>
    </row>
    <row r="135" spans="1:26" ht="15.75" customHeight="1">
      <c r="A135" s="31" t="s">
        <v>168</v>
      </c>
      <c r="B135" s="32">
        <v>2151</v>
      </c>
      <c r="C135" s="274">
        <f t="shared" si="11"/>
        <v>1.6593568145793601E-6</v>
      </c>
      <c r="D135" s="271">
        <f t="shared" si="19"/>
        <v>1.6593568145793601E-6</v>
      </c>
      <c r="E135" s="34">
        <f t="shared" si="21"/>
        <v>0</v>
      </c>
      <c r="F135" s="42">
        <v>4000</v>
      </c>
      <c r="G135" s="34">
        <f t="shared" si="20"/>
        <v>6637427.2583174407</v>
      </c>
      <c r="H135" s="34">
        <f t="shared" si="4"/>
        <v>6604240.122025854</v>
      </c>
      <c r="I135" s="35">
        <f t="shared" si="23"/>
        <v>1</v>
      </c>
      <c r="J135" s="36">
        <f t="shared" si="5"/>
        <v>6604240.122025854</v>
      </c>
      <c r="K135" s="34">
        <f t="shared" si="13"/>
        <v>5206800011175.9854</v>
      </c>
      <c r="L135" s="37">
        <f t="shared" si="24"/>
        <v>7687922882109.2988</v>
      </c>
      <c r="M135" s="34">
        <f t="shared" si="6"/>
        <v>484339141572.8858</v>
      </c>
      <c r="N135" s="34">
        <f t="shared" si="7"/>
        <v>0</v>
      </c>
      <c r="O135" s="34">
        <f t="shared" si="8"/>
        <v>484339141572.8858</v>
      </c>
      <c r="P135" s="34">
        <f t="shared" si="27"/>
        <v>48433914157.288582</v>
      </c>
      <c r="Q135" s="38">
        <f t="shared" si="15"/>
        <v>435905227415.59723</v>
      </c>
      <c r="R135" s="39">
        <f t="shared" si="16"/>
        <v>0</v>
      </c>
      <c r="S135" s="34">
        <f t="shared" si="17"/>
        <v>433392541587.70978</v>
      </c>
      <c r="T135" s="40">
        <f t="shared" si="26"/>
        <v>9673742776.099474</v>
      </c>
      <c r="U135" s="272">
        <f t="shared" si="9"/>
        <v>2.5853062235832228E-2</v>
      </c>
      <c r="V135" s="282">
        <f t="shared" si="10"/>
        <v>144.40880030657746</v>
      </c>
      <c r="W135" s="283">
        <f>((S135+'Malawi-only'!S135)/(T135*(U135+'Malawi-only'!U135))/12)</f>
        <v>131.62191001756824</v>
      </c>
      <c r="X135" s="284">
        <f>(R135+'Malawi-only'!R135)</f>
        <v>2861634284.9379382</v>
      </c>
      <c r="Y135" s="284">
        <f>(L135+'Malawi-only'!L135)</f>
        <v>7789314347389.791</v>
      </c>
      <c r="Z135" s="284">
        <f>(Q135+'Malawi-only'!Q135)</f>
        <v>441628495985.47308</v>
      </c>
    </row>
    <row r="136" spans="1:26" ht="15.75" customHeight="1">
      <c r="A136" s="31" t="s">
        <v>169</v>
      </c>
      <c r="B136" s="32">
        <v>2152</v>
      </c>
      <c r="C136" s="274">
        <f t="shared" si="11"/>
        <v>1.4934211331214242E-6</v>
      </c>
      <c r="D136" s="271">
        <f t="shared" si="19"/>
        <v>1.4934211331214242E-6</v>
      </c>
      <c r="E136" s="34">
        <f t="shared" si="21"/>
        <v>0</v>
      </c>
      <c r="F136" s="42">
        <v>4000</v>
      </c>
      <c r="G136" s="34">
        <f t="shared" si="20"/>
        <v>5973684.5324856974</v>
      </c>
      <c r="H136" s="34">
        <f t="shared" si="4"/>
        <v>5943816.1098232688</v>
      </c>
      <c r="I136" s="35">
        <f t="shared" si="23"/>
        <v>1</v>
      </c>
      <c r="J136" s="36">
        <f t="shared" si="5"/>
        <v>5943816.1098232688</v>
      </c>
      <c r="K136" s="34">
        <f t="shared" si="13"/>
        <v>5206805954992.0947</v>
      </c>
      <c r="L136" s="37">
        <f t="shared" si="24"/>
        <v>7732494558712.6563</v>
      </c>
      <c r="M136" s="34">
        <f t="shared" si="6"/>
        <v>487147157198.89734</v>
      </c>
      <c r="N136" s="34">
        <f t="shared" si="7"/>
        <v>0</v>
      </c>
      <c r="O136" s="34">
        <f t="shared" si="8"/>
        <v>487147157198.89734</v>
      </c>
      <c r="P136" s="34">
        <f t="shared" si="27"/>
        <v>48714715719.88974</v>
      </c>
      <c r="Q136" s="38">
        <f t="shared" si="15"/>
        <v>438432441479.00757</v>
      </c>
      <c r="R136" s="39">
        <f t="shared" si="16"/>
        <v>0</v>
      </c>
      <c r="S136" s="34">
        <f t="shared" si="17"/>
        <v>435905227415.59723</v>
      </c>
      <c r="T136" s="40">
        <f t="shared" si="26"/>
        <v>9664069033.3233757</v>
      </c>
      <c r="U136" s="272">
        <f t="shared" si="9"/>
        <v>2.5853062235832228E-2</v>
      </c>
      <c r="V136" s="282">
        <f t="shared" si="10"/>
        <v>145.39143260314026</v>
      </c>
      <c r="W136" s="283">
        <f>((S136+'Malawi-only'!S136)/(T136*(U136+'Malawi-only'!U136))/12)</f>
        <v>132.5175366446166</v>
      </c>
      <c r="X136" s="284">
        <f>(R136+'Malawi-only'!R136)</f>
        <v>2878235011.9301686</v>
      </c>
      <c r="Y136" s="284">
        <f>(L136+'Malawi-only'!L136)</f>
        <v>7834474200527.6504</v>
      </c>
      <c r="Z136" s="284">
        <f>(Q136+'Malawi-only'!Q136)</f>
        <v>444188911502.86792</v>
      </c>
    </row>
    <row r="137" spans="1:26" ht="15.75" customHeight="1">
      <c r="A137" s="31" t="s">
        <v>170</v>
      </c>
      <c r="B137" s="32">
        <v>2153</v>
      </c>
      <c r="C137" s="274">
        <f t="shared" si="11"/>
        <v>1.3440790198092817E-6</v>
      </c>
      <c r="D137" s="271">
        <f t="shared" si="19"/>
        <v>1.3440790198092817E-6</v>
      </c>
      <c r="E137" s="34">
        <f t="shared" si="21"/>
        <v>0</v>
      </c>
      <c r="F137" s="42">
        <v>4000</v>
      </c>
      <c r="G137" s="34">
        <f t="shared" si="20"/>
        <v>5376316.0792371267</v>
      </c>
      <c r="H137" s="34">
        <f t="shared" si="4"/>
        <v>5349434.4988409411</v>
      </c>
      <c r="I137" s="35">
        <f t="shared" si="23"/>
        <v>1</v>
      </c>
      <c r="J137" s="36">
        <f t="shared" si="5"/>
        <v>5349434.4988409411</v>
      </c>
      <c r="K137" s="34">
        <f t="shared" si="13"/>
        <v>5206811304426.5938</v>
      </c>
      <c r="L137" s="37">
        <f t="shared" si="24"/>
        <v>7777324016555.1123</v>
      </c>
      <c r="M137" s="34">
        <f t="shared" si="6"/>
        <v>489971413042.97211</v>
      </c>
      <c r="N137" s="34">
        <f t="shared" si="7"/>
        <v>0</v>
      </c>
      <c r="O137" s="34">
        <f t="shared" si="8"/>
        <v>489971413042.97211</v>
      </c>
      <c r="P137" s="34">
        <f t="shared" si="27"/>
        <v>48997141304.297211</v>
      </c>
      <c r="Q137" s="38">
        <f t="shared" si="15"/>
        <v>440974271738.67493</v>
      </c>
      <c r="R137" s="39">
        <f t="shared" si="16"/>
        <v>0</v>
      </c>
      <c r="S137" s="34">
        <f t="shared" si="17"/>
        <v>438432441479.00757</v>
      </c>
      <c r="T137" s="40">
        <f t="shared" si="26"/>
        <v>9654404964.2900543</v>
      </c>
      <c r="U137" s="272">
        <f t="shared" si="9"/>
        <v>2.5853062235832228E-2</v>
      </c>
      <c r="V137" s="282">
        <f t="shared" si="10"/>
        <v>146.38073801850774</v>
      </c>
      <c r="W137" s="283">
        <f>((S137+'Malawi-only'!S137)/(T137*(U137+'Malawi-only'!U137))/12)</f>
        <v>133.41924555094701</v>
      </c>
      <c r="X137" s="284">
        <f>(R137+'Malawi-only'!R137)</f>
        <v>2894931785.0768766</v>
      </c>
      <c r="Y137" s="284">
        <f>(L137+'Malawi-only'!L137)</f>
        <v>7879895238798.6523</v>
      </c>
      <c r="Z137" s="284">
        <f>(Q137+'Malawi-only'!Q137)</f>
        <v>446764135308.82867</v>
      </c>
    </row>
    <row r="138" spans="1:26" ht="15.75" customHeight="1">
      <c r="A138" s="31" t="s">
        <v>171</v>
      </c>
      <c r="B138" s="32">
        <v>2154</v>
      </c>
      <c r="C138" s="274">
        <f t="shared" si="11"/>
        <v>1.2096711178283535E-6</v>
      </c>
      <c r="D138" s="271">
        <f t="shared" si="19"/>
        <v>1.2096711178283535E-6</v>
      </c>
      <c r="E138" s="34">
        <f t="shared" si="21"/>
        <v>0</v>
      </c>
      <c r="F138" s="42">
        <v>4000</v>
      </c>
      <c r="G138" s="34">
        <f t="shared" si="20"/>
        <v>4838684.4713134142</v>
      </c>
      <c r="H138" s="34">
        <f t="shared" si="4"/>
        <v>4814491.0489568468</v>
      </c>
      <c r="I138" s="35">
        <f t="shared" si="23"/>
        <v>1</v>
      </c>
      <c r="J138" s="36">
        <f t="shared" si="5"/>
        <v>4814491.0489568468</v>
      </c>
      <c r="K138" s="34">
        <f t="shared" si="13"/>
        <v>5206816118917.6426</v>
      </c>
      <c r="L138" s="37">
        <f t="shared" si="24"/>
        <v>7822412809364.2832</v>
      </c>
      <c r="M138" s="34">
        <f t="shared" si="6"/>
        <v>492812006989.94983</v>
      </c>
      <c r="N138" s="34">
        <f t="shared" si="7"/>
        <v>0</v>
      </c>
      <c r="O138" s="34">
        <f t="shared" si="8"/>
        <v>492812006989.94983</v>
      </c>
      <c r="P138" s="34">
        <f t="shared" si="27"/>
        <v>49281200698.994987</v>
      </c>
      <c r="Q138" s="38">
        <f t="shared" si="15"/>
        <v>443530806290.95483</v>
      </c>
      <c r="R138" s="39">
        <f t="shared" si="16"/>
        <v>0</v>
      </c>
      <c r="S138" s="34">
        <f t="shared" si="17"/>
        <v>440974271738.67493</v>
      </c>
      <c r="T138" s="40">
        <f t="shared" si="26"/>
        <v>9644750559.3257656</v>
      </c>
      <c r="U138" s="272">
        <f t="shared" si="9"/>
        <v>2.5853062235832228E-2</v>
      </c>
      <c r="V138" s="282">
        <f t="shared" si="10"/>
        <v>147.37676318022505</v>
      </c>
      <c r="W138" s="283">
        <f>((S138+'Malawi-only'!S138)/(T138*(U138+'Malawi-only'!U138))/12)</f>
        <v>134.32707923569259</v>
      </c>
      <c r="X138" s="284">
        <f>(R138+'Malawi-only'!R138)</f>
        <v>2911725185.7551527</v>
      </c>
      <c r="Y138" s="284">
        <f>(L138+'Malawi-only'!L138)</f>
        <v>7925579036443.8115</v>
      </c>
      <c r="Z138" s="284">
        <f>(Q138+'Malawi-only'!Q138)</f>
        <v>449354256662.46515</v>
      </c>
    </row>
    <row r="139" spans="1:26" ht="15.75" customHeight="1">
      <c r="A139" s="31" t="s">
        <v>172</v>
      </c>
      <c r="B139" s="32">
        <v>2155</v>
      </c>
      <c r="C139" s="274">
        <f t="shared" si="11"/>
        <v>1.0887040060455183E-6</v>
      </c>
      <c r="D139" s="271">
        <f t="shared" si="19"/>
        <v>1.0887040060455183E-6</v>
      </c>
      <c r="E139" s="34">
        <f t="shared" si="21"/>
        <v>0</v>
      </c>
      <c r="F139" s="42">
        <v>4000</v>
      </c>
      <c r="G139" s="34">
        <f t="shared" si="20"/>
        <v>4354816.0241820728</v>
      </c>
      <c r="H139" s="34">
        <f t="shared" si="4"/>
        <v>4333041.9440611629</v>
      </c>
      <c r="I139" s="35">
        <f t="shared" si="23"/>
        <v>1</v>
      </c>
      <c r="J139" s="36">
        <f t="shared" si="5"/>
        <v>4333041.9440611629</v>
      </c>
      <c r="K139" s="34">
        <f t="shared" si="13"/>
        <v>5206820451959.5869</v>
      </c>
      <c r="L139" s="37">
        <f t="shared" si="24"/>
        <v>7867762493933.6709</v>
      </c>
      <c r="M139" s="34">
        <f t="shared" si="6"/>
        <v>495669037117.82129</v>
      </c>
      <c r="N139" s="34">
        <f t="shared" si="7"/>
        <v>0</v>
      </c>
      <c r="O139" s="34">
        <f t="shared" si="8"/>
        <v>495669037117.82129</v>
      </c>
      <c r="P139" s="34">
        <f t="shared" si="27"/>
        <v>49566903711.782135</v>
      </c>
      <c r="Q139" s="38">
        <f t="shared" si="15"/>
        <v>446102133406.03918</v>
      </c>
      <c r="R139" s="39">
        <f t="shared" si="16"/>
        <v>0</v>
      </c>
      <c r="S139" s="34">
        <f t="shared" si="17"/>
        <v>443530806290.95483</v>
      </c>
      <c r="T139" s="40">
        <f t="shared" si="26"/>
        <v>9635105808.7664413</v>
      </c>
      <c r="U139" s="272">
        <f t="shared" si="9"/>
        <v>2.5853062235832228E-2</v>
      </c>
      <c r="V139" s="282">
        <f t="shared" si="10"/>
        <v>148.37955491158371</v>
      </c>
      <c r="W139" s="283">
        <f>((S139+'Malawi-only'!S139)/(T139*(U139+'Malawi-only'!U139))/12)</f>
        <v>135.24108037641591</v>
      </c>
      <c r="X139" s="284">
        <f>(R139+'Malawi-only'!R139)</f>
        <v>2928615796.2860522</v>
      </c>
      <c r="Y139" s="284">
        <f>(L139+'Malawi-only'!L139)</f>
        <v>7971527170812.0303</v>
      </c>
      <c r="Z139" s="284">
        <f>(Q139+'Malawi-only'!Q139)</f>
        <v>451959364998.61127</v>
      </c>
    </row>
    <row r="140" spans="1:26" ht="15.75" customHeight="1">
      <c r="A140" s="31" t="s">
        <v>173</v>
      </c>
      <c r="B140" s="32">
        <v>2156</v>
      </c>
      <c r="C140" s="274">
        <f t="shared" si="11"/>
        <v>9.7983360544096637E-7</v>
      </c>
      <c r="D140" s="271">
        <f t="shared" si="19"/>
        <v>9.7983360544096637E-7</v>
      </c>
      <c r="E140" s="34">
        <f t="shared" si="21"/>
        <v>0</v>
      </c>
      <c r="F140" s="42">
        <v>4000</v>
      </c>
      <c r="G140" s="34">
        <f t="shared" si="20"/>
        <v>3919334.4217638653</v>
      </c>
      <c r="H140" s="34">
        <f t="shared" si="4"/>
        <v>3899737.749655046</v>
      </c>
      <c r="I140" s="35">
        <f t="shared" si="23"/>
        <v>1</v>
      </c>
      <c r="J140" s="36">
        <f t="shared" si="5"/>
        <v>3899737.749655046</v>
      </c>
      <c r="K140" s="34">
        <f t="shared" si="13"/>
        <v>5206824351697.3369</v>
      </c>
      <c r="L140" s="37">
        <f t="shared" si="24"/>
        <v>7913374630734.5117</v>
      </c>
      <c r="M140" s="34">
        <f t="shared" si="6"/>
        <v>498542601736.27423</v>
      </c>
      <c r="N140" s="34">
        <f t="shared" si="7"/>
        <v>0</v>
      </c>
      <c r="O140" s="34">
        <f t="shared" si="8"/>
        <v>498542601736.27423</v>
      </c>
      <c r="P140" s="34">
        <f t="shared" si="27"/>
        <v>49854260173.627426</v>
      </c>
      <c r="Q140" s="38">
        <f t="shared" si="15"/>
        <v>448688341562.64679</v>
      </c>
      <c r="R140" s="39">
        <f t="shared" si="16"/>
        <v>0</v>
      </c>
      <c r="S140" s="34">
        <f t="shared" si="17"/>
        <v>446102133406.03918</v>
      </c>
      <c r="T140" s="40">
        <f t="shared" si="26"/>
        <v>9625470702.9576759</v>
      </c>
      <c r="U140" s="272">
        <f t="shared" si="9"/>
        <v>2.5853062235832228E-2</v>
      </c>
      <c r="V140" s="282">
        <f t="shared" si="10"/>
        <v>149.38916024499352</v>
      </c>
      <c r="W140" s="283">
        <f>((S140+'Malawi-only'!S140)/(T140*(U140+'Malawi-only'!U140))/12)</f>
        <v>136.16129184129542</v>
      </c>
      <c r="X140" s="284">
        <f>(R140+'Malawi-only'!R140)</f>
        <v>2945604200.1828923</v>
      </c>
      <c r="Y140" s="284">
        <f>(L140+'Malawi-only'!L140)</f>
        <v>8017741222979.8848</v>
      </c>
      <c r="Z140" s="284">
        <f>(Q140+'Malawi-only'!Q140)</f>
        <v>454579549963.01257</v>
      </c>
    </row>
    <row r="141" spans="1:26" ht="15.75" customHeight="1">
      <c r="A141" s="31" t="s">
        <v>174</v>
      </c>
      <c r="B141" s="32">
        <v>2157</v>
      </c>
      <c r="C141" s="274">
        <f t="shared" si="11"/>
        <v>8.8185024489686973E-7</v>
      </c>
      <c r="D141" s="271">
        <f t="shared" si="19"/>
        <v>8.8185024489686973E-7</v>
      </c>
      <c r="E141" s="34">
        <f t="shared" si="21"/>
        <v>0</v>
      </c>
      <c r="F141" s="42">
        <v>4000</v>
      </c>
      <c r="G141" s="34">
        <f t="shared" si="20"/>
        <v>3527400.979587479</v>
      </c>
      <c r="H141" s="34">
        <f t="shared" si="4"/>
        <v>3509763.9746895419</v>
      </c>
      <c r="I141" s="35">
        <f t="shared" si="23"/>
        <v>1</v>
      </c>
      <c r="J141" s="36">
        <f t="shared" si="5"/>
        <v>3509763.9746895419</v>
      </c>
      <c r="K141" s="34">
        <f t="shared" si="13"/>
        <v>5206827861461.3115</v>
      </c>
      <c r="L141" s="37">
        <f t="shared" si="24"/>
        <v>7959250784471.7773</v>
      </c>
      <c r="M141" s="34">
        <f t="shared" si="6"/>
        <v>501432799421.72198</v>
      </c>
      <c r="N141" s="34">
        <f t="shared" si="7"/>
        <v>0</v>
      </c>
      <c r="O141" s="34">
        <f t="shared" si="8"/>
        <v>501432799421.72198</v>
      </c>
      <c r="P141" s="34">
        <f t="shared" si="27"/>
        <v>50143279942.172203</v>
      </c>
      <c r="Q141" s="38">
        <f t="shared" si="15"/>
        <v>451289519479.5498</v>
      </c>
      <c r="R141" s="39">
        <f t="shared" si="16"/>
        <v>0</v>
      </c>
      <c r="S141" s="34">
        <f t="shared" si="17"/>
        <v>448688341562.64679</v>
      </c>
      <c r="T141" s="40">
        <f t="shared" si="26"/>
        <v>9615845232.2547188</v>
      </c>
      <c r="U141" s="272">
        <f t="shared" si="9"/>
        <v>2.5853062235832228E-2</v>
      </c>
      <c r="V141" s="282">
        <f t="shared" si="10"/>
        <v>150.40562643425116</v>
      </c>
      <c r="W141" s="283">
        <f>((S141+'Malawi-only'!S141)/(T141*(U141+'Malawi-only'!U141))/12)</f>
        <v>137.08775670030718</v>
      </c>
      <c r="X141" s="284">
        <f>(R141+'Malawi-only'!R141)</f>
        <v>2962690982.3767004</v>
      </c>
      <c r="Y141" s="284">
        <f>(L141+'Malawi-only'!L141)</f>
        <v>8064222778314.8496</v>
      </c>
      <c r="Z141" s="284">
        <f>(Q141+'Malawi-only'!Q141)</f>
        <v>457214901444.30322</v>
      </c>
    </row>
    <row r="142" spans="1:26" ht="15.75" customHeight="1">
      <c r="A142" s="31" t="s">
        <v>175</v>
      </c>
      <c r="B142" s="32">
        <v>2158</v>
      </c>
      <c r="C142" s="274">
        <f t="shared" si="11"/>
        <v>7.9366522040718278E-7</v>
      </c>
      <c r="D142" s="271">
        <f t="shared" si="19"/>
        <v>7.9366522040718278E-7</v>
      </c>
      <c r="E142" s="34">
        <f t="shared" si="21"/>
        <v>0</v>
      </c>
      <c r="F142" s="42">
        <v>4000</v>
      </c>
      <c r="G142" s="34">
        <f t="shared" si="20"/>
        <v>3174660.8816287313</v>
      </c>
      <c r="H142" s="34">
        <f t="shared" si="4"/>
        <v>3158787.5772205875</v>
      </c>
      <c r="I142" s="35">
        <f t="shared" si="23"/>
        <v>1</v>
      </c>
      <c r="J142" s="36">
        <f t="shared" si="5"/>
        <v>3158787.5772205875</v>
      </c>
      <c r="K142" s="34">
        <f t="shared" si="13"/>
        <v>5206831020248.8887</v>
      </c>
      <c r="L142" s="37">
        <f t="shared" si="24"/>
        <v>8005392524589.9258</v>
      </c>
      <c r="M142" s="34">
        <f t="shared" si="6"/>
        <v>504339729049.16534</v>
      </c>
      <c r="N142" s="34">
        <f t="shared" si="7"/>
        <v>0</v>
      </c>
      <c r="O142" s="34">
        <f t="shared" si="8"/>
        <v>504339729049.16534</v>
      </c>
      <c r="P142" s="34">
        <f t="shared" si="27"/>
        <v>50433972904.916534</v>
      </c>
      <c r="Q142" s="38">
        <f t="shared" si="15"/>
        <v>453905756144.24878</v>
      </c>
      <c r="R142" s="39">
        <f t="shared" si="16"/>
        <v>0</v>
      </c>
      <c r="S142" s="34">
        <f t="shared" si="17"/>
        <v>451289519479.5498</v>
      </c>
      <c r="T142" s="40">
        <f t="shared" si="26"/>
        <v>9606229387.0224648</v>
      </c>
      <c r="U142" s="272">
        <f t="shared" si="9"/>
        <v>2.5853062235832228E-2</v>
      </c>
      <c r="V142" s="282">
        <f t="shared" si="10"/>
        <v>151.42900096581889</v>
      </c>
      <c r="W142" s="283">
        <f>((S142+'Malawi-only'!S142)/(T142*(U142+'Malawi-only'!U142))/12)</f>
        <v>138.02051823550329</v>
      </c>
      <c r="X142" s="284">
        <f>(R142+'Malawi-only'!R142)</f>
        <v>2979876729.4211254</v>
      </c>
      <c r="Y142" s="284">
        <f>(L142+'Malawi-only'!L142)</f>
        <v>8110973426987.6084</v>
      </c>
      <c r="Z142" s="284">
        <f>(Q142+'Malawi-only'!Q142)</f>
        <v>459865509603.091</v>
      </c>
    </row>
    <row r="143" spans="1:26" ht="15.75" customHeight="1">
      <c r="A143" s="31" t="s">
        <v>176</v>
      </c>
      <c r="B143" s="32">
        <v>2159</v>
      </c>
      <c r="C143" s="274">
        <f t="shared" si="11"/>
        <v>7.1429869836646449E-7</v>
      </c>
      <c r="D143" s="271">
        <f t="shared" si="19"/>
        <v>7.1429869836646449E-7</v>
      </c>
      <c r="E143" s="34">
        <f t="shared" si="21"/>
        <v>0</v>
      </c>
      <c r="F143" s="42">
        <v>4000</v>
      </c>
      <c r="G143" s="34">
        <f t="shared" si="20"/>
        <v>2857194.7934658579</v>
      </c>
      <c r="H143" s="34">
        <f t="shared" si="4"/>
        <v>2842908.8194985287</v>
      </c>
      <c r="I143" s="35">
        <f t="shared" si="23"/>
        <v>1</v>
      </c>
      <c r="J143" s="36">
        <f t="shared" si="5"/>
        <v>2842908.8194985287</v>
      </c>
      <c r="K143" s="34">
        <f t="shared" si="13"/>
        <v>5206833863157.708</v>
      </c>
      <c r="L143" s="37">
        <f t="shared" si="24"/>
        <v>8051801425733.4609</v>
      </c>
      <c r="M143" s="34">
        <f t="shared" si="6"/>
        <v>507263489821.20807</v>
      </c>
      <c r="N143" s="34">
        <f t="shared" si="7"/>
        <v>0</v>
      </c>
      <c r="O143" s="34">
        <f t="shared" si="8"/>
        <v>507263489821.20807</v>
      </c>
      <c r="P143" s="34">
        <f t="shared" si="27"/>
        <v>50726348982.120811</v>
      </c>
      <c r="Q143" s="38">
        <f t="shared" si="15"/>
        <v>456537140839.08728</v>
      </c>
      <c r="R143" s="39">
        <f t="shared" si="16"/>
        <v>0</v>
      </c>
      <c r="S143" s="34">
        <f t="shared" si="17"/>
        <v>453905756144.24878</v>
      </c>
      <c r="T143" s="40">
        <f t="shared" si="26"/>
        <v>9596623157.6354427</v>
      </c>
      <c r="U143" s="272">
        <f t="shared" si="9"/>
        <v>2.5853062235832228E-2</v>
      </c>
      <c r="V143" s="282">
        <f t="shared" si="10"/>
        <v>152.45933156921024</v>
      </c>
      <c r="W143" s="283">
        <f>((S143+'Malawi-only'!S143)/(T143*(U143+'Malawi-only'!U143))/12)</f>
        <v>138.95961995047767</v>
      </c>
      <c r="X143" s="284">
        <f>(R143+'Malawi-only'!R143)</f>
        <v>2997162029.6788607</v>
      </c>
      <c r="Y143" s="284">
        <f>(L143+'Malawi-only'!L143)</f>
        <v>8157994764438.6045</v>
      </c>
      <c r="Z143" s="284">
        <f>(Q143+'Malawi-only'!Q143)</f>
        <v>462531464898.44501</v>
      </c>
    </row>
    <row r="144" spans="1:26" ht="15.75" customHeight="1">
      <c r="A144" s="31" t="s">
        <v>177</v>
      </c>
      <c r="B144" s="32">
        <v>2160</v>
      </c>
      <c r="C144" s="274">
        <f t="shared" si="11"/>
        <v>6.4286882852981807E-7</v>
      </c>
      <c r="D144" s="271">
        <f t="shared" si="19"/>
        <v>6.4286882852981807E-7</v>
      </c>
      <c r="E144" s="34">
        <f t="shared" si="21"/>
        <v>0</v>
      </c>
      <c r="F144" s="42">
        <v>4000</v>
      </c>
      <c r="G144" s="34">
        <f t="shared" si="20"/>
        <v>2571475.3141192724</v>
      </c>
      <c r="H144" s="34">
        <f t="shared" si="4"/>
        <v>2558617.937548676</v>
      </c>
      <c r="I144" s="35">
        <f t="shared" si="23"/>
        <v>1</v>
      </c>
      <c r="J144" s="36">
        <f t="shared" si="5"/>
        <v>2558617.937548676</v>
      </c>
      <c r="K144" s="34">
        <f t="shared" si="13"/>
        <v>5206836421775.6455</v>
      </c>
      <c r="L144" s="37">
        <f t="shared" si="24"/>
        <v>8098479068166.8535</v>
      </c>
      <c r="M144" s="34">
        <f t="shared" si="6"/>
        <v>510204181294.51178</v>
      </c>
      <c r="N144" s="34">
        <f t="shared" si="7"/>
        <v>0</v>
      </c>
      <c r="O144" s="34">
        <f t="shared" si="8"/>
        <v>510204181294.51178</v>
      </c>
      <c r="P144" s="34">
        <f t="shared" si="27"/>
        <v>51020418129.45118</v>
      </c>
      <c r="Q144" s="38">
        <f t="shared" si="15"/>
        <v>459183763165.06061</v>
      </c>
      <c r="R144" s="39">
        <f t="shared" si="16"/>
        <v>0</v>
      </c>
      <c r="S144" s="34">
        <f t="shared" si="17"/>
        <v>456537140839.08728</v>
      </c>
      <c r="T144" s="40">
        <f t="shared" si="26"/>
        <v>9587026534.477808</v>
      </c>
      <c r="U144" s="272">
        <f t="shared" si="9"/>
        <v>2.5853062235832228E-2</v>
      </c>
      <c r="V144" s="282">
        <f t="shared" si="10"/>
        <v>153.49666622657483</v>
      </c>
      <c r="W144" s="283">
        <f>((S144+'Malawi-only'!S144)/(T144*(U144+'Malawi-only'!U144))/12)</f>
        <v>139.90510557910133</v>
      </c>
      <c r="X144" s="284">
        <f>(R144+'Malawi-only'!R144)</f>
        <v>3014547473.4914517</v>
      </c>
      <c r="Y144" s="284">
        <f>(L144+'Malawi-only'!L144)</f>
        <v>8205288391803.4082</v>
      </c>
      <c r="Z144" s="284">
        <f>(Q144+'Malawi-only'!Q144)</f>
        <v>465212858112.04352</v>
      </c>
    </row>
    <row r="145" spans="1:26" ht="15.75" customHeight="1">
      <c r="A145" s="31" t="s">
        <v>178</v>
      </c>
      <c r="B145" s="32">
        <v>2161</v>
      </c>
      <c r="C145" s="274">
        <f t="shared" si="11"/>
        <v>5.7858194567683629E-7</v>
      </c>
      <c r="D145" s="271">
        <f t="shared" si="19"/>
        <v>5.7858194567683629E-7</v>
      </c>
      <c r="E145" s="34">
        <f t="shared" si="21"/>
        <v>0</v>
      </c>
      <c r="F145" s="42">
        <v>4000</v>
      </c>
      <c r="G145" s="34">
        <f t="shared" si="20"/>
        <v>2314327.7827073452</v>
      </c>
      <c r="H145" s="34">
        <f t="shared" si="4"/>
        <v>2302756.1437938083</v>
      </c>
      <c r="I145" s="35">
        <f t="shared" si="23"/>
        <v>1</v>
      </c>
      <c r="J145" s="36">
        <f t="shared" si="5"/>
        <v>2302756.1437938083</v>
      </c>
      <c r="K145" s="34">
        <f t="shared" si="13"/>
        <v>5206838724531.7891</v>
      </c>
      <c r="L145" s="37">
        <f t="shared" si="24"/>
        <v>8145427038157.9229</v>
      </c>
      <c r="M145" s="34">
        <f t="shared" si="6"/>
        <v>513161903403.94916</v>
      </c>
      <c r="N145" s="34">
        <f t="shared" si="7"/>
        <v>0</v>
      </c>
      <c r="O145" s="34">
        <f t="shared" si="8"/>
        <v>513161903403.94916</v>
      </c>
      <c r="P145" s="34">
        <f t="shared" si="27"/>
        <v>51316190340.39492</v>
      </c>
      <c r="Q145" s="38">
        <f t="shared" si="15"/>
        <v>461845713063.55426</v>
      </c>
      <c r="R145" s="39">
        <f t="shared" si="16"/>
        <v>0</v>
      </c>
      <c r="S145" s="34">
        <f t="shared" si="17"/>
        <v>459183763165.06061</v>
      </c>
      <c r="T145" s="40">
        <f t="shared" si="26"/>
        <v>9577439507.9433308</v>
      </c>
      <c r="U145" s="272">
        <f t="shared" si="9"/>
        <v>2.5853062235832228E-2</v>
      </c>
      <c r="V145" s="282">
        <f t="shared" si="10"/>
        <v>154.54105318156203</v>
      </c>
      <c r="W145" s="283">
        <f>((S145+'Malawi-only'!S145)/(T145*(U145+'Malawi-only'!U145))/12)</f>
        <v>140.8570190936002</v>
      </c>
      <c r="X145" s="284">
        <f>(R145+'Malawi-only'!R145)</f>
        <v>3032033653.3341556</v>
      </c>
      <c r="Y145" s="284">
        <f>(L145+'Malawi-only'!L145)</f>
        <v>8252855916301.0869</v>
      </c>
      <c r="Z145" s="284">
        <f>(Q145+'Malawi-only'!Q145)</f>
        <v>467909780370.2226</v>
      </c>
    </row>
    <row r="146" spans="1:26" ht="15.75" customHeight="1">
      <c r="A146" s="31" t="s">
        <v>179</v>
      </c>
      <c r="B146" s="32">
        <v>2162</v>
      </c>
      <c r="C146" s="274">
        <f t="shared" si="11"/>
        <v>5.2072375110915271E-7</v>
      </c>
      <c r="D146" s="271">
        <f t="shared" si="19"/>
        <v>5.2072375110915271E-7</v>
      </c>
      <c r="E146" s="34">
        <f t="shared" si="21"/>
        <v>0</v>
      </c>
      <c r="F146" s="42">
        <v>4000</v>
      </c>
      <c r="G146" s="34">
        <f t="shared" si="20"/>
        <v>2082895.0044366107</v>
      </c>
      <c r="H146" s="34">
        <f t="shared" si="4"/>
        <v>2072480.5294144277</v>
      </c>
      <c r="I146" s="35">
        <f t="shared" si="23"/>
        <v>1</v>
      </c>
      <c r="J146" s="36">
        <f t="shared" si="5"/>
        <v>2072480.5294144277</v>
      </c>
      <c r="K146" s="34">
        <f t="shared" si="13"/>
        <v>5206840797012.3184</v>
      </c>
      <c r="L146" s="37">
        <f t="shared" si="24"/>
        <v>8192646928328.3574</v>
      </c>
      <c r="M146" s="34">
        <f t="shared" si="6"/>
        <v>516136756484.68652</v>
      </c>
      <c r="N146" s="34">
        <f t="shared" si="7"/>
        <v>0</v>
      </c>
      <c r="O146" s="34">
        <f t="shared" si="8"/>
        <v>516136756484.68652</v>
      </c>
      <c r="P146" s="34">
        <f t="shared" si="27"/>
        <v>51613675648.468658</v>
      </c>
      <c r="Q146" s="38">
        <f t="shared" si="15"/>
        <v>464523080836.2179</v>
      </c>
      <c r="R146" s="39">
        <f t="shared" si="16"/>
        <v>0</v>
      </c>
      <c r="S146" s="34">
        <f t="shared" si="17"/>
        <v>461845713063.55426</v>
      </c>
      <c r="T146" s="40">
        <f t="shared" si="26"/>
        <v>9567862068.4353886</v>
      </c>
      <c r="U146" s="272">
        <f t="shared" si="9"/>
        <v>2.5853062235832228E-2</v>
      </c>
      <c r="V146" s="282">
        <f t="shared" si="10"/>
        <v>155.59254094753712</v>
      </c>
      <c r="W146" s="283">
        <f>((S146+'Malawi-only'!S146)/(T146*(U146+'Malawi-only'!U146))/12)</f>
        <v>141.81540471204355</v>
      </c>
      <c r="X146" s="284">
        <f>(R146+'Malawi-only'!R146)</f>
        <v>3049621163.9573603</v>
      </c>
      <c r="Y146" s="284">
        <f>(L146+'Malawi-only'!L146)</f>
        <v>8300698951589.2793</v>
      </c>
      <c r="Z146" s="284">
        <f>(Q146+'Malawi-only'!Q146)</f>
        <v>470622323164.13263</v>
      </c>
    </row>
    <row r="147" spans="1:26" ht="15.75" customHeight="1">
      <c r="A147" s="31" t="s">
        <v>180</v>
      </c>
      <c r="B147" s="32">
        <v>2163</v>
      </c>
      <c r="C147" s="274">
        <f t="shared" si="11"/>
        <v>4.6865137599823745E-7</v>
      </c>
      <c r="D147" s="271">
        <f t="shared" si="19"/>
        <v>4.6865137599823745E-7</v>
      </c>
      <c r="E147" s="34">
        <f t="shared" si="21"/>
        <v>0</v>
      </c>
      <c r="F147" s="42">
        <v>4000</v>
      </c>
      <c r="G147" s="34">
        <f t="shared" si="20"/>
        <v>1874605.5039929496</v>
      </c>
      <c r="H147" s="34">
        <f t="shared" si="4"/>
        <v>1865232.4764729848</v>
      </c>
      <c r="I147" s="35">
        <f t="shared" si="23"/>
        <v>1</v>
      </c>
      <c r="J147" s="36">
        <f t="shared" si="5"/>
        <v>1865232.4764729848</v>
      </c>
      <c r="K147" s="34">
        <f t="shared" si="13"/>
        <v>5206842662244.7949</v>
      </c>
      <c r="L147" s="37">
        <f t="shared" si="24"/>
        <v>8240140337974.6982</v>
      </c>
      <c r="M147" s="34">
        <f t="shared" si="6"/>
        <v>519128841292.40601</v>
      </c>
      <c r="N147" s="34">
        <f t="shared" si="7"/>
        <v>0</v>
      </c>
      <c r="O147" s="34">
        <f t="shared" si="8"/>
        <v>519128841292.40601</v>
      </c>
      <c r="P147" s="34">
        <f t="shared" si="27"/>
        <v>51912884129.240601</v>
      </c>
      <c r="Q147" s="38">
        <f t="shared" si="15"/>
        <v>467215957163.16541</v>
      </c>
      <c r="R147" s="39">
        <f t="shared" si="16"/>
        <v>0</v>
      </c>
      <c r="S147" s="34">
        <f t="shared" si="17"/>
        <v>464523080836.2179</v>
      </c>
      <c r="T147" s="40">
        <f t="shared" si="26"/>
        <v>9558294206.3669548</v>
      </c>
      <c r="U147" s="272">
        <f t="shared" si="9"/>
        <v>2.5853062235832228E-2</v>
      </c>
      <c r="V147" s="282">
        <f t="shared" si="10"/>
        <v>156.65117831521519</v>
      </c>
      <c r="W147" s="283">
        <f>((S147+'Malawi-only'!S147)/(T147*(U147+'Malawi-only'!U147))/12)</f>
        <v>142.7803069053013</v>
      </c>
      <c r="X147" s="284">
        <f>(R147+'Malawi-only'!R147)</f>
        <v>3067310602.515924</v>
      </c>
      <c r="Y147" s="284">
        <f>(L147+'Malawi-only'!L147)</f>
        <v>8348819118089.3496</v>
      </c>
      <c r="Z147" s="284">
        <f>(Q147+'Malawi-only'!Q147)</f>
        <v>473350578368.19727</v>
      </c>
    </row>
    <row r="148" spans="1:26" ht="15.75" customHeight="1">
      <c r="A148" s="31" t="s">
        <v>181</v>
      </c>
      <c r="B148" s="32">
        <v>2164</v>
      </c>
      <c r="C148" s="274">
        <f t="shared" si="11"/>
        <v>4.2178623839841373E-7</v>
      </c>
      <c r="D148" s="271">
        <f t="shared" si="19"/>
        <v>4.2178623839841373E-7</v>
      </c>
      <c r="E148" s="34">
        <f t="shared" si="21"/>
        <v>0</v>
      </c>
      <c r="F148" s="42">
        <v>4000</v>
      </c>
      <c r="G148" s="34">
        <f t="shared" si="20"/>
        <v>1687144.953593655</v>
      </c>
      <c r="H148" s="34">
        <f t="shared" si="4"/>
        <v>1678709.2288256867</v>
      </c>
      <c r="I148" s="35">
        <f t="shared" si="23"/>
        <v>1</v>
      </c>
      <c r="J148" s="36">
        <f t="shared" si="5"/>
        <v>1678709.2288256867</v>
      </c>
      <c r="K148" s="34">
        <f t="shared" si="13"/>
        <v>5206844340954.0234</v>
      </c>
      <c r="L148" s="37">
        <f t="shared" si="24"/>
        <v>8287908873362.7607</v>
      </c>
      <c r="M148" s="34">
        <f t="shared" si="6"/>
        <v>522138259021.85394</v>
      </c>
      <c r="N148" s="34">
        <f t="shared" si="7"/>
        <v>0</v>
      </c>
      <c r="O148" s="34">
        <f t="shared" si="8"/>
        <v>522138259021.85394</v>
      </c>
      <c r="P148" s="34">
        <f t="shared" si="27"/>
        <v>52213825902.185394</v>
      </c>
      <c r="Q148" s="38">
        <f t="shared" si="15"/>
        <v>469924433119.66858</v>
      </c>
      <c r="R148" s="39">
        <f t="shared" si="16"/>
        <v>0</v>
      </c>
      <c r="S148" s="34">
        <f t="shared" si="17"/>
        <v>467215957163.16541</v>
      </c>
      <c r="T148" s="40">
        <f t="shared" si="26"/>
        <v>9548735912.1605892</v>
      </c>
      <c r="U148" s="272">
        <f t="shared" si="9"/>
        <v>2.5853062235832228E-2</v>
      </c>
      <c r="V148" s="282">
        <f t="shared" si="10"/>
        <v>157.71701435977272</v>
      </c>
      <c r="W148" s="283">
        <f>((S148+'Malawi-only'!S148)/(T148*(U148+'Malawi-only'!U148))/12)</f>
        <v>143.75177040352534</v>
      </c>
      <c r="X148" s="284">
        <f>(R148+'Malawi-only'!R148)</f>
        <v>3085102568.6876411</v>
      </c>
      <c r="Y148" s="284">
        <f>(L148+'Malawi-only'!L148)</f>
        <v>8397218043284.6436</v>
      </c>
      <c r="Z148" s="284">
        <f>(Q148+'Malawi-only'!Q148)</f>
        <v>476094638257.04388</v>
      </c>
    </row>
    <row r="149" spans="1:26" ht="15.75" customHeight="1">
      <c r="A149" s="31" t="s">
        <v>182</v>
      </c>
      <c r="B149" s="32">
        <v>2165</v>
      </c>
      <c r="C149" s="274">
        <f t="shared" si="11"/>
        <v>3.7960761455857235E-7</v>
      </c>
      <c r="D149" s="271">
        <f t="shared" si="19"/>
        <v>3.7960761455857235E-7</v>
      </c>
      <c r="E149" s="34">
        <f t="shared" si="21"/>
        <v>0</v>
      </c>
      <c r="F149" s="42">
        <v>4000</v>
      </c>
      <c r="G149" s="34">
        <f t="shared" si="20"/>
        <v>1518430.4582342894</v>
      </c>
      <c r="H149" s="34">
        <f t="shared" si="4"/>
        <v>1510838.3059431179</v>
      </c>
      <c r="I149" s="35">
        <f t="shared" si="23"/>
        <v>1</v>
      </c>
      <c r="J149" s="36">
        <f t="shared" si="5"/>
        <v>1510838.3059431179</v>
      </c>
      <c r="K149" s="34">
        <f t="shared" si="13"/>
        <v>5206845851792.3291</v>
      </c>
      <c r="L149" s="37">
        <f t="shared" si="24"/>
        <v>8335954147998.2012</v>
      </c>
      <c r="M149" s="34">
        <f t="shared" si="6"/>
        <v>525165111323.88666</v>
      </c>
      <c r="N149" s="34">
        <f t="shared" si="7"/>
        <v>0</v>
      </c>
      <c r="O149" s="34">
        <f t="shared" si="8"/>
        <v>525165111323.88666</v>
      </c>
      <c r="P149" s="34">
        <f t="shared" si="27"/>
        <v>52516511132.388672</v>
      </c>
      <c r="Q149" s="38">
        <f t="shared" si="15"/>
        <v>472648600191.49799</v>
      </c>
      <c r="R149" s="39">
        <f t="shared" si="16"/>
        <v>0</v>
      </c>
      <c r="S149" s="34">
        <f t="shared" si="17"/>
        <v>469924433119.66858</v>
      </c>
      <c r="T149" s="40">
        <f t="shared" si="26"/>
        <v>9539187176.2484303</v>
      </c>
      <c r="U149" s="272">
        <f t="shared" si="9"/>
        <v>2.5853062235832228E-2</v>
      </c>
      <c r="V149" s="282">
        <f t="shared" si="10"/>
        <v>158.79009844748933</v>
      </c>
      <c r="W149" s="283">
        <f>((S149+'Malawi-only'!S149)/(T149*(U149+'Malawi-only'!U149))/12)</f>
        <v>144.72984020220281</v>
      </c>
      <c r="X149" s="284">
        <f>(R149+'Malawi-only'!R149)</f>
        <v>3102997664.7819571</v>
      </c>
      <c r="Y149" s="284">
        <f>(L149+'Malawi-only'!L149)</f>
        <v>8445897361994.5723</v>
      </c>
      <c r="Z149" s="284">
        <f>(Q149+'Malawi-only'!Q149)</f>
        <v>478854595521.06189</v>
      </c>
    </row>
    <row r="150" spans="1:26" ht="15.75" customHeight="1">
      <c r="A150" s="31" t="s">
        <v>183</v>
      </c>
      <c r="B150" s="32">
        <v>2166</v>
      </c>
      <c r="C150" s="274">
        <f t="shared" si="11"/>
        <v>3.4164685310271514E-7</v>
      </c>
      <c r="D150" s="271">
        <f t="shared" si="19"/>
        <v>3.4164685310271514E-7</v>
      </c>
      <c r="E150" s="34">
        <f t="shared" si="21"/>
        <v>0</v>
      </c>
      <c r="F150" s="42">
        <v>4000</v>
      </c>
      <c r="G150" s="34">
        <f t="shared" si="20"/>
        <v>1366587.4124108604</v>
      </c>
      <c r="H150" s="34">
        <f t="shared" si="4"/>
        <v>1359754.475348806</v>
      </c>
      <c r="I150" s="35">
        <f t="shared" si="23"/>
        <v>1</v>
      </c>
      <c r="J150" s="36">
        <f t="shared" si="5"/>
        <v>1359754.475348806</v>
      </c>
      <c r="K150" s="34">
        <f t="shared" si="13"/>
        <v>5206847211546.8047</v>
      </c>
      <c r="L150" s="37">
        <f t="shared" si="24"/>
        <v>8384277782875.623</v>
      </c>
      <c r="M150" s="34">
        <f t="shared" si="6"/>
        <v>528209500321.16425</v>
      </c>
      <c r="N150" s="34">
        <f t="shared" si="7"/>
        <v>0</v>
      </c>
      <c r="O150" s="34">
        <f t="shared" si="8"/>
        <v>528209500321.16425</v>
      </c>
      <c r="P150" s="34">
        <f t="shared" si="27"/>
        <v>52820950032.116425</v>
      </c>
      <c r="Q150" s="38">
        <f t="shared" si="15"/>
        <v>475388550289.04785</v>
      </c>
      <c r="R150" s="39">
        <f t="shared" si="16"/>
        <v>0</v>
      </c>
      <c r="S150" s="34">
        <f t="shared" si="17"/>
        <v>472648600191.49799</v>
      </c>
      <c r="T150" s="40">
        <f t="shared" si="26"/>
        <v>9529647989.0721836</v>
      </c>
      <c r="U150" s="272">
        <f t="shared" si="9"/>
        <v>2.5853062235832228E-2</v>
      </c>
      <c r="V150" s="282">
        <f t="shared" si="10"/>
        <v>159.87048024196858</v>
      </c>
      <c r="W150" s="283">
        <f>((S150+'Malawi-only'!S150)/(T150*(U150+'Malawi-only'!U150))/12)</f>
        <v>145.7145615678256</v>
      </c>
      <c r="X150" s="284">
        <f>(R150+'Malawi-only'!R150)</f>
        <v>3120996495.83989</v>
      </c>
      <c r="Y150" s="284">
        <f>(L150+'Malawi-only'!L150)</f>
        <v>8494858716626.9619</v>
      </c>
      <c r="Z150" s="284">
        <f>(Q150+'Malawi-only'!Q150)</f>
        <v>481630543280.72766</v>
      </c>
    </row>
    <row r="151" spans="1:26" ht="15.75" customHeight="1">
      <c r="A151" s="31" t="s">
        <v>184</v>
      </c>
      <c r="B151" s="32">
        <v>2167</v>
      </c>
      <c r="C151" s="274">
        <f t="shared" si="11"/>
        <v>3.0748216779244366E-7</v>
      </c>
      <c r="D151" s="271">
        <f t="shared" si="19"/>
        <v>3.0748216779244366E-7</v>
      </c>
      <c r="E151" s="34">
        <f t="shared" si="21"/>
        <v>0</v>
      </c>
      <c r="F151" s="42">
        <v>4000</v>
      </c>
      <c r="G151" s="34">
        <f t="shared" si="20"/>
        <v>1229928.6711697746</v>
      </c>
      <c r="H151" s="34">
        <f t="shared" si="4"/>
        <v>1223779.0278139256</v>
      </c>
      <c r="I151" s="35">
        <f t="shared" si="23"/>
        <v>1</v>
      </c>
      <c r="J151" s="36">
        <f t="shared" si="5"/>
        <v>1223779.0278139256</v>
      </c>
      <c r="K151" s="34">
        <f t="shared" si="13"/>
        <v>5206848435325.832</v>
      </c>
      <c r="L151" s="37">
        <f t="shared" si="24"/>
        <v>8432881406708.4238</v>
      </c>
      <c r="M151" s="34">
        <f t="shared" si="6"/>
        <v>531271528622.63068</v>
      </c>
      <c r="N151" s="34">
        <f t="shared" si="7"/>
        <v>0</v>
      </c>
      <c r="O151" s="34">
        <f t="shared" si="8"/>
        <v>531271528622.63068</v>
      </c>
      <c r="P151" s="34">
        <f t="shared" si="27"/>
        <v>53127152862.263069</v>
      </c>
      <c r="Q151" s="38">
        <f t="shared" si="15"/>
        <v>478144375760.36761</v>
      </c>
      <c r="R151" s="39">
        <f t="shared" si="16"/>
        <v>0</v>
      </c>
      <c r="S151" s="34">
        <f t="shared" si="17"/>
        <v>475388550289.04785</v>
      </c>
      <c r="T151" s="40">
        <f t="shared" si="26"/>
        <v>9520118341.0831127</v>
      </c>
      <c r="U151" s="272">
        <f t="shared" si="9"/>
        <v>2.5853062235832228E-2</v>
      </c>
      <c r="V151" s="282">
        <f t="shared" si="10"/>
        <v>160.95820970998088</v>
      </c>
      <c r="W151" s="283">
        <f>((S151+'Malawi-only'!S151)/(T151*(U151+'Malawi-only'!U151))/12)</f>
        <v>146.70598004321582</v>
      </c>
      <c r="X151" s="284">
        <f>(R151+'Malawi-only'!R151)</f>
        <v>3139099669.7260785</v>
      </c>
      <c r="Y151" s="284">
        <f>(L151+'Malawi-only'!L151)</f>
        <v>8544103757410.8926</v>
      </c>
      <c r="Z151" s="284">
        <f>(Q151+'Malawi-only'!Q151)</f>
        <v>484422575099.81976</v>
      </c>
    </row>
    <row r="152" spans="1:26" ht="15.75" customHeight="1">
      <c r="A152" s="31" t="s">
        <v>185</v>
      </c>
      <c r="B152" s="32">
        <v>2168</v>
      </c>
      <c r="C152" s="274">
        <f t="shared" si="11"/>
        <v>2.7673395101319932E-7</v>
      </c>
      <c r="D152" s="271">
        <f t="shared" si="19"/>
        <v>2.7673395101319932E-7</v>
      </c>
      <c r="E152" s="34">
        <f t="shared" si="21"/>
        <v>0</v>
      </c>
      <c r="F152" s="42">
        <v>4000</v>
      </c>
      <c r="G152" s="34">
        <f t="shared" si="20"/>
        <v>1106935.8040527974</v>
      </c>
      <c r="H152" s="34">
        <f t="shared" si="4"/>
        <v>1101401.1250325334</v>
      </c>
      <c r="I152" s="35">
        <f t="shared" si="23"/>
        <v>1</v>
      </c>
      <c r="J152" s="36">
        <f t="shared" si="5"/>
        <v>1101401.1250325334</v>
      </c>
      <c r="K152" s="34">
        <f t="shared" si="13"/>
        <v>5206849536726.957</v>
      </c>
      <c r="L152" s="37">
        <f t="shared" si="24"/>
        <v>8481766656141.3262</v>
      </c>
      <c r="M152" s="34">
        <f t="shared" si="6"/>
        <v>534351299336.90356</v>
      </c>
      <c r="N152" s="34">
        <f t="shared" si="7"/>
        <v>0</v>
      </c>
      <c r="O152" s="34">
        <f t="shared" si="8"/>
        <v>534351299336.90356</v>
      </c>
      <c r="P152" s="34">
        <f t="shared" si="27"/>
        <v>53435129933.690361</v>
      </c>
      <c r="Q152" s="38">
        <f t="shared" si="15"/>
        <v>480916169403.2132</v>
      </c>
      <c r="R152" s="39">
        <f t="shared" si="16"/>
        <v>0</v>
      </c>
      <c r="S152" s="34">
        <f t="shared" si="17"/>
        <v>478144375760.36761</v>
      </c>
      <c r="T152" s="40">
        <f t="shared" si="26"/>
        <v>9510598222.7420311</v>
      </c>
      <c r="U152" s="272">
        <f t="shared" si="9"/>
        <v>2.5853062235832228E-2</v>
      </c>
      <c r="V152" s="282">
        <f t="shared" si="10"/>
        <v>162.05333712696753</v>
      </c>
      <c r="W152" s="283">
        <f>((S152+'Malawi-only'!S152)/(T152*(U152+'Malawi-only'!U152))/12)</f>
        <v>147.70414145254179</v>
      </c>
      <c r="X152" s="284">
        <f>(R152+'Malawi-only'!R152)</f>
        <v>3157307797.213738</v>
      </c>
      <c r="Y152" s="284">
        <f>(L152+'Malawi-only'!L152)</f>
        <v>8593634142611.999</v>
      </c>
      <c r="Z152" s="284">
        <f>(Q152+'Malawi-only'!Q152)</f>
        <v>487230784997.64069</v>
      </c>
    </row>
    <row r="153" spans="1:26" ht="15.75" customHeight="1">
      <c r="A153" s="31" t="s">
        <v>186</v>
      </c>
      <c r="B153" s="32">
        <v>2169</v>
      </c>
      <c r="C153" s="274">
        <f t="shared" si="11"/>
        <v>2.4906055591187939E-7</v>
      </c>
      <c r="D153" s="271">
        <f t="shared" si="19"/>
        <v>2.4906055591187939E-7</v>
      </c>
      <c r="E153" s="34">
        <f t="shared" si="21"/>
        <v>0</v>
      </c>
      <c r="F153" s="42">
        <v>4000</v>
      </c>
      <c r="G153" s="34">
        <f t="shared" si="20"/>
        <v>996242.22364751762</v>
      </c>
      <c r="H153" s="34">
        <f t="shared" si="4"/>
        <v>991261.01252928004</v>
      </c>
      <c r="I153" s="35">
        <f t="shared" si="23"/>
        <v>1</v>
      </c>
      <c r="J153" s="36">
        <f t="shared" si="5"/>
        <v>991261.01252928004</v>
      </c>
      <c r="K153" s="34">
        <f t="shared" si="13"/>
        <v>5206850527987.9697</v>
      </c>
      <c r="L153" s="37">
        <f t="shared" si="24"/>
        <v>8530935175947.3613</v>
      </c>
      <c r="M153" s="34">
        <f t="shared" si="6"/>
        <v>537448916084.68378</v>
      </c>
      <c r="N153" s="34">
        <f t="shared" si="7"/>
        <v>0</v>
      </c>
      <c r="O153" s="34">
        <f t="shared" si="8"/>
        <v>537448916084.68378</v>
      </c>
      <c r="P153" s="34">
        <f t="shared" si="27"/>
        <v>53744891608.468384</v>
      </c>
      <c r="Q153" s="38">
        <f t="shared" si="15"/>
        <v>483704024476.21539</v>
      </c>
      <c r="R153" s="39">
        <f t="shared" si="16"/>
        <v>0</v>
      </c>
      <c r="S153" s="34">
        <f t="shared" si="17"/>
        <v>480916169403.2132</v>
      </c>
      <c r="T153" s="40">
        <f t="shared" si="26"/>
        <v>9501087624.5192909</v>
      </c>
      <c r="U153" s="272">
        <f t="shared" si="9"/>
        <v>2.5853062235832228E-2</v>
      </c>
      <c r="V153" s="282">
        <f t="shared" si="10"/>
        <v>163.15591308224126</v>
      </c>
      <c r="W153" s="283">
        <f>((S153+'Malawi-only'!S153)/(T153*(U153+'Malawi-only'!U153))/12)</f>
        <v>148.70909190605815</v>
      </c>
      <c r="X153" s="284">
        <f>(R153+'Malawi-only'!R153)</f>
        <v>3175621492.0632515</v>
      </c>
      <c r="Y153" s="284">
        <f>(L153+'Malawi-only'!L153)</f>
        <v>8643451538732.0186</v>
      </c>
      <c r="Z153" s="284">
        <f>(Q153+'Malawi-only'!Q153)</f>
        <v>490055267460.34192</v>
      </c>
    </row>
    <row r="154" spans="1:26" ht="15.75" customHeight="1">
      <c r="A154" s="31" t="s">
        <v>187</v>
      </c>
      <c r="B154" s="32">
        <v>2170</v>
      </c>
      <c r="C154" s="274">
        <f t="shared" si="11"/>
        <v>2.2415450032069146E-7</v>
      </c>
      <c r="D154" s="271">
        <f t="shared" si="19"/>
        <v>2.2415450032069146E-7</v>
      </c>
      <c r="E154" s="34">
        <f t="shared" si="21"/>
        <v>0</v>
      </c>
      <c r="F154" s="42">
        <v>4000</v>
      </c>
      <c r="G154" s="34">
        <f t="shared" si="20"/>
        <v>896618.00128276588</v>
      </c>
      <c r="H154" s="34">
        <f t="shared" si="4"/>
        <v>892134.91127635201</v>
      </c>
      <c r="I154" s="35">
        <f t="shared" si="23"/>
        <v>1</v>
      </c>
      <c r="J154" s="36">
        <f t="shared" si="5"/>
        <v>892134.91127635201</v>
      </c>
      <c r="K154" s="34">
        <f t="shared" si="13"/>
        <v>5206851420122.8809</v>
      </c>
      <c r="L154" s="37">
        <f t="shared" si="24"/>
        <v>8580388619210.8965</v>
      </c>
      <c r="M154" s="34">
        <f t="shared" si="6"/>
        <v>540564483010.2865</v>
      </c>
      <c r="N154" s="34">
        <f t="shared" si="7"/>
        <v>0</v>
      </c>
      <c r="O154" s="34">
        <f t="shared" si="8"/>
        <v>540564483010.2865</v>
      </c>
      <c r="P154" s="34">
        <f t="shared" si="27"/>
        <v>54056448301.028656</v>
      </c>
      <c r="Q154" s="38">
        <f t="shared" si="15"/>
        <v>486508034709.25781</v>
      </c>
      <c r="R154" s="39">
        <f t="shared" si="16"/>
        <v>0</v>
      </c>
      <c r="S154" s="34">
        <f t="shared" si="17"/>
        <v>483704024476.21539</v>
      </c>
      <c r="T154" s="40">
        <f t="shared" si="26"/>
        <v>9491586536.8947735</v>
      </c>
      <c r="U154" s="272">
        <f t="shared" si="9"/>
        <v>2.5853062235832228E-2</v>
      </c>
      <c r="V154" s="282">
        <f t="shared" si="10"/>
        <v>164.26598848391473</v>
      </c>
      <c r="W154" s="283">
        <f>((S154+'Malawi-only'!S154)/(T154*(U154+'Malawi-only'!U154))/12)</f>
        <v>149.72087780459754</v>
      </c>
      <c r="X154" s="284">
        <f>(R154+'Malawi-only'!R154)</f>
        <v>3194041371.0950475</v>
      </c>
      <c r="Y154" s="284">
        <f>(L154+'Malawi-only'!L154)</f>
        <v>8693557620694.21</v>
      </c>
      <c r="Z154" s="284">
        <f>(Q154+'Malawi-only'!Q154)</f>
        <v>492896117451.44794</v>
      </c>
    </row>
    <row r="155" spans="1:26" ht="15.75" customHeight="1">
      <c r="A155" s="31" t="s">
        <v>188</v>
      </c>
      <c r="B155" s="32">
        <v>2171</v>
      </c>
      <c r="C155" s="274">
        <f t="shared" si="11"/>
        <v>2.0173905028862232E-7</v>
      </c>
      <c r="D155" s="271">
        <f t="shared" si="19"/>
        <v>2.0173905028862232E-7</v>
      </c>
      <c r="E155" s="34">
        <f t="shared" si="21"/>
        <v>0</v>
      </c>
      <c r="F155" s="42">
        <v>4000</v>
      </c>
      <c r="G155" s="34">
        <f t="shared" si="20"/>
        <v>806956.2011544893</v>
      </c>
      <c r="H155" s="34">
        <f t="shared" si="4"/>
        <v>802921.42014871689</v>
      </c>
      <c r="I155" s="35">
        <f t="shared" si="23"/>
        <v>1</v>
      </c>
      <c r="J155" s="36">
        <f t="shared" si="5"/>
        <v>802921.42014871689</v>
      </c>
      <c r="K155" s="34">
        <f t="shared" si="13"/>
        <v>5206852223044.3008</v>
      </c>
      <c r="L155" s="37">
        <f t="shared" si="24"/>
        <v>8630128647498.1289</v>
      </c>
      <c r="M155" s="34">
        <f t="shared" si="6"/>
        <v>543698104792.38214</v>
      </c>
      <c r="N155" s="34">
        <f t="shared" si="7"/>
        <v>0</v>
      </c>
      <c r="O155" s="34">
        <f t="shared" si="8"/>
        <v>543698104792.38214</v>
      </c>
      <c r="P155" s="34">
        <f t="shared" si="27"/>
        <v>54369810479.23822</v>
      </c>
      <c r="Q155" s="38">
        <f t="shared" si="15"/>
        <v>489328294313.14392</v>
      </c>
      <c r="R155" s="39">
        <f t="shared" si="16"/>
        <v>0</v>
      </c>
      <c r="S155" s="34">
        <f t="shared" si="17"/>
        <v>486508034709.25781</v>
      </c>
      <c r="T155" s="40">
        <f t="shared" si="26"/>
        <v>9482094950.3578796</v>
      </c>
      <c r="U155" s="272">
        <f t="shared" si="9"/>
        <v>2.5853062235832228E-2</v>
      </c>
      <c r="V155" s="282">
        <f t="shared" si="10"/>
        <v>165.38361456358595</v>
      </c>
      <c r="W155" s="283">
        <f>((S155+'Malawi-only'!S155)/(T155*(U155+'Malawi-only'!U155))/12)</f>
        <v>150.739545843841</v>
      </c>
      <c r="X155" s="284">
        <f>(R155+'Malawi-only'!R155)</f>
        <v>3212568054.25734</v>
      </c>
      <c r="Y155" s="284">
        <f>(L155+'Malawi-only'!L155)</f>
        <v>8743954072016.0664</v>
      </c>
      <c r="Z155" s="284">
        <f>(Q155+'Malawi-only'!Q155)</f>
        <v>495753430421.65863</v>
      </c>
    </row>
    <row r="156" spans="1:26" ht="15.75" customHeight="1">
      <c r="A156" s="31" t="s">
        <v>189</v>
      </c>
      <c r="B156" s="32">
        <v>2172</v>
      </c>
      <c r="C156" s="274">
        <f t="shared" si="11"/>
        <v>1.8156514525976009E-7</v>
      </c>
      <c r="D156" s="271">
        <f t="shared" si="19"/>
        <v>1.8156514525976009E-7</v>
      </c>
      <c r="E156" s="34">
        <f t="shared" si="21"/>
        <v>0</v>
      </c>
      <c r="F156" s="42">
        <v>4000</v>
      </c>
      <c r="G156" s="34">
        <f t="shared" si="20"/>
        <v>726260.58103904035</v>
      </c>
      <c r="H156" s="34">
        <f t="shared" si="4"/>
        <v>722629.27813384519</v>
      </c>
      <c r="I156" s="35">
        <f t="shared" si="23"/>
        <v>1</v>
      </c>
      <c r="J156" s="36">
        <f t="shared" si="5"/>
        <v>722629.27813384519</v>
      </c>
      <c r="K156" s="34">
        <f t="shared" si="13"/>
        <v>5206852945673.5791</v>
      </c>
      <c r="L156" s="37">
        <f t="shared" si="24"/>
        <v>8680156931016.3428</v>
      </c>
      <c r="M156" s="34">
        <f t="shared" si="6"/>
        <v>546849886654.0296</v>
      </c>
      <c r="N156" s="34">
        <f t="shared" si="7"/>
        <v>0</v>
      </c>
      <c r="O156" s="34">
        <f t="shared" si="8"/>
        <v>546849886654.0296</v>
      </c>
      <c r="P156" s="34">
        <f t="shared" si="27"/>
        <v>54684988665.402962</v>
      </c>
      <c r="Q156" s="38">
        <f t="shared" si="15"/>
        <v>492164897988.62665</v>
      </c>
      <c r="R156" s="39">
        <f t="shared" si="16"/>
        <v>0</v>
      </c>
      <c r="S156" s="34">
        <f t="shared" si="17"/>
        <v>489328294313.14392</v>
      </c>
      <c r="T156" s="40">
        <f t="shared" si="26"/>
        <v>9472612855.4075222</v>
      </c>
      <c r="U156" s="272">
        <f t="shared" si="9"/>
        <v>2.5853062235832228E-2</v>
      </c>
      <c r="V156" s="282">
        <f t="shared" si="10"/>
        <v>166.50884288080613</v>
      </c>
      <c r="W156" s="283">
        <f>((S156+'Malawi-only'!S156)/(T156*(U156+'Malawi-only'!U156))/12)</f>
        <v>151.76514301839001</v>
      </c>
      <c r="X156" s="284">
        <f>(R156+'Malawi-only'!R156)</f>
        <v>3231202164.6892667</v>
      </c>
      <c r="Y156" s="284">
        <f>(L156+'Malawi-only'!L156)</f>
        <v>8794642584970.6533</v>
      </c>
      <c r="Z156" s="284">
        <f>(Q156+'Malawi-only'!Q156)</f>
        <v>498627302318.00519</v>
      </c>
    </row>
    <row r="157" spans="1:26" ht="15.75" customHeight="1">
      <c r="A157" s="31" t="s">
        <v>190</v>
      </c>
      <c r="B157" s="32">
        <v>2173</v>
      </c>
      <c r="C157" s="274">
        <f t="shared" si="11"/>
        <v>1.634086307337841E-7</v>
      </c>
      <c r="D157" s="271">
        <f t="shared" si="19"/>
        <v>1.634086307337841E-7</v>
      </c>
      <c r="E157" s="34">
        <f t="shared" si="21"/>
        <v>0</v>
      </c>
      <c r="F157" s="42">
        <v>4000</v>
      </c>
      <c r="G157" s="34">
        <f t="shared" si="20"/>
        <v>653634.52293513645</v>
      </c>
      <c r="H157" s="34">
        <f t="shared" si="4"/>
        <v>650366.35032046074</v>
      </c>
      <c r="I157" s="35">
        <f t="shared" si="23"/>
        <v>1</v>
      </c>
      <c r="J157" s="36">
        <f t="shared" si="5"/>
        <v>650366.35032046074</v>
      </c>
      <c r="K157" s="34">
        <f t="shared" si="13"/>
        <v>5206853596039.9297</v>
      </c>
      <c r="L157" s="37">
        <f t="shared" si="24"/>
        <v>8730475148763.0732</v>
      </c>
      <c r="M157" s="34">
        <f t="shared" si="6"/>
        <v>550019934372.07361</v>
      </c>
      <c r="N157" s="34">
        <f t="shared" si="7"/>
        <v>0</v>
      </c>
      <c r="O157" s="34">
        <f t="shared" si="8"/>
        <v>550019934372.07361</v>
      </c>
      <c r="P157" s="34">
        <f t="shared" si="27"/>
        <v>55001993437.207367</v>
      </c>
      <c r="Q157" s="38">
        <f t="shared" si="15"/>
        <v>495017940934.86621</v>
      </c>
      <c r="R157" s="39">
        <f t="shared" si="16"/>
        <v>0</v>
      </c>
      <c r="S157" s="34">
        <f t="shared" si="17"/>
        <v>492164897988.62665</v>
      </c>
      <c r="T157" s="40">
        <f t="shared" si="26"/>
        <v>9463140242.5521164</v>
      </c>
      <c r="U157" s="272">
        <f t="shared" si="9"/>
        <v>2.5853062235832228E-2</v>
      </c>
      <c r="V157" s="282">
        <f t="shared" si="10"/>
        <v>167.64172532735327</v>
      </c>
      <c r="W157" s="283">
        <f>((S157+'Malawi-only'!S157)/(T157*(U157+'Malawi-only'!U157))/12)</f>
        <v>152.79771662566142</v>
      </c>
      <c r="X157" s="284">
        <f>(R157+'Malawi-only'!R157)</f>
        <v>3249944328.7798953</v>
      </c>
      <c r="Y157" s="284">
        <f>(L157+'Malawi-only'!L157)</f>
        <v>8845624860737.7207</v>
      </c>
      <c r="Z157" s="284">
        <f>(Q157+'Malawi-only'!Q157)</f>
        <v>501517829592.42603</v>
      </c>
    </row>
    <row r="158" spans="1:26" ht="15.75" customHeight="1">
      <c r="A158" s="31" t="s">
        <v>191</v>
      </c>
      <c r="B158" s="32">
        <v>2174</v>
      </c>
      <c r="C158" s="274">
        <f t="shared" si="11"/>
        <v>1.4706776766040568E-7</v>
      </c>
      <c r="D158" s="271">
        <f t="shared" si="19"/>
        <v>1.4706776766040568E-7</v>
      </c>
      <c r="E158" s="34">
        <f t="shared" si="21"/>
        <v>0</v>
      </c>
      <c r="F158" s="42">
        <v>4000</v>
      </c>
      <c r="G158" s="34">
        <f t="shared" si="20"/>
        <v>588271.07064162265</v>
      </c>
      <c r="H158" s="34">
        <f t="shared" si="4"/>
        <v>585329.7152884145</v>
      </c>
      <c r="I158" s="35">
        <f t="shared" si="23"/>
        <v>1</v>
      </c>
      <c r="J158" s="36">
        <f t="shared" si="5"/>
        <v>585329.7152884145</v>
      </c>
      <c r="K158" s="34">
        <f t="shared" si="13"/>
        <v>5206854181369.6445</v>
      </c>
      <c r="L158" s="37">
        <f t="shared" si="24"/>
        <v>8781084988666.2305</v>
      </c>
      <c r="M158" s="34">
        <f t="shared" si="6"/>
        <v>553208354285.97253</v>
      </c>
      <c r="N158" s="34">
        <f t="shared" si="7"/>
        <v>0</v>
      </c>
      <c r="O158" s="34">
        <f t="shared" si="8"/>
        <v>553208354285.97253</v>
      </c>
      <c r="P158" s="34">
        <f t="shared" si="27"/>
        <v>55320835428.59726</v>
      </c>
      <c r="Q158" s="38">
        <f t="shared" si="15"/>
        <v>497887518857.37524</v>
      </c>
      <c r="R158" s="39">
        <f t="shared" si="16"/>
        <v>0</v>
      </c>
      <c r="S158" s="34">
        <f t="shared" si="17"/>
        <v>495017940934.86621</v>
      </c>
      <c r="T158" s="40">
        <f t="shared" si="26"/>
        <v>9453677102.3095646</v>
      </c>
      <c r="U158" s="272">
        <f t="shared" si="9"/>
        <v>2.5853062235832228E-2</v>
      </c>
      <c r="V158" s="282">
        <f t="shared" si="10"/>
        <v>168.78231413133241</v>
      </c>
      <c r="W158" s="283">
        <f>((S158+'Malawi-only'!S158)/(T158*(U158+'Malawi-only'!U158))/12)</f>
        <v>153.8373142696247</v>
      </c>
      <c r="X158" s="284">
        <f>(R158+'Malawi-only'!R158)</f>
        <v>3268795176.223516</v>
      </c>
      <c r="Y158" s="284">
        <f>(L158+'Malawi-only'!L158)</f>
        <v>8896902609545.6582</v>
      </c>
      <c r="Z158" s="284">
        <f>(Q158+'Malawi-only'!Q158)</f>
        <v>504425109209.82227</v>
      </c>
    </row>
    <row r="159" spans="1:26" ht="15.75" customHeight="1">
      <c r="A159" s="31" t="s">
        <v>192</v>
      </c>
      <c r="B159" s="32">
        <v>2175</v>
      </c>
      <c r="C159" s="274">
        <f t="shared" si="11"/>
        <v>1.3236099089436512E-7</v>
      </c>
      <c r="D159" s="271">
        <f t="shared" si="19"/>
        <v>1.3236099089436512E-7</v>
      </c>
      <c r="E159" s="34">
        <f t="shared" si="21"/>
        <v>0</v>
      </c>
      <c r="F159" s="42">
        <v>4000</v>
      </c>
      <c r="G159" s="34">
        <f t="shared" si="20"/>
        <v>529443.96357746038</v>
      </c>
      <c r="H159" s="34">
        <f t="shared" si="4"/>
        <v>526796.74375957309</v>
      </c>
      <c r="I159" s="35">
        <f t="shared" si="23"/>
        <v>1</v>
      </c>
      <c r="J159" s="36">
        <f t="shared" si="5"/>
        <v>526796.74375957309</v>
      </c>
      <c r="K159" s="34">
        <f t="shared" si="13"/>
        <v>5206854708166.3887</v>
      </c>
      <c r="L159" s="37">
        <f t="shared" si="24"/>
        <v>8831988147716.127</v>
      </c>
      <c r="M159" s="34">
        <f t="shared" si="6"/>
        <v>556415253306.11597</v>
      </c>
      <c r="N159" s="34">
        <f t="shared" si="7"/>
        <v>0</v>
      </c>
      <c r="O159" s="34">
        <f t="shared" si="8"/>
        <v>556415253306.11597</v>
      </c>
      <c r="P159" s="34">
        <f t="shared" si="27"/>
        <v>55641525330.611603</v>
      </c>
      <c r="Q159" s="38">
        <f t="shared" si="15"/>
        <v>500773727975.50439</v>
      </c>
      <c r="R159" s="39">
        <f t="shared" si="16"/>
        <v>0</v>
      </c>
      <c r="S159" s="34">
        <f t="shared" si="17"/>
        <v>497887518857.37524</v>
      </c>
      <c r="T159" s="40">
        <f t="shared" si="26"/>
        <v>9444223425.2072563</v>
      </c>
      <c r="U159" s="272">
        <f t="shared" si="9"/>
        <v>2.5853062235832228E-2</v>
      </c>
      <c r="V159" s="282">
        <f t="shared" si="10"/>
        <v>169.93066186112151</v>
      </c>
      <c r="W159" s="283">
        <f>((S159+'Malawi-only'!S159)/(T159*(U159+'Malawi-only'!U159))/12)</f>
        <v>154.88398386439806</v>
      </c>
      <c r="X159" s="284">
        <f>(R159+'Malawi-only'!R159)</f>
        <v>3287755340.0716152</v>
      </c>
      <c r="Y159" s="284">
        <f>(L159+'Malawi-only'!L159)</f>
        <v>8948477550805.2441</v>
      </c>
      <c r="Z159" s="284">
        <f>(Q159+'Malawi-only'!Q159)</f>
        <v>507349238655.64764</v>
      </c>
    </row>
    <row r="160" spans="1:26" ht="15.75" customHeight="1">
      <c r="A160" s="31" t="s">
        <v>193</v>
      </c>
      <c r="B160" s="32">
        <v>2176</v>
      </c>
      <c r="C160" s="274">
        <f t="shared" si="11"/>
        <v>1.1912489180492861E-7</v>
      </c>
      <c r="D160" s="271">
        <f t="shared" si="19"/>
        <v>1.1912489180492861E-7</v>
      </c>
      <c r="E160" s="34">
        <f t="shared" si="21"/>
        <v>0</v>
      </c>
      <c r="F160" s="42">
        <v>4000</v>
      </c>
      <c r="G160" s="34">
        <f t="shared" si="20"/>
        <v>476499.56721971446</v>
      </c>
      <c r="H160" s="34">
        <f t="shared" si="4"/>
        <v>474117.06938361586</v>
      </c>
      <c r="I160" s="35">
        <f t="shared" si="23"/>
        <v>1</v>
      </c>
      <c r="J160" s="36">
        <f t="shared" si="5"/>
        <v>474117.06938361586</v>
      </c>
      <c r="K160" s="34">
        <f t="shared" si="13"/>
        <v>5206855182283.458</v>
      </c>
      <c r="L160" s="37">
        <f t="shared" si="24"/>
        <v>8883186332090.2266</v>
      </c>
      <c r="M160" s="34">
        <f t="shared" si="6"/>
        <v>559640738921.68433</v>
      </c>
      <c r="N160" s="34">
        <f t="shared" si="7"/>
        <v>0</v>
      </c>
      <c r="O160" s="34">
        <f t="shared" si="8"/>
        <v>559640738921.68433</v>
      </c>
      <c r="P160" s="34">
        <f t="shared" si="27"/>
        <v>55964073892.168434</v>
      </c>
      <c r="Q160" s="38">
        <f t="shared" si="15"/>
        <v>503676665029.51587</v>
      </c>
      <c r="R160" s="39">
        <f t="shared" si="16"/>
        <v>0</v>
      </c>
      <c r="S160" s="34">
        <f t="shared" si="17"/>
        <v>500773727975.50439</v>
      </c>
      <c r="T160" s="40">
        <f t="shared" si="26"/>
        <v>9434779201.7820492</v>
      </c>
      <c r="U160" s="272">
        <f t="shared" si="9"/>
        <v>2.5853062235832228E-2</v>
      </c>
      <c r="V160" s="282">
        <f t="shared" si="10"/>
        <v>171.08682142917999</v>
      </c>
      <c r="W160" s="283">
        <f>((S160+'Malawi-only'!S160)/(T160*(U160+'Malawi-only'!U160))/12)</f>
        <v>155.93777363772</v>
      </c>
      <c r="X160" s="284">
        <f>(R160+'Malawi-only'!R160)</f>
        <v>3306825456.7818689</v>
      </c>
      <c r="Y160" s="284">
        <f>(L160+'Malawi-only'!L160)</f>
        <v>9000351413236.0352</v>
      </c>
      <c r="Z160" s="284">
        <f>(Q160+'Malawi-only'!Q160)</f>
        <v>510290315943.07959</v>
      </c>
    </row>
    <row r="161" spans="1:26" ht="15.75" customHeight="1">
      <c r="A161" s="31" t="s">
        <v>194</v>
      </c>
      <c r="B161" s="32">
        <v>2177</v>
      </c>
      <c r="C161" s="274">
        <f t="shared" si="11"/>
        <v>1.0721240262443576E-7</v>
      </c>
      <c r="D161" s="271">
        <f t="shared" si="19"/>
        <v>1.0721240262443576E-7</v>
      </c>
      <c r="E161" s="34">
        <f t="shared" si="21"/>
        <v>0</v>
      </c>
      <c r="F161" s="42">
        <v>4000</v>
      </c>
      <c r="G161" s="34">
        <f t="shared" si="20"/>
        <v>428849.61049774307</v>
      </c>
      <c r="H161" s="34">
        <f t="shared" si="4"/>
        <v>426705.36244525434</v>
      </c>
      <c r="I161" s="35">
        <f t="shared" si="23"/>
        <v>1</v>
      </c>
      <c r="J161" s="36">
        <f t="shared" si="5"/>
        <v>426705.36244525434</v>
      </c>
      <c r="K161" s="34">
        <f t="shared" si="13"/>
        <v>5206855608988.8203</v>
      </c>
      <c r="L161" s="37">
        <f t="shared" si="24"/>
        <v>8934681257271.4141</v>
      </c>
      <c r="M161" s="34">
        <f t="shared" si="6"/>
        <v>562884919208.09912</v>
      </c>
      <c r="N161" s="34">
        <f t="shared" si="7"/>
        <v>0</v>
      </c>
      <c r="O161" s="34">
        <f t="shared" si="8"/>
        <v>562884919208.09912</v>
      </c>
      <c r="P161" s="34">
        <f t="shared" si="27"/>
        <v>56288491920.809914</v>
      </c>
      <c r="Q161" s="38">
        <f t="shared" si="15"/>
        <v>506596427287.28918</v>
      </c>
      <c r="R161" s="39">
        <f t="shared" si="16"/>
        <v>0</v>
      </c>
      <c r="S161" s="34">
        <f t="shared" si="17"/>
        <v>503676665029.51587</v>
      </c>
      <c r="T161" s="40">
        <f t="shared" si="26"/>
        <v>9425344422.5802689</v>
      </c>
      <c r="U161" s="272">
        <f t="shared" si="9"/>
        <v>2.5853062235832228E-2</v>
      </c>
      <c r="V161" s="282">
        <f t="shared" si="10"/>
        <v>172.2508460957348</v>
      </c>
      <c r="W161" s="283">
        <f>((S161+'Malawi-only'!S161)/(T161*(U161+'Malawi-only'!U161))/12)</f>
        <v>156.99873213430828</v>
      </c>
      <c r="X161" s="284">
        <f>(R161+'Malawi-only'!R161)</f>
        <v>3326006166.2644711</v>
      </c>
      <c r="Y161" s="284">
        <f>(L161+'Malawi-only'!L161)</f>
        <v>9052525934986.1738</v>
      </c>
      <c r="Z161" s="284">
        <f>(Q161+'Malawi-only'!Q161)</f>
        <v>513248439619.81812</v>
      </c>
    </row>
    <row r="162" spans="1:26" ht="15.75" customHeight="1">
      <c r="A162" s="31" t="s">
        <v>195</v>
      </c>
      <c r="B162" s="32">
        <v>2178</v>
      </c>
      <c r="C162" s="274">
        <f t="shared" si="11"/>
        <v>9.6491162361992188E-8</v>
      </c>
      <c r="D162" s="271">
        <f t="shared" si="19"/>
        <v>9.6491162361992188E-8</v>
      </c>
      <c r="E162" s="34">
        <f t="shared" si="21"/>
        <v>0</v>
      </c>
      <c r="F162" s="42">
        <v>4000</v>
      </c>
      <c r="G162" s="34">
        <f t="shared" si="20"/>
        <v>385964.64944796875</v>
      </c>
      <c r="H162" s="34">
        <f t="shared" si="4"/>
        <v>384034.82620072889</v>
      </c>
      <c r="I162" s="35">
        <f t="shared" si="23"/>
        <v>1</v>
      </c>
      <c r="J162" s="36">
        <f t="shared" si="5"/>
        <v>384034.82620072889</v>
      </c>
      <c r="K162" s="34">
        <f t="shared" si="13"/>
        <v>5206855993023.6465</v>
      </c>
      <c r="L162" s="37">
        <f t="shared" si="24"/>
        <v>8986474648160.4375</v>
      </c>
      <c r="M162" s="34">
        <f t="shared" si="6"/>
        <v>566147902834.10754</v>
      </c>
      <c r="N162" s="34">
        <f t="shared" si="7"/>
        <v>0</v>
      </c>
      <c r="O162" s="34">
        <f t="shared" si="8"/>
        <v>566147902834.10754</v>
      </c>
      <c r="P162" s="34">
        <f t="shared" si="27"/>
        <v>56614790283.410759</v>
      </c>
      <c r="Q162" s="38">
        <f t="shared" si="15"/>
        <v>509533112550.69678</v>
      </c>
      <c r="R162" s="39">
        <f t="shared" si="16"/>
        <v>0</v>
      </c>
      <c r="S162" s="34">
        <f t="shared" si="17"/>
        <v>506596427287.28918</v>
      </c>
      <c r="T162" s="40">
        <f t="shared" si="26"/>
        <v>9415919078.15769</v>
      </c>
      <c r="U162" s="272">
        <f t="shared" si="9"/>
        <v>2.5853062235832228E-2</v>
      </c>
      <c r="V162" s="282">
        <f t="shared" si="10"/>
        <v>173.42278947235877</v>
      </c>
      <c r="W162" s="283">
        <f>((S162+'Malawi-only'!S162)/(T162*(U162+'Malawi-only'!U162))/12)</f>
        <v>158.06690821912207</v>
      </c>
      <c r="X162" s="284">
        <f>(R162+'Malawi-only'!R162)</f>
        <v>3345298111.9260683</v>
      </c>
      <c r="Y162" s="284">
        <f>(L162+'Malawi-only'!L162)</f>
        <v>9105002863746.3086</v>
      </c>
      <c r="Z162" s="284">
        <f>(Q162+'Malawi-only'!Q162)</f>
        <v>516223708774.54889</v>
      </c>
    </row>
    <row r="163" spans="1:26" ht="15.75" customHeight="1">
      <c r="A163" s="31" t="s">
        <v>196</v>
      </c>
      <c r="B163" s="32">
        <v>2179</v>
      </c>
      <c r="C163" s="274">
        <f t="shared" si="11"/>
        <v>8.6842046125792968E-8</v>
      </c>
      <c r="D163" s="271">
        <f t="shared" si="19"/>
        <v>8.6842046125792968E-8</v>
      </c>
      <c r="E163" s="34">
        <f t="shared" si="21"/>
        <v>0</v>
      </c>
      <c r="F163" s="42">
        <v>4000</v>
      </c>
      <c r="G163" s="34">
        <f t="shared" si="20"/>
        <v>347368.18450317188</v>
      </c>
      <c r="H163" s="34">
        <f t="shared" si="4"/>
        <v>345631.34358065604</v>
      </c>
      <c r="I163" s="35">
        <f t="shared" si="23"/>
        <v>1</v>
      </c>
      <c r="J163" s="36">
        <f t="shared" si="5"/>
        <v>345631.34358065604</v>
      </c>
      <c r="K163" s="34">
        <f t="shared" si="13"/>
        <v>5206856338654.9902</v>
      </c>
      <c r="L163" s="37">
        <f t="shared" si="24"/>
        <v>9038568239183.1543</v>
      </c>
      <c r="M163" s="34">
        <f t="shared" si="6"/>
        <v>569429799068.5387</v>
      </c>
      <c r="N163" s="34">
        <f t="shared" si="7"/>
        <v>0</v>
      </c>
      <c r="O163" s="34">
        <f t="shared" si="8"/>
        <v>569429799068.5387</v>
      </c>
      <c r="P163" s="34">
        <f t="shared" si="27"/>
        <v>56942979906.853874</v>
      </c>
      <c r="Q163" s="38">
        <f t="shared" si="15"/>
        <v>512486819161.68481</v>
      </c>
      <c r="R163" s="39">
        <f t="shared" si="16"/>
        <v>0</v>
      </c>
      <c r="S163" s="34">
        <f t="shared" si="17"/>
        <v>509533112550.69678</v>
      </c>
      <c r="T163" s="40">
        <f t="shared" si="26"/>
        <v>9406503159.0795326</v>
      </c>
      <c r="U163" s="272">
        <f t="shared" si="9"/>
        <v>2.5853062235832228E-2</v>
      </c>
      <c r="V163" s="282">
        <f t="shared" si="10"/>
        <v>174.60270552545288</v>
      </c>
      <c r="W163" s="283">
        <f>((S163+'Malawi-only'!S163)/(T163*(U163+'Malawi-only'!U163))/12)</f>
        <v>159.14235108053529</v>
      </c>
      <c r="X163" s="284">
        <f>(R163+'Malawi-only'!R163)</f>
        <v>3364701940.7115631</v>
      </c>
      <c r="Y163" s="284">
        <f>(L163+'Malawi-only'!L163)</f>
        <v>9157783956858.2461</v>
      </c>
      <c r="Z163" s="284">
        <f>(Q163+'Malawi-only'!Q163)</f>
        <v>519216223043.10791</v>
      </c>
    </row>
    <row r="164" spans="1:26" ht="15.75" customHeight="1">
      <c r="A164" s="31" t="s">
        <v>197</v>
      </c>
      <c r="B164" s="32">
        <v>2180</v>
      </c>
      <c r="C164" s="274">
        <f t="shared" si="11"/>
        <v>7.8157841513213673E-8</v>
      </c>
      <c r="D164" s="271">
        <f t="shared" si="19"/>
        <v>7.8157841513213673E-8</v>
      </c>
      <c r="E164" s="34">
        <f t="shared" si="21"/>
        <v>0</v>
      </c>
      <c r="F164" s="42">
        <v>4000</v>
      </c>
      <c r="G164" s="34">
        <f t="shared" si="20"/>
        <v>312631.36605285469</v>
      </c>
      <c r="H164" s="34">
        <f t="shared" si="4"/>
        <v>311068.20922259043</v>
      </c>
      <c r="I164" s="35">
        <f t="shared" si="23"/>
        <v>1</v>
      </c>
      <c r="J164" s="36">
        <f t="shared" si="5"/>
        <v>311068.20922259043</v>
      </c>
      <c r="K164" s="34">
        <f t="shared" si="13"/>
        <v>5206856649723.1992</v>
      </c>
      <c r="L164" s="37">
        <f t="shared" si="24"/>
        <v>9090963774393.1387</v>
      </c>
      <c r="M164" s="34">
        <f t="shared" si="6"/>
        <v>572730717786.7677</v>
      </c>
      <c r="N164" s="34">
        <f t="shared" si="7"/>
        <v>0</v>
      </c>
      <c r="O164" s="34">
        <f t="shared" si="8"/>
        <v>572730717786.7677</v>
      </c>
      <c r="P164" s="34">
        <f t="shared" si="27"/>
        <v>57273071778.676773</v>
      </c>
      <c r="Q164" s="38">
        <f t="shared" si="15"/>
        <v>515457646008.09094</v>
      </c>
      <c r="R164" s="39">
        <f t="shared" si="16"/>
        <v>0</v>
      </c>
      <c r="S164" s="34">
        <f t="shared" si="17"/>
        <v>512486819161.68481</v>
      </c>
      <c r="T164" s="40">
        <f t="shared" si="26"/>
        <v>9397096655.920454</v>
      </c>
      <c r="U164" s="272">
        <f t="shared" si="9"/>
        <v>2.5853062235832228E-2</v>
      </c>
      <c r="V164" s="282">
        <f t="shared" si="10"/>
        <v>175.79064857964406</v>
      </c>
      <c r="W164" s="283">
        <f>((S164+'Malawi-only'!S164)/(T164*(U164+'Malawi-only'!U164))/12)</f>
        <v>160.22511023343367</v>
      </c>
      <c r="X164" s="284">
        <f>(R164+'Malawi-only'!R164)</f>
        <v>3384218303.1440029</v>
      </c>
      <c r="Y164" s="284">
        <f>(L164+'Malawi-only'!L164)</f>
        <v>9210870981418.9004</v>
      </c>
      <c r="Z164" s="284">
        <f>(Q164+'Malawi-only'!Q164)</f>
        <v>522226082614.37897</v>
      </c>
    </row>
    <row r="165" spans="1:26" ht="15.75" customHeight="1">
      <c r="A165" s="31" t="s">
        <v>198</v>
      </c>
      <c r="B165" s="32">
        <v>2181</v>
      </c>
      <c r="C165" s="274">
        <f t="shared" si="11"/>
        <v>7.0342057361892303E-8</v>
      </c>
      <c r="D165" s="271">
        <f t="shared" si="19"/>
        <v>7.0342057361892303E-8</v>
      </c>
      <c r="E165" s="34">
        <f t="shared" si="21"/>
        <v>0</v>
      </c>
      <c r="F165" s="42">
        <v>4000</v>
      </c>
      <c r="G165" s="34">
        <f t="shared" si="20"/>
        <v>281368.22944756923</v>
      </c>
      <c r="H165" s="34">
        <f t="shared" si="4"/>
        <v>279961.38830033137</v>
      </c>
      <c r="I165" s="35">
        <f t="shared" si="23"/>
        <v>1</v>
      </c>
      <c r="J165" s="36">
        <f t="shared" si="5"/>
        <v>279961.38830033137</v>
      </c>
      <c r="K165" s="34">
        <f t="shared" si="13"/>
        <v>5206856929684.5879</v>
      </c>
      <c r="L165" s="37">
        <f t="shared" si="24"/>
        <v>9143663007570.1387</v>
      </c>
      <c r="M165" s="34">
        <f t="shared" si="6"/>
        <v>576050769476.9187</v>
      </c>
      <c r="N165" s="34">
        <f t="shared" si="7"/>
        <v>0</v>
      </c>
      <c r="O165" s="34">
        <f t="shared" si="8"/>
        <v>576050769476.9187</v>
      </c>
      <c r="P165" s="34">
        <f t="shared" si="27"/>
        <v>57605076947.691872</v>
      </c>
      <c r="Q165" s="38">
        <f t="shared" si="15"/>
        <v>518445692529.22681</v>
      </c>
      <c r="R165" s="39">
        <f t="shared" si="16"/>
        <v>0</v>
      </c>
      <c r="S165" s="34">
        <f t="shared" si="17"/>
        <v>515457646008.09094</v>
      </c>
      <c r="T165" s="40">
        <f t="shared" si="26"/>
        <v>9387699559.264534</v>
      </c>
      <c r="U165" s="272">
        <f t="shared" si="9"/>
        <v>2.5853062235832228E-2</v>
      </c>
      <c r="V165" s="282">
        <f t="shared" si="10"/>
        <v>176.98667332110873</v>
      </c>
      <c r="W165" s="283">
        <f>((S165+'Malawi-only'!S165)/(T165*(U165+'Malawi-only'!U165))/12)</f>
        <v>161.31523552224402</v>
      </c>
      <c r="X165" s="284">
        <f>(R165+'Malawi-only'!R165)</f>
        <v>3403847853.3627691</v>
      </c>
      <c r="Y165" s="284">
        <f>(L165+'Malawi-only'!L165)</f>
        <v>9264265714380.0469</v>
      </c>
      <c r="Z165" s="284">
        <f>(Q165+'Malawi-only'!Q165)</f>
        <v>525253388235.95233</v>
      </c>
    </row>
    <row r="166" spans="1:26" ht="15.75" customHeight="1">
      <c r="A166" s="31" t="s">
        <v>199</v>
      </c>
      <c r="B166" s="32">
        <v>2182</v>
      </c>
      <c r="C166" s="274">
        <f t="shared" si="11"/>
        <v>6.3307851625703068E-8</v>
      </c>
      <c r="D166" s="271">
        <f t="shared" si="19"/>
        <v>6.3307851625703068E-8</v>
      </c>
      <c r="E166" s="34">
        <f t="shared" si="21"/>
        <v>0</v>
      </c>
      <c r="F166" s="42">
        <v>4000</v>
      </c>
      <c r="G166" s="34">
        <f t="shared" si="20"/>
        <v>253231.40650281229</v>
      </c>
      <c r="H166" s="34">
        <f t="shared" si="4"/>
        <v>251965.24947029824</v>
      </c>
      <c r="I166" s="35">
        <f t="shared" si="23"/>
        <v>1</v>
      </c>
      <c r="J166" s="36">
        <f t="shared" si="5"/>
        <v>251965.24947029824</v>
      </c>
      <c r="K166" s="34">
        <f t="shared" si="13"/>
        <v>5206857181649.8369</v>
      </c>
      <c r="L166" s="37">
        <f t="shared" si="24"/>
        <v>9196667702314.8398</v>
      </c>
      <c r="M166" s="34">
        <f t="shared" si="6"/>
        <v>579390065245.83496</v>
      </c>
      <c r="N166" s="34">
        <f t="shared" si="7"/>
        <v>0</v>
      </c>
      <c r="O166" s="34">
        <f t="shared" si="8"/>
        <v>579390065245.83496</v>
      </c>
      <c r="P166" s="34">
        <f t="shared" si="27"/>
        <v>57939006524.583496</v>
      </c>
      <c r="Q166" s="38">
        <f t="shared" si="15"/>
        <v>521451058721.25146</v>
      </c>
      <c r="R166" s="39">
        <f t="shared" si="16"/>
        <v>0</v>
      </c>
      <c r="S166" s="34">
        <f t="shared" si="17"/>
        <v>518445692529.22681</v>
      </c>
      <c r="T166" s="40">
        <f t="shared" si="26"/>
        <v>9378311859.7052708</v>
      </c>
      <c r="U166" s="272">
        <f t="shared" si="9"/>
        <v>2.5853062235832228E-2</v>
      </c>
      <c r="V166" s="282">
        <f t="shared" si="10"/>
        <v>178.19083480083086</v>
      </c>
      <c r="W166" s="283">
        <f>((S166+'Malawi-only'!S166)/(T166*(U166+'Malawi-only'!U166))/12)</f>
        <v>162.41277712390365</v>
      </c>
      <c r="X166" s="284">
        <f>(R166+'Malawi-only'!R166)</f>
        <v>3423591249.1602402</v>
      </c>
      <c r="Y166" s="284">
        <f>(L166+'Malawi-only'!L166)</f>
        <v>9317969942644.3203</v>
      </c>
      <c r="Z166" s="284">
        <f>(Q166+'Malawi-only'!Q166)</f>
        <v>528298241219.57196</v>
      </c>
    </row>
    <row r="167" spans="1:26" ht="15.75" customHeight="1">
      <c r="A167" s="31" t="s">
        <v>200</v>
      </c>
      <c r="B167" s="32">
        <v>2183</v>
      </c>
      <c r="C167" s="274">
        <f t="shared" si="11"/>
        <v>5.6977066463132763E-8</v>
      </c>
      <c r="D167" s="271">
        <f t="shared" si="19"/>
        <v>5.6977066463132763E-8</v>
      </c>
      <c r="E167" s="34">
        <f t="shared" si="21"/>
        <v>0</v>
      </c>
      <c r="F167" s="42">
        <v>4000</v>
      </c>
      <c r="G167" s="34">
        <f t="shared" si="20"/>
        <v>227908.26585253104</v>
      </c>
      <c r="H167" s="34">
        <f t="shared" si="4"/>
        <v>226768.72452326838</v>
      </c>
      <c r="I167" s="35">
        <f t="shared" si="23"/>
        <v>1</v>
      </c>
      <c r="J167" s="36">
        <f t="shared" si="5"/>
        <v>226768.72452326838</v>
      </c>
      <c r="K167" s="34">
        <f t="shared" si="13"/>
        <v>5206857408418.5615</v>
      </c>
      <c r="L167" s="37">
        <f t="shared" si="24"/>
        <v>9249979632140.3457</v>
      </c>
      <c r="M167" s="34">
        <f t="shared" si="6"/>
        <v>582748716824.8418</v>
      </c>
      <c r="N167" s="34">
        <f t="shared" si="7"/>
        <v>0</v>
      </c>
      <c r="O167" s="34">
        <f t="shared" si="8"/>
        <v>582748716824.8418</v>
      </c>
      <c r="P167" s="34">
        <f t="shared" si="27"/>
        <v>58274871682.484184</v>
      </c>
      <c r="Q167" s="38">
        <f t="shared" si="15"/>
        <v>524473845142.3576</v>
      </c>
      <c r="R167" s="39">
        <f t="shared" si="16"/>
        <v>0</v>
      </c>
      <c r="S167" s="34">
        <f t="shared" si="17"/>
        <v>521451058721.25146</v>
      </c>
      <c r="T167" s="40">
        <f t="shared" si="26"/>
        <v>9368933547.8455658</v>
      </c>
      <c r="U167" s="272">
        <f t="shared" si="9"/>
        <v>2.5853062235832228E-2</v>
      </c>
      <c r="V167" s="282">
        <f t="shared" si="10"/>
        <v>179.40318843780358</v>
      </c>
      <c r="W167" s="283">
        <f>((S167+'Malawi-only'!S167)/(T167*(U167+'Malawi-only'!U167))/12)</f>
        <v>163.51778555077851</v>
      </c>
      <c r="X167" s="284">
        <f>(R167+'Malawi-only'!R167)</f>
        <v>3443449152.0171013</v>
      </c>
      <c r="Y167" s="284">
        <f>(L167+'Malawi-only'!L167)</f>
        <v>9371985463157.9102</v>
      </c>
      <c r="Z167" s="284">
        <f>(Q167+'Malawi-only'!Q167)</f>
        <v>531360743446.39178</v>
      </c>
    </row>
    <row r="168" spans="1:26" ht="15.75" customHeight="1">
      <c r="A168" s="31" t="s">
        <v>201</v>
      </c>
      <c r="B168" s="32">
        <v>2184</v>
      </c>
      <c r="C168" s="274">
        <f t="shared" si="11"/>
        <v>5.1279359816819485E-8</v>
      </c>
      <c r="D168" s="271">
        <f t="shared" si="19"/>
        <v>5.1279359816819485E-8</v>
      </c>
      <c r="E168" s="34">
        <f t="shared" si="21"/>
        <v>0</v>
      </c>
      <c r="F168" s="42">
        <v>4000</v>
      </c>
      <c r="G168" s="34">
        <f t="shared" si="20"/>
        <v>205117.43926727792</v>
      </c>
      <c r="H168" s="34">
        <f t="shared" si="4"/>
        <v>204091.85207094153</v>
      </c>
      <c r="I168" s="35">
        <f t="shared" si="23"/>
        <v>1</v>
      </c>
      <c r="J168" s="36">
        <f t="shared" si="5"/>
        <v>204091.85207094153</v>
      </c>
      <c r="K168" s="34">
        <f t="shared" si="13"/>
        <v>5206857612510.4141</v>
      </c>
      <c r="L168" s="37">
        <f t="shared" si="24"/>
        <v>9303600580560.7246</v>
      </c>
      <c r="M168" s="34">
        <f t="shared" si="6"/>
        <v>586126836575.32568</v>
      </c>
      <c r="N168" s="34">
        <f t="shared" si="7"/>
        <v>0</v>
      </c>
      <c r="O168" s="34">
        <f t="shared" si="8"/>
        <v>586126836575.32568</v>
      </c>
      <c r="P168" s="34">
        <f t="shared" si="27"/>
        <v>58612683657.53257</v>
      </c>
      <c r="Q168" s="38">
        <f t="shared" si="15"/>
        <v>527514152917.79309</v>
      </c>
      <c r="R168" s="39">
        <f t="shared" si="16"/>
        <v>0</v>
      </c>
      <c r="S168" s="34">
        <f t="shared" si="17"/>
        <v>524473845142.3576</v>
      </c>
      <c r="T168" s="40">
        <f t="shared" si="26"/>
        <v>9359564614.2977219</v>
      </c>
      <c r="U168" s="272">
        <f t="shared" si="9"/>
        <v>2.5853062235832228E-2</v>
      </c>
      <c r="V168" s="282">
        <f t="shared" si="10"/>
        <v>180.6237900221806</v>
      </c>
      <c r="W168" s="283">
        <f>((S168+'Malawi-only'!S168)/(T168*(U168+'Malawi-only'!U168))/12)</f>
        <v>164.6303116535355</v>
      </c>
      <c r="X168" s="284">
        <f>(R168+'Malawi-only'!R168)</f>
        <v>3463422227.136445</v>
      </c>
      <c r="Y168" s="284">
        <f>(L168+'Malawi-only'!L168)</f>
        <v>9426314083000.2539</v>
      </c>
      <c r="Z168" s="284">
        <f>(Q168+'Malawi-only'!Q168)</f>
        <v>534440997372.06598</v>
      </c>
    </row>
    <row r="169" spans="1:26" ht="15.75" customHeight="1">
      <c r="A169" s="31" t="s">
        <v>202</v>
      </c>
      <c r="B169" s="32">
        <v>2185</v>
      </c>
      <c r="C169" s="274">
        <f t="shared" si="11"/>
        <v>4.6151423835137534E-8</v>
      </c>
      <c r="D169" s="271">
        <f t="shared" si="19"/>
        <v>4.6151423835137534E-8</v>
      </c>
      <c r="E169" s="34">
        <f t="shared" si="21"/>
        <v>0</v>
      </c>
      <c r="F169" s="42">
        <v>4000</v>
      </c>
      <c r="G169" s="34">
        <f t="shared" si="20"/>
        <v>184605.69534055013</v>
      </c>
      <c r="H169" s="34">
        <f t="shared" si="4"/>
        <v>183682.66686384738</v>
      </c>
      <c r="I169" s="35">
        <f t="shared" si="23"/>
        <v>1</v>
      </c>
      <c r="J169" s="36">
        <f t="shared" si="5"/>
        <v>183682.66686384738</v>
      </c>
      <c r="K169" s="34">
        <f t="shared" si="13"/>
        <v>5206857796193.0811</v>
      </c>
      <c r="L169" s="37">
        <f t="shared" si="24"/>
        <v>9357532341176.9746</v>
      </c>
      <c r="M169" s="34">
        <f t="shared" si="6"/>
        <v>589524537494.14941</v>
      </c>
      <c r="N169" s="34">
        <f t="shared" si="7"/>
        <v>0</v>
      </c>
      <c r="O169" s="34">
        <f t="shared" si="8"/>
        <v>589524537494.14941</v>
      </c>
      <c r="P169" s="34">
        <f t="shared" si="27"/>
        <v>58952453749.414948</v>
      </c>
      <c r="Q169" s="38">
        <f t="shared" si="15"/>
        <v>530572083744.7345</v>
      </c>
      <c r="R169" s="39">
        <f t="shared" si="16"/>
        <v>0</v>
      </c>
      <c r="S169" s="34">
        <f t="shared" si="17"/>
        <v>527514152917.79309</v>
      </c>
      <c r="T169" s="40">
        <f t="shared" si="26"/>
        <v>9350205049.6834259</v>
      </c>
      <c r="U169" s="272">
        <f t="shared" si="9"/>
        <v>2.5853062235832228E-2</v>
      </c>
      <c r="V169" s="282">
        <f t="shared" si="10"/>
        <v>181.85269571838558</v>
      </c>
      <c r="W169" s="283">
        <f>((S169+'Malawi-only'!S169)/(T169*(U169+'Malawi-only'!U169))/12)</f>
        <v>165.75040662397649</v>
      </c>
      <c r="X169" s="284">
        <f>(R169+'Malawi-only'!R169)</f>
        <v>3483511143.4767942</v>
      </c>
      <c r="Y169" s="284">
        <f>(L169+'Malawi-only'!L169)</f>
        <v>9480957619471.1504</v>
      </c>
      <c r="Z169" s="284">
        <f>(Q169+'Malawi-only'!Q169)</f>
        <v>537539106031.68811</v>
      </c>
    </row>
    <row r="170" spans="1:26" ht="15.75" customHeight="1">
      <c r="A170" s="31" t="s">
        <v>203</v>
      </c>
      <c r="B170" s="32">
        <v>2186</v>
      </c>
      <c r="C170" s="274">
        <f t="shared" si="11"/>
        <v>4.1536281451623782E-8</v>
      </c>
      <c r="D170" s="271">
        <f t="shared" si="19"/>
        <v>4.1536281451623782E-8</v>
      </c>
      <c r="E170" s="34">
        <f t="shared" si="21"/>
        <v>0</v>
      </c>
      <c r="F170" s="42">
        <v>4000</v>
      </c>
      <c r="G170" s="34">
        <f t="shared" si="20"/>
        <v>166145.12580649514</v>
      </c>
      <c r="H170" s="34">
        <f t="shared" si="4"/>
        <v>165314.40017746267</v>
      </c>
      <c r="I170" s="35">
        <f t="shared" si="23"/>
        <v>1</v>
      </c>
      <c r="J170" s="36">
        <f t="shared" si="5"/>
        <v>165314.40017746267</v>
      </c>
      <c r="K170" s="34">
        <f t="shared" si="13"/>
        <v>5206857961507.4814</v>
      </c>
      <c r="L170" s="37">
        <f t="shared" si="24"/>
        <v>9411776717760.6699</v>
      </c>
      <c r="M170" s="34">
        <f t="shared" si="6"/>
        <v>592941933218.92224</v>
      </c>
      <c r="N170" s="34">
        <f t="shared" si="7"/>
        <v>0</v>
      </c>
      <c r="O170" s="34">
        <f t="shared" si="8"/>
        <v>592941933218.92224</v>
      </c>
      <c r="P170" s="34">
        <f t="shared" si="27"/>
        <v>59294193321.892227</v>
      </c>
      <c r="Q170" s="38">
        <f t="shared" si="15"/>
        <v>533647739897.03003</v>
      </c>
      <c r="R170" s="39">
        <f t="shared" si="16"/>
        <v>0</v>
      </c>
      <c r="S170" s="34">
        <f t="shared" si="17"/>
        <v>530572083744.7345</v>
      </c>
      <c r="T170" s="40">
        <f t="shared" si="26"/>
        <v>9340854844.6337433</v>
      </c>
      <c r="U170" s="272">
        <f t="shared" si="9"/>
        <v>2.5853062235832228E-2</v>
      </c>
      <c r="V170" s="282">
        <f t="shared" si="10"/>
        <v>183.08996206818435</v>
      </c>
      <c r="W170" s="283">
        <f>((S170+'Malawi-only'!S170)/(T170*(U170+'Malawi-only'!U170))/12)</f>
        <v>166.8781219978386</v>
      </c>
      <c r="X170" s="284">
        <f>(R170+'Malawi-only'!R170)</f>
        <v>3503716573.7841892</v>
      </c>
      <c r="Y170" s="284">
        <f>(L170+'Malawi-only'!L170)</f>
        <v>9535917900175.4922</v>
      </c>
      <c r="Z170" s="284">
        <f>(Q170+'Malawi-only'!Q170)</f>
        <v>540655173044.59839</v>
      </c>
    </row>
    <row r="171" spans="1:26" ht="15.75" customHeight="1">
      <c r="A171" s="31" t="s">
        <v>204</v>
      </c>
      <c r="B171" s="32">
        <v>2187</v>
      </c>
      <c r="C171" s="274">
        <f t="shared" si="11"/>
        <v>3.7382653306461407E-8</v>
      </c>
      <c r="D171" s="271">
        <f t="shared" si="19"/>
        <v>3.7382653306461407E-8</v>
      </c>
      <c r="E171" s="34">
        <f t="shared" si="21"/>
        <v>0</v>
      </c>
      <c r="F171" s="42">
        <v>4000</v>
      </c>
      <c r="G171" s="34">
        <f t="shared" si="20"/>
        <v>149530.61322584562</v>
      </c>
      <c r="H171" s="34">
        <f t="shared" si="4"/>
        <v>148782.9601597164</v>
      </c>
      <c r="I171" s="35">
        <f t="shared" si="23"/>
        <v>1</v>
      </c>
      <c r="J171" s="36">
        <f t="shared" si="5"/>
        <v>148782.9601597164</v>
      </c>
      <c r="K171" s="34">
        <f t="shared" si="13"/>
        <v>5206858110290.4414</v>
      </c>
      <c r="L171" s="37">
        <f t="shared" si="24"/>
        <v>9466335524335.5918</v>
      </c>
      <c r="M171" s="34">
        <f t="shared" si="6"/>
        <v>596379138033.14233</v>
      </c>
      <c r="N171" s="34">
        <f t="shared" si="7"/>
        <v>0</v>
      </c>
      <c r="O171" s="34">
        <f t="shared" si="8"/>
        <v>596379138033.14233</v>
      </c>
      <c r="P171" s="34">
        <f t="shared" si="27"/>
        <v>59637913803.31424</v>
      </c>
      <c r="Q171" s="38">
        <f t="shared" si="15"/>
        <v>536741224229.82813</v>
      </c>
      <c r="R171" s="39">
        <f t="shared" si="16"/>
        <v>0</v>
      </c>
      <c r="S171" s="34">
        <f t="shared" si="17"/>
        <v>533647739897.03003</v>
      </c>
      <c r="T171" s="40">
        <f t="shared" si="26"/>
        <v>9331513989.7891102</v>
      </c>
      <c r="U171" s="272">
        <f t="shared" si="9"/>
        <v>2.5853062235832228E-2</v>
      </c>
      <c r="V171" s="282">
        <f t="shared" si="10"/>
        <v>184.33564599372585</v>
      </c>
      <c r="W171" s="283">
        <f>((S171+'Malawi-only'!S171)/(T171*(U171+'Malawi-only'!U171))/12)</f>
        <v>168.01350965756583</v>
      </c>
      <c r="X171" s="284">
        <f>(R171+'Malawi-only'!R171)</f>
        <v>3524039194.6234078</v>
      </c>
      <c r="Y171" s="284">
        <f>(L171+'Malawi-only'!L171)</f>
        <v>9591196763105.9766</v>
      </c>
      <c r="Z171" s="284">
        <f>(Q171+'Malawi-only'!Q171)</f>
        <v>543789302619.07495</v>
      </c>
    </row>
    <row r="172" spans="1:26" ht="15.75" customHeight="1">
      <c r="A172" s="31" t="s">
        <v>205</v>
      </c>
      <c r="B172" s="32">
        <v>2188</v>
      </c>
      <c r="C172" s="274">
        <f t="shared" si="11"/>
        <v>3.3644387975815268E-8</v>
      </c>
      <c r="D172" s="271">
        <f t="shared" si="19"/>
        <v>3.3644387975815268E-8</v>
      </c>
      <c r="E172" s="34">
        <f t="shared" si="21"/>
        <v>0</v>
      </c>
      <c r="F172" s="42">
        <v>4000</v>
      </c>
      <c r="G172" s="34">
        <f t="shared" si="20"/>
        <v>134577.55190326108</v>
      </c>
      <c r="H172" s="34">
        <f t="shared" si="4"/>
        <v>133904.66414374477</v>
      </c>
      <c r="I172" s="35">
        <f t="shared" si="23"/>
        <v>1</v>
      </c>
      <c r="J172" s="36">
        <f t="shared" si="5"/>
        <v>133904.66414374477</v>
      </c>
      <c r="K172" s="34">
        <f t="shared" si="13"/>
        <v>5206858244195.1055</v>
      </c>
      <c r="L172" s="37">
        <f t="shared" si="24"/>
        <v>9521210585257.5488</v>
      </c>
      <c r="M172" s="34">
        <f t="shared" si="6"/>
        <v>599836266871.22559</v>
      </c>
      <c r="N172" s="34">
        <f t="shared" si="7"/>
        <v>0</v>
      </c>
      <c r="O172" s="34">
        <f t="shared" si="8"/>
        <v>599836266871.22559</v>
      </c>
      <c r="P172" s="34">
        <f t="shared" si="27"/>
        <v>59983626687.122559</v>
      </c>
      <c r="Q172" s="38">
        <f t="shared" si="15"/>
        <v>539852640184.10303</v>
      </c>
      <c r="R172" s="39">
        <f t="shared" si="16"/>
        <v>0</v>
      </c>
      <c r="S172" s="34">
        <f t="shared" si="17"/>
        <v>536741224229.82813</v>
      </c>
      <c r="T172" s="40">
        <f t="shared" si="26"/>
        <v>9322182475.7993221</v>
      </c>
      <c r="U172" s="272">
        <f t="shared" si="9"/>
        <v>2.5853062235832228E-2</v>
      </c>
      <c r="V172" s="282">
        <f t="shared" si="10"/>
        <v>185.58980480055729</v>
      </c>
      <c r="W172" s="283">
        <f>((S172+'Malawi-only'!S172)/(T172*(U172+'Malawi-only'!U172))/12)</f>
        <v>169.15662183505705</v>
      </c>
      <c r="X172" s="284">
        <f>(R172+'Malawi-only'!R172)</f>
        <v>3544479686.408463</v>
      </c>
      <c r="Y172" s="284">
        <f>(L172+'Malawi-only'!L172)</f>
        <v>9646796056723.9746</v>
      </c>
      <c r="Z172" s="284">
        <f>(Q172+'Malawi-only'!Q172)</f>
        <v>546941599556.91998</v>
      </c>
    </row>
    <row r="173" spans="1:26" ht="15.75" customHeight="1">
      <c r="A173" s="31" t="s">
        <v>206</v>
      </c>
      <c r="B173" s="32">
        <v>2189</v>
      </c>
      <c r="C173" s="274">
        <f t="shared" si="11"/>
        <v>3.0279949178233742E-8</v>
      </c>
      <c r="D173" s="271">
        <f t="shared" si="19"/>
        <v>3.0279949178233742E-8</v>
      </c>
      <c r="E173" s="34">
        <f t="shared" si="21"/>
        <v>0</v>
      </c>
      <c r="F173" s="42">
        <v>4000</v>
      </c>
      <c r="G173" s="34">
        <f t="shared" si="20"/>
        <v>121119.79671293497</v>
      </c>
      <c r="H173" s="34">
        <f t="shared" si="4"/>
        <v>120514.19772937029</v>
      </c>
      <c r="I173" s="35">
        <f t="shared" si="23"/>
        <v>1</v>
      </c>
      <c r="J173" s="36">
        <f t="shared" si="5"/>
        <v>120514.19772937029</v>
      </c>
      <c r="K173" s="34">
        <f t="shared" si="13"/>
        <v>5206858364709.3027</v>
      </c>
      <c r="L173" s="37">
        <f t="shared" si="24"/>
        <v>9576403735292.6406</v>
      </c>
      <c r="M173" s="34">
        <f t="shared" si="6"/>
        <v>603313435323.4364</v>
      </c>
      <c r="N173" s="34">
        <f t="shared" si="7"/>
        <v>0</v>
      </c>
      <c r="O173" s="34">
        <f t="shared" si="8"/>
        <v>603313435323.4364</v>
      </c>
      <c r="P173" s="34">
        <f t="shared" si="27"/>
        <v>60331343532.343643</v>
      </c>
      <c r="Q173" s="38">
        <f t="shared" si="15"/>
        <v>542982091791.09277</v>
      </c>
      <c r="R173" s="39">
        <f t="shared" si="16"/>
        <v>0</v>
      </c>
      <c r="S173" s="34">
        <f t="shared" si="17"/>
        <v>539852640184.10303</v>
      </c>
      <c r="T173" s="40">
        <f t="shared" si="26"/>
        <v>9312860293.3235245</v>
      </c>
      <c r="U173" s="272">
        <f t="shared" si="9"/>
        <v>2.5853062235832228E-2</v>
      </c>
      <c r="V173" s="282">
        <f t="shared" si="10"/>
        <v>186.85249618061675</v>
      </c>
      <c r="W173" s="283">
        <f>((S173+'Malawi-only'!S173)/(T173*(U173+'Malawi-only'!U173))/12)</f>
        <v>170.307511114394</v>
      </c>
      <c r="X173" s="284">
        <f>(R173+'Malawi-only'!R173)</f>
        <v>3565038733.4324265</v>
      </c>
      <c r="Y173" s="284">
        <f>(L173+'Malawi-only'!L173)</f>
        <v>9702717640038.8281</v>
      </c>
      <c r="Z173" s="284">
        <f>(Q173+'Malawi-only'!Q173)</f>
        <v>550112169257.95764</v>
      </c>
    </row>
    <row r="174" spans="1:26" ht="15.75" customHeight="1">
      <c r="A174" s="31" t="s">
        <v>207</v>
      </c>
      <c r="B174" s="32">
        <v>2190</v>
      </c>
      <c r="C174" s="274">
        <f t="shared" si="11"/>
        <v>2.725195426041037E-8</v>
      </c>
      <c r="D174" s="271">
        <f t="shared" si="19"/>
        <v>2.725195426041037E-8</v>
      </c>
      <c r="E174" s="34">
        <f t="shared" si="21"/>
        <v>0</v>
      </c>
      <c r="F174" s="42">
        <v>4000</v>
      </c>
      <c r="G174" s="34">
        <f t="shared" si="20"/>
        <v>109007.81704164148</v>
      </c>
      <c r="H174" s="34">
        <f t="shared" si="4"/>
        <v>108462.77795643327</v>
      </c>
      <c r="I174" s="35">
        <f t="shared" si="23"/>
        <v>1</v>
      </c>
      <c r="J174" s="36">
        <f t="shared" si="5"/>
        <v>108462.77795643327</v>
      </c>
      <c r="K174" s="34">
        <f t="shared" si="13"/>
        <v>5206858473172.0811</v>
      </c>
      <c r="L174" s="37">
        <f t="shared" si="24"/>
        <v>9631916819694.1191</v>
      </c>
      <c r="M174" s="34">
        <f t="shared" si="6"/>
        <v>606810759640.72949</v>
      </c>
      <c r="N174" s="34">
        <f t="shared" si="7"/>
        <v>0</v>
      </c>
      <c r="O174" s="34">
        <f t="shared" si="8"/>
        <v>606810759640.72949</v>
      </c>
      <c r="P174" s="34">
        <f t="shared" si="27"/>
        <v>60681075964.072952</v>
      </c>
      <c r="Q174" s="38">
        <f t="shared" si="15"/>
        <v>546129683676.65656</v>
      </c>
      <c r="R174" s="39">
        <f t="shared" si="16"/>
        <v>0</v>
      </c>
      <c r="S174" s="34">
        <f t="shared" si="17"/>
        <v>542982091791.09277</v>
      </c>
      <c r="T174" s="40">
        <f t="shared" si="26"/>
        <v>9303547433.0302029</v>
      </c>
      <c r="U174" s="272">
        <f t="shared" si="9"/>
        <v>2.5853062235832228E-2</v>
      </c>
      <c r="V174" s="282">
        <f t="shared" si="10"/>
        <v>188.1237782152092</v>
      </c>
      <c r="W174" s="283">
        <f>((S174+'Malawi-only'!S174)/(T174*(U174+'Malawi-only'!U174))/12)</f>
        <v>171.46623043455335</v>
      </c>
      <c r="X174" s="284">
        <f>(R174+'Malawi-only'!R174)</f>
        <v>3585717023.8966856</v>
      </c>
      <c r="Y174" s="284">
        <f>(L174+'Malawi-only'!L174)</f>
        <v>9758963382685.7227</v>
      </c>
      <c r="Z174" s="284">
        <f>(Q174+'Malawi-only'!Q174)</f>
        <v>553301117724.44995</v>
      </c>
    </row>
    <row r="175" spans="1:26" ht="15.75" customHeight="1">
      <c r="A175" s="31" t="s">
        <v>208</v>
      </c>
      <c r="B175" s="32">
        <v>2191</v>
      </c>
      <c r="C175" s="274">
        <f t="shared" si="11"/>
        <v>2.4526758834369332E-8</v>
      </c>
      <c r="D175" s="271">
        <f t="shared" si="19"/>
        <v>2.4526758834369332E-8</v>
      </c>
      <c r="E175" s="34">
        <f t="shared" si="21"/>
        <v>0</v>
      </c>
      <c r="F175" s="42">
        <v>4000</v>
      </c>
      <c r="G175" s="34">
        <f t="shared" si="20"/>
        <v>98107.035337477326</v>
      </c>
      <c r="H175" s="34">
        <f t="shared" si="4"/>
        <v>97616.500160789932</v>
      </c>
      <c r="I175" s="35">
        <f t="shared" si="23"/>
        <v>1</v>
      </c>
      <c r="J175" s="36">
        <f t="shared" si="5"/>
        <v>97616.500160789932</v>
      </c>
      <c r="K175" s="34">
        <f t="shared" si="13"/>
        <v>5206858570788.5811</v>
      </c>
      <c r="L175" s="37">
        <f t="shared" si="24"/>
        <v>9687751694278.0547</v>
      </c>
      <c r="M175" s="34">
        <f t="shared" si="6"/>
        <v>610328356739.51746</v>
      </c>
      <c r="N175" s="34">
        <f t="shared" si="7"/>
        <v>0</v>
      </c>
      <c r="O175" s="34">
        <f t="shared" si="8"/>
        <v>610328356739.51746</v>
      </c>
      <c r="P175" s="34">
        <f t="shared" si="27"/>
        <v>61032835673.951752</v>
      </c>
      <c r="Q175" s="38">
        <f t="shared" si="15"/>
        <v>549295521065.56567</v>
      </c>
      <c r="R175" s="39">
        <f t="shared" si="16"/>
        <v>0</v>
      </c>
      <c r="S175" s="34">
        <f t="shared" si="17"/>
        <v>546129683676.65656</v>
      </c>
      <c r="T175" s="40">
        <f t="shared" si="26"/>
        <v>9294243885.5971737</v>
      </c>
      <c r="U175" s="272">
        <f t="shared" si="9"/>
        <v>2.5853062235832228E-2</v>
      </c>
      <c r="V175" s="282">
        <f t="shared" si="10"/>
        <v>189.40370937796695</v>
      </c>
      <c r="W175" s="283">
        <f>((S175+'Malawi-only'!S175)/(T175*(U175+'Malawi-only'!U175))/12)</f>
        <v>172.63283309210544</v>
      </c>
      <c r="X175" s="284">
        <f>(R175+'Malawi-only'!R175)</f>
        <v>3606515249.9396911</v>
      </c>
      <c r="Y175" s="284">
        <f>(L175+'Malawi-only'!L175)</f>
        <v>9815535165002.3477</v>
      </c>
      <c r="Z175" s="284">
        <f>(Q175+'Malawi-only'!Q175)</f>
        <v>556508551565.44507</v>
      </c>
    </row>
    <row r="176" spans="1:26" ht="15.75" customHeight="1">
      <c r="A176" s="31" t="s">
        <v>209</v>
      </c>
      <c r="B176" s="32">
        <v>2192</v>
      </c>
      <c r="C176" s="274">
        <f t="shared" si="11"/>
        <v>2.20740829509324E-8</v>
      </c>
      <c r="D176" s="271">
        <f t="shared" si="19"/>
        <v>2.20740829509324E-8</v>
      </c>
      <c r="E176" s="34">
        <f t="shared" si="21"/>
        <v>0</v>
      </c>
      <c r="F176" s="42">
        <v>4000</v>
      </c>
      <c r="G176" s="34">
        <f t="shared" si="20"/>
        <v>88296.331803729598</v>
      </c>
      <c r="H176" s="34">
        <f t="shared" si="4"/>
        <v>87854.850144710945</v>
      </c>
      <c r="I176" s="35">
        <f t="shared" si="23"/>
        <v>1</v>
      </c>
      <c r="J176" s="36">
        <f t="shared" si="5"/>
        <v>87854.850144710945</v>
      </c>
      <c r="K176" s="34">
        <f t="shared" si="13"/>
        <v>5206858658643.4316</v>
      </c>
      <c r="L176" s="37">
        <f t="shared" si="24"/>
        <v>9743910225497.9531</v>
      </c>
      <c r="M176" s="34">
        <f t="shared" si="6"/>
        <v>613866344206.37109</v>
      </c>
      <c r="N176" s="34">
        <f t="shared" si="7"/>
        <v>0</v>
      </c>
      <c r="O176" s="34">
        <f t="shared" si="8"/>
        <v>613866344206.37109</v>
      </c>
      <c r="P176" s="34">
        <f t="shared" si="27"/>
        <v>61386634420.637115</v>
      </c>
      <c r="Q176" s="38">
        <f t="shared" si="15"/>
        <v>552479709785.73401</v>
      </c>
      <c r="R176" s="39">
        <f t="shared" si="16"/>
        <v>0</v>
      </c>
      <c r="S176" s="34">
        <f t="shared" si="17"/>
        <v>549295521065.56567</v>
      </c>
      <c r="T176" s="40">
        <f t="shared" si="26"/>
        <v>9284949641.7115784</v>
      </c>
      <c r="U176" s="272">
        <f t="shared" si="9"/>
        <v>2.5853062235832228E-2</v>
      </c>
      <c r="V176" s="282">
        <f t="shared" si="10"/>
        <v>190.69234853780065</v>
      </c>
      <c r="W176" s="283">
        <f>((S176+'Malawi-only'!S176)/(T176*(U176+'Malawi-only'!U176))/12)</f>
        <v>173.8073727439037</v>
      </c>
      <c r="X176" s="284">
        <f>(R176+'Malawi-only'!R176)</f>
        <v>3627434107.6652598</v>
      </c>
      <c r="Y176" s="284">
        <f>(L176+'Malawi-only'!L176)</f>
        <v>9872434878104.502</v>
      </c>
      <c r="Z176" s="284">
        <f>(Q176+'Malawi-only'!Q176)</f>
        <v>559734578001.06458</v>
      </c>
    </row>
    <row r="177" spans="1:26" ht="15.75" customHeight="1">
      <c r="A177" s="31" t="s">
        <v>210</v>
      </c>
      <c r="B177" s="32">
        <v>2193</v>
      </c>
      <c r="C177" s="274">
        <f t="shared" si="11"/>
        <v>1.9866674655839162E-8</v>
      </c>
      <c r="D177" s="271">
        <f t="shared" si="19"/>
        <v>1.9866674655839162E-8</v>
      </c>
      <c r="E177" s="34">
        <f t="shared" si="21"/>
        <v>0</v>
      </c>
      <c r="F177" s="42">
        <v>4000</v>
      </c>
      <c r="G177" s="34">
        <f t="shared" si="20"/>
        <v>79466.698623356642</v>
      </c>
      <c r="H177" s="34">
        <f t="shared" si="4"/>
        <v>79069.365130239865</v>
      </c>
      <c r="I177" s="35">
        <f t="shared" si="23"/>
        <v>1</v>
      </c>
      <c r="J177" s="36">
        <f t="shared" si="5"/>
        <v>79069.365130239865</v>
      </c>
      <c r="K177" s="34">
        <f t="shared" si="13"/>
        <v>5206858737712.7969</v>
      </c>
      <c r="L177" s="37">
        <f t="shared" si="24"/>
        <v>9800394290518.4609</v>
      </c>
      <c r="M177" s="34">
        <f t="shared" si="6"/>
        <v>617424840302.66309</v>
      </c>
      <c r="N177" s="34">
        <f t="shared" si="7"/>
        <v>0</v>
      </c>
      <c r="O177" s="34">
        <f t="shared" si="8"/>
        <v>617424840302.66309</v>
      </c>
      <c r="P177" s="34">
        <f t="shared" si="27"/>
        <v>61742484030.266312</v>
      </c>
      <c r="Q177" s="38">
        <f t="shared" si="15"/>
        <v>555682356272.39673</v>
      </c>
      <c r="R177" s="39">
        <f t="shared" si="16"/>
        <v>0</v>
      </c>
      <c r="S177" s="34">
        <f t="shared" si="17"/>
        <v>552479709785.73401</v>
      </c>
      <c r="T177" s="40">
        <f t="shared" si="26"/>
        <v>9275664692.0698681</v>
      </c>
      <c r="U177" s="272">
        <f t="shared" si="9"/>
        <v>2.5853062235832228E-2</v>
      </c>
      <c r="V177" s="282">
        <f t="shared" si="10"/>
        <v>191.98975496184178</v>
      </c>
      <c r="W177" s="283">
        <f>((S177+'Malawi-only'!S177)/(T177*(U177+'Malawi-only'!U177))/12)</f>
        <v>174.98990340976675</v>
      </c>
      <c r="X177" s="284">
        <f>(R177+'Malawi-only'!R177)</f>
        <v>3648474297.1705017</v>
      </c>
      <c r="Y177" s="284">
        <f>(L177+'Malawi-only'!L177)</f>
        <v>9929664423960.7656</v>
      </c>
      <c r="Z177" s="284">
        <f>(Q177+'Malawi-only'!Q177)</f>
        <v>562979304866.73779</v>
      </c>
    </row>
    <row r="178" spans="1:26" ht="15.75" customHeight="1">
      <c r="A178" s="31" t="s">
        <v>211</v>
      </c>
      <c r="B178" s="32">
        <v>2194</v>
      </c>
      <c r="C178" s="274">
        <f t="shared" si="11"/>
        <v>1.7880007190255248E-8</v>
      </c>
      <c r="D178" s="271">
        <f t="shared" si="19"/>
        <v>1.7880007190255248E-8</v>
      </c>
      <c r="E178" s="34">
        <f t="shared" si="21"/>
        <v>0</v>
      </c>
      <c r="F178" s="42">
        <v>4000</v>
      </c>
      <c r="G178" s="34">
        <f t="shared" si="20"/>
        <v>71520.028761020993</v>
      </c>
      <c r="H178" s="34">
        <f t="shared" si="4"/>
        <v>71162.42861721589</v>
      </c>
      <c r="I178" s="35">
        <f t="shared" si="23"/>
        <v>1</v>
      </c>
      <c r="J178" s="36">
        <f t="shared" si="5"/>
        <v>71162.42861721589</v>
      </c>
      <c r="K178" s="34">
        <f t="shared" si="13"/>
        <v>5206858808875.2256</v>
      </c>
      <c r="L178" s="37">
        <f t="shared" si="24"/>
        <v>9857205777288.2988</v>
      </c>
      <c r="M178" s="34">
        <f t="shared" si="6"/>
        <v>621003963969.16284</v>
      </c>
      <c r="N178" s="34">
        <f t="shared" si="7"/>
        <v>0</v>
      </c>
      <c r="O178" s="34">
        <f t="shared" si="8"/>
        <v>621003963969.16284</v>
      </c>
      <c r="P178" s="34">
        <f t="shared" si="27"/>
        <v>62100396396.91629</v>
      </c>
      <c r="Q178" s="38">
        <f t="shared" si="15"/>
        <v>558903567572.24658</v>
      </c>
      <c r="R178" s="39">
        <f t="shared" si="16"/>
        <v>0</v>
      </c>
      <c r="S178" s="34">
        <f t="shared" si="17"/>
        <v>555682356272.39673</v>
      </c>
      <c r="T178" s="40">
        <f t="shared" si="26"/>
        <v>9266389027.3778</v>
      </c>
      <c r="U178" s="272">
        <f t="shared" si="9"/>
        <v>2.5853062235832228E-2</v>
      </c>
      <c r="V178" s="282">
        <f t="shared" si="10"/>
        <v>193.29598831837995</v>
      </c>
      <c r="W178" s="283">
        <f>((S178+'Malawi-only'!S178)/(T178*(U178+'Malawi-only'!U178))/12)</f>
        <v>176.18047947515561</v>
      </c>
      <c r="X178" s="284">
        <f>(R178+'Malawi-only'!R178)</f>
        <v>3669636522.5734119</v>
      </c>
      <c r="Y178" s="284">
        <f>(L178+'Malawi-only'!L178)</f>
        <v>9987225715466.4023</v>
      </c>
      <c r="Z178" s="284">
        <f>(Q178+'Malawi-only'!Q178)</f>
        <v>566242840617.39343</v>
      </c>
    </row>
    <row r="179" spans="1:26" ht="15.75" customHeight="1">
      <c r="A179" s="31" t="s">
        <v>212</v>
      </c>
      <c r="B179" s="32">
        <v>2195</v>
      </c>
      <c r="C179" s="274">
        <f t="shared" si="11"/>
        <v>1.6092006471229722E-8</v>
      </c>
      <c r="D179" s="271">
        <f t="shared" si="19"/>
        <v>1.6092006471229722E-8</v>
      </c>
      <c r="E179" s="34">
        <f t="shared" si="21"/>
        <v>0</v>
      </c>
      <c r="F179" s="42">
        <v>4000</v>
      </c>
      <c r="G179" s="34">
        <f t="shared" si="20"/>
        <v>64368.02588491889</v>
      </c>
      <c r="H179" s="34">
        <f t="shared" si="4"/>
        <v>64046.185755494298</v>
      </c>
      <c r="I179" s="35">
        <f t="shared" si="23"/>
        <v>1</v>
      </c>
      <c r="J179" s="36">
        <f t="shared" si="5"/>
        <v>64046.185755494298</v>
      </c>
      <c r="K179" s="34">
        <f t="shared" si="13"/>
        <v>5206858872921.4111</v>
      </c>
      <c r="L179" s="37">
        <f t="shared" si="24"/>
        <v>9914346584612.5352</v>
      </c>
      <c r="M179" s="34">
        <f t="shared" si="6"/>
        <v>624603834830.58972</v>
      </c>
      <c r="N179" s="34">
        <f t="shared" si="7"/>
        <v>0</v>
      </c>
      <c r="O179" s="34">
        <f t="shared" si="8"/>
        <v>624603834830.58972</v>
      </c>
      <c r="P179" s="34">
        <f t="shared" si="27"/>
        <v>62460383483.058975</v>
      </c>
      <c r="Q179" s="38">
        <f t="shared" si="15"/>
        <v>562143451347.53076</v>
      </c>
      <c r="R179" s="39">
        <f t="shared" si="16"/>
        <v>0</v>
      </c>
      <c r="S179" s="34">
        <f t="shared" si="17"/>
        <v>558903567572.24658</v>
      </c>
      <c r="T179" s="40">
        <f t="shared" si="26"/>
        <v>9257122638.3504238</v>
      </c>
      <c r="U179" s="272">
        <f t="shared" si="9"/>
        <v>2.5853062235832228E-2</v>
      </c>
      <c r="V179" s="282">
        <f t="shared" si="10"/>
        <v>194.61110867979832</v>
      </c>
      <c r="W179" s="283">
        <f>((S179+'Malawi-only'!S179)/(T179*(U179+'Malawi-only'!U179))/12)</f>
        <v>177.37915569384927</v>
      </c>
      <c r="X179" s="284">
        <f>(R179+'Malawi-only'!R179)</f>
        <v>3690921492.0401816</v>
      </c>
      <c r="Y179" s="284">
        <f>(L179+'Malawi-only'!L179)</f>
        <v>10045120676516.58</v>
      </c>
      <c r="Z179" s="284">
        <f>(Q179+'Malawi-only'!Q179)</f>
        <v>569525294331.61108</v>
      </c>
    </row>
    <row r="180" spans="1:26" ht="15.75" customHeight="1">
      <c r="A180" s="31" t="s">
        <v>213</v>
      </c>
      <c r="B180" s="32">
        <v>2196</v>
      </c>
      <c r="C180" s="274">
        <f t="shared" si="11"/>
        <v>1.448280582410675E-8</v>
      </c>
      <c r="D180" s="271">
        <f t="shared" si="19"/>
        <v>1.448280582410675E-8</v>
      </c>
      <c r="E180" s="34">
        <f t="shared" si="21"/>
        <v>0</v>
      </c>
      <c r="F180" s="42">
        <v>4000</v>
      </c>
      <c r="G180" s="34">
        <f t="shared" si="20"/>
        <v>57931.223296427001</v>
      </c>
      <c r="H180" s="34">
        <f t="shared" si="4"/>
        <v>57641.567179944868</v>
      </c>
      <c r="I180" s="35">
        <f t="shared" si="23"/>
        <v>1</v>
      </c>
      <c r="J180" s="36">
        <f t="shared" si="5"/>
        <v>57641.567179944868</v>
      </c>
      <c r="K180" s="34">
        <f t="shared" si="13"/>
        <v>5206858930562.9785</v>
      </c>
      <c r="L180" s="37">
        <f t="shared" si="24"/>
        <v>9971818622224.293</v>
      </c>
      <c r="M180" s="34">
        <f t="shared" si="6"/>
        <v>628224573200.13049</v>
      </c>
      <c r="N180" s="34">
        <f t="shared" si="7"/>
        <v>0</v>
      </c>
      <c r="O180" s="34">
        <f t="shared" si="8"/>
        <v>628224573200.13049</v>
      </c>
      <c r="P180" s="34">
        <f t="shared" si="27"/>
        <v>62822457320.013054</v>
      </c>
      <c r="Q180" s="38">
        <f t="shared" si="15"/>
        <v>565402115880.11743</v>
      </c>
      <c r="R180" s="39">
        <f t="shared" si="16"/>
        <v>0</v>
      </c>
      <c r="S180" s="34">
        <f t="shared" si="17"/>
        <v>562143451347.53076</v>
      </c>
      <c r="T180" s="40">
        <f t="shared" si="26"/>
        <v>9247865515.7120743</v>
      </c>
      <c r="U180" s="272">
        <f t="shared" si="9"/>
        <v>2.5853062235832228E-2</v>
      </c>
      <c r="V180" s="282">
        <f t="shared" si="10"/>
        <v>195.93517652550781</v>
      </c>
      <c r="W180" s="283">
        <f>((S180+'Malawi-only'!S180)/(T180*(U180+'Malawi-only'!U180))/12)</f>
        <v>178.58598719061897</v>
      </c>
      <c r="X180" s="284">
        <f>(R180+'Malawi-only'!R180)</f>
        <v>3712329917.8122663</v>
      </c>
      <c r="Y180" s="284">
        <f>(L180+'Malawi-only'!L180)</f>
        <v>10103351242079.025</v>
      </c>
      <c r="Z180" s="284">
        <f>(Q180+'Malawi-only'!Q180)</f>
        <v>572826775715.74194</v>
      </c>
    </row>
    <row r="181" spans="1:26" ht="15.75" customHeight="1">
      <c r="A181" s="31" t="s">
        <v>214</v>
      </c>
      <c r="B181" s="32">
        <v>2197</v>
      </c>
      <c r="C181" s="274">
        <f t="shared" si="11"/>
        <v>1.3034525241696075E-8</v>
      </c>
      <c r="D181" s="271">
        <f t="shared" si="19"/>
        <v>1.3034525241696075E-8</v>
      </c>
      <c r="E181" s="34">
        <f t="shared" si="21"/>
        <v>0</v>
      </c>
      <c r="F181" s="42">
        <v>4000</v>
      </c>
      <c r="G181" s="34">
        <f t="shared" si="20"/>
        <v>52138.100966784295</v>
      </c>
      <c r="H181" s="34">
        <f t="shared" si="4"/>
        <v>51877.410461950371</v>
      </c>
      <c r="I181" s="35">
        <f t="shared" si="23"/>
        <v>1</v>
      </c>
      <c r="J181" s="36">
        <f t="shared" si="5"/>
        <v>51877.410461950371</v>
      </c>
      <c r="K181" s="34">
        <f t="shared" si="13"/>
        <v>5206858982440.3887</v>
      </c>
      <c r="L181" s="37">
        <f t="shared" si="24"/>
        <v>10029623810856.006</v>
      </c>
      <c r="M181" s="34">
        <f t="shared" si="6"/>
        <v>631866300083.92834</v>
      </c>
      <c r="N181" s="34">
        <f t="shared" si="7"/>
        <v>0</v>
      </c>
      <c r="O181" s="34">
        <f t="shared" si="8"/>
        <v>631866300083.92834</v>
      </c>
      <c r="P181" s="34">
        <f t="shared" si="27"/>
        <v>63186630008.392838</v>
      </c>
      <c r="Q181" s="38">
        <f t="shared" si="15"/>
        <v>568679670075.53552</v>
      </c>
      <c r="R181" s="39">
        <f t="shared" si="16"/>
        <v>0</v>
      </c>
      <c r="S181" s="34">
        <f t="shared" si="17"/>
        <v>565402115880.11743</v>
      </c>
      <c r="T181" s="40">
        <f t="shared" si="26"/>
        <v>9238617650.1963634</v>
      </c>
      <c r="U181" s="272">
        <f t="shared" si="9"/>
        <v>2.5853062235832228E-2</v>
      </c>
      <c r="V181" s="282">
        <f t="shared" si="10"/>
        <v>197.26825274488331</v>
      </c>
      <c r="W181" s="283">
        <f>((S181+'Malawi-only'!S181)/(T181*(U181+'Malawi-only'!U181))/12)</f>
        <v>179.80102946390457</v>
      </c>
      <c r="X181" s="284">
        <f>(R181+'Malawi-only'!R181)</f>
        <v>3733862516.2332549</v>
      </c>
      <c r="Y181" s="284">
        <f>(L181+'Malawi-only'!L181)</f>
        <v>10161919358266.229</v>
      </c>
      <c r="Z181" s="284">
        <f>(Q181+'Malawi-only'!Q181)</f>
        <v>576147395108.00208</v>
      </c>
    </row>
    <row r="182" spans="1:26" ht="15.75" customHeight="1">
      <c r="A182" s="31" t="s">
        <v>215</v>
      </c>
      <c r="B182" s="32">
        <v>2198</v>
      </c>
      <c r="C182" s="274">
        <f t="shared" si="11"/>
        <v>1.1731072717526468E-8</v>
      </c>
      <c r="D182" s="271">
        <f t="shared" si="19"/>
        <v>1.1731072717526468E-8</v>
      </c>
      <c r="E182" s="34">
        <f t="shared" si="21"/>
        <v>0</v>
      </c>
      <c r="F182" s="42">
        <v>4000</v>
      </c>
      <c r="G182" s="34">
        <f t="shared" si="20"/>
        <v>46924.29087010587</v>
      </c>
      <c r="H182" s="34">
        <f t="shared" si="4"/>
        <v>46689.669415755343</v>
      </c>
      <c r="I182" s="35">
        <f t="shared" si="23"/>
        <v>1</v>
      </c>
      <c r="J182" s="36">
        <f t="shared" si="5"/>
        <v>46689.669415755343</v>
      </c>
      <c r="K182" s="34">
        <f t="shared" si="13"/>
        <v>5206859029130.0576</v>
      </c>
      <c r="L182" s="37">
        <f t="shared" si="24"/>
        <v>10087764082310.291</v>
      </c>
      <c r="M182" s="34">
        <f t="shared" si="6"/>
        <v>635529137185.54834</v>
      </c>
      <c r="N182" s="34">
        <f t="shared" si="7"/>
        <v>0</v>
      </c>
      <c r="O182" s="34">
        <f t="shared" si="8"/>
        <v>635529137185.54834</v>
      </c>
      <c r="P182" s="34">
        <f t="shared" si="27"/>
        <v>63552913718.55484</v>
      </c>
      <c r="Q182" s="38">
        <f t="shared" si="15"/>
        <v>571976223466.99353</v>
      </c>
      <c r="R182" s="39">
        <f t="shared" si="16"/>
        <v>0</v>
      </c>
      <c r="S182" s="34">
        <f t="shared" si="17"/>
        <v>568679670075.53552</v>
      </c>
      <c r="T182" s="40">
        <f t="shared" si="26"/>
        <v>9229379032.5461674</v>
      </c>
      <c r="U182" s="272">
        <f t="shared" si="9"/>
        <v>2.5853062235832228E-2</v>
      </c>
      <c r="V182" s="282">
        <f t="shared" si="10"/>
        <v>198.61039864020333</v>
      </c>
      <c r="W182" s="283">
        <f>((S182+'Malawi-only'!S182)/(T182*(U182+'Malawi-only'!U182))/12)</f>
        <v>181.02433838849382</v>
      </c>
      <c r="X182" s="284">
        <f>(R182+'Malawi-only'!R182)</f>
        <v>3755520007.775569</v>
      </c>
      <c r="Y182" s="284">
        <f>(L182+'Malawi-only'!L182)</f>
        <v>10220826982407.236</v>
      </c>
      <c r="Z182" s="284">
        <f>(Q182+'Malawi-only'!Q182)</f>
        <v>579487263482.54468</v>
      </c>
    </row>
    <row r="183" spans="1:26" ht="15.75" customHeight="1">
      <c r="A183" s="31" t="s">
        <v>216</v>
      </c>
      <c r="B183" s="32">
        <v>2199</v>
      </c>
      <c r="C183" s="274">
        <f t="shared" si="11"/>
        <v>1.0557965445773821E-8</v>
      </c>
      <c r="D183" s="271">
        <f t="shared" si="19"/>
        <v>1.0557965445773821E-8</v>
      </c>
      <c r="E183" s="34">
        <f t="shared" si="21"/>
        <v>0</v>
      </c>
      <c r="F183" s="42">
        <v>4000</v>
      </c>
      <c r="G183" s="34">
        <f t="shared" si="20"/>
        <v>42231.861783095286</v>
      </c>
      <c r="H183" s="34">
        <f t="shared" si="4"/>
        <v>42020.702474179809</v>
      </c>
      <c r="I183" s="35">
        <f t="shared" si="23"/>
        <v>1</v>
      </c>
      <c r="J183" s="36">
        <f t="shared" si="5"/>
        <v>42020.702474179809</v>
      </c>
      <c r="K183" s="34">
        <f t="shared" si="13"/>
        <v>5206859071150.7598</v>
      </c>
      <c r="L183" s="37">
        <f t="shared" si="24"/>
        <v>10146241379530.525</v>
      </c>
      <c r="M183" s="34">
        <f t="shared" si="6"/>
        <v>639213206910.4231</v>
      </c>
      <c r="N183" s="34">
        <f t="shared" si="7"/>
        <v>0</v>
      </c>
      <c r="O183" s="34">
        <f t="shared" si="8"/>
        <v>639213206910.4231</v>
      </c>
      <c r="P183" s="34">
        <f t="shared" si="27"/>
        <v>63921320691.042313</v>
      </c>
      <c r="Q183" s="38">
        <f t="shared" si="15"/>
        <v>575291886219.38074</v>
      </c>
      <c r="R183" s="39">
        <f t="shared" si="16"/>
        <v>0</v>
      </c>
      <c r="S183" s="34">
        <f t="shared" si="17"/>
        <v>571976223466.99353</v>
      </c>
      <c r="T183" s="40">
        <f t="shared" si="26"/>
        <v>9220149653.5136223</v>
      </c>
      <c r="U183" s="272">
        <f t="shared" si="9"/>
        <v>2.5853062235832228E-2</v>
      </c>
      <c r="V183" s="282">
        <f t="shared" si="10"/>
        <v>199.96167592959458</v>
      </c>
      <c r="W183" s="283">
        <f>((S183+'Malawi-only'!S183)/(T183*(U183+'Malawi-only'!U183))/12)</f>
        <v>182.2559702182065</v>
      </c>
      <c r="X183" s="284">
        <f>(R183+'Malawi-only'!R183)</f>
        <v>3777303117.06703</v>
      </c>
      <c r="Y183" s="284">
        <f>(L183+'Malawi-only'!L183)</f>
        <v>10280076083119.178</v>
      </c>
      <c r="Z183" s="284">
        <f>(Q183+'Malawi-only'!Q183)</f>
        <v>582846492453.51477</v>
      </c>
    </row>
    <row r="184" spans="1:26" ht="15.75" customHeight="1">
      <c r="A184" s="47" t="s">
        <v>217</v>
      </c>
      <c r="B184" s="48">
        <v>2200</v>
      </c>
      <c r="C184" s="275">
        <f t="shared" si="11"/>
        <v>9.5021689011964396E-9</v>
      </c>
      <c r="D184" s="271">
        <f t="shared" si="19"/>
        <v>9.5021689011964396E-9</v>
      </c>
      <c r="E184" s="34">
        <f t="shared" si="21"/>
        <v>0</v>
      </c>
      <c r="F184" s="42">
        <v>4000</v>
      </c>
      <c r="G184" s="34">
        <f t="shared" si="20"/>
        <v>38008.675604785756</v>
      </c>
      <c r="H184" s="50">
        <f t="shared" si="4"/>
        <v>37818.632226761831</v>
      </c>
      <c r="I184" s="51">
        <f t="shared" si="23"/>
        <v>1</v>
      </c>
      <c r="J184" s="36">
        <f t="shared" si="5"/>
        <v>37818.632226761831</v>
      </c>
      <c r="K184" s="50">
        <f t="shared" si="13"/>
        <v>5206859108969.3916</v>
      </c>
      <c r="L184" s="37">
        <f t="shared" si="24"/>
        <v>10205057656671.182</v>
      </c>
      <c r="M184" s="34">
        <f t="shared" si="6"/>
        <v>642918632370.28442</v>
      </c>
      <c r="N184" s="34">
        <f t="shared" si="7"/>
        <v>0</v>
      </c>
      <c r="O184" s="50">
        <f t="shared" si="8"/>
        <v>642918632370.28442</v>
      </c>
      <c r="P184" s="34">
        <f t="shared" si="27"/>
        <v>64291863237.028442</v>
      </c>
      <c r="Q184" s="38">
        <f t="shared" si="15"/>
        <v>578626769133.25598</v>
      </c>
      <c r="R184" s="39">
        <f t="shared" si="16"/>
        <v>0</v>
      </c>
      <c r="S184" s="34">
        <f t="shared" si="17"/>
        <v>575291886219.38074</v>
      </c>
      <c r="T184" s="40">
        <f t="shared" si="26"/>
        <v>9210929503.8601093</v>
      </c>
      <c r="U184" s="285">
        <f t="shared" si="9"/>
        <v>2.5853062235832228E-2</v>
      </c>
      <c r="V184" s="282">
        <f t="shared" si="10"/>
        <v>201.32214674998332</v>
      </c>
      <c r="W184" s="283">
        <f>((S184+'Malawi-only'!S184)/(T184*(U184+'Malawi-only'!U184))/12)</f>
        <v>183.49598158858419</v>
      </c>
      <c r="X184" s="284">
        <f>(R184+'Malawi-only'!R184)</f>
        <v>3799212572.9173145</v>
      </c>
      <c r="Y184" s="284">
        <f>(L184+'Malawi-only'!L184)</f>
        <v>10339668640378.514</v>
      </c>
      <c r="Z184" s="284">
        <f>(Q184+'Malawi-only'!Q184)</f>
        <v>586225194279.09058</v>
      </c>
    </row>
    <row r="185" spans="1:26" ht="15.75" customHeight="1">
      <c r="A185" s="4"/>
      <c r="B185" s="4"/>
      <c r="C185" s="4"/>
      <c r="D185" s="4"/>
      <c r="E185" s="4"/>
      <c r="F185" s="4"/>
      <c r="G185" s="4"/>
      <c r="H185" s="4"/>
      <c r="I185" s="4"/>
      <c r="J185" s="4"/>
      <c r="K185" s="4"/>
      <c r="L185" s="4"/>
      <c r="M185" s="4"/>
      <c r="N185" s="4"/>
      <c r="O185" s="4"/>
      <c r="P185" s="4"/>
      <c r="Q185" s="4"/>
      <c r="R185" s="4"/>
      <c r="S185" s="4"/>
      <c r="T185" s="53"/>
      <c r="U185" s="286"/>
      <c r="V185" s="4"/>
      <c r="W185" s="4"/>
      <c r="X185" s="4"/>
      <c r="Y185" s="4"/>
      <c r="Z185" s="4"/>
    </row>
    <row r="186" spans="1:26" ht="15.75" customHeight="1">
      <c r="A186" s="54" t="s">
        <v>218</v>
      </c>
      <c r="B186" s="55"/>
      <c r="C186" s="276">
        <f>SUM(C9:C184)</f>
        <v>9.6690451906817376</v>
      </c>
      <c r="D186" s="57"/>
      <c r="E186" s="57"/>
      <c r="F186" s="57" t="s">
        <v>219</v>
      </c>
      <c r="G186" s="58">
        <f>SUM(G8:G184)</f>
        <v>8714268264200.8398</v>
      </c>
      <c r="H186" s="59"/>
      <c r="I186" s="59"/>
      <c r="J186" s="59"/>
      <c r="K186" s="59"/>
      <c r="L186" s="59"/>
      <c r="M186" s="59"/>
      <c r="P186" s="64" t="s">
        <v>221</v>
      </c>
      <c r="Q186" s="65">
        <f>SUM(Q8:Q184)</f>
        <v>63379280355365.914</v>
      </c>
      <c r="R186" s="59"/>
      <c r="S186" s="59"/>
      <c r="T186" s="66"/>
      <c r="U186" s="287"/>
      <c r="V186" s="59"/>
      <c r="W186" s="59"/>
      <c r="X186" s="59"/>
      <c r="Y186" s="59"/>
      <c r="Z186" s="59"/>
    </row>
    <row r="187" spans="1:26" ht="15.75" customHeight="1">
      <c r="A187" s="4"/>
      <c r="B187" s="4"/>
      <c r="C187" s="4"/>
      <c r="D187" s="4"/>
      <c r="E187" s="4"/>
      <c r="F187" s="4"/>
      <c r="G187" s="4"/>
      <c r="H187" s="4"/>
      <c r="I187" s="4"/>
      <c r="J187" s="4"/>
      <c r="K187" s="4"/>
      <c r="L187" s="4"/>
      <c r="M187" s="4"/>
      <c r="N187" s="4"/>
      <c r="O187" s="4"/>
      <c r="P187" s="4"/>
      <c r="Q187" s="4"/>
      <c r="R187" s="4"/>
      <c r="S187" s="4"/>
      <c r="T187" s="53"/>
      <c r="U187" s="286"/>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53"/>
      <c r="U188" s="286"/>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53"/>
      <c r="U189" s="286"/>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53"/>
      <c r="U190" s="286"/>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53"/>
      <c r="U191" s="286"/>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53"/>
      <c r="U192" s="286"/>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53"/>
      <c r="U193" s="286"/>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53"/>
      <c r="U194" s="286"/>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53"/>
      <c r="U195" s="286"/>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53"/>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53"/>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53"/>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53"/>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53"/>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53"/>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53"/>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53"/>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53"/>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53"/>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53"/>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53"/>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53"/>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53"/>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53"/>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53"/>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53"/>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53"/>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53"/>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53"/>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53"/>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53"/>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53"/>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53"/>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53"/>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53"/>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53"/>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53"/>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53"/>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53"/>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53"/>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53"/>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53"/>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53"/>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53"/>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53"/>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53"/>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53"/>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53"/>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53"/>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53"/>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53"/>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53"/>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53"/>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53"/>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53"/>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53"/>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53"/>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53"/>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53"/>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53"/>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53"/>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53"/>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53"/>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53"/>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53"/>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53"/>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53"/>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53"/>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53"/>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53"/>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53"/>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53"/>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53"/>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53"/>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53"/>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53"/>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53"/>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53"/>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53"/>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53"/>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53"/>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53"/>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53"/>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53"/>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53"/>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53"/>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53"/>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53"/>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53"/>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53"/>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53"/>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53"/>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53"/>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53"/>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53"/>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53"/>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53"/>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53"/>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53"/>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53"/>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53"/>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53"/>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53"/>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53"/>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53"/>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53"/>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53"/>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53"/>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53"/>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53"/>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53"/>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53"/>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53"/>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53"/>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53"/>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row r="388" spans="1:26" ht="15.75" customHeight="1"/>
    <row r="389" spans="1:26" ht="15.75" customHeight="1"/>
    <row r="390" spans="1:26" ht="15.75" customHeight="1"/>
    <row r="391" spans="1:26" ht="15.75" customHeight="1"/>
    <row r="392" spans="1:26" ht="15.75" customHeight="1"/>
    <row r="393" spans="1:26" ht="15.75" customHeight="1"/>
    <row r="394" spans="1:26" ht="15.75" customHeight="1"/>
    <row r="395" spans="1:26" ht="15.75" customHeight="1"/>
    <row r="396" spans="1:26" ht="15.75" customHeight="1"/>
    <row r="397" spans="1:26" ht="15.75" customHeight="1"/>
    <row r="398" spans="1:26" ht="15.75" customHeight="1"/>
    <row r="399" spans="1:26" ht="15.75" customHeight="1"/>
    <row r="400" spans="1:26"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V1:W1"/>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0"/>
  <sheetViews>
    <sheetView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12.5703125" defaultRowHeight="15" customHeight="1"/>
  <cols>
    <col min="1" max="1" width="8.5703125" customWidth="1"/>
    <col min="2" max="2" width="9.42578125" customWidth="1"/>
    <col min="5" max="5" width="20.42578125" customWidth="1"/>
    <col min="10" max="10" width="17.28515625" customWidth="1"/>
    <col min="11" max="11" width="15.7109375" customWidth="1"/>
    <col min="12" max="12" width="16.5703125" customWidth="1"/>
    <col min="13" max="13" width="17.42578125" customWidth="1"/>
    <col min="14" max="14" width="16.85546875" customWidth="1"/>
    <col min="15" max="15" width="15.5703125" customWidth="1"/>
    <col min="16" max="17" width="17.140625" customWidth="1"/>
    <col min="18" max="18" width="18.42578125" customWidth="1"/>
    <col min="19" max="19" width="16" customWidth="1"/>
    <col min="23" max="24" width="18" customWidth="1"/>
    <col min="25" max="25" width="21.5703125" customWidth="1"/>
    <col min="26" max="26" width="18" customWidth="1"/>
  </cols>
  <sheetData>
    <row r="1" spans="1:26" ht="41.25" customHeight="1">
      <c r="A1" s="322" t="s">
        <v>508</v>
      </c>
      <c r="B1" s="2"/>
      <c r="C1" s="2"/>
      <c r="D1" s="2"/>
      <c r="E1" s="2"/>
      <c r="F1" s="2"/>
      <c r="G1" s="2"/>
      <c r="H1" s="2"/>
      <c r="I1" s="2"/>
      <c r="J1" s="2"/>
      <c r="K1" s="2"/>
      <c r="L1" s="2"/>
      <c r="M1" s="2"/>
      <c r="N1" s="2"/>
      <c r="O1" s="2"/>
      <c r="P1" s="2"/>
      <c r="Q1" s="2"/>
      <c r="R1" s="2"/>
      <c r="S1" s="2"/>
      <c r="T1" s="2"/>
      <c r="U1" s="2"/>
      <c r="V1" s="352"/>
      <c r="W1" s="353"/>
    </row>
    <row r="2" spans="1:26" ht="36.75" customHeight="1">
      <c r="A2" s="19" t="s">
        <v>512</v>
      </c>
      <c r="B2" s="5" t="s">
        <v>444</v>
      </c>
      <c r="C2" s="5" t="s">
        <v>2</v>
      </c>
      <c r="D2" s="5"/>
      <c r="E2" s="5" t="s">
        <v>446</v>
      </c>
      <c r="F2" s="5" t="s">
        <v>3</v>
      </c>
      <c r="G2" s="5"/>
      <c r="H2" s="5" t="s">
        <v>4</v>
      </c>
      <c r="I2" s="5" t="s">
        <v>5</v>
      </c>
      <c r="J2" s="265"/>
      <c r="K2" s="19" t="s">
        <v>510</v>
      </c>
      <c r="L2" s="5" t="s">
        <v>6</v>
      </c>
      <c r="M2" s="5" t="s">
        <v>7</v>
      </c>
      <c r="N2" s="5" t="s">
        <v>448</v>
      </c>
      <c r="O2" s="6"/>
      <c r="P2" s="5" t="s">
        <v>8</v>
      </c>
      <c r="Q2" s="5" t="s">
        <v>9</v>
      </c>
      <c r="R2" s="5"/>
      <c r="S2" s="6"/>
      <c r="T2" s="5" t="s">
        <v>11</v>
      </c>
      <c r="U2" s="5" t="s">
        <v>12</v>
      </c>
      <c r="V2" s="6"/>
      <c r="W2" s="6"/>
      <c r="X2" s="6"/>
      <c r="Y2" s="6"/>
      <c r="Z2" s="6"/>
    </row>
    <row r="3" spans="1:26" ht="15.75" customHeight="1">
      <c r="A3" s="266">
        <v>69551332</v>
      </c>
      <c r="B3" s="266">
        <v>8231613070</v>
      </c>
      <c r="C3" s="8">
        <v>37.4</v>
      </c>
      <c r="D3" s="10"/>
      <c r="E3" s="10" t="s">
        <v>449</v>
      </c>
      <c r="F3" s="9">
        <v>242</v>
      </c>
      <c r="G3" s="10"/>
      <c r="H3" s="11">
        <v>5.0000000000000001E-3</v>
      </c>
      <c r="I3" s="16">
        <v>0.1</v>
      </c>
      <c r="J3" s="10"/>
      <c r="K3" s="266">
        <v>0</v>
      </c>
      <c r="L3" s="14">
        <v>5.0000000000000001E-4</v>
      </c>
      <c r="M3" s="14">
        <v>6.3E-2</v>
      </c>
      <c r="N3" s="16">
        <f>1-I3</f>
        <v>0.9</v>
      </c>
      <c r="O3" s="13"/>
      <c r="P3" s="278" t="s">
        <v>469</v>
      </c>
      <c r="Q3" s="11">
        <v>5.0000000000000001E-3</v>
      </c>
      <c r="R3" s="10"/>
      <c r="S3" s="13"/>
      <c r="T3" s="13"/>
      <c r="U3" s="269">
        <f>A5</f>
        <v>8.4492955886712982E-3</v>
      </c>
      <c r="V3" s="13"/>
      <c r="W3" s="13"/>
      <c r="X3" s="13"/>
      <c r="Y3" s="13"/>
      <c r="Z3" s="13"/>
    </row>
    <row r="4" spans="1:26" ht="41.25" customHeight="1">
      <c r="A4" s="5" t="s">
        <v>450</v>
      </c>
      <c r="B4" s="5" t="s">
        <v>451</v>
      </c>
      <c r="C4" s="5" t="s">
        <v>14</v>
      </c>
      <c r="D4" s="5" t="s">
        <v>452</v>
      </c>
      <c r="E4" s="5" t="s">
        <v>453</v>
      </c>
      <c r="F4" s="5" t="s">
        <v>15</v>
      </c>
      <c r="G4" s="18"/>
      <c r="H4" s="5"/>
      <c r="I4" s="19" t="s">
        <v>16</v>
      </c>
      <c r="J4" s="19" t="s">
        <v>17</v>
      </c>
      <c r="K4" s="19" t="s">
        <v>454</v>
      </c>
      <c r="L4" s="5"/>
      <c r="M4" s="5"/>
      <c r="N4" s="19" t="s">
        <v>470</v>
      </c>
      <c r="O4" s="19" t="s">
        <v>471</v>
      </c>
      <c r="P4" s="5" t="s">
        <v>19</v>
      </c>
      <c r="Q4" s="5"/>
      <c r="R4" s="5" t="s">
        <v>20</v>
      </c>
      <c r="S4" s="5"/>
      <c r="T4" s="5"/>
      <c r="U4" s="5" t="s">
        <v>21</v>
      </c>
      <c r="V4" s="6"/>
      <c r="W4" s="6"/>
      <c r="X4" s="6"/>
      <c r="Y4" s="6"/>
      <c r="Z4" s="6"/>
    </row>
    <row r="5" spans="1:26" ht="19.5" customHeight="1">
      <c r="A5" s="269">
        <f>A3/B3</f>
        <v>8.4492955886712982E-3</v>
      </c>
      <c r="B5" s="279">
        <f>C3*A5</f>
        <v>0.31600365501630656</v>
      </c>
      <c r="C5" s="14">
        <v>0.1</v>
      </c>
      <c r="D5" s="323">
        <v>0.48853000000000002</v>
      </c>
      <c r="E5" s="10" t="s">
        <v>449</v>
      </c>
      <c r="F5" s="15">
        <v>0.16400000000000001</v>
      </c>
      <c r="G5" s="10"/>
      <c r="H5" s="13"/>
      <c r="I5" s="20">
        <v>0.01</v>
      </c>
      <c r="J5" s="20">
        <v>0.04</v>
      </c>
      <c r="K5" s="10">
        <f>K3*5</f>
        <v>0</v>
      </c>
      <c r="L5" s="13"/>
      <c r="M5" s="13"/>
      <c r="N5" s="20">
        <f t="shared" ref="N5:O5" si="0">I5</f>
        <v>0.01</v>
      </c>
      <c r="O5" s="20">
        <f t="shared" si="0"/>
        <v>0.04</v>
      </c>
      <c r="P5" s="16">
        <v>0.1</v>
      </c>
      <c r="Q5" s="13"/>
      <c r="R5" s="12">
        <v>0.1</v>
      </c>
      <c r="S5" s="13"/>
      <c r="T5" s="13"/>
      <c r="U5" s="22" t="s">
        <v>458</v>
      </c>
      <c r="V5" s="13"/>
      <c r="W5" s="13"/>
      <c r="X5" s="13"/>
      <c r="Y5" s="13"/>
      <c r="Z5" s="13"/>
    </row>
    <row r="6" spans="1:26" ht="3" customHeight="1">
      <c r="A6" s="23"/>
      <c r="B6" s="23"/>
      <c r="C6" s="23"/>
      <c r="D6" s="23"/>
      <c r="E6" s="23"/>
      <c r="F6" s="23"/>
      <c r="G6" s="23"/>
      <c r="H6" s="23"/>
      <c r="I6" s="23"/>
      <c r="J6" s="23"/>
      <c r="K6" s="23"/>
      <c r="L6" s="23"/>
      <c r="M6" s="23"/>
      <c r="N6" s="23"/>
      <c r="O6" s="23"/>
      <c r="P6" s="23"/>
      <c r="Q6" s="23"/>
      <c r="R6" s="23"/>
      <c r="S6" s="23"/>
      <c r="T6" s="23"/>
      <c r="U6" s="23"/>
      <c r="V6" s="23"/>
      <c r="W6" s="4"/>
      <c r="X6" s="4"/>
      <c r="Y6" s="4"/>
      <c r="Z6" s="4"/>
    </row>
    <row r="7" spans="1:26" ht="57.75" customHeight="1">
      <c r="A7" s="24" t="s">
        <v>23</v>
      </c>
      <c r="B7" s="25" t="s">
        <v>24</v>
      </c>
      <c r="C7" s="25" t="s">
        <v>459</v>
      </c>
      <c r="D7" s="25" t="s">
        <v>460</v>
      </c>
      <c r="E7" s="25" t="s">
        <v>472</v>
      </c>
      <c r="F7" s="25" t="s">
        <v>26</v>
      </c>
      <c r="G7" s="25" t="s">
        <v>27</v>
      </c>
      <c r="H7" s="25" t="s">
        <v>28</v>
      </c>
      <c r="I7" s="25" t="s">
        <v>29</v>
      </c>
      <c r="J7" s="25" t="s">
        <v>30</v>
      </c>
      <c r="K7" s="25" t="s">
        <v>31</v>
      </c>
      <c r="L7" s="25" t="s">
        <v>32</v>
      </c>
      <c r="M7" s="25" t="s">
        <v>33</v>
      </c>
      <c r="N7" s="25" t="s">
        <v>34</v>
      </c>
      <c r="O7" s="25" t="s">
        <v>35</v>
      </c>
      <c r="P7" s="25" t="s">
        <v>36</v>
      </c>
      <c r="Q7" s="25" t="s">
        <v>473</v>
      </c>
      <c r="R7" s="25" t="s">
        <v>464</v>
      </c>
      <c r="S7" s="25" t="s">
        <v>39</v>
      </c>
      <c r="T7" s="25" t="s">
        <v>40</v>
      </c>
      <c r="U7" s="25" t="s">
        <v>12</v>
      </c>
      <c r="V7" s="28" t="s">
        <v>474</v>
      </c>
      <c r="W7" s="281" t="s">
        <v>475</v>
      </c>
      <c r="X7" s="280" t="s">
        <v>476</v>
      </c>
      <c r="Y7" s="280" t="s">
        <v>513</v>
      </c>
      <c r="Z7" s="281" t="s">
        <v>478</v>
      </c>
    </row>
    <row r="8" spans="1:26" ht="17.25" customHeight="1">
      <c r="A8" s="29"/>
      <c r="B8" s="30"/>
      <c r="C8" s="30"/>
      <c r="D8" s="30"/>
      <c r="E8" s="30"/>
      <c r="F8" s="30"/>
      <c r="G8" s="30"/>
      <c r="H8" s="30"/>
      <c r="I8" s="30"/>
      <c r="J8" s="30"/>
      <c r="K8" s="30"/>
      <c r="L8" s="30"/>
      <c r="M8" s="30"/>
      <c r="N8" s="30"/>
      <c r="O8" s="30"/>
      <c r="P8" s="30"/>
      <c r="Q8" s="30"/>
      <c r="R8" s="30"/>
      <c r="S8" s="30"/>
      <c r="T8" s="30"/>
      <c r="U8" s="30"/>
      <c r="V8" s="30"/>
      <c r="W8" s="4"/>
      <c r="X8" s="4"/>
      <c r="Y8" s="4"/>
      <c r="Z8" s="4"/>
    </row>
    <row r="9" spans="1:26" ht="15.75" customHeight="1">
      <c r="A9" s="31" t="s">
        <v>42</v>
      </c>
      <c r="B9" s="32">
        <v>2025</v>
      </c>
      <c r="C9" s="271">
        <f>B5</f>
        <v>0.31600365501630656</v>
      </c>
      <c r="D9" s="271">
        <f>$D$5</f>
        <v>0.48853000000000002</v>
      </c>
      <c r="E9" s="34">
        <f t="shared" ref="E9:E184" si="1">(C9-D9)*(F9*1000000000)</f>
        <v>-23291056572.798618</v>
      </c>
      <c r="F9" s="42">
        <v>135</v>
      </c>
      <c r="G9" s="34">
        <f t="shared" ref="G9:G184" si="2">D9*F9*1000000000</f>
        <v>65951550000</v>
      </c>
      <c r="H9" s="34">
        <f t="shared" ref="H9:H184" si="3">G9*(1-$H$3)</f>
        <v>65621792250</v>
      </c>
      <c r="I9" s="35">
        <f>I3</f>
        <v>0.1</v>
      </c>
      <c r="J9" s="36">
        <f t="shared" ref="J9:J184" si="4">H9*I9</f>
        <v>6562179225</v>
      </c>
      <c r="K9" s="34">
        <f>$K$5+J9</f>
        <v>6562179225</v>
      </c>
      <c r="L9" s="37">
        <f>($K$5+J9)*(1-$L$3)</f>
        <v>6558898135.3875008</v>
      </c>
      <c r="M9" s="34">
        <f t="shared" ref="M9:M184" si="5">L9*$M$3</f>
        <v>413210582.52941257</v>
      </c>
      <c r="N9" s="34">
        <f t="shared" ref="N9:N184" si="6">H9*(1-I9)</f>
        <v>59059613025</v>
      </c>
      <c r="O9" s="34">
        <f t="shared" ref="O9:O184" si="7">M9+N9</f>
        <v>59472823607.529411</v>
      </c>
      <c r="P9" s="34"/>
      <c r="Q9" s="38">
        <f t="shared" ref="Q9:Q184" si="8">(O9-P9)*(1-$Q$3)</f>
        <v>59175459489.49176</v>
      </c>
      <c r="R9" s="324">
        <v>0</v>
      </c>
      <c r="S9" s="34">
        <f>Q8-R8</f>
        <v>0</v>
      </c>
      <c r="T9" s="40">
        <v>8231613070</v>
      </c>
      <c r="U9" s="272">
        <f t="shared" ref="U9:U184" si="9">$U$3</f>
        <v>8.4492955886712982E-3</v>
      </c>
      <c r="V9" s="282">
        <f t="shared" ref="V9:V184" si="10">(S9/(T9*U9))/12</f>
        <v>0</v>
      </c>
      <c r="W9" s="283">
        <f>((S9+'Malawi-only'!S9)/(T9*(U9+'Malawi-only'!U9))/12)</f>
        <v>1.7902019709286465E-2</v>
      </c>
      <c r="X9" s="284">
        <f>(R9+'Malawi-only'!R9)</f>
        <v>19713872.8125</v>
      </c>
      <c r="Y9" s="284">
        <f>(L9+'Malawi-only'!L9)</f>
        <v>6563298808.9500008</v>
      </c>
      <c r="Z9" s="284">
        <f>(Q9+'Malawi-only'!Q9)</f>
        <v>59214887235.11676</v>
      </c>
    </row>
    <row r="10" spans="1:26" ht="15.75" customHeight="1">
      <c r="A10" s="31" t="s">
        <v>43</v>
      </c>
      <c r="B10" s="32">
        <v>2026</v>
      </c>
      <c r="C10" s="271">
        <f t="shared" ref="C10:C184" si="11">C9*(1-$C$5)</f>
        <v>0.28440328951467592</v>
      </c>
      <c r="D10" s="271">
        <f t="shared" ref="D10:D18" si="12">D9*0.86</f>
        <v>0.4201358</v>
      </c>
      <c r="E10" s="34">
        <f t="shared" si="1"/>
        <v>-21329006697.663826</v>
      </c>
      <c r="F10" s="34">
        <f t="shared" ref="F10:F27" si="13">F9*(1+$F$5)</f>
        <v>157.13999999999999</v>
      </c>
      <c r="G10" s="34">
        <f t="shared" si="2"/>
        <v>66020139611.999992</v>
      </c>
      <c r="H10" s="34">
        <f t="shared" si="3"/>
        <v>65690038913.939995</v>
      </c>
      <c r="I10" s="35">
        <f>$I$3+$I$5</f>
        <v>0.11</v>
      </c>
      <c r="J10" s="36">
        <f t="shared" si="4"/>
        <v>7225904280.5333996</v>
      </c>
      <c r="K10" s="34">
        <f t="shared" ref="K10:K184" si="14">K9+J10</f>
        <v>13788083505.5334</v>
      </c>
      <c r="L10" s="37">
        <f t="shared" ref="L10:L59" si="15">(L9+J10)*(1-$L$3)</f>
        <v>13777910014.71294</v>
      </c>
      <c r="M10" s="34">
        <f t="shared" si="5"/>
        <v>868008330.92691529</v>
      </c>
      <c r="N10" s="34">
        <f t="shared" si="6"/>
        <v>58464134633.406593</v>
      </c>
      <c r="O10" s="34">
        <f t="shared" si="7"/>
        <v>59332142964.333511</v>
      </c>
      <c r="P10" s="34"/>
      <c r="Q10" s="38">
        <f t="shared" si="8"/>
        <v>59035482249.511841</v>
      </c>
      <c r="R10" s="39">
        <f t="shared" ref="R10:R184" si="16">Q9*$R$5</f>
        <v>5917545948.9491768</v>
      </c>
      <c r="S10" s="34">
        <f t="shared" ref="S10:S184" si="17">Q9-R10</f>
        <v>53257913540.542587</v>
      </c>
      <c r="T10" s="40">
        <v>8300678395</v>
      </c>
      <c r="U10" s="272">
        <f t="shared" si="9"/>
        <v>8.4492955886712982E-3</v>
      </c>
      <c r="V10" s="282">
        <f t="shared" si="10"/>
        <v>63.28034101469202</v>
      </c>
      <c r="W10" s="283">
        <f>((S10+'Malawi-only'!S10)/(T10*(U10+'Malawi-only'!U10))/12)</f>
        <v>47.989049591030032</v>
      </c>
      <c r="X10" s="284">
        <f>(R10+'Malawi-only'!R10)</f>
        <v>5949017379.8222237</v>
      </c>
      <c r="Y10" s="284">
        <f>(L10+'Malawi-only'!L10)</f>
        <v>13790088659.986719</v>
      </c>
      <c r="Z10" s="284">
        <f>(Q10+'Malawi-only'!Q10)</f>
        <v>59098425111.257935</v>
      </c>
    </row>
    <row r="11" spans="1:26" ht="15.75" customHeight="1">
      <c r="A11" s="31" t="s">
        <v>44</v>
      </c>
      <c r="B11" s="32">
        <v>2027</v>
      </c>
      <c r="C11" s="271">
        <f t="shared" si="11"/>
        <v>0.25596296056320833</v>
      </c>
      <c r="D11" s="271">
        <f t="shared" si="12"/>
        <v>0.361316788</v>
      </c>
      <c r="E11" s="34">
        <f t="shared" si="1"/>
        <v>-19270369716.137901</v>
      </c>
      <c r="F11" s="34">
        <f t="shared" si="13"/>
        <v>182.91095999999996</v>
      </c>
      <c r="G11" s="34">
        <f t="shared" si="2"/>
        <v>66088800557.196465</v>
      </c>
      <c r="H11" s="34">
        <f t="shared" si="3"/>
        <v>65758356554.410484</v>
      </c>
      <c r="I11" s="35">
        <f t="shared" ref="I11:I18" si="18">I10+$I$5</f>
        <v>0.12</v>
      </c>
      <c r="J11" s="36">
        <f t="shared" si="4"/>
        <v>7891002786.5292578</v>
      </c>
      <c r="K11" s="34">
        <f t="shared" si="14"/>
        <v>21679086292.062656</v>
      </c>
      <c r="L11" s="37">
        <f t="shared" si="15"/>
        <v>21658078344.841579</v>
      </c>
      <c r="M11" s="34">
        <f t="shared" si="5"/>
        <v>1364458935.7250195</v>
      </c>
      <c r="N11" s="34">
        <f t="shared" si="6"/>
        <v>57867353767.881226</v>
      </c>
      <c r="O11" s="34">
        <f t="shared" si="7"/>
        <v>59231812703.606247</v>
      </c>
      <c r="P11" s="34"/>
      <c r="Q11" s="38">
        <f t="shared" si="8"/>
        <v>58935653640.088219</v>
      </c>
      <c r="R11" s="39">
        <f t="shared" si="16"/>
        <v>5903548224.9511843</v>
      </c>
      <c r="S11" s="34">
        <f t="shared" si="17"/>
        <v>53131934024.560654</v>
      </c>
      <c r="T11" s="40">
        <v>8369094344</v>
      </c>
      <c r="U11" s="272">
        <f t="shared" si="9"/>
        <v>8.4492955886712982E-3</v>
      </c>
      <c r="V11" s="282">
        <f t="shared" si="10"/>
        <v>62.614571282521375</v>
      </c>
      <c r="W11" s="283">
        <f>((S11+'Malawi-only'!S11)/(T11*(U11+'Malawi-only'!U11))/12)</f>
        <v>47.497550460990858</v>
      </c>
      <c r="X11" s="284">
        <f>(R11+'Malawi-only'!R11)</f>
        <v>5949938450.0169811</v>
      </c>
      <c r="Y11" s="284">
        <f>(L11+'Malawi-only'!L11)</f>
        <v>21682854762.632755</v>
      </c>
      <c r="Z11" s="284">
        <f>(Q11+'Malawi-only'!Q11)</f>
        <v>59028434090.21981</v>
      </c>
    </row>
    <row r="12" spans="1:26" ht="15.75" customHeight="1">
      <c r="A12" s="31" t="s">
        <v>45</v>
      </c>
      <c r="B12" s="32">
        <v>2028</v>
      </c>
      <c r="C12" s="271">
        <f t="shared" si="11"/>
        <v>0.2303666645068875</v>
      </c>
      <c r="D12" s="271">
        <f t="shared" si="12"/>
        <v>0.31073243767999997</v>
      </c>
      <c r="E12" s="34">
        <f t="shared" si="1"/>
        <v>-17110544760.682987</v>
      </c>
      <c r="F12" s="34">
        <f t="shared" si="13"/>
        <v>212.90835743999995</v>
      </c>
      <c r="G12" s="34">
        <f t="shared" si="2"/>
        <v>66157532909.77594</v>
      </c>
      <c r="H12" s="34">
        <f t="shared" si="3"/>
        <v>65826745245.227058</v>
      </c>
      <c r="I12" s="35">
        <f t="shared" si="18"/>
        <v>0.13</v>
      </c>
      <c r="J12" s="36">
        <f t="shared" si="4"/>
        <v>8557476881.8795176</v>
      </c>
      <c r="K12" s="34">
        <f t="shared" si="14"/>
        <v>30236563173.942173</v>
      </c>
      <c r="L12" s="37">
        <f t="shared" si="15"/>
        <v>30200447449.107738</v>
      </c>
      <c r="M12" s="34">
        <f t="shared" si="5"/>
        <v>1902628189.2937875</v>
      </c>
      <c r="N12" s="34">
        <f t="shared" si="6"/>
        <v>57269268363.347542</v>
      </c>
      <c r="O12" s="34">
        <f t="shared" si="7"/>
        <v>59171896552.641327</v>
      </c>
      <c r="P12" s="34"/>
      <c r="Q12" s="38">
        <f t="shared" si="8"/>
        <v>58876037069.87812</v>
      </c>
      <c r="R12" s="39">
        <f t="shared" si="16"/>
        <v>5893565364.0088224</v>
      </c>
      <c r="S12" s="34">
        <f t="shared" si="17"/>
        <v>53042088276.079399</v>
      </c>
      <c r="T12" s="40">
        <v>8436618886</v>
      </c>
      <c r="U12" s="272">
        <f t="shared" si="9"/>
        <v>8.4492955886712982E-3</v>
      </c>
      <c r="V12" s="282">
        <f t="shared" si="10"/>
        <v>62.008386869856928</v>
      </c>
      <c r="W12" s="283">
        <f>((S12+'Malawi-only'!S12)/(T12*(U12+'Malawi-only'!U12))/12)</f>
        <v>47.054424230690252</v>
      </c>
      <c r="X12" s="284">
        <f>(R12+'Malawi-only'!R12)</f>
        <v>5958733498.6986675</v>
      </c>
      <c r="Y12" s="284">
        <f>(L12+'Malawi-only'!L12)</f>
        <v>30244540489.90205</v>
      </c>
      <c r="Z12" s="284">
        <f>(Q12+'Malawi-only'!Q12)</f>
        <v>59006373339.257813</v>
      </c>
    </row>
    <row r="13" spans="1:26" ht="15.75" customHeight="1">
      <c r="A13" s="31" t="s">
        <v>46</v>
      </c>
      <c r="B13" s="32">
        <v>2029</v>
      </c>
      <c r="C13" s="271">
        <f t="shared" si="11"/>
        <v>0.20732999805619876</v>
      </c>
      <c r="D13" s="271">
        <f t="shared" si="12"/>
        <v>0.26722989640479999</v>
      </c>
      <c r="E13" s="34">
        <f t="shared" si="1"/>
        <v>-14844711959.012335</v>
      </c>
      <c r="F13" s="34">
        <f t="shared" si="13"/>
        <v>247.82532806015993</v>
      </c>
      <c r="G13" s="34">
        <f t="shared" si="2"/>
        <v>66226336744.002113</v>
      </c>
      <c r="H13" s="34">
        <f t="shared" si="3"/>
        <v>65895205060.282104</v>
      </c>
      <c r="I13" s="35">
        <f t="shared" si="18"/>
        <v>0.14000000000000001</v>
      </c>
      <c r="J13" s="36">
        <f t="shared" si="4"/>
        <v>9225328708.4394951</v>
      </c>
      <c r="K13" s="34">
        <f t="shared" si="14"/>
        <v>39461891882.381668</v>
      </c>
      <c r="L13" s="37">
        <f t="shared" si="15"/>
        <v>39406063269.46846</v>
      </c>
      <c r="M13" s="34">
        <f t="shared" si="5"/>
        <v>2482581985.9765129</v>
      </c>
      <c r="N13" s="34">
        <f t="shared" si="6"/>
        <v>56669876351.842606</v>
      </c>
      <c r="O13" s="34">
        <f t="shared" si="7"/>
        <v>59152458337.819122</v>
      </c>
      <c r="P13" s="34"/>
      <c r="Q13" s="38">
        <f t="shared" si="8"/>
        <v>58856696046.130028</v>
      </c>
      <c r="R13" s="39">
        <f t="shared" si="16"/>
        <v>5887603706.987812</v>
      </c>
      <c r="S13" s="34">
        <f t="shared" si="17"/>
        <v>52988433362.890305</v>
      </c>
      <c r="T13" s="40">
        <v>8503285323</v>
      </c>
      <c r="U13" s="272">
        <f t="shared" si="9"/>
        <v>8.4492955886712982E-3</v>
      </c>
      <c r="V13" s="282">
        <f t="shared" si="10"/>
        <v>61.46000312058726</v>
      </c>
      <c r="W13" s="283">
        <f>((S13+'Malawi-only'!S13)/(T13*(U13+'Malawi-only'!U13))/12)</f>
        <v>46.658983272112927</v>
      </c>
      <c r="X13" s="284">
        <f>(R13+'Malawi-only'!R13)</f>
        <v>5976246888.6123133</v>
      </c>
      <c r="Y13" s="284">
        <f>(L13+'Malawi-only'!L13)</f>
        <v>39478670506.041054</v>
      </c>
      <c r="Z13" s="284">
        <f>(Q13+'Malawi-only'!Q13)</f>
        <v>59033982409.379028</v>
      </c>
    </row>
    <row r="14" spans="1:26" ht="15.75" customHeight="1">
      <c r="A14" s="31" t="s">
        <v>47</v>
      </c>
      <c r="B14" s="32">
        <v>2030</v>
      </c>
      <c r="C14" s="271">
        <f t="shared" si="11"/>
        <v>0.18659699825057888</v>
      </c>
      <c r="D14" s="271">
        <f t="shared" si="12"/>
        <v>0.229817710908128</v>
      </c>
      <c r="E14" s="34">
        <f t="shared" si="1"/>
        <v>-12467822009.460583</v>
      </c>
      <c r="F14" s="34">
        <f t="shared" si="13"/>
        <v>288.46868186202613</v>
      </c>
      <c r="G14" s="34">
        <f t="shared" si="2"/>
        <v>66295212134.215874</v>
      </c>
      <c r="H14" s="34">
        <f t="shared" si="3"/>
        <v>65963736073.544792</v>
      </c>
      <c r="I14" s="35">
        <f t="shared" si="18"/>
        <v>0.15000000000000002</v>
      </c>
      <c r="J14" s="36">
        <f t="shared" si="4"/>
        <v>9894560411.0317211</v>
      </c>
      <c r="K14" s="34">
        <f t="shared" si="14"/>
        <v>49356452293.413391</v>
      </c>
      <c r="L14" s="37">
        <f t="shared" si="15"/>
        <v>49275973368.659935</v>
      </c>
      <c r="M14" s="34">
        <f t="shared" si="5"/>
        <v>3104386322.2255759</v>
      </c>
      <c r="N14" s="34">
        <f t="shared" si="6"/>
        <v>56069175662.513069</v>
      </c>
      <c r="O14" s="34">
        <f t="shared" si="7"/>
        <v>59173561984.738647</v>
      </c>
      <c r="P14" s="34"/>
      <c r="Q14" s="38">
        <f t="shared" si="8"/>
        <v>58877694174.814957</v>
      </c>
      <c r="R14" s="39">
        <f t="shared" si="16"/>
        <v>5885669604.6130028</v>
      </c>
      <c r="S14" s="34">
        <f t="shared" si="17"/>
        <v>52971026441.517029</v>
      </c>
      <c r="T14" s="40">
        <v>8569124911</v>
      </c>
      <c r="U14" s="272">
        <f t="shared" si="9"/>
        <v>8.4492955886712982E-3</v>
      </c>
      <c r="V14" s="282">
        <f t="shared" si="10"/>
        <v>60.967749648889935</v>
      </c>
      <c r="W14" s="283">
        <f>((S14+'Malawi-only'!S14)/(T14*(U14+'Malawi-only'!U14))/12)</f>
        <v>46.310753241927053</v>
      </c>
      <c r="X14" s="284">
        <f>(R14+'Malawi-only'!R14)</f>
        <v>6003489718.6434908</v>
      </c>
      <c r="Y14" s="284">
        <f>(L14+'Malawi-only'!L14)</f>
        <v>49389503996.994095</v>
      </c>
      <c r="Z14" s="284">
        <f>(Q14+'Malawi-only'!Q14)</f>
        <v>59113334402.875931</v>
      </c>
    </row>
    <row r="15" spans="1:26" ht="15.75" customHeight="1">
      <c r="A15" s="31" t="s">
        <v>48</v>
      </c>
      <c r="B15" s="32">
        <v>2031</v>
      </c>
      <c r="C15" s="271">
        <f t="shared" si="11"/>
        <v>0.16793729842552099</v>
      </c>
      <c r="D15" s="271">
        <f t="shared" si="12"/>
        <v>0.19764323138099008</v>
      </c>
      <c r="E15" s="34">
        <f t="shared" si="1"/>
        <v>-9974585260.1418133</v>
      </c>
      <c r="F15" s="34">
        <f t="shared" si="13"/>
        <v>335.7775456873984</v>
      </c>
      <c r="G15" s="34">
        <f t="shared" si="2"/>
        <v>66364159154.835449</v>
      </c>
      <c r="H15" s="34">
        <f t="shared" si="3"/>
        <v>66032338359.061272</v>
      </c>
      <c r="I15" s="35">
        <f t="shared" si="18"/>
        <v>0.16000000000000003</v>
      </c>
      <c r="J15" s="36">
        <f t="shared" si="4"/>
        <v>10565174137.449806</v>
      </c>
      <c r="K15" s="34">
        <f t="shared" si="14"/>
        <v>59921626430.863197</v>
      </c>
      <c r="L15" s="37">
        <f t="shared" si="15"/>
        <v>59811226932.356689</v>
      </c>
      <c r="M15" s="34">
        <f t="shared" si="5"/>
        <v>3768107296.7384715</v>
      </c>
      <c r="N15" s="34">
        <f t="shared" si="6"/>
        <v>55467164221.611465</v>
      </c>
      <c r="O15" s="34">
        <f t="shared" si="7"/>
        <v>59235271518.349937</v>
      </c>
      <c r="P15" s="34"/>
      <c r="Q15" s="38">
        <f t="shared" si="8"/>
        <v>58939095160.758186</v>
      </c>
      <c r="R15" s="39">
        <f t="shared" si="16"/>
        <v>5887769417.4814959</v>
      </c>
      <c r="S15" s="34">
        <f t="shared" si="17"/>
        <v>52989924757.333458</v>
      </c>
      <c r="T15" s="40">
        <v>8634119333</v>
      </c>
      <c r="U15" s="272">
        <f t="shared" si="9"/>
        <v>8.4492955886712982E-3</v>
      </c>
      <c r="V15" s="282">
        <f t="shared" si="10"/>
        <v>60.53039477315329</v>
      </c>
      <c r="W15" s="283">
        <f>((S15+'Malawi-only'!S15)/(T15*(U15+'Malawi-only'!U15))/12)</f>
        <v>46.009742669462327</v>
      </c>
      <c r="X15" s="284">
        <f>(R15+'Malawi-only'!R15)</f>
        <v>6041671257.1956244</v>
      </c>
      <c r="Y15" s="284">
        <f>(L15+'Malawi-only'!L15)</f>
        <v>59982224893.17762</v>
      </c>
      <c r="Z15" s="284">
        <f>(Q15+'Malawi-only'!Q15)</f>
        <v>59246898840.186447</v>
      </c>
    </row>
    <row r="16" spans="1:26" ht="15.75" customHeight="1">
      <c r="A16" s="31" t="s">
        <v>49</v>
      </c>
      <c r="B16" s="32">
        <v>2032</v>
      </c>
      <c r="C16" s="271">
        <f t="shared" si="11"/>
        <v>0.1511435685829689</v>
      </c>
      <c r="D16" s="271">
        <f t="shared" si="12"/>
        <v>0.16997317898765146</v>
      </c>
      <c r="E16" s="34">
        <f t="shared" si="1"/>
        <v>-7359460268.2754211</v>
      </c>
      <c r="F16" s="34">
        <f t="shared" si="13"/>
        <v>390.84506318013172</v>
      </c>
      <c r="G16" s="34">
        <f t="shared" si="2"/>
        <v>66433177880.356468</v>
      </c>
      <c r="H16" s="34">
        <f t="shared" si="3"/>
        <v>66101011990.954689</v>
      </c>
      <c r="I16" s="35">
        <f t="shared" si="18"/>
        <v>0.17000000000000004</v>
      </c>
      <c r="J16" s="36">
        <f t="shared" si="4"/>
        <v>11237172038.462299</v>
      </c>
      <c r="K16" s="34">
        <f t="shared" si="14"/>
        <v>71158798469.3255</v>
      </c>
      <c r="L16" s="37">
        <f t="shared" si="15"/>
        <v>71012874771.333572</v>
      </c>
      <c r="M16" s="34">
        <f t="shared" si="5"/>
        <v>4473811110.5940151</v>
      </c>
      <c r="N16" s="34">
        <f t="shared" si="6"/>
        <v>54863839952.492386</v>
      </c>
      <c r="O16" s="34">
        <f t="shared" si="7"/>
        <v>59337651063.086403</v>
      </c>
      <c r="P16" s="34"/>
      <c r="Q16" s="38">
        <f t="shared" si="8"/>
        <v>59040962807.770973</v>
      </c>
      <c r="R16" s="39">
        <f t="shared" si="16"/>
        <v>5893909516.075819</v>
      </c>
      <c r="S16" s="34">
        <f t="shared" si="17"/>
        <v>53045185644.682365</v>
      </c>
      <c r="T16" s="40">
        <v>8698229812</v>
      </c>
      <c r="U16" s="272">
        <f t="shared" si="9"/>
        <v>8.4492955886712982E-3</v>
      </c>
      <c r="V16" s="282">
        <f t="shared" si="10"/>
        <v>60.146913527499123</v>
      </c>
      <c r="W16" s="283">
        <f>((S16+'Malawi-only'!S16)/(T16*(U16+'Malawi-only'!U16))/12)</f>
        <v>45.756294538644873</v>
      </c>
      <c r="X16" s="284">
        <f>(R16+'Malawi-only'!R16)</f>
        <v>6092236084.4399185</v>
      </c>
      <c r="Y16" s="284">
        <f>(L16+'Malawi-only'!L16)</f>
        <v>71263177477.995819</v>
      </c>
      <c r="Z16" s="284">
        <f>(Q16+'Malawi-only'!Q16)</f>
        <v>59437615944.499176</v>
      </c>
    </row>
    <row r="17" spans="1:26" ht="15.75" customHeight="1">
      <c r="A17" s="31" t="s">
        <v>50</v>
      </c>
      <c r="B17" s="32">
        <v>2033</v>
      </c>
      <c r="C17" s="271">
        <f t="shared" si="11"/>
        <v>0.13602921172467203</v>
      </c>
      <c r="D17" s="271">
        <f t="shared" si="12"/>
        <v>0.14617693392938025</v>
      </c>
      <c r="E17" s="34">
        <f t="shared" si="1"/>
        <v>-4616641814.9359226</v>
      </c>
      <c r="F17" s="34">
        <f t="shared" si="13"/>
        <v>454.94365354167331</v>
      </c>
      <c r="G17" s="34">
        <f t="shared" si="2"/>
        <v>66502268385.352036</v>
      </c>
      <c r="H17" s="34">
        <f t="shared" si="3"/>
        <v>66169757043.425278</v>
      </c>
      <c r="I17" s="35">
        <f t="shared" si="18"/>
        <v>0.18000000000000005</v>
      </c>
      <c r="J17" s="36">
        <f t="shared" si="4"/>
        <v>11910556267.816553</v>
      </c>
      <c r="K17" s="34">
        <f t="shared" si="14"/>
        <v>83069354737.142059</v>
      </c>
      <c r="L17" s="37">
        <f t="shared" si="15"/>
        <v>82881969323.630554</v>
      </c>
      <c r="M17" s="34">
        <f t="shared" si="5"/>
        <v>5221564067.3887253</v>
      </c>
      <c r="N17" s="34">
        <f t="shared" si="6"/>
        <v>54259200775.608727</v>
      </c>
      <c r="O17" s="34">
        <f t="shared" si="7"/>
        <v>59480764842.997452</v>
      </c>
      <c r="P17" s="34"/>
      <c r="Q17" s="38">
        <f t="shared" si="8"/>
        <v>59183361018.782463</v>
      </c>
      <c r="R17" s="39">
        <f t="shared" si="16"/>
        <v>5904096280.7770977</v>
      </c>
      <c r="S17" s="34">
        <f t="shared" si="17"/>
        <v>53136866526.993874</v>
      </c>
      <c r="T17" s="40">
        <v>8761449081</v>
      </c>
      <c r="U17" s="272">
        <f t="shared" si="9"/>
        <v>8.4492955886712982E-3</v>
      </c>
      <c r="V17" s="282">
        <f t="shared" si="10"/>
        <v>59.816121464732568</v>
      </c>
      <c r="W17" s="283">
        <f>((S17+'Malawi-only'!S17)/(T17*(U17+'Malawi-only'!U17))/12)</f>
        <v>45.550840041066209</v>
      </c>
      <c r="X17" s="284">
        <f>(R17+'Malawi-only'!R17)</f>
        <v>6156907951.328146</v>
      </c>
      <c r="Y17" s="284">
        <f>(L17+'Malawi-only'!L17)</f>
        <v>83240157596.14476</v>
      </c>
      <c r="Z17" s="284">
        <f>(Q17+'Malawi-only'!Q17)</f>
        <v>59688984359.88456</v>
      </c>
    </row>
    <row r="18" spans="1:26" ht="15.75" customHeight="1">
      <c r="A18" s="31" t="s">
        <v>51</v>
      </c>
      <c r="B18" s="32">
        <v>2034</v>
      </c>
      <c r="C18" s="271">
        <f t="shared" si="11"/>
        <v>0.12242629055220483</v>
      </c>
      <c r="D18" s="271">
        <f t="shared" si="12"/>
        <v>0.12571216317926701</v>
      </c>
      <c r="E18" s="34">
        <f t="shared" si="1"/>
        <v>-1740048349.3048737</v>
      </c>
      <c r="F18" s="34">
        <f t="shared" si="13"/>
        <v>529.55441272250766</v>
      </c>
      <c r="G18" s="34">
        <f t="shared" si="2"/>
        <v>66571430744.472794</v>
      </c>
      <c r="H18" s="34">
        <f t="shared" si="3"/>
        <v>66238573590.750427</v>
      </c>
      <c r="I18" s="35">
        <f t="shared" si="18"/>
        <v>0.19000000000000006</v>
      </c>
      <c r="J18" s="36">
        <f t="shared" si="4"/>
        <v>12585328982.242584</v>
      </c>
      <c r="K18" s="34">
        <f t="shared" si="14"/>
        <v>95654683719.384644</v>
      </c>
      <c r="L18" s="37">
        <f t="shared" si="15"/>
        <v>95419564656.7202</v>
      </c>
      <c r="M18" s="34">
        <f t="shared" si="5"/>
        <v>6011432573.373373</v>
      </c>
      <c r="N18" s="34">
        <f t="shared" si="6"/>
        <v>53653244608.507843</v>
      </c>
      <c r="O18" s="34">
        <f t="shared" si="7"/>
        <v>59664677181.881218</v>
      </c>
      <c r="P18" s="34"/>
      <c r="Q18" s="38">
        <f t="shared" si="8"/>
        <v>59366353795.971809</v>
      </c>
      <c r="R18" s="39">
        <f t="shared" si="16"/>
        <v>5918336101.8782463</v>
      </c>
      <c r="S18" s="34">
        <f t="shared" si="17"/>
        <v>53265024916.904221</v>
      </c>
      <c r="T18" s="40">
        <v>8823784909</v>
      </c>
      <c r="U18" s="272">
        <f t="shared" si="9"/>
        <v>8.4492955886712982E-3</v>
      </c>
      <c r="V18" s="282">
        <f t="shared" si="10"/>
        <v>59.536797720066943</v>
      </c>
      <c r="W18" s="283">
        <f>((S18+'Malawi-only'!S18)/(T18*(U18+'Malawi-only'!U18))/12)</f>
        <v>45.394029313654379</v>
      </c>
      <c r="X18" s="284">
        <f>(R18+'Malawi-only'!R18)</f>
        <v>6237741537.1539593</v>
      </c>
      <c r="Y18" s="284">
        <f>(L18+'Malawi-only'!L18)</f>
        <v>95922771878.031509</v>
      </c>
      <c r="Z18" s="284">
        <f>(Q18+'Malawi-only'!Q18)</f>
        <v>60005164666.523232</v>
      </c>
    </row>
    <row r="19" spans="1:26" ht="15.75" customHeight="1">
      <c r="A19" s="31" t="s">
        <v>52</v>
      </c>
      <c r="B19" s="32">
        <v>2035</v>
      </c>
      <c r="C19" s="271">
        <f t="shared" si="11"/>
        <v>0.11018366149698434</v>
      </c>
      <c r="D19" s="271">
        <f t="shared" ref="D19:D184" si="19">C19</f>
        <v>0.11018366149698434</v>
      </c>
      <c r="E19" s="34">
        <f t="shared" si="1"/>
        <v>0</v>
      </c>
      <c r="F19" s="34">
        <f t="shared" si="13"/>
        <v>616.40133640899887</v>
      </c>
      <c r="G19" s="34">
        <f t="shared" si="2"/>
        <v>67917356197.17791</v>
      </c>
      <c r="H19" s="34">
        <f t="shared" si="3"/>
        <v>67577769416.192017</v>
      </c>
      <c r="I19" s="35">
        <f t="shared" ref="I19:I38" si="20">I18+$J$5</f>
        <v>0.23000000000000007</v>
      </c>
      <c r="J19" s="36">
        <f t="shared" si="4"/>
        <v>15542886965.724169</v>
      </c>
      <c r="K19" s="34">
        <f t="shared" si="14"/>
        <v>111197570685.10881</v>
      </c>
      <c r="L19" s="37">
        <f t="shared" si="15"/>
        <v>110906970396.63315</v>
      </c>
      <c r="M19" s="34">
        <f t="shared" si="5"/>
        <v>6987139134.9878883</v>
      </c>
      <c r="N19" s="34">
        <f t="shared" si="6"/>
        <v>52034882450.46785</v>
      </c>
      <c r="O19" s="34">
        <f t="shared" si="7"/>
        <v>59022021585.455734</v>
      </c>
      <c r="P19" s="34"/>
      <c r="Q19" s="38">
        <f t="shared" si="8"/>
        <v>58726911477.528458</v>
      </c>
      <c r="R19" s="39">
        <f t="shared" si="16"/>
        <v>5936635379.5971813</v>
      </c>
      <c r="S19" s="34">
        <f t="shared" si="17"/>
        <v>53429718416.374626</v>
      </c>
      <c r="T19" s="40">
        <v>8885210181</v>
      </c>
      <c r="U19" s="272">
        <f t="shared" si="9"/>
        <v>8.4492955886712982E-3</v>
      </c>
      <c r="V19" s="282">
        <f t="shared" si="10"/>
        <v>59.308020651510269</v>
      </c>
      <c r="W19" s="283">
        <f>((S19+'Malawi-only'!S19)/(T19*(U19+'Malawi-only'!U19))/12)</f>
        <v>45.27085012598544</v>
      </c>
      <c r="X19" s="284">
        <f>(R19+'Malawi-only'!R19)</f>
        <v>6317949680.7276077</v>
      </c>
      <c r="Y19" s="284">
        <f>(L19+'Malawi-only'!L19)</f>
        <v>111641775579.65355</v>
      </c>
      <c r="Z19" s="284">
        <f>(Q19+'Malawi-only'!Q19)</f>
        <v>59489540079.789314</v>
      </c>
    </row>
    <row r="20" spans="1:26" ht="15.75" customHeight="1">
      <c r="A20" s="31" t="s">
        <v>53</v>
      </c>
      <c r="B20" s="32">
        <v>2036</v>
      </c>
      <c r="C20" s="271">
        <f t="shared" si="11"/>
        <v>9.9165295347285909E-2</v>
      </c>
      <c r="D20" s="271">
        <f t="shared" si="19"/>
        <v>9.9165295347285909E-2</v>
      </c>
      <c r="E20" s="34">
        <f t="shared" si="1"/>
        <v>0</v>
      </c>
      <c r="F20" s="34">
        <f t="shared" si="13"/>
        <v>717.49115558007463</v>
      </c>
      <c r="G20" s="34">
        <f t="shared" si="2"/>
        <v>71150222352.163574</v>
      </c>
      <c r="H20" s="34">
        <f t="shared" si="3"/>
        <v>70794471240.402756</v>
      </c>
      <c r="I20" s="35">
        <f t="shared" si="20"/>
        <v>0.27000000000000007</v>
      </c>
      <c r="J20" s="36">
        <f t="shared" si="4"/>
        <v>19114507234.908749</v>
      </c>
      <c r="K20" s="34">
        <f t="shared" si="14"/>
        <v>130312077920.01756</v>
      </c>
      <c r="L20" s="37">
        <f t="shared" si="15"/>
        <v>129956466892.72614</v>
      </c>
      <c r="M20" s="34">
        <f t="shared" si="5"/>
        <v>8187257414.2417469</v>
      </c>
      <c r="N20" s="34">
        <f t="shared" si="6"/>
        <v>51679964005.494011</v>
      </c>
      <c r="O20" s="34">
        <f t="shared" si="7"/>
        <v>59867221419.735756</v>
      </c>
      <c r="P20" s="34"/>
      <c r="Q20" s="38">
        <f t="shared" si="8"/>
        <v>59567885312.637077</v>
      </c>
      <c r="R20" s="39">
        <f t="shared" si="16"/>
        <v>5872691147.7528458</v>
      </c>
      <c r="S20" s="34">
        <f t="shared" si="17"/>
        <v>52854220329.775612</v>
      </c>
      <c r="T20" s="40">
        <v>8945686614</v>
      </c>
      <c r="U20" s="272">
        <f t="shared" si="9"/>
        <v>8.4492955886712982E-3</v>
      </c>
      <c r="V20" s="282">
        <f t="shared" si="10"/>
        <v>58.27257925527968</v>
      </c>
      <c r="W20" s="283">
        <f>((S20+'Malawi-only'!S20)/(T20*(U20+'Malawi-only'!U20))/12)</f>
        <v>44.543010408461392</v>
      </c>
      <c r="X20" s="284">
        <f>(R20+'Malawi-only'!R20)</f>
        <v>6324731201.8935966</v>
      </c>
      <c r="Y20" s="284">
        <f>(L20+'Malawi-only'!L20)</f>
        <v>131042828069.88535</v>
      </c>
      <c r="Z20" s="284">
        <f>(Q20+'Malawi-only'!Q20)</f>
        <v>60471965420.918579</v>
      </c>
    </row>
    <row r="21" spans="1:26" ht="15.75" customHeight="1">
      <c r="A21" s="31" t="s">
        <v>54</v>
      </c>
      <c r="B21" s="32">
        <v>2037</v>
      </c>
      <c r="C21" s="271">
        <f t="shared" si="11"/>
        <v>8.9248765812557321E-2</v>
      </c>
      <c r="D21" s="271">
        <f t="shared" si="19"/>
        <v>8.9248765812557321E-2</v>
      </c>
      <c r="E21" s="34">
        <f t="shared" si="1"/>
        <v>0</v>
      </c>
      <c r="F21" s="34">
        <f t="shared" si="13"/>
        <v>835.15970509520685</v>
      </c>
      <c r="G21" s="34">
        <f t="shared" si="2"/>
        <v>74536972936.126541</v>
      </c>
      <c r="H21" s="34">
        <f t="shared" si="3"/>
        <v>74164288071.445908</v>
      </c>
      <c r="I21" s="35">
        <f t="shared" si="20"/>
        <v>0.31000000000000005</v>
      </c>
      <c r="J21" s="36">
        <f t="shared" si="4"/>
        <v>22990929302.148235</v>
      </c>
      <c r="K21" s="34">
        <f t="shared" si="14"/>
        <v>153303007222.1658</v>
      </c>
      <c r="L21" s="37">
        <f t="shared" si="15"/>
        <v>152870922496.77692</v>
      </c>
      <c r="M21" s="34">
        <f t="shared" si="5"/>
        <v>9630868117.2969456</v>
      </c>
      <c r="N21" s="34">
        <f t="shared" si="6"/>
        <v>51173358769.297676</v>
      </c>
      <c r="O21" s="34">
        <f t="shared" si="7"/>
        <v>60804226886.59462</v>
      </c>
      <c r="P21" s="34"/>
      <c r="Q21" s="38">
        <f t="shared" si="8"/>
        <v>60500205752.161644</v>
      </c>
      <c r="R21" s="39">
        <f t="shared" si="16"/>
        <v>5956788531.2637081</v>
      </c>
      <c r="S21" s="34">
        <f t="shared" si="17"/>
        <v>53611096781.373367</v>
      </c>
      <c r="T21" s="40">
        <v>9005152624</v>
      </c>
      <c r="U21" s="272">
        <f t="shared" si="9"/>
        <v>8.4492955886712982E-3</v>
      </c>
      <c r="V21" s="282">
        <f t="shared" si="10"/>
        <v>58.716730452377703</v>
      </c>
      <c r="W21" s="283">
        <f>((S21+'Malawi-only'!S21)/(T21*(U21+'Malawi-only'!U21))/12)</f>
        <v>44.943816851596459</v>
      </c>
      <c r="X21" s="284">
        <f>(R21+'Malawi-only'!R21)</f>
        <v>6489151208.2651844</v>
      </c>
      <c r="Y21" s="284">
        <f>(L21+'Malawi-only'!L21)</f>
        <v>154472252528.95044</v>
      </c>
      <c r="Z21" s="284">
        <f>(Q21+'Malawi-only'!Q21)</f>
        <v>61564931106.164597</v>
      </c>
    </row>
    <row r="22" spans="1:26" ht="15.75" customHeight="1">
      <c r="A22" s="31" t="s">
        <v>55</v>
      </c>
      <c r="B22" s="32">
        <v>2038</v>
      </c>
      <c r="C22" s="271">
        <f t="shared" si="11"/>
        <v>8.0323889231301585E-2</v>
      </c>
      <c r="D22" s="271">
        <f t="shared" si="19"/>
        <v>8.0323889231301585E-2</v>
      </c>
      <c r="E22" s="34">
        <f t="shared" si="1"/>
        <v>0</v>
      </c>
      <c r="F22" s="34">
        <f t="shared" si="13"/>
        <v>972.12589673082073</v>
      </c>
      <c r="G22" s="34">
        <f t="shared" si="2"/>
        <v>78084932847.886169</v>
      </c>
      <c r="H22" s="34">
        <f t="shared" si="3"/>
        <v>77694508183.646744</v>
      </c>
      <c r="I22" s="35">
        <f t="shared" si="20"/>
        <v>0.35000000000000003</v>
      </c>
      <c r="J22" s="36">
        <f t="shared" si="4"/>
        <v>27193077864.276363</v>
      </c>
      <c r="K22" s="34">
        <f t="shared" si="14"/>
        <v>180496085086.44217</v>
      </c>
      <c r="L22" s="37">
        <f t="shared" si="15"/>
        <v>179973968360.87277</v>
      </c>
      <c r="M22" s="34">
        <f t="shared" si="5"/>
        <v>11338360006.734985</v>
      </c>
      <c r="N22" s="34">
        <f t="shared" si="6"/>
        <v>50501430319.370377</v>
      </c>
      <c r="O22" s="34">
        <f t="shared" si="7"/>
        <v>61839790326.105362</v>
      </c>
      <c r="P22" s="34"/>
      <c r="Q22" s="38">
        <f t="shared" si="8"/>
        <v>61530591374.474838</v>
      </c>
      <c r="R22" s="39">
        <f t="shared" si="16"/>
        <v>6050020575.2161646</v>
      </c>
      <c r="S22" s="34">
        <f t="shared" si="17"/>
        <v>54450185176.94548</v>
      </c>
      <c r="T22" s="40">
        <v>9063572926</v>
      </c>
      <c r="U22" s="272">
        <f t="shared" si="9"/>
        <v>8.4492955886712982E-3</v>
      </c>
      <c r="V22" s="282">
        <f t="shared" si="10"/>
        <v>59.251340179051198</v>
      </c>
      <c r="W22" s="283">
        <f>((S22+'Malawi-only'!S22)/(T22*(U22+'Malawi-only'!U22))/12)</f>
        <v>45.420911941464539</v>
      </c>
      <c r="X22" s="284">
        <f>(R22+'Malawi-only'!R22)</f>
        <v>6673028124.4103231</v>
      </c>
      <c r="Y22" s="284">
        <f>(L22+'Malawi-only'!L22)</f>
        <v>182309856653.37921</v>
      </c>
      <c r="Z22" s="284">
        <f>(Q22+'Malawi-only'!Q22)</f>
        <v>62776606472.863159</v>
      </c>
    </row>
    <row r="23" spans="1:26" ht="15.75" customHeight="1">
      <c r="A23" s="31" t="s">
        <v>56</v>
      </c>
      <c r="B23" s="32">
        <v>2039</v>
      </c>
      <c r="C23" s="271">
        <f t="shared" si="11"/>
        <v>7.2291500308171427E-2</v>
      </c>
      <c r="D23" s="271">
        <f t="shared" si="19"/>
        <v>7.2291500308171427E-2</v>
      </c>
      <c r="E23" s="34">
        <f t="shared" si="1"/>
        <v>0</v>
      </c>
      <c r="F23" s="34">
        <f t="shared" si="13"/>
        <v>1131.5545437946753</v>
      </c>
      <c r="G23" s="34">
        <f t="shared" si="2"/>
        <v>81801775651.445557</v>
      </c>
      <c r="H23" s="34">
        <f t="shared" si="3"/>
        <v>81392766773.188324</v>
      </c>
      <c r="I23" s="35">
        <f t="shared" si="20"/>
        <v>0.39</v>
      </c>
      <c r="J23" s="36">
        <f t="shared" si="4"/>
        <v>31743179041.543446</v>
      </c>
      <c r="K23" s="34">
        <f t="shared" si="14"/>
        <v>212239264127.98563</v>
      </c>
      <c r="L23" s="37">
        <f t="shared" si="15"/>
        <v>211611288828.71503</v>
      </c>
      <c r="M23" s="34">
        <f t="shared" si="5"/>
        <v>13331511196.209047</v>
      </c>
      <c r="N23" s="34">
        <f t="shared" si="6"/>
        <v>49649587731.644875</v>
      </c>
      <c r="O23" s="34">
        <f t="shared" si="7"/>
        <v>62981098927.85392</v>
      </c>
      <c r="P23" s="34"/>
      <c r="Q23" s="38">
        <f t="shared" si="8"/>
        <v>62666193433.214653</v>
      </c>
      <c r="R23" s="39">
        <f t="shared" si="16"/>
        <v>6153059137.447484</v>
      </c>
      <c r="S23" s="34">
        <f t="shared" si="17"/>
        <v>55377532237.027351</v>
      </c>
      <c r="T23" s="40">
        <v>9120928380</v>
      </c>
      <c r="U23" s="272">
        <f t="shared" si="9"/>
        <v>8.4492955886712982E-3</v>
      </c>
      <c r="V23" s="282">
        <f t="shared" si="10"/>
        <v>59.881518293594723</v>
      </c>
      <c r="W23" s="283">
        <f>((S23+'Malawi-only'!S23)/(T23*(U23+'Malawi-only'!U23))/12)</f>
        <v>45.978553952810699</v>
      </c>
      <c r="X23" s="284">
        <f>(R23+'Malawi-only'!R23)</f>
        <v>6877653675.2126398</v>
      </c>
      <c r="Y23" s="284">
        <f>(L23+'Malawi-only'!L23)</f>
        <v>214973504976.7756</v>
      </c>
      <c r="Z23" s="284">
        <f>(Q23+'Malawi-only'!Q23)</f>
        <v>64115382508.744965</v>
      </c>
    </row>
    <row r="24" spans="1:26" ht="15.75" customHeight="1">
      <c r="A24" s="31" t="s">
        <v>57</v>
      </c>
      <c r="B24" s="32">
        <v>2040</v>
      </c>
      <c r="C24" s="271">
        <f t="shared" si="11"/>
        <v>6.5062350277354283E-2</v>
      </c>
      <c r="D24" s="271">
        <f t="shared" si="19"/>
        <v>6.5062350277354283E-2</v>
      </c>
      <c r="E24" s="34">
        <f t="shared" si="1"/>
        <v>0</v>
      </c>
      <c r="F24" s="34">
        <f t="shared" si="13"/>
        <v>1317.129488977002</v>
      </c>
      <c r="G24" s="34">
        <f t="shared" si="2"/>
        <v>85695540172.454346</v>
      </c>
      <c r="H24" s="34">
        <f t="shared" si="3"/>
        <v>85267062471.592072</v>
      </c>
      <c r="I24" s="35">
        <f t="shared" si="20"/>
        <v>0.43</v>
      </c>
      <c r="J24" s="36">
        <f t="shared" si="4"/>
        <v>36664836862.784592</v>
      </c>
      <c r="K24" s="34">
        <f t="shared" si="14"/>
        <v>248904100990.7702</v>
      </c>
      <c r="L24" s="37">
        <f t="shared" si="15"/>
        <v>248151987628.6539</v>
      </c>
      <c r="M24" s="34">
        <f t="shared" si="5"/>
        <v>15633575220.605196</v>
      </c>
      <c r="N24" s="34">
        <f t="shared" si="6"/>
        <v>48602225608.807487</v>
      </c>
      <c r="O24" s="34">
        <f t="shared" si="7"/>
        <v>64235800829.412682</v>
      </c>
      <c r="P24" s="34"/>
      <c r="Q24" s="38">
        <f t="shared" si="8"/>
        <v>63914621825.265617</v>
      </c>
      <c r="R24" s="39">
        <f t="shared" si="16"/>
        <v>6266619343.3214655</v>
      </c>
      <c r="S24" s="34">
        <f t="shared" si="17"/>
        <v>56399574089.893188</v>
      </c>
      <c r="T24" s="40">
        <v>9177190203</v>
      </c>
      <c r="U24" s="272">
        <f t="shared" si="9"/>
        <v>8.4492955886712982E-3</v>
      </c>
      <c r="V24" s="282">
        <f t="shared" si="10"/>
        <v>60.612799326922953</v>
      </c>
      <c r="W24" s="283">
        <f>((S24+'Malawi-only'!S24)/(T24*(U24+'Malawi-only'!U24))/12)</f>
        <v>46.621193925942862</v>
      </c>
      <c r="X24" s="284">
        <f>(R24+'Malawi-only'!R24)</f>
        <v>7104207703.5795383</v>
      </c>
      <c r="Y24" s="284">
        <f>(L24+'Malawi-only'!L24)</f>
        <v>252924582546.68149</v>
      </c>
      <c r="Z24" s="284">
        <f>(Q24+'Malawi-only'!Q24)</f>
        <v>65589798545.781761</v>
      </c>
    </row>
    <row r="25" spans="1:26" ht="15.75" customHeight="1">
      <c r="A25" s="31" t="s">
        <v>58</v>
      </c>
      <c r="B25" s="32">
        <v>2041</v>
      </c>
      <c r="C25" s="271">
        <f t="shared" si="11"/>
        <v>5.8556115249618859E-2</v>
      </c>
      <c r="D25" s="271">
        <f t="shared" si="19"/>
        <v>5.8556115249618859E-2</v>
      </c>
      <c r="E25" s="34">
        <f t="shared" si="1"/>
        <v>0</v>
      </c>
      <c r="F25" s="34">
        <f t="shared" si="13"/>
        <v>1533.1387251692302</v>
      </c>
      <c r="G25" s="34">
        <f t="shared" si="2"/>
        <v>89774647884.663177</v>
      </c>
      <c r="H25" s="34">
        <f t="shared" si="3"/>
        <v>89325774645.239868</v>
      </c>
      <c r="I25" s="35">
        <f t="shared" si="20"/>
        <v>0.47</v>
      </c>
      <c r="J25" s="36">
        <f t="shared" si="4"/>
        <v>41983114083.262733</v>
      </c>
      <c r="K25" s="34">
        <f t="shared" si="14"/>
        <v>290887215074.03296</v>
      </c>
      <c r="L25" s="37">
        <f t="shared" si="15"/>
        <v>289990034161.06067</v>
      </c>
      <c r="M25" s="34">
        <f t="shared" si="5"/>
        <v>18269372152.146824</v>
      </c>
      <c r="N25" s="34">
        <f t="shared" si="6"/>
        <v>47342660561.977135</v>
      </c>
      <c r="O25" s="34">
        <f t="shared" si="7"/>
        <v>65612032714.123962</v>
      </c>
      <c r="P25" s="34"/>
      <c r="Q25" s="38">
        <f t="shared" si="8"/>
        <v>65283972550.553345</v>
      </c>
      <c r="R25" s="39">
        <f t="shared" si="16"/>
        <v>6391462182.5265617</v>
      </c>
      <c r="S25" s="34">
        <f t="shared" si="17"/>
        <v>57523159642.739059</v>
      </c>
      <c r="T25" s="40">
        <v>9232281575</v>
      </c>
      <c r="U25" s="272">
        <f t="shared" si="9"/>
        <v>8.4492955886712982E-3</v>
      </c>
      <c r="V25" s="282">
        <f t="shared" si="10"/>
        <v>61.451422675472124</v>
      </c>
      <c r="W25" s="283">
        <f>((S25+'Malawi-only'!S25)/(T25*(U25+'Malawi-only'!U25))/12)</f>
        <v>47.283865646171442</v>
      </c>
      <c r="X25" s="284">
        <f>(R25+'Malawi-only'!R25)</f>
        <v>7267514596.9677572</v>
      </c>
      <c r="Y25" s="284">
        <f>(L25+'Malawi-only'!L25)</f>
        <v>296471335727.38098</v>
      </c>
      <c r="Z25" s="284">
        <f>(Q25+'Malawi-only'!Q25)</f>
        <v>67036077379.435738</v>
      </c>
    </row>
    <row r="26" spans="1:26" ht="15.75" customHeight="1">
      <c r="A26" s="31" t="s">
        <v>59</v>
      </c>
      <c r="B26" s="32">
        <v>2042</v>
      </c>
      <c r="C26" s="271">
        <f t="shared" si="11"/>
        <v>5.2700503724656976E-2</v>
      </c>
      <c r="D26" s="271">
        <f t="shared" si="19"/>
        <v>5.2700503724656976E-2</v>
      </c>
      <c r="E26" s="34">
        <f t="shared" si="1"/>
        <v>0</v>
      </c>
      <c r="F26" s="34">
        <f t="shared" si="13"/>
        <v>1784.5734760969838</v>
      </c>
      <c r="G26" s="34">
        <f t="shared" si="2"/>
        <v>94047921123.973145</v>
      </c>
      <c r="H26" s="34">
        <f t="shared" si="3"/>
        <v>93577681518.353271</v>
      </c>
      <c r="I26" s="35">
        <f t="shared" si="20"/>
        <v>0.51</v>
      </c>
      <c r="J26" s="36">
        <f t="shared" si="4"/>
        <v>47724617574.360168</v>
      </c>
      <c r="K26" s="34">
        <f t="shared" si="14"/>
        <v>338611832648.39313</v>
      </c>
      <c r="L26" s="37">
        <f t="shared" si="15"/>
        <v>337545794409.55316</v>
      </c>
      <c r="M26" s="34">
        <f t="shared" si="5"/>
        <v>21265385047.801849</v>
      </c>
      <c r="N26" s="34">
        <f t="shared" si="6"/>
        <v>45853063943.993103</v>
      </c>
      <c r="O26" s="34">
        <f t="shared" si="7"/>
        <v>67118448991.794952</v>
      </c>
      <c r="P26" s="34"/>
      <c r="Q26" s="38">
        <f t="shared" si="8"/>
        <v>66782856746.835976</v>
      </c>
      <c r="R26" s="39">
        <f t="shared" si="16"/>
        <v>6528397255.055335</v>
      </c>
      <c r="S26" s="34">
        <f t="shared" si="17"/>
        <v>58755575295.498009</v>
      </c>
      <c r="T26" s="40">
        <v>9286110371</v>
      </c>
      <c r="U26" s="272">
        <f t="shared" si="9"/>
        <v>8.4492955886712982E-3</v>
      </c>
      <c r="V26" s="282">
        <f t="shared" si="10"/>
        <v>62.404152865130413</v>
      </c>
      <c r="W26" s="283">
        <f>((S26+'Malawi-only'!S26)/(T26*(U26+'Malawi-only'!U26))/12)</f>
        <v>48.00651756502031</v>
      </c>
      <c r="X26" s="284">
        <f>(R26+'Malawi-only'!R26)</f>
        <v>7410265103.5498409</v>
      </c>
      <c r="Y26" s="284">
        <f>(L26+'Malawi-only'!L26)</f>
        <v>345982372310.79779</v>
      </c>
      <c r="Z26" s="284">
        <f>(Q26+'Malawi-only'!Q26)</f>
        <v>68546592443.824989</v>
      </c>
    </row>
    <row r="27" spans="1:26" ht="15.75" customHeight="1">
      <c r="A27" s="31" t="s">
        <v>60</v>
      </c>
      <c r="B27" s="32">
        <v>2043</v>
      </c>
      <c r="C27" s="271">
        <f t="shared" si="11"/>
        <v>4.7430453352191281E-2</v>
      </c>
      <c r="D27" s="271">
        <f t="shared" si="19"/>
        <v>4.7430453352191281E-2</v>
      </c>
      <c r="E27" s="34">
        <f t="shared" si="1"/>
        <v>0</v>
      </c>
      <c r="F27" s="34">
        <f t="shared" si="13"/>
        <v>2077.2435261768892</v>
      </c>
      <c r="G27" s="34">
        <f t="shared" si="2"/>
        <v>98524602169.474258</v>
      </c>
      <c r="H27" s="34">
        <f t="shared" si="3"/>
        <v>98031979158.626892</v>
      </c>
      <c r="I27" s="35">
        <f t="shared" si="20"/>
        <v>0.55000000000000004</v>
      </c>
      <c r="J27" s="36">
        <f t="shared" si="4"/>
        <v>53917588537.244797</v>
      </c>
      <c r="K27" s="34">
        <f t="shared" si="14"/>
        <v>392529421185.63794</v>
      </c>
      <c r="L27" s="37">
        <f t="shared" si="15"/>
        <v>391267651255.32458</v>
      </c>
      <c r="M27" s="34">
        <f t="shared" si="5"/>
        <v>24649862029.085449</v>
      </c>
      <c r="N27" s="34">
        <f t="shared" si="6"/>
        <v>44114390621.382095</v>
      </c>
      <c r="O27" s="34">
        <f t="shared" si="7"/>
        <v>68764252650.467545</v>
      </c>
      <c r="P27" s="34"/>
      <c r="Q27" s="38">
        <f t="shared" si="8"/>
        <v>68420431387.21521</v>
      </c>
      <c r="R27" s="39">
        <f t="shared" si="16"/>
        <v>6678285674.6835976</v>
      </c>
      <c r="S27" s="34">
        <f t="shared" si="17"/>
        <v>60104571072.152374</v>
      </c>
      <c r="T27" s="40">
        <v>9338661314</v>
      </c>
      <c r="U27" s="272">
        <f t="shared" si="9"/>
        <v>8.4492955886712982E-3</v>
      </c>
      <c r="V27" s="282">
        <f t="shared" si="10"/>
        <v>63.477691950306308</v>
      </c>
      <c r="W27" s="283">
        <f>((S27+'Malawi-only'!S27)/(T27*(U27+'Malawi-only'!U27))/12)</f>
        <v>48.822067820156256</v>
      </c>
      <c r="X27" s="284">
        <f>(R27+'Malawi-only'!R27)</f>
        <v>7567525095.2848635</v>
      </c>
      <c r="Y27" s="284">
        <f>(L27+'Malawi-only'!L27)</f>
        <v>401925629735.93274</v>
      </c>
      <c r="Z27" s="284">
        <f>(Q27+'Malawi-only'!Q27)</f>
        <v>70198910228.41774</v>
      </c>
    </row>
    <row r="28" spans="1:26" ht="15.75" customHeight="1">
      <c r="A28" s="31" t="s">
        <v>61</v>
      </c>
      <c r="B28" s="32">
        <v>2044</v>
      </c>
      <c r="C28" s="271">
        <f t="shared" si="11"/>
        <v>4.2687408016972156E-2</v>
      </c>
      <c r="D28" s="271">
        <f t="shared" si="19"/>
        <v>4.2687408016972156E-2</v>
      </c>
      <c r="E28" s="34">
        <f t="shared" si="1"/>
        <v>0</v>
      </c>
      <c r="F28" s="42">
        <v>4000</v>
      </c>
      <c r="G28" s="34">
        <f t="shared" si="2"/>
        <v>170749632067.88864</v>
      </c>
      <c r="H28" s="34">
        <f t="shared" si="3"/>
        <v>169895883907.54919</v>
      </c>
      <c r="I28" s="35">
        <f t="shared" si="20"/>
        <v>0.59000000000000008</v>
      </c>
      <c r="J28" s="36">
        <f t="shared" si="4"/>
        <v>100238571505.45404</v>
      </c>
      <c r="K28" s="34">
        <f t="shared" si="14"/>
        <v>492767992691.09198</v>
      </c>
      <c r="L28" s="37">
        <f t="shared" si="15"/>
        <v>491260469649.39825</v>
      </c>
      <c r="M28" s="34">
        <f t="shared" si="5"/>
        <v>30949409587.91209</v>
      </c>
      <c r="N28" s="34">
        <f t="shared" si="6"/>
        <v>69657312402.095154</v>
      </c>
      <c r="O28" s="34">
        <f t="shared" si="7"/>
        <v>100606721990.00725</v>
      </c>
      <c r="P28" s="34"/>
      <c r="Q28" s="38">
        <f t="shared" si="8"/>
        <v>100103688380.05721</v>
      </c>
      <c r="R28" s="39">
        <f t="shared" si="16"/>
        <v>6842043138.7215214</v>
      </c>
      <c r="S28" s="34">
        <f t="shared" si="17"/>
        <v>61578388248.49369</v>
      </c>
      <c r="T28" s="40">
        <v>9389873693</v>
      </c>
      <c r="U28" s="272">
        <f t="shared" si="9"/>
        <v>8.4492955886712982E-3</v>
      </c>
      <c r="V28" s="282">
        <f t="shared" si="10"/>
        <v>64.679524334177415</v>
      </c>
      <c r="W28" s="283">
        <f>((S28+'Malawi-only'!S28)/(T28*(U28+'Malawi-only'!U28))/12)</f>
        <v>49.736278126221521</v>
      </c>
      <c r="X28" s="284">
        <f>(R28+'Malawi-only'!R28)</f>
        <v>7740343743.7311974</v>
      </c>
      <c r="Y28" s="284">
        <f>(L28+'Malawi-only'!L28)</f>
        <v>504426830461.46564</v>
      </c>
      <c r="Z28" s="284">
        <f>(Q28+'Malawi-only'!Q28)</f>
        <v>101900289590.07655</v>
      </c>
    </row>
    <row r="29" spans="1:26" ht="15.75" customHeight="1">
      <c r="A29" s="31" t="s">
        <v>62</v>
      </c>
      <c r="B29" s="32">
        <v>2045</v>
      </c>
      <c r="C29" s="271">
        <f t="shared" si="11"/>
        <v>3.841866721527494E-2</v>
      </c>
      <c r="D29" s="271">
        <f t="shared" si="19"/>
        <v>3.841866721527494E-2</v>
      </c>
      <c r="E29" s="34">
        <f t="shared" si="1"/>
        <v>0</v>
      </c>
      <c r="F29" s="42">
        <v>4000</v>
      </c>
      <c r="G29" s="34">
        <f t="shared" si="2"/>
        <v>153674668861.09976</v>
      </c>
      <c r="H29" s="34">
        <f t="shared" si="3"/>
        <v>152906295516.79425</v>
      </c>
      <c r="I29" s="35">
        <f t="shared" si="20"/>
        <v>0.63000000000000012</v>
      </c>
      <c r="J29" s="36">
        <f t="shared" si="4"/>
        <v>96330966175.580399</v>
      </c>
      <c r="K29" s="34">
        <f t="shared" si="14"/>
        <v>589098958866.67236</v>
      </c>
      <c r="L29" s="37">
        <f t="shared" si="15"/>
        <v>587297640107.06616</v>
      </c>
      <c r="M29" s="34">
        <f t="shared" si="5"/>
        <v>36999751326.745171</v>
      </c>
      <c r="N29" s="34">
        <f t="shared" si="6"/>
        <v>56575329341.213852</v>
      </c>
      <c r="O29" s="34">
        <f t="shared" si="7"/>
        <v>93575080667.959015</v>
      </c>
      <c r="P29" s="34"/>
      <c r="Q29" s="38">
        <f t="shared" si="8"/>
        <v>93107205264.619217</v>
      </c>
      <c r="R29" s="39">
        <f t="shared" si="16"/>
        <v>10010368838.00572</v>
      </c>
      <c r="S29" s="34">
        <f t="shared" si="17"/>
        <v>90093319542.051483</v>
      </c>
      <c r="T29" s="40">
        <v>9439639668</v>
      </c>
      <c r="U29" s="272">
        <f t="shared" si="9"/>
        <v>8.4492955886712982E-3</v>
      </c>
      <c r="V29" s="282">
        <f t="shared" si="10"/>
        <v>94.131596110063597</v>
      </c>
      <c r="W29" s="283">
        <f>((S29+'Malawi-only'!S29)/(T29*(U29+'Malawi-only'!U29))/12)</f>
        <v>72.063109903303413</v>
      </c>
      <c r="X29" s="284">
        <f>(R29+'Malawi-only'!R29)</f>
        <v>10919562895.633593</v>
      </c>
      <c r="Y29" s="284">
        <f>(L29+'Malawi-only'!L29)</f>
        <v>603281605195.07239</v>
      </c>
      <c r="Z29" s="284">
        <f>(Q29+'Malawi-only'!Q29)</f>
        <v>94925593379.874954</v>
      </c>
    </row>
    <row r="30" spans="1:26" ht="15.75" customHeight="1">
      <c r="A30" s="31" t="s">
        <v>63</v>
      </c>
      <c r="B30" s="32">
        <v>2046</v>
      </c>
      <c r="C30" s="271">
        <f t="shared" si="11"/>
        <v>3.457680049374745E-2</v>
      </c>
      <c r="D30" s="271">
        <f t="shared" si="19"/>
        <v>3.457680049374745E-2</v>
      </c>
      <c r="E30" s="34">
        <f t="shared" si="1"/>
        <v>0</v>
      </c>
      <c r="F30" s="42">
        <v>4000</v>
      </c>
      <c r="G30" s="34">
        <f t="shared" si="2"/>
        <v>138307201974.98981</v>
      </c>
      <c r="H30" s="34">
        <f t="shared" si="3"/>
        <v>137615665965.11487</v>
      </c>
      <c r="I30" s="35">
        <f t="shared" si="20"/>
        <v>0.67000000000000015</v>
      </c>
      <c r="J30" s="36">
        <f t="shared" si="4"/>
        <v>92202496196.626984</v>
      </c>
      <c r="K30" s="34">
        <f t="shared" si="14"/>
        <v>681301455063.29932</v>
      </c>
      <c r="L30" s="37">
        <f t="shared" si="15"/>
        <v>679160386235.54126</v>
      </c>
      <c r="M30" s="34">
        <f t="shared" si="5"/>
        <v>42787104332.839096</v>
      </c>
      <c r="N30" s="34">
        <f t="shared" si="6"/>
        <v>45413169768.487885</v>
      </c>
      <c r="O30" s="34">
        <f t="shared" si="7"/>
        <v>88200274101.326981</v>
      </c>
      <c r="P30" s="34"/>
      <c r="Q30" s="38">
        <f t="shared" si="8"/>
        <v>87759272730.820343</v>
      </c>
      <c r="R30" s="39">
        <f t="shared" si="16"/>
        <v>9310720526.4619217</v>
      </c>
      <c r="S30" s="34">
        <f t="shared" si="17"/>
        <v>83796484738.157288</v>
      </c>
      <c r="T30" s="40">
        <v>9487889604</v>
      </c>
      <c r="U30" s="272">
        <f t="shared" si="9"/>
        <v>8.4492955886712982E-3</v>
      </c>
      <c r="V30" s="282">
        <f t="shared" si="10"/>
        <v>87.107275004346434</v>
      </c>
      <c r="W30" s="283">
        <f>((S30+'Malawi-only'!S30)/(T30*(U30+'Malawi-only'!U30))/12)</f>
        <v>66.745801933352297</v>
      </c>
      <c r="X30" s="284">
        <f>(R30+'Malawi-only'!R30)</f>
        <v>10232792714.158878</v>
      </c>
      <c r="Y30" s="284">
        <f>(L30+'Malawi-only'!L30)</f>
        <v>698294884794.54517</v>
      </c>
      <c r="Z30" s="284">
        <f>(Q30+'Malawi-only'!Q30)</f>
        <v>89603417106.214264</v>
      </c>
    </row>
    <row r="31" spans="1:26" ht="15.75" customHeight="1">
      <c r="A31" s="31" t="s">
        <v>64</v>
      </c>
      <c r="B31" s="32">
        <v>2047</v>
      </c>
      <c r="C31" s="271">
        <f t="shared" si="11"/>
        <v>3.1119120444372705E-2</v>
      </c>
      <c r="D31" s="271">
        <f t="shared" si="19"/>
        <v>3.1119120444372705E-2</v>
      </c>
      <c r="E31" s="34">
        <f t="shared" si="1"/>
        <v>0</v>
      </c>
      <c r="F31" s="42">
        <v>4000</v>
      </c>
      <c r="G31" s="34">
        <f t="shared" si="2"/>
        <v>124476481777.49081</v>
      </c>
      <c r="H31" s="34">
        <f t="shared" si="3"/>
        <v>123854099368.60336</v>
      </c>
      <c r="I31" s="35">
        <f t="shared" si="20"/>
        <v>0.71000000000000019</v>
      </c>
      <c r="J31" s="36">
        <f t="shared" si="4"/>
        <v>87936410551.708405</v>
      </c>
      <c r="K31" s="34">
        <f t="shared" si="14"/>
        <v>769237865615.00769</v>
      </c>
      <c r="L31" s="37">
        <f t="shared" si="15"/>
        <v>766713248388.85608</v>
      </c>
      <c r="M31" s="34">
        <f t="shared" si="5"/>
        <v>48302934648.497932</v>
      </c>
      <c r="N31" s="34">
        <f t="shared" si="6"/>
        <v>35917688816.894951</v>
      </c>
      <c r="O31" s="34">
        <f t="shared" si="7"/>
        <v>84220623465.392883</v>
      </c>
      <c r="P31" s="34"/>
      <c r="Q31" s="38">
        <f t="shared" si="8"/>
        <v>83799520348.065918</v>
      </c>
      <c r="R31" s="39">
        <f t="shared" si="16"/>
        <v>8775927273.0820351</v>
      </c>
      <c r="S31" s="34">
        <f t="shared" si="17"/>
        <v>78983345457.738312</v>
      </c>
      <c r="T31" s="40">
        <v>9534545977</v>
      </c>
      <c r="U31" s="272">
        <f t="shared" si="9"/>
        <v>8.4492955886712982E-3</v>
      </c>
      <c r="V31" s="282">
        <f t="shared" si="10"/>
        <v>81.702201315211525</v>
      </c>
      <c r="W31" s="283">
        <f>((S31+'Malawi-only'!S31)/(T31*(U31+'Malawi-only'!U31))/12)</f>
        <v>62.657475807537303</v>
      </c>
      <c r="X31" s="284">
        <f>(R31+'Malawi-only'!R31)</f>
        <v>9713025036.1659184</v>
      </c>
      <c r="Y31" s="284">
        <f>(L31+'Malawi-only'!L31)</f>
        <v>789356473195.68103</v>
      </c>
      <c r="Z31" s="284">
        <f>(Q31+'Malawi-only'!Q31)</f>
        <v>85673715874.233688</v>
      </c>
    </row>
    <row r="32" spans="1:26" ht="15.75" customHeight="1">
      <c r="A32" s="31" t="s">
        <v>65</v>
      </c>
      <c r="B32" s="32">
        <v>2048</v>
      </c>
      <c r="C32" s="271">
        <f t="shared" si="11"/>
        <v>2.8007208399935434E-2</v>
      </c>
      <c r="D32" s="271">
        <f t="shared" si="19"/>
        <v>2.8007208399935434E-2</v>
      </c>
      <c r="E32" s="34">
        <f t="shared" si="1"/>
        <v>0</v>
      </c>
      <c r="F32" s="42">
        <v>4000</v>
      </c>
      <c r="G32" s="34">
        <f t="shared" si="2"/>
        <v>112028833599.74173</v>
      </c>
      <c r="H32" s="34">
        <f t="shared" si="3"/>
        <v>111468689431.74303</v>
      </c>
      <c r="I32" s="35">
        <f t="shared" si="20"/>
        <v>0.75000000000000022</v>
      </c>
      <c r="J32" s="36">
        <f t="shared" si="4"/>
        <v>83601517073.807297</v>
      </c>
      <c r="K32" s="34">
        <f t="shared" si="14"/>
        <v>852839382688.81494</v>
      </c>
      <c r="L32" s="37">
        <f t="shared" si="15"/>
        <v>849889608079.93201</v>
      </c>
      <c r="M32" s="34">
        <f t="shared" si="5"/>
        <v>53543045309.035713</v>
      </c>
      <c r="N32" s="34">
        <f t="shared" si="6"/>
        <v>27867172357.935734</v>
      </c>
      <c r="O32" s="34">
        <f t="shared" si="7"/>
        <v>81410217666.971451</v>
      </c>
      <c r="P32" s="34"/>
      <c r="Q32" s="38">
        <f t="shared" si="8"/>
        <v>81003166578.636597</v>
      </c>
      <c r="R32" s="39">
        <f t="shared" si="16"/>
        <v>8379952034.806592</v>
      </c>
      <c r="S32" s="34">
        <f t="shared" si="17"/>
        <v>75419568313.259323</v>
      </c>
      <c r="T32" s="40">
        <v>9579536043</v>
      </c>
      <c r="U32" s="272">
        <f t="shared" si="9"/>
        <v>8.4492955886712982E-3</v>
      </c>
      <c r="V32" s="282">
        <f t="shared" si="10"/>
        <v>77.649348595003815</v>
      </c>
      <c r="W32" s="283">
        <f>((S32+'Malawi-only'!S32)/(T32*(U32+'Malawi-only'!U32))/12)</f>
        <v>59.595869833649665</v>
      </c>
      <c r="X32" s="284">
        <f>(R32+'Malawi-only'!R32)</f>
        <v>9334396585.9060802</v>
      </c>
      <c r="Y32" s="284">
        <f>(L32+'Malawi-only'!L32)</f>
        <v>876426666272.12805</v>
      </c>
      <c r="Z32" s="284">
        <f>(Q32+'Malawi-only'!Q32)</f>
        <v>82912055680.835571</v>
      </c>
    </row>
    <row r="33" spans="1:26" ht="15.75" customHeight="1">
      <c r="A33" s="31" t="s">
        <v>66</v>
      </c>
      <c r="B33" s="32">
        <v>2049</v>
      </c>
      <c r="C33" s="271">
        <f t="shared" si="11"/>
        <v>2.5206487559941891E-2</v>
      </c>
      <c r="D33" s="271">
        <f t="shared" si="19"/>
        <v>2.5206487559941891E-2</v>
      </c>
      <c r="E33" s="34">
        <f t="shared" si="1"/>
        <v>0</v>
      </c>
      <c r="F33" s="42">
        <v>4000</v>
      </c>
      <c r="G33" s="34">
        <f t="shared" si="2"/>
        <v>100825950239.76756</v>
      </c>
      <c r="H33" s="34">
        <f t="shared" si="3"/>
        <v>100321820488.56873</v>
      </c>
      <c r="I33" s="35">
        <f t="shared" si="20"/>
        <v>0.79000000000000026</v>
      </c>
      <c r="J33" s="36">
        <f t="shared" si="4"/>
        <v>79254238185.969315</v>
      </c>
      <c r="K33" s="34">
        <f t="shared" si="14"/>
        <v>932093620874.7843</v>
      </c>
      <c r="L33" s="37">
        <f t="shared" si="15"/>
        <v>928679274342.76843</v>
      </c>
      <c r="M33" s="34">
        <f t="shared" si="5"/>
        <v>58506794283.594414</v>
      </c>
      <c r="N33" s="34">
        <f t="shared" si="6"/>
        <v>21067582302.599407</v>
      </c>
      <c r="O33" s="34">
        <f t="shared" si="7"/>
        <v>79574376586.193817</v>
      </c>
      <c r="P33" s="34"/>
      <c r="Q33" s="38">
        <f t="shared" si="8"/>
        <v>79176504703.262848</v>
      </c>
      <c r="R33" s="39">
        <f t="shared" si="16"/>
        <v>8100316657.8636599</v>
      </c>
      <c r="S33" s="34">
        <f t="shared" si="17"/>
        <v>72902849920.772934</v>
      </c>
      <c r="T33" s="40">
        <v>9622824029</v>
      </c>
      <c r="U33" s="272">
        <f t="shared" si="9"/>
        <v>8.4492955886712982E-3</v>
      </c>
      <c r="V33" s="282">
        <f t="shared" si="10"/>
        <v>74.720576226022757</v>
      </c>
      <c r="W33" s="283">
        <f>((S33+'Malawi-only'!S33)/(T33*(U33+'Malawi-only'!U33))/12)</f>
        <v>57.374441486967669</v>
      </c>
      <c r="X33" s="284">
        <f>(R33+'Malawi-only'!R33)</f>
        <v>9056902604.0088882</v>
      </c>
      <c r="Y33" s="284">
        <f>(L33+'Malawi-only'!L33)</f>
        <v>958966450572.79236</v>
      </c>
      <c r="Z33" s="284">
        <f>(Q33+'Malawi-only'!Q33)</f>
        <v>81089676595.553299</v>
      </c>
    </row>
    <row r="34" spans="1:26" ht="15.75" customHeight="1">
      <c r="A34" s="31" t="s">
        <v>67</v>
      </c>
      <c r="B34" s="32">
        <v>2050</v>
      </c>
      <c r="C34" s="271">
        <f t="shared" si="11"/>
        <v>2.2685838803947703E-2</v>
      </c>
      <c r="D34" s="271">
        <f t="shared" si="19"/>
        <v>2.2685838803947703E-2</v>
      </c>
      <c r="E34" s="34">
        <f t="shared" si="1"/>
        <v>0</v>
      </c>
      <c r="F34" s="42">
        <v>4000</v>
      </c>
      <c r="G34" s="34">
        <f t="shared" si="2"/>
        <v>90743355215.790817</v>
      </c>
      <c r="H34" s="34">
        <f t="shared" si="3"/>
        <v>90289638439.711868</v>
      </c>
      <c r="I34" s="35">
        <f t="shared" si="20"/>
        <v>0.83000000000000029</v>
      </c>
      <c r="J34" s="36">
        <f t="shared" si="4"/>
        <v>74940399904.960876</v>
      </c>
      <c r="K34" s="34">
        <f t="shared" si="14"/>
        <v>1007034020779.7451</v>
      </c>
      <c r="L34" s="37">
        <f t="shared" si="15"/>
        <v>1003117864410.6055</v>
      </c>
      <c r="M34" s="34">
        <f t="shared" si="5"/>
        <v>63196425457.868141</v>
      </c>
      <c r="N34" s="34">
        <f t="shared" si="6"/>
        <v>15349238534.750992</v>
      </c>
      <c r="O34" s="34">
        <f t="shared" si="7"/>
        <v>78545663992.619141</v>
      </c>
      <c r="P34" s="34"/>
      <c r="Q34" s="38">
        <f t="shared" si="8"/>
        <v>78152935672.656052</v>
      </c>
      <c r="R34" s="39">
        <f t="shared" si="16"/>
        <v>7917650470.3262854</v>
      </c>
      <c r="S34" s="34">
        <f t="shared" si="17"/>
        <v>71258854232.936569</v>
      </c>
      <c r="T34" s="40">
        <v>9664378587</v>
      </c>
      <c r="U34" s="272">
        <f t="shared" si="9"/>
        <v>8.4492955886712982E-3</v>
      </c>
      <c r="V34" s="282">
        <f t="shared" si="10"/>
        <v>72.721554019550609</v>
      </c>
      <c r="W34" s="283">
        <f>((S34+'Malawi-only'!S34)/(T34*(U34+'Malawi-only'!U34))/12)</f>
        <v>55.869050332533213</v>
      </c>
      <c r="X34" s="284">
        <f>(R34+'Malawi-only'!R34)</f>
        <v>8890888538.1619949</v>
      </c>
      <c r="Y34" s="284">
        <f>(L34+'Malawi-only'!L34)</f>
        <v>1036957107085.6306</v>
      </c>
      <c r="Z34" s="284">
        <f>(Q34+'Malawi-only'!Q34)</f>
        <v>80099411808.327469</v>
      </c>
    </row>
    <row r="35" spans="1:26" ht="15.75" customHeight="1">
      <c r="A35" s="31" t="s">
        <v>68</v>
      </c>
      <c r="B35" s="32">
        <v>2051</v>
      </c>
      <c r="C35" s="271">
        <f t="shared" si="11"/>
        <v>2.0417254923552935E-2</v>
      </c>
      <c r="D35" s="271">
        <f t="shared" si="19"/>
        <v>2.0417254923552935E-2</v>
      </c>
      <c r="E35" s="34">
        <f t="shared" si="1"/>
        <v>0</v>
      </c>
      <c r="F35" s="42">
        <v>4000</v>
      </c>
      <c r="G35" s="34">
        <f t="shared" si="2"/>
        <v>81669019694.211746</v>
      </c>
      <c r="H35" s="34">
        <f t="shared" si="3"/>
        <v>81260674595.740692</v>
      </c>
      <c r="I35" s="35">
        <f t="shared" si="20"/>
        <v>0.87000000000000033</v>
      </c>
      <c r="J35" s="36">
        <f t="shared" si="4"/>
        <v>70696786898.294434</v>
      </c>
      <c r="K35" s="34">
        <f t="shared" si="14"/>
        <v>1077730807678.0396</v>
      </c>
      <c r="L35" s="37">
        <f t="shared" si="15"/>
        <v>1073277743983.2455</v>
      </c>
      <c r="M35" s="34">
        <f t="shared" si="5"/>
        <v>67616497870.944466</v>
      </c>
      <c r="N35" s="34">
        <f t="shared" si="6"/>
        <v>10563887697.446262</v>
      </c>
      <c r="O35" s="34">
        <f t="shared" si="7"/>
        <v>78180385568.390732</v>
      </c>
      <c r="P35" s="34"/>
      <c r="Q35" s="38">
        <f t="shared" si="8"/>
        <v>77789483640.548782</v>
      </c>
      <c r="R35" s="39">
        <f t="shared" si="16"/>
        <v>7815293567.2656059</v>
      </c>
      <c r="S35" s="34">
        <f t="shared" si="17"/>
        <v>70337642105.390442</v>
      </c>
      <c r="T35" s="40">
        <v>9704192304</v>
      </c>
      <c r="U35" s="272">
        <f t="shared" si="9"/>
        <v>8.4492955886712982E-3</v>
      </c>
      <c r="V35" s="282">
        <f t="shared" si="10"/>
        <v>71.486932463794034</v>
      </c>
      <c r="W35" s="283">
        <f>((S35+'Malawi-only'!S35)/(T35*(U35+'Malawi-only'!U35))/12)</f>
        <v>55.00271813092467</v>
      </c>
      <c r="X35" s="284">
        <f>(R35+'Malawi-only'!R35)</f>
        <v>8882634040.0999107</v>
      </c>
      <c r="Y35" s="284">
        <f>(L35+'Malawi-only'!L35)</f>
        <v>1110342985248.8569</v>
      </c>
      <c r="Z35" s="284">
        <f>(Q35+'Malawi-only'!Q35)</f>
        <v>79924164586.217392</v>
      </c>
    </row>
    <row r="36" spans="1:26" ht="15.75" customHeight="1">
      <c r="A36" s="31" t="s">
        <v>69</v>
      </c>
      <c r="B36" s="32">
        <v>2052</v>
      </c>
      <c r="C36" s="271">
        <f t="shared" si="11"/>
        <v>1.8375529431197642E-2</v>
      </c>
      <c r="D36" s="271">
        <f t="shared" si="19"/>
        <v>1.8375529431197642E-2</v>
      </c>
      <c r="E36" s="34">
        <f t="shared" si="1"/>
        <v>0</v>
      </c>
      <c r="F36" s="42">
        <v>4000</v>
      </c>
      <c r="G36" s="34">
        <f t="shared" si="2"/>
        <v>73502117724.790558</v>
      </c>
      <c r="H36" s="34">
        <f t="shared" si="3"/>
        <v>73134607136.166611</v>
      </c>
      <c r="I36" s="35">
        <f t="shared" si="20"/>
        <v>0.91000000000000036</v>
      </c>
      <c r="J36" s="36">
        <f t="shared" si="4"/>
        <v>66552492493.911644</v>
      </c>
      <c r="K36" s="34">
        <f t="shared" si="14"/>
        <v>1144283300171.9512</v>
      </c>
      <c r="L36" s="37">
        <f t="shared" si="15"/>
        <v>1139260321358.9187</v>
      </c>
      <c r="M36" s="34">
        <f t="shared" si="5"/>
        <v>71773400245.611877</v>
      </c>
      <c r="N36" s="34">
        <f t="shared" si="6"/>
        <v>6582114642.2549686</v>
      </c>
      <c r="O36" s="34">
        <f t="shared" si="7"/>
        <v>78355514887.866852</v>
      </c>
      <c r="P36" s="34"/>
      <c r="Q36" s="38">
        <f t="shared" si="8"/>
        <v>77963737313.427521</v>
      </c>
      <c r="R36" s="39">
        <f t="shared" si="16"/>
        <v>7778948364.0548782</v>
      </c>
      <c r="S36" s="34">
        <f t="shared" si="17"/>
        <v>70010535276.493896</v>
      </c>
      <c r="T36" s="40">
        <v>9742264515</v>
      </c>
      <c r="U36" s="272">
        <f t="shared" si="9"/>
        <v>8.4492955886712982E-3</v>
      </c>
      <c r="V36" s="282">
        <f t="shared" si="10"/>
        <v>70.876413203199505</v>
      </c>
      <c r="W36" s="283">
        <f>((S36+'Malawi-only'!S36)/(T36*(U36+'Malawi-only'!U36))/12)</f>
        <v>54.614860558952387</v>
      </c>
      <c r="X36" s="284">
        <f>(R36+'Malawi-only'!R36)</f>
        <v>8948041671.4341602</v>
      </c>
      <c r="Y36" s="284">
        <f>(L36+'Malawi-only'!L36)</f>
        <v>1179225656394.6287</v>
      </c>
      <c r="Z36" s="284">
        <f>(Q36+'Malawi-only'!Q36)</f>
        <v>80301923928.186081</v>
      </c>
    </row>
    <row r="37" spans="1:26" ht="15.75" customHeight="1">
      <c r="A37" s="31" t="s">
        <v>70</v>
      </c>
      <c r="B37" s="32">
        <v>2053</v>
      </c>
      <c r="C37" s="271">
        <f t="shared" si="11"/>
        <v>1.653797648807788E-2</v>
      </c>
      <c r="D37" s="271">
        <f t="shared" si="19"/>
        <v>1.653797648807788E-2</v>
      </c>
      <c r="E37" s="34">
        <f t="shared" si="1"/>
        <v>0</v>
      </c>
      <c r="F37" s="42">
        <v>4000</v>
      </c>
      <c r="G37" s="34">
        <f t="shared" si="2"/>
        <v>66151905952.311523</v>
      </c>
      <c r="H37" s="34">
        <f t="shared" si="3"/>
        <v>65821146422.549965</v>
      </c>
      <c r="I37" s="35">
        <f t="shared" si="20"/>
        <v>0.9500000000000004</v>
      </c>
      <c r="J37" s="36">
        <f t="shared" si="4"/>
        <v>62530089101.422493</v>
      </c>
      <c r="K37" s="34">
        <f t="shared" si="14"/>
        <v>1206813389273.3738</v>
      </c>
      <c r="L37" s="37">
        <f t="shared" si="15"/>
        <v>1201189515255.1111</v>
      </c>
      <c r="M37" s="34">
        <f t="shared" si="5"/>
        <v>75674939461.072006</v>
      </c>
      <c r="N37" s="34">
        <f t="shared" si="6"/>
        <v>3291057321.1274719</v>
      </c>
      <c r="O37" s="34">
        <f t="shared" si="7"/>
        <v>78965996782.199478</v>
      </c>
      <c r="P37" s="34"/>
      <c r="Q37" s="38">
        <f t="shared" si="8"/>
        <v>78571166798.288483</v>
      </c>
      <c r="R37" s="39">
        <f t="shared" si="16"/>
        <v>7796373731.3427525</v>
      </c>
      <c r="S37" s="34">
        <f t="shared" si="17"/>
        <v>70167363582.084763</v>
      </c>
      <c r="T37" s="40">
        <v>9778614614</v>
      </c>
      <c r="U37" s="272">
        <f t="shared" si="9"/>
        <v>8.4492955886712982E-3</v>
      </c>
      <c r="V37" s="282">
        <f t="shared" si="10"/>
        <v>70.771121655949784</v>
      </c>
      <c r="W37" s="283">
        <f>((S37+'Malawi-only'!S37)/(T37*(U37+'Malawi-only'!U37))/12)</f>
        <v>54.601649622778325</v>
      </c>
      <c r="X37" s="284">
        <f>(R37+'Malawi-only'!R37)</f>
        <v>9056940346.3716011</v>
      </c>
      <c r="Y37" s="284">
        <f>(L37+'Malawi-only'!L37)</f>
        <v>1243761631374.9617</v>
      </c>
      <c r="Z37" s="284">
        <f>(Q37+'Malawi-only'!Q37)</f>
        <v>81092300028.346176</v>
      </c>
    </row>
    <row r="38" spans="1:26" ht="15.75" customHeight="1">
      <c r="A38" s="31" t="s">
        <v>71</v>
      </c>
      <c r="B38" s="32">
        <v>2054</v>
      </c>
      <c r="C38" s="271">
        <f t="shared" si="11"/>
        <v>1.4884178839270092E-2</v>
      </c>
      <c r="D38" s="271">
        <f t="shared" si="19"/>
        <v>1.4884178839270092E-2</v>
      </c>
      <c r="E38" s="34">
        <f t="shared" si="1"/>
        <v>0</v>
      </c>
      <c r="F38" s="42">
        <v>4000</v>
      </c>
      <c r="G38" s="34">
        <f t="shared" si="2"/>
        <v>59536715357.080368</v>
      </c>
      <c r="H38" s="34">
        <f t="shared" si="3"/>
        <v>59239031780.294968</v>
      </c>
      <c r="I38" s="35">
        <f t="shared" si="20"/>
        <v>0.99000000000000044</v>
      </c>
      <c r="J38" s="36">
        <f t="shared" si="4"/>
        <v>58646641462.492043</v>
      </c>
      <c r="K38" s="34">
        <f t="shared" si="14"/>
        <v>1265460030735.8657</v>
      </c>
      <c r="L38" s="37">
        <f t="shared" si="15"/>
        <v>1259206238639.2444</v>
      </c>
      <c r="M38" s="34">
        <f t="shared" si="5"/>
        <v>79329993034.2724</v>
      </c>
      <c r="N38" s="34">
        <f t="shared" si="6"/>
        <v>592390317.80292392</v>
      </c>
      <c r="O38" s="34">
        <f t="shared" si="7"/>
        <v>79922383352.075317</v>
      </c>
      <c r="P38" s="34"/>
      <c r="Q38" s="38">
        <f t="shared" si="8"/>
        <v>79522771435.314941</v>
      </c>
      <c r="R38" s="39">
        <f t="shared" si="16"/>
        <v>7857116679.8288488</v>
      </c>
      <c r="S38" s="34">
        <f t="shared" si="17"/>
        <v>70714050118.459641</v>
      </c>
      <c r="T38" s="40">
        <v>9813251659</v>
      </c>
      <c r="U38" s="272">
        <f t="shared" si="9"/>
        <v>8.4492955886712982E-3</v>
      </c>
      <c r="V38" s="282">
        <f t="shared" si="10"/>
        <v>71.070770845914794</v>
      </c>
      <c r="W38" s="283">
        <f>((S38+'Malawi-only'!S38)/(T38*(U38+'Malawi-only'!U38))/12)</f>
        <v>54.887986046837199</v>
      </c>
      <c r="X38" s="284">
        <f>(R38+'Malawi-only'!R38)</f>
        <v>9199905080.4231129</v>
      </c>
      <c r="Y38" s="284">
        <f>(L38+'Malawi-only'!L38)</f>
        <v>1304121156077.5273</v>
      </c>
      <c r="Z38" s="284">
        <f>(Q38+'Malawi-only'!Q38)</f>
        <v>82208348236.503464</v>
      </c>
    </row>
    <row r="39" spans="1:26" ht="15.75" customHeight="1">
      <c r="A39" s="31" t="s">
        <v>72</v>
      </c>
      <c r="B39" s="32">
        <v>2055</v>
      </c>
      <c r="C39" s="271">
        <f t="shared" si="11"/>
        <v>1.3395760955343084E-2</v>
      </c>
      <c r="D39" s="271">
        <f t="shared" si="19"/>
        <v>1.3395760955343084E-2</v>
      </c>
      <c r="E39" s="34">
        <f t="shared" si="1"/>
        <v>0</v>
      </c>
      <c r="F39" s="42">
        <v>4000</v>
      </c>
      <c r="G39" s="34">
        <f t="shared" si="2"/>
        <v>53583043821.372337</v>
      </c>
      <c r="H39" s="34">
        <f t="shared" si="3"/>
        <v>53315128602.265472</v>
      </c>
      <c r="I39" s="43">
        <v>1</v>
      </c>
      <c r="J39" s="36">
        <f t="shared" si="4"/>
        <v>53315128602.265472</v>
      </c>
      <c r="K39" s="34">
        <f t="shared" si="14"/>
        <v>1318775159338.1311</v>
      </c>
      <c r="L39" s="37">
        <f t="shared" si="15"/>
        <v>1311865106557.8892</v>
      </c>
      <c r="M39" s="34">
        <f t="shared" si="5"/>
        <v>82647501713.147018</v>
      </c>
      <c r="N39" s="34">
        <f t="shared" si="6"/>
        <v>0</v>
      </c>
      <c r="O39" s="34">
        <f t="shared" si="7"/>
        <v>82647501713.147018</v>
      </c>
      <c r="P39" s="34"/>
      <c r="Q39" s="38">
        <f t="shared" si="8"/>
        <v>82234264204.581284</v>
      </c>
      <c r="R39" s="39">
        <f t="shared" si="16"/>
        <v>7952277143.5314941</v>
      </c>
      <c r="S39" s="34">
        <f t="shared" si="17"/>
        <v>71570494291.783447</v>
      </c>
      <c r="T39" s="40">
        <v>9846237570</v>
      </c>
      <c r="U39" s="272">
        <f t="shared" si="9"/>
        <v>8.4492955886712982E-3</v>
      </c>
      <c r="V39" s="282">
        <f t="shared" si="10"/>
        <v>71.690557337030697</v>
      </c>
      <c r="W39" s="283">
        <f>((S39+'Malawi-only'!S39)/(T39*(U39+'Malawi-only'!U39))/12)</f>
        <v>55.410400818430851</v>
      </c>
      <c r="X39" s="284">
        <f>(R39+'Malawi-only'!R39)</f>
        <v>9368961011.9110985</v>
      </c>
      <c r="Y39" s="284">
        <f>(L39+'Malawi-only'!L39)</f>
        <v>1358885245176.2961</v>
      </c>
      <c r="Z39" s="284">
        <f>(Q39+'Malawi-only'!Q39)</f>
        <v>85067631941.340485</v>
      </c>
    </row>
    <row r="40" spans="1:26" ht="15.75" customHeight="1">
      <c r="A40" s="31" t="s">
        <v>73</v>
      </c>
      <c r="B40" s="32">
        <v>2056</v>
      </c>
      <c r="C40" s="271">
        <f t="shared" si="11"/>
        <v>1.2056184859808776E-2</v>
      </c>
      <c r="D40" s="271">
        <f t="shared" si="19"/>
        <v>1.2056184859808776E-2</v>
      </c>
      <c r="E40" s="34">
        <f t="shared" si="1"/>
        <v>0</v>
      </c>
      <c r="F40" s="42">
        <v>4000</v>
      </c>
      <c r="G40" s="34">
        <f t="shared" si="2"/>
        <v>48224739439.2351</v>
      </c>
      <c r="H40" s="34">
        <f t="shared" si="3"/>
        <v>47983615742.038925</v>
      </c>
      <c r="I40" s="43">
        <v>1</v>
      </c>
      <c r="J40" s="36">
        <f t="shared" si="4"/>
        <v>47983615742.038925</v>
      </c>
      <c r="K40" s="34">
        <f t="shared" si="14"/>
        <v>1366758775080.1699</v>
      </c>
      <c r="L40" s="37">
        <f t="shared" si="15"/>
        <v>1359168797938.7781</v>
      </c>
      <c r="M40" s="34">
        <f t="shared" si="5"/>
        <v>85627634270.143021</v>
      </c>
      <c r="N40" s="34">
        <f t="shared" si="6"/>
        <v>0</v>
      </c>
      <c r="O40" s="34">
        <f t="shared" si="7"/>
        <v>85627634270.143021</v>
      </c>
      <c r="P40" s="34">
        <f>O40*0.2%</f>
        <v>171255268.54028603</v>
      </c>
      <c r="Q40" s="38">
        <f t="shared" si="8"/>
        <v>85029097106.594727</v>
      </c>
      <c r="R40" s="39">
        <f t="shared" si="16"/>
        <v>8223426420.4581289</v>
      </c>
      <c r="S40" s="34">
        <f t="shared" si="17"/>
        <v>74010837784.123154</v>
      </c>
      <c r="T40" s="40">
        <v>9877680392</v>
      </c>
      <c r="U40" s="272">
        <f t="shared" si="9"/>
        <v>8.4492955886712982E-3</v>
      </c>
      <c r="V40" s="282">
        <f t="shared" si="10"/>
        <v>73.899006687096517</v>
      </c>
      <c r="W40" s="283">
        <f>((S40+'Malawi-only'!S40)/(T40*(U40+'Malawi-only'!U40))/12)</f>
        <v>57.12878552665115</v>
      </c>
      <c r="X40" s="284">
        <f>(R40+'Malawi-only'!R40)</f>
        <v>9703545951.2861519</v>
      </c>
      <c r="Y40" s="284">
        <f>(L40+'Malawi-only'!L40)</f>
        <v>1408080337262.835</v>
      </c>
      <c r="Z40" s="284">
        <f>(Q40+'Malawi-only'!Q40)</f>
        <v>87989336168.250778</v>
      </c>
    </row>
    <row r="41" spans="1:26" ht="15.75" customHeight="1">
      <c r="A41" s="31" t="s">
        <v>74</v>
      </c>
      <c r="B41" s="32">
        <v>2057</v>
      </c>
      <c r="C41" s="271">
        <f t="shared" si="11"/>
        <v>1.0850566373827898E-2</v>
      </c>
      <c r="D41" s="271">
        <f t="shared" si="19"/>
        <v>1.0850566373827898E-2</v>
      </c>
      <c r="E41" s="34">
        <f t="shared" si="1"/>
        <v>0</v>
      </c>
      <c r="F41" s="42">
        <v>4000</v>
      </c>
      <c r="G41" s="34">
        <f t="shared" si="2"/>
        <v>43402265495.3116</v>
      </c>
      <c r="H41" s="34">
        <f t="shared" si="3"/>
        <v>43185254167.835045</v>
      </c>
      <c r="I41" s="43">
        <v>1</v>
      </c>
      <c r="J41" s="36">
        <f t="shared" si="4"/>
        <v>43185254167.835045</v>
      </c>
      <c r="K41" s="34">
        <f t="shared" si="14"/>
        <v>1409944029248.0049</v>
      </c>
      <c r="L41" s="37">
        <f t="shared" si="15"/>
        <v>1401652875080.5598</v>
      </c>
      <c r="M41" s="34">
        <f t="shared" si="5"/>
        <v>88304131130.075272</v>
      </c>
      <c r="N41" s="34">
        <f t="shared" si="6"/>
        <v>0</v>
      </c>
      <c r="O41" s="34">
        <f t="shared" si="7"/>
        <v>88304131130.075272</v>
      </c>
      <c r="P41" s="34">
        <f>O41*0.4%</f>
        <v>353216524.5203011</v>
      </c>
      <c r="Q41" s="38">
        <f t="shared" si="8"/>
        <v>87511160032.527206</v>
      </c>
      <c r="R41" s="39">
        <f t="shared" si="16"/>
        <v>8502909710.6594734</v>
      </c>
      <c r="S41" s="34">
        <f t="shared" si="17"/>
        <v>76526187395.935257</v>
      </c>
      <c r="T41" s="40">
        <v>9907637193</v>
      </c>
      <c r="U41" s="272">
        <f t="shared" si="9"/>
        <v>8.4492955886712982E-3</v>
      </c>
      <c r="V41" s="282">
        <f t="shared" si="10"/>
        <v>76.179520091720235</v>
      </c>
      <c r="W41" s="283">
        <f>((S41+'Malawi-only'!S41)/(T41*(U41+'Malawi-only'!U41))/12)</f>
        <v>58.896411524750015</v>
      </c>
      <c r="X41" s="284">
        <f>(R41+'Malawi-only'!R41)</f>
        <v>10039482054.978851</v>
      </c>
      <c r="Y41" s="284">
        <f>(L41+'Malawi-only'!L41)</f>
        <v>1452269337504.9175</v>
      </c>
      <c r="Z41" s="284">
        <f>(Q41+'Malawi-only'!Q41)</f>
        <v>90584304721.16597</v>
      </c>
    </row>
    <row r="42" spans="1:26" ht="15.75" customHeight="1">
      <c r="A42" s="31" t="s">
        <v>75</v>
      </c>
      <c r="B42" s="32">
        <v>2058</v>
      </c>
      <c r="C42" s="271">
        <f t="shared" si="11"/>
        <v>9.7655097364451084E-3</v>
      </c>
      <c r="D42" s="271">
        <f t="shared" si="19"/>
        <v>9.7655097364451084E-3</v>
      </c>
      <c r="E42" s="34">
        <f t="shared" si="1"/>
        <v>0</v>
      </c>
      <c r="F42" s="42">
        <v>4000</v>
      </c>
      <c r="G42" s="34">
        <f t="shared" si="2"/>
        <v>39062038945.780434</v>
      </c>
      <c r="H42" s="34">
        <f t="shared" si="3"/>
        <v>38866728751.051529</v>
      </c>
      <c r="I42" s="43">
        <v>1</v>
      </c>
      <c r="J42" s="36">
        <f t="shared" si="4"/>
        <v>38866728751.051529</v>
      </c>
      <c r="K42" s="34">
        <f t="shared" si="14"/>
        <v>1448810757999.0564</v>
      </c>
      <c r="L42" s="37">
        <f t="shared" si="15"/>
        <v>1439799344029.6956</v>
      </c>
      <c r="M42" s="34">
        <f t="shared" si="5"/>
        <v>90707358673.870819</v>
      </c>
      <c r="N42" s="34">
        <f t="shared" si="6"/>
        <v>0</v>
      </c>
      <c r="O42" s="34">
        <f t="shared" si="7"/>
        <v>90707358673.870819</v>
      </c>
      <c r="P42" s="34">
        <f>O42*0.6%</f>
        <v>544244152.04322493</v>
      </c>
      <c r="Q42" s="38">
        <f t="shared" si="8"/>
        <v>89712298949.21846</v>
      </c>
      <c r="R42" s="39">
        <f t="shared" si="16"/>
        <v>8751116003.2527218</v>
      </c>
      <c r="S42" s="34">
        <f t="shared" si="17"/>
        <v>78760044029.27449</v>
      </c>
      <c r="T42" s="40">
        <v>9936164379</v>
      </c>
      <c r="U42" s="272">
        <f t="shared" si="9"/>
        <v>8.4492955886712982E-3</v>
      </c>
      <c r="V42" s="282">
        <f t="shared" si="10"/>
        <v>78.178157881193883</v>
      </c>
      <c r="W42" s="283">
        <f>((S42+'Malawi-only'!S42)/(T42*(U42+'Malawi-only'!U42))/12)</f>
        <v>60.445759743271999</v>
      </c>
      <c r="X42" s="284">
        <f>(R42+'Malawi-only'!R42)</f>
        <v>10338056037.913256</v>
      </c>
      <c r="Y42" s="284">
        <f>(L42+'Malawi-only'!L42)</f>
        <v>1491953973714.9473</v>
      </c>
      <c r="Z42" s="284">
        <f>(Q42+'Malawi-only'!Q42)</f>
        <v>92886179018.53952</v>
      </c>
    </row>
    <row r="43" spans="1:26" ht="15.75" customHeight="1">
      <c r="A43" s="31" t="s">
        <v>76</v>
      </c>
      <c r="B43" s="32">
        <v>2059</v>
      </c>
      <c r="C43" s="271">
        <f t="shared" si="11"/>
        <v>8.7889587628005982E-3</v>
      </c>
      <c r="D43" s="271">
        <f t="shared" si="19"/>
        <v>8.7889587628005982E-3</v>
      </c>
      <c r="E43" s="34">
        <f t="shared" si="1"/>
        <v>0</v>
      </c>
      <c r="F43" s="42">
        <v>4000</v>
      </c>
      <c r="G43" s="34">
        <f t="shared" si="2"/>
        <v>35155835051.202393</v>
      </c>
      <c r="H43" s="34">
        <f t="shared" si="3"/>
        <v>34980055875.946381</v>
      </c>
      <c r="I43" s="43">
        <v>1</v>
      </c>
      <c r="J43" s="36">
        <f t="shared" si="4"/>
        <v>34980055875.946381</v>
      </c>
      <c r="K43" s="34">
        <f t="shared" si="14"/>
        <v>1483790813875.0027</v>
      </c>
      <c r="L43" s="37">
        <f t="shared" si="15"/>
        <v>1474042010205.6892</v>
      </c>
      <c r="M43" s="34">
        <f t="shared" si="5"/>
        <v>92864646642.95842</v>
      </c>
      <c r="N43" s="34">
        <f t="shared" si="6"/>
        <v>0</v>
      </c>
      <c r="O43" s="34">
        <f t="shared" si="7"/>
        <v>92864646642.95842</v>
      </c>
      <c r="P43" s="34">
        <f>O43*0.8%</f>
        <v>742917173.14366734</v>
      </c>
      <c r="Q43" s="38">
        <f t="shared" si="8"/>
        <v>91661120822.465683</v>
      </c>
      <c r="R43" s="39">
        <f t="shared" si="16"/>
        <v>8971229894.9218464</v>
      </c>
      <c r="S43" s="34">
        <f t="shared" si="17"/>
        <v>80741069054.296616</v>
      </c>
      <c r="T43" s="40">
        <v>9963337082</v>
      </c>
      <c r="U43" s="272">
        <f t="shared" si="9"/>
        <v>8.4492955886712982E-3</v>
      </c>
      <c r="V43" s="282">
        <f t="shared" si="10"/>
        <v>79.925971159137291</v>
      </c>
      <c r="W43" s="283">
        <f>((S43+'Malawi-only'!S43)/(T43*(U43+'Malawi-only'!U43))/12)</f>
        <v>61.800899043544831</v>
      </c>
      <c r="X43" s="284">
        <f>(R43+'Malawi-only'!R43)</f>
        <v>10603104865.121473</v>
      </c>
      <c r="Y43" s="284">
        <f>(L43+'Malawi-only'!L43)</f>
        <v>1527585777406.0984</v>
      </c>
      <c r="Z43" s="284">
        <f>(Q43+'Malawi-only'!Q43)</f>
        <v>94924870762.864944</v>
      </c>
    </row>
    <row r="44" spans="1:26" ht="15.75" customHeight="1">
      <c r="A44" s="31" t="s">
        <v>77</v>
      </c>
      <c r="B44" s="32">
        <v>2060</v>
      </c>
      <c r="C44" s="271">
        <f t="shared" si="11"/>
        <v>7.9100628865205382E-3</v>
      </c>
      <c r="D44" s="271">
        <f t="shared" si="19"/>
        <v>7.9100628865205382E-3</v>
      </c>
      <c r="E44" s="34">
        <f t="shared" si="1"/>
        <v>0</v>
      </c>
      <c r="F44" s="42">
        <v>4000</v>
      </c>
      <c r="G44" s="34">
        <f t="shared" si="2"/>
        <v>31640251546.08215</v>
      </c>
      <c r="H44" s="34">
        <f t="shared" si="3"/>
        <v>31482050288.351738</v>
      </c>
      <c r="I44" s="43">
        <v>1</v>
      </c>
      <c r="J44" s="36">
        <f t="shared" si="4"/>
        <v>31482050288.351738</v>
      </c>
      <c r="K44" s="34">
        <f t="shared" si="14"/>
        <v>1515272864163.3545</v>
      </c>
      <c r="L44" s="37">
        <f t="shared" si="15"/>
        <v>1504771298463.7942</v>
      </c>
      <c r="M44" s="34">
        <f t="shared" si="5"/>
        <v>94800591803.21904</v>
      </c>
      <c r="N44" s="34">
        <f t="shared" si="6"/>
        <v>0</v>
      </c>
      <c r="O44" s="34">
        <f t="shared" si="7"/>
        <v>94800591803.21904</v>
      </c>
      <c r="P44" s="34">
        <f>O44*1%</f>
        <v>948005918.03219044</v>
      </c>
      <c r="Q44" s="38">
        <f t="shared" si="8"/>
        <v>93383322955.76091</v>
      </c>
      <c r="R44" s="39">
        <f t="shared" si="16"/>
        <v>9166112082.2465687</v>
      </c>
      <c r="S44" s="34">
        <f t="shared" si="17"/>
        <v>82495008740.219116</v>
      </c>
      <c r="T44" s="40">
        <v>9989232292</v>
      </c>
      <c r="U44" s="272">
        <f t="shared" si="9"/>
        <v>8.4492955886712982E-3</v>
      </c>
      <c r="V44" s="282">
        <f t="shared" si="10"/>
        <v>81.450510519712381</v>
      </c>
      <c r="W44" s="283">
        <f>((S44+'Malawi-only'!S44)/(T44*(U44+'Malawi-only'!U44))/12)</f>
        <v>62.983184338483262</v>
      </c>
      <c r="X44" s="284">
        <f>(R44+'Malawi-only'!R44)</f>
        <v>10838074308.066757</v>
      </c>
      <c r="Y44" s="284">
        <f>(L44+'Malawi-only'!L44)</f>
        <v>1559571106341.8159</v>
      </c>
      <c r="Z44" s="284">
        <f>(Q44+'Malawi-only'!Q44)</f>
        <v>96727247407.401291</v>
      </c>
    </row>
    <row r="45" spans="1:26" ht="15.75" customHeight="1">
      <c r="A45" s="31" t="s">
        <v>78</v>
      </c>
      <c r="B45" s="32">
        <v>2061</v>
      </c>
      <c r="C45" s="271">
        <f t="shared" si="11"/>
        <v>7.1190565978684842E-3</v>
      </c>
      <c r="D45" s="271">
        <f t="shared" si="19"/>
        <v>7.1190565978684842E-3</v>
      </c>
      <c r="E45" s="34">
        <f t="shared" si="1"/>
        <v>0</v>
      </c>
      <c r="F45" s="42">
        <v>4000</v>
      </c>
      <c r="G45" s="34">
        <f t="shared" si="2"/>
        <v>28476226391.473938</v>
      </c>
      <c r="H45" s="34">
        <f t="shared" si="3"/>
        <v>28333845259.516567</v>
      </c>
      <c r="I45" s="43">
        <v>1</v>
      </c>
      <c r="J45" s="36">
        <f t="shared" si="4"/>
        <v>28333845259.516567</v>
      </c>
      <c r="K45" s="34">
        <f t="shared" si="14"/>
        <v>1543606709422.8711</v>
      </c>
      <c r="L45" s="37">
        <f t="shared" si="15"/>
        <v>1532338591151.4492</v>
      </c>
      <c r="M45" s="34">
        <f t="shared" si="5"/>
        <v>96537331242.541306</v>
      </c>
      <c r="N45" s="34">
        <f t="shared" si="6"/>
        <v>0</v>
      </c>
      <c r="O45" s="34">
        <f t="shared" si="7"/>
        <v>96537331242.541306</v>
      </c>
      <c r="P45" s="34">
        <f>O45*1.2%</f>
        <v>1158447974.9104958</v>
      </c>
      <c r="Q45" s="38">
        <f t="shared" si="8"/>
        <v>94901988851.292664</v>
      </c>
      <c r="R45" s="39">
        <f t="shared" si="16"/>
        <v>9338332295.5760918</v>
      </c>
      <c r="S45" s="34">
        <f t="shared" si="17"/>
        <v>84044990660.184814</v>
      </c>
      <c r="T45" s="40">
        <v>10013916213</v>
      </c>
      <c r="U45" s="272">
        <f t="shared" si="9"/>
        <v>8.4492955886712982E-3</v>
      </c>
      <c r="V45" s="282">
        <f t="shared" si="10"/>
        <v>82.776322906058724</v>
      </c>
      <c r="W45" s="283">
        <f>((S45+'Malawi-only'!S45)/(T45*(U45+'Malawi-only'!U45))/12)</f>
        <v>64.011641675753978</v>
      </c>
      <c r="X45" s="284">
        <f>(R45+'Malawi-only'!R45)</f>
        <v>11046058818.078501</v>
      </c>
      <c r="Y45" s="284">
        <f>(L45+'Malawi-only'!L45)</f>
        <v>1588275664564.0684</v>
      </c>
      <c r="Z45" s="284">
        <f>(Q45+'Malawi-only'!Q45)</f>
        <v>98317441896.297485</v>
      </c>
    </row>
    <row r="46" spans="1:26" ht="15.75" customHeight="1">
      <c r="A46" s="31" t="s">
        <v>79</v>
      </c>
      <c r="B46" s="32">
        <v>2062</v>
      </c>
      <c r="C46" s="271">
        <f t="shared" si="11"/>
        <v>6.4071509380816362E-3</v>
      </c>
      <c r="D46" s="271">
        <f t="shared" si="19"/>
        <v>6.4071509380816362E-3</v>
      </c>
      <c r="E46" s="34">
        <f t="shared" si="1"/>
        <v>0</v>
      </c>
      <c r="F46" s="42">
        <v>4000</v>
      </c>
      <c r="G46" s="34">
        <f t="shared" si="2"/>
        <v>25628603752.326546</v>
      </c>
      <c r="H46" s="34">
        <f t="shared" si="3"/>
        <v>25500460733.564915</v>
      </c>
      <c r="I46" s="43">
        <v>1</v>
      </c>
      <c r="J46" s="36">
        <f t="shared" si="4"/>
        <v>25500460733.564915</v>
      </c>
      <c r="K46" s="34">
        <f t="shared" si="14"/>
        <v>1569107170156.436</v>
      </c>
      <c r="L46" s="37">
        <f t="shared" si="15"/>
        <v>1557060132359.0718</v>
      </c>
      <c r="M46" s="34">
        <f t="shared" si="5"/>
        <v>98094788338.621521</v>
      </c>
      <c r="N46" s="34">
        <f t="shared" si="6"/>
        <v>0</v>
      </c>
      <c r="O46" s="34">
        <f t="shared" si="7"/>
        <v>98094788338.621521</v>
      </c>
      <c r="P46" s="34">
        <f>O46*1.4%</f>
        <v>1373327036.7407012</v>
      </c>
      <c r="Q46" s="38">
        <f t="shared" si="8"/>
        <v>96237853995.371414</v>
      </c>
      <c r="R46" s="39">
        <f t="shared" si="16"/>
        <v>9490198885.1292667</v>
      </c>
      <c r="S46" s="34">
        <f t="shared" si="17"/>
        <v>85411789966.163391</v>
      </c>
      <c r="T46" s="40">
        <v>10037466600</v>
      </c>
      <c r="U46" s="272">
        <f t="shared" si="9"/>
        <v>8.4492955886712982E-3</v>
      </c>
      <c r="V46" s="282">
        <f t="shared" si="10"/>
        <v>83.925118002932237</v>
      </c>
      <c r="W46" s="283">
        <f>((S46+'Malawi-only'!S46)/(T46*(U46+'Malawi-only'!U46))/12)</f>
        <v>64.903097673127021</v>
      </c>
      <c r="X46" s="284">
        <f>(R46+'Malawi-only'!R46)</f>
        <v>11229837337.358776</v>
      </c>
      <c r="Y46" s="284">
        <f>(L46+'Malawi-only'!L46)</f>
        <v>1614028570180.1262</v>
      </c>
      <c r="Z46" s="284">
        <f>(Q46+'Malawi-only'!Q46)</f>
        <v>99717130899.830429</v>
      </c>
    </row>
    <row r="47" spans="1:26" ht="15.75" customHeight="1">
      <c r="A47" s="31" t="s">
        <v>80</v>
      </c>
      <c r="B47" s="32">
        <v>2063</v>
      </c>
      <c r="C47" s="271">
        <f t="shared" si="11"/>
        <v>5.7664358442734726E-3</v>
      </c>
      <c r="D47" s="271">
        <f t="shared" si="19"/>
        <v>5.7664358442734726E-3</v>
      </c>
      <c r="E47" s="34">
        <f t="shared" si="1"/>
        <v>0</v>
      </c>
      <c r="F47" s="42">
        <v>4000</v>
      </c>
      <c r="G47" s="34">
        <f t="shared" si="2"/>
        <v>23065743377.093891</v>
      </c>
      <c r="H47" s="34">
        <f t="shared" si="3"/>
        <v>22950414660.20842</v>
      </c>
      <c r="I47" s="43">
        <v>1</v>
      </c>
      <c r="J47" s="36">
        <f t="shared" si="4"/>
        <v>22950414660.20842</v>
      </c>
      <c r="K47" s="34">
        <f t="shared" si="14"/>
        <v>1592057584816.6445</v>
      </c>
      <c r="L47" s="37">
        <f t="shared" si="15"/>
        <v>1579220541745.7708</v>
      </c>
      <c r="M47" s="34">
        <f t="shared" si="5"/>
        <v>99490894129.983551</v>
      </c>
      <c r="N47" s="34">
        <f t="shared" si="6"/>
        <v>0</v>
      </c>
      <c r="O47" s="34">
        <f t="shared" si="7"/>
        <v>99490894129.983551</v>
      </c>
      <c r="P47" s="34">
        <f>O47*1.6%</f>
        <v>1591854306.0797369</v>
      </c>
      <c r="Q47" s="38">
        <f t="shared" si="8"/>
        <v>97409544624.784286</v>
      </c>
      <c r="R47" s="39">
        <f t="shared" si="16"/>
        <v>9623785399.5371418</v>
      </c>
      <c r="S47" s="34">
        <f t="shared" si="17"/>
        <v>86614068595.834274</v>
      </c>
      <c r="T47" s="40">
        <v>10059950035</v>
      </c>
      <c r="U47" s="272">
        <f t="shared" si="9"/>
        <v>8.4492955886712982E-3</v>
      </c>
      <c r="V47" s="282">
        <f t="shared" si="10"/>
        <v>84.916261571349381</v>
      </c>
      <c r="W47" s="283">
        <f>((S47+'Malawi-only'!S47)/(T47*(U47+'Malawi-only'!U47))/12)</f>
        <v>65.672561671790206</v>
      </c>
      <c r="X47" s="284">
        <f>(R47+'Malawi-only'!R47)</f>
        <v>11391905461.365406</v>
      </c>
      <c r="Y47" s="284">
        <f>(L47+'Malawi-only'!L47)</f>
        <v>1637126016156.842</v>
      </c>
      <c r="Z47" s="284">
        <f>(Q47+'Malawi-only'!Q47)</f>
        <v>100945784748.44081</v>
      </c>
    </row>
    <row r="48" spans="1:26" ht="15.75" customHeight="1">
      <c r="A48" s="31" t="s">
        <v>81</v>
      </c>
      <c r="B48" s="32">
        <v>2064</v>
      </c>
      <c r="C48" s="271">
        <f t="shared" si="11"/>
        <v>5.1897922598461259E-3</v>
      </c>
      <c r="D48" s="271">
        <f t="shared" si="19"/>
        <v>5.1897922598461259E-3</v>
      </c>
      <c r="E48" s="34">
        <f t="shared" si="1"/>
        <v>0</v>
      </c>
      <c r="F48" s="42">
        <v>4000</v>
      </c>
      <c r="G48" s="34">
        <f t="shared" si="2"/>
        <v>20759169039.384502</v>
      </c>
      <c r="H48" s="34">
        <f t="shared" si="3"/>
        <v>20655373194.18758</v>
      </c>
      <c r="I48" s="43">
        <v>1</v>
      </c>
      <c r="J48" s="36">
        <f t="shared" si="4"/>
        <v>20655373194.18758</v>
      </c>
      <c r="K48" s="34">
        <f t="shared" si="14"/>
        <v>1612712958010.832</v>
      </c>
      <c r="L48" s="37">
        <f t="shared" si="15"/>
        <v>1599075976982.4883</v>
      </c>
      <c r="M48" s="34">
        <f t="shared" si="5"/>
        <v>100741786549.89676</v>
      </c>
      <c r="N48" s="34">
        <f t="shared" si="6"/>
        <v>0</v>
      </c>
      <c r="O48" s="34">
        <f t="shared" si="7"/>
        <v>100741786549.89676</v>
      </c>
      <c r="P48" s="34">
        <f>O48*1.8%</f>
        <v>1813352157.8981419</v>
      </c>
      <c r="Q48" s="38">
        <f t="shared" si="8"/>
        <v>98433792220.03862</v>
      </c>
      <c r="R48" s="39">
        <f t="shared" si="16"/>
        <v>9740954462.4784298</v>
      </c>
      <c r="S48" s="34">
        <f t="shared" si="17"/>
        <v>87668590162.305862</v>
      </c>
      <c r="T48" s="40">
        <v>10081402737</v>
      </c>
      <c r="U48" s="272">
        <f t="shared" si="9"/>
        <v>8.4492955886712982E-3</v>
      </c>
      <c r="V48" s="282">
        <f t="shared" si="10"/>
        <v>85.76721504964452</v>
      </c>
      <c r="W48" s="283">
        <f>((S48+'Malawi-only'!S48)/(T48*(U48+'Malawi-only'!U48))/12)</f>
        <v>66.333566292493813</v>
      </c>
      <c r="X48" s="284">
        <f>(R48+'Malawi-only'!R48)</f>
        <v>11534504324.23477</v>
      </c>
      <c r="Y48" s="284">
        <f>(L48+'Malawi-only'!L48)</f>
        <v>1657834564843.9834</v>
      </c>
      <c r="Z48" s="284">
        <f>(Q48+'Malawi-only'!Q48)</f>
        <v>102020891943.5513</v>
      </c>
    </row>
    <row r="49" spans="1:26" ht="15.75" customHeight="1">
      <c r="A49" s="31" t="s">
        <v>82</v>
      </c>
      <c r="B49" s="32">
        <v>2065</v>
      </c>
      <c r="C49" s="271">
        <f t="shared" si="11"/>
        <v>4.6708130338615136E-3</v>
      </c>
      <c r="D49" s="271">
        <f t="shared" si="19"/>
        <v>4.6708130338615136E-3</v>
      </c>
      <c r="E49" s="34">
        <f t="shared" si="1"/>
        <v>0</v>
      </c>
      <c r="F49" s="42">
        <v>4000</v>
      </c>
      <c r="G49" s="34">
        <f t="shared" si="2"/>
        <v>18683252135.446053</v>
      </c>
      <c r="H49" s="34">
        <f t="shared" si="3"/>
        <v>18589835874.768822</v>
      </c>
      <c r="I49" s="43">
        <v>1</v>
      </c>
      <c r="J49" s="36">
        <f t="shared" si="4"/>
        <v>18589835874.768822</v>
      </c>
      <c r="K49" s="34">
        <f t="shared" si="14"/>
        <v>1631302793885.6008</v>
      </c>
      <c r="L49" s="37">
        <f t="shared" si="15"/>
        <v>1616856979950.8286</v>
      </c>
      <c r="M49" s="34">
        <f t="shared" si="5"/>
        <v>101861989736.90221</v>
      </c>
      <c r="N49" s="34">
        <f t="shared" si="6"/>
        <v>0</v>
      </c>
      <c r="O49" s="34">
        <f t="shared" si="7"/>
        <v>101861989736.90221</v>
      </c>
      <c r="P49" s="34">
        <f>O49*2%</f>
        <v>2037239794.7380443</v>
      </c>
      <c r="Q49" s="38">
        <f t="shared" si="8"/>
        <v>99325626192.453354</v>
      </c>
      <c r="R49" s="39">
        <f t="shared" si="16"/>
        <v>9843379222.0038624</v>
      </c>
      <c r="S49" s="34">
        <f t="shared" si="17"/>
        <v>88590412998.03476</v>
      </c>
      <c r="T49" s="40">
        <v>10101849561</v>
      </c>
      <c r="U49" s="272">
        <f t="shared" si="9"/>
        <v>8.4492955886712982E-3</v>
      </c>
      <c r="V49" s="282">
        <f t="shared" si="10"/>
        <v>86.493621209036107</v>
      </c>
      <c r="W49" s="283">
        <f>((S49+'Malawi-only'!S49)/(T49*(U49+'Malawi-only'!U49))/12)</f>
        <v>66.898234197494332</v>
      </c>
      <c r="X49" s="284">
        <f>(R49+'Malawi-only'!R49)</f>
        <v>11659646541.056545</v>
      </c>
      <c r="Y49" s="284">
        <f>(L49+'Malawi-only'!L49)</f>
        <v>1676394112873.7532</v>
      </c>
      <c r="Z49" s="284">
        <f>(Q49+'Malawi-only'!Q49)</f>
        <v>102958160830.55872</v>
      </c>
    </row>
    <row r="50" spans="1:26" ht="15.75" customHeight="1">
      <c r="A50" s="31" t="s">
        <v>83</v>
      </c>
      <c r="B50" s="32">
        <v>2066</v>
      </c>
      <c r="C50" s="271">
        <f t="shared" si="11"/>
        <v>4.2037317304753621E-3</v>
      </c>
      <c r="D50" s="271">
        <f t="shared" si="19"/>
        <v>4.2037317304753621E-3</v>
      </c>
      <c r="E50" s="34">
        <f t="shared" si="1"/>
        <v>0</v>
      </c>
      <c r="F50" s="42">
        <v>4000</v>
      </c>
      <c r="G50" s="34">
        <f t="shared" si="2"/>
        <v>16814926921.901449</v>
      </c>
      <c r="H50" s="34">
        <f t="shared" si="3"/>
        <v>16730852287.291943</v>
      </c>
      <c r="I50" s="43">
        <v>1</v>
      </c>
      <c r="J50" s="36">
        <f t="shared" si="4"/>
        <v>16730852287.291943</v>
      </c>
      <c r="K50" s="34">
        <f t="shared" si="14"/>
        <v>1648033646172.8928</v>
      </c>
      <c r="L50" s="37">
        <f t="shared" si="15"/>
        <v>1632771038322.0017</v>
      </c>
      <c r="M50" s="34">
        <f t="shared" si="5"/>
        <v>102864575414.2861</v>
      </c>
      <c r="N50" s="34">
        <f t="shared" si="6"/>
        <v>0</v>
      </c>
      <c r="O50" s="34">
        <f t="shared" si="7"/>
        <v>102864575414.2861</v>
      </c>
      <c r="P50" s="34">
        <f>O50*2.2%</f>
        <v>2263020659.1142945</v>
      </c>
      <c r="Q50" s="38">
        <f t="shared" si="8"/>
        <v>100098546981.39595</v>
      </c>
      <c r="R50" s="39">
        <f t="shared" si="16"/>
        <v>9932562619.2453365</v>
      </c>
      <c r="S50" s="34">
        <f t="shared" si="17"/>
        <v>89393063573.208023</v>
      </c>
      <c r="T50" s="40">
        <v>10121317107</v>
      </c>
      <c r="U50" s="272">
        <f t="shared" si="9"/>
        <v>8.4492955886712982E-3</v>
      </c>
      <c r="V50" s="282">
        <f t="shared" si="10"/>
        <v>87.10940346888701</v>
      </c>
      <c r="W50" s="283">
        <f>((S50+'Malawi-only'!S50)/(T50*(U50+'Malawi-only'!U50))/12)</f>
        <v>67.377355328283372</v>
      </c>
      <c r="X50" s="284">
        <f>(R50+'Malawi-only'!R50)</f>
        <v>11769139506.815817</v>
      </c>
      <c r="Y50" s="284">
        <f>(L50+'Malawi-only'!L50)</f>
        <v>1693020559416.8718</v>
      </c>
      <c r="Z50" s="284">
        <f>(Q50+'Malawi-only'!Q50)</f>
        <v>103771700756.53691</v>
      </c>
    </row>
    <row r="51" spans="1:26" ht="15.75" customHeight="1">
      <c r="A51" s="31" t="s">
        <v>84</v>
      </c>
      <c r="B51" s="32">
        <v>2067</v>
      </c>
      <c r="C51" s="271">
        <f t="shared" si="11"/>
        <v>3.7833585574278258E-3</v>
      </c>
      <c r="D51" s="271">
        <f t="shared" si="19"/>
        <v>3.7833585574278258E-3</v>
      </c>
      <c r="E51" s="34">
        <f t="shared" si="1"/>
        <v>0</v>
      </c>
      <c r="F51" s="42">
        <v>4000</v>
      </c>
      <c r="G51" s="34">
        <f t="shared" si="2"/>
        <v>15133434229.711304</v>
      </c>
      <c r="H51" s="34">
        <f t="shared" si="3"/>
        <v>15057767058.562748</v>
      </c>
      <c r="I51" s="43">
        <v>1</v>
      </c>
      <c r="J51" s="36">
        <f t="shared" si="4"/>
        <v>15057767058.562748</v>
      </c>
      <c r="K51" s="34">
        <f t="shared" si="14"/>
        <v>1663091413231.4556</v>
      </c>
      <c r="L51" s="37">
        <f t="shared" si="15"/>
        <v>1647004890977.8743</v>
      </c>
      <c r="M51" s="34">
        <f t="shared" si="5"/>
        <v>103761308131.60608</v>
      </c>
      <c r="N51" s="34">
        <f t="shared" si="6"/>
        <v>0</v>
      </c>
      <c r="O51" s="34">
        <f t="shared" si="7"/>
        <v>103761308131.60608</v>
      </c>
      <c r="P51" s="34">
        <f>O51*2.4%</f>
        <v>2490271395.158546</v>
      </c>
      <c r="Q51" s="38">
        <f t="shared" si="8"/>
        <v>100764681552.7653</v>
      </c>
      <c r="R51" s="39">
        <f t="shared" si="16"/>
        <v>10009854698.139595</v>
      </c>
      <c r="S51" s="34">
        <f t="shared" si="17"/>
        <v>90088692283.256348</v>
      </c>
      <c r="T51" s="40">
        <v>10139808361</v>
      </c>
      <c r="U51" s="272">
        <f t="shared" si="9"/>
        <v>8.4492955886712982E-3</v>
      </c>
      <c r="V51" s="282">
        <f t="shared" si="10"/>
        <v>87.627170011397268</v>
      </c>
      <c r="W51" s="283">
        <f>((S51+'Malawi-only'!S51)/(T51*(U51+'Malawi-only'!U51))/12)</f>
        <v>67.780699838856592</v>
      </c>
      <c r="X51" s="284">
        <f>(R51+'Malawi-only'!R51)</f>
        <v>11864606321.282709</v>
      </c>
      <c r="Y51" s="284">
        <f>(L51+'Malawi-only'!L51)</f>
        <v>1707908207475.7505</v>
      </c>
      <c r="Z51" s="284">
        <f>(Q51+'Malawi-only'!Q51)</f>
        <v>104474184799.05153</v>
      </c>
    </row>
    <row r="52" spans="1:26" ht="15.75" customHeight="1">
      <c r="A52" s="31" t="s">
        <v>85</v>
      </c>
      <c r="B52" s="32">
        <v>2068</v>
      </c>
      <c r="C52" s="271">
        <f t="shared" si="11"/>
        <v>3.4050227016850431E-3</v>
      </c>
      <c r="D52" s="271">
        <f t="shared" si="19"/>
        <v>3.4050227016850431E-3</v>
      </c>
      <c r="E52" s="34">
        <f t="shared" si="1"/>
        <v>0</v>
      </c>
      <c r="F52" s="42">
        <v>4000</v>
      </c>
      <c r="G52" s="34">
        <f t="shared" si="2"/>
        <v>13620090806.740173</v>
      </c>
      <c r="H52" s="34">
        <f t="shared" si="3"/>
        <v>13551990352.706472</v>
      </c>
      <c r="I52" s="43">
        <v>1</v>
      </c>
      <c r="J52" s="36">
        <f t="shared" si="4"/>
        <v>13551990352.706472</v>
      </c>
      <c r="K52" s="34">
        <f t="shared" si="14"/>
        <v>1676643403584.1621</v>
      </c>
      <c r="L52" s="37">
        <f t="shared" si="15"/>
        <v>1659726602889.9155</v>
      </c>
      <c r="M52" s="34">
        <f t="shared" si="5"/>
        <v>104562775982.06468</v>
      </c>
      <c r="N52" s="34">
        <f t="shared" si="6"/>
        <v>0</v>
      </c>
      <c r="O52" s="34">
        <f t="shared" si="7"/>
        <v>104562775982.06468</v>
      </c>
      <c r="P52" s="34">
        <f>O52*2.6%</f>
        <v>2718632175.5336819</v>
      </c>
      <c r="Q52" s="38">
        <f t="shared" si="8"/>
        <v>101334923087.49835</v>
      </c>
      <c r="R52" s="39">
        <f t="shared" si="16"/>
        <v>10076468155.276531</v>
      </c>
      <c r="S52" s="34">
        <f t="shared" si="17"/>
        <v>90688213397.48877</v>
      </c>
      <c r="T52" s="40">
        <v>10157301941</v>
      </c>
      <c r="U52" s="272">
        <f t="shared" si="9"/>
        <v>8.4492955886712982E-3</v>
      </c>
      <c r="V52" s="282">
        <f t="shared" si="10"/>
        <v>88.058388562940522</v>
      </c>
      <c r="W52" s="283">
        <f>((S52+'Malawi-only'!S52)/(T52*(U52+'Malawi-only'!U52))/12)</f>
        <v>68.117153630529913</v>
      </c>
      <c r="X52" s="284">
        <f>(R52+'Malawi-only'!R52)</f>
        <v>11947504581.704029</v>
      </c>
      <c r="Y52" s="284">
        <f>(L52+'Malawi-only'!L52)</f>
        <v>1721231924925.5791</v>
      </c>
      <c r="Z52" s="284">
        <f>(Q52+'Malawi-only'!Q52)</f>
        <v>105076995940.35335</v>
      </c>
    </row>
    <row r="53" spans="1:26" ht="15.75" customHeight="1">
      <c r="A53" s="31" t="s">
        <v>86</v>
      </c>
      <c r="B53" s="32">
        <v>2069</v>
      </c>
      <c r="C53" s="271">
        <f t="shared" si="11"/>
        <v>3.0645204315165389E-3</v>
      </c>
      <c r="D53" s="271">
        <f t="shared" si="19"/>
        <v>3.0645204315165389E-3</v>
      </c>
      <c r="E53" s="34">
        <f t="shared" si="1"/>
        <v>0</v>
      </c>
      <c r="F53" s="42">
        <v>4000</v>
      </c>
      <c r="G53" s="34">
        <f t="shared" si="2"/>
        <v>12258081726.066154</v>
      </c>
      <c r="H53" s="34">
        <f t="shared" si="3"/>
        <v>12196791317.435823</v>
      </c>
      <c r="I53" s="43">
        <v>1</v>
      </c>
      <c r="J53" s="36">
        <f t="shared" si="4"/>
        <v>12196791317.435823</v>
      </c>
      <c r="K53" s="34">
        <f t="shared" si="14"/>
        <v>1688840194901.5979</v>
      </c>
      <c r="L53" s="37">
        <f t="shared" si="15"/>
        <v>1671087432510.2478</v>
      </c>
      <c r="M53" s="34">
        <f t="shared" si="5"/>
        <v>105278508248.14561</v>
      </c>
      <c r="N53" s="34">
        <f t="shared" si="6"/>
        <v>0</v>
      </c>
      <c r="O53" s="34">
        <f t="shared" si="7"/>
        <v>105278508248.14561</v>
      </c>
      <c r="P53" s="34">
        <f>O53*2.8%</f>
        <v>2947798230.9480767</v>
      </c>
      <c r="Q53" s="38">
        <f t="shared" si="8"/>
        <v>101819056467.11156</v>
      </c>
      <c r="R53" s="39">
        <f t="shared" si="16"/>
        <v>10133492308.749836</v>
      </c>
      <c r="S53" s="34">
        <f t="shared" si="17"/>
        <v>91201430778.74852</v>
      </c>
      <c r="T53" s="40">
        <v>10173782135</v>
      </c>
      <c r="U53" s="272">
        <f t="shared" si="9"/>
        <v>8.4492955886712982E-3</v>
      </c>
      <c r="V53" s="282">
        <f t="shared" si="10"/>
        <v>88.413273106396332</v>
      </c>
      <c r="W53" s="283">
        <f>((S53+'Malawi-only'!S53)/(T53*(U53+'Malawi-only'!U53))/12)</f>
        <v>68.394631010007515</v>
      </c>
      <c r="X53" s="284">
        <f>(R53+'Malawi-only'!R53)</f>
        <v>12019143260.518059</v>
      </c>
      <c r="Y53" s="284">
        <f>(L53+'Malawi-only'!L53)</f>
        <v>1733149089341.6118</v>
      </c>
      <c r="Z53" s="284">
        <f>(Q53+'Malawi-only'!Q53)</f>
        <v>105590358370.64799</v>
      </c>
    </row>
    <row r="54" spans="1:26" ht="15.75" customHeight="1">
      <c r="A54" s="31" t="s">
        <v>87</v>
      </c>
      <c r="B54" s="32">
        <v>2070</v>
      </c>
      <c r="C54" s="271">
        <f t="shared" si="11"/>
        <v>2.7580683883648852E-3</v>
      </c>
      <c r="D54" s="271">
        <f t="shared" si="19"/>
        <v>2.7580683883648852E-3</v>
      </c>
      <c r="E54" s="34">
        <f t="shared" si="1"/>
        <v>0</v>
      </c>
      <c r="F54" s="42">
        <v>4000</v>
      </c>
      <c r="G54" s="34">
        <f t="shared" si="2"/>
        <v>11032273553.459541</v>
      </c>
      <c r="H54" s="34">
        <f t="shared" si="3"/>
        <v>10977112185.692244</v>
      </c>
      <c r="I54" s="43">
        <v>1</v>
      </c>
      <c r="J54" s="36">
        <f t="shared" si="4"/>
        <v>10977112185.692244</v>
      </c>
      <c r="K54" s="34">
        <f t="shared" si="14"/>
        <v>1699817307087.29</v>
      </c>
      <c r="L54" s="37">
        <f t="shared" si="15"/>
        <v>1681223512423.592</v>
      </c>
      <c r="M54" s="34">
        <f t="shared" si="5"/>
        <v>105917081282.68629</v>
      </c>
      <c r="N54" s="34">
        <f t="shared" si="6"/>
        <v>0</v>
      </c>
      <c r="O54" s="34">
        <f t="shared" si="7"/>
        <v>105917081282.68629</v>
      </c>
      <c r="P54" s="34">
        <f>O54*3%</f>
        <v>3177512438.4805889</v>
      </c>
      <c r="Q54" s="38">
        <f t="shared" si="8"/>
        <v>102225870999.98468</v>
      </c>
      <c r="R54" s="39">
        <f t="shared" si="16"/>
        <v>10181905646.711157</v>
      </c>
      <c r="S54" s="34">
        <f t="shared" si="17"/>
        <v>91637150820.400406</v>
      </c>
      <c r="T54" s="40">
        <v>10189241959</v>
      </c>
      <c r="U54" s="272">
        <f t="shared" si="9"/>
        <v>8.4492955886712982E-3</v>
      </c>
      <c r="V54" s="282">
        <f t="shared" si="10"/>
        <v>88.700884927009668</v>
      </c>
      <c r="W54" s="283">
        <f>((S54+'Malawi-only'!S54)/(T54*(U54+'Malawi-only'!U54))/12)</f>
        <v>68.620153077211896</v>
      </c>
      <c r="X54" s="284">
        <f>(R54+'Malawi-only'!R54)</f>
        <v>12080697863.189234</v>
      </c>
      <c r="Y54" s="284">
        <f>(L54+'Malawi-only'!L54)</f>
        <v>1743801338245.7793</v>
      </c>
      <c r="Z54" s="284">
        <f>(Q54+'Malawi-only'!Q54)</f>
        <v>106023455432.94084</v>
      </c>
    </row>
    <row r="55" spans="1:26" ht="15.75" customHeight="1">
      <c r="A55" s="31" t="s">
        <v>88</v>
      </c>
      <c r="B55" s="32">
        <v>2071</v>
      </c>
      <c r="C55" s="271">
        <f t="shared" si="11"/>
        <v>2.4822615495283967E-3</v>
      </c>
      <c r="D55" s="271">
        <f t="shared" si="19"/>
        <v>2.4822615495283967E-3</v>
      </c>
      <c r="E55" s="34">
        <f t="shared" si="1"/>
        <v>0</v>
      </c>
      <c r="F55" s="42">
        <v>4000</v>
      </c>
      <c r="G55" s="34">
        <f t="shared" si="2"/>
        <v>9929046198.1135864</v>
      </c>
      <c r="H55" s="34">
        <f t="shared" si="3"/>
        <v>9879400967.1230183</v>
      </c>
      <c r="I55" s="43">
        <v>1</v>
      </c>
      <c r="J55" s="36">
        <f t="shared" si="4"/>
        <v>9879400967.1230183</v>
      </c>
      <c r="K55" s="34">
        <f t="shared" si="14"/>
        <v>1709696708054.4131</v>
      </c>
      <c r="L55" s="37">
        <f t="shared" si="15"/>
        <v>1690257361934.0198</v>
      </c>
      <c r="M55" s="34">
        <f t="shared" si="5"/>
        <v>106486213801.84325</v>
      </c>
      <c r="N55" s="34">
        <f t="shared" si="6"/>
        <v>0</v>
      </c>
      <c r="O55" s="34">
        <f t="shared" si="7"/>
        <v>106486213801.84325</v>
      </c>
      <c r="P55" s="34">
        <f>O55*3.2%</f>
        <v>3407558841.6589842</v>
      </c>
      <c r="Q55" s="38">
        <f t="shared" si="8"/>
        <v>102563261685.38335</v>
      </c>
      <c r="R55" s="39">
        <f t="shared" si="16"/>
        <v>10222587099.998468</v>
      </c>
      <c r="S55" s="34">
        <f t="shared" si="17"/>
        <v>92003283899.986206</v>
      </c>
      <c r="T55" s="40">
        <v>10203681568</v>
      </c>
      <c r="U55" s="272">
        <f t="shared" si="9"/>
        <v>8.4492955886712982E-3</v>
      </c>
      <c r="V55" s="282">
        <f t="shared" si="10"/>
        <v>88.929260812096516</v>
      </c>
      <c r="W55" s="283">
        <f>((S55+'Malawi-only'!S55)/(T55*(U55+'Malawi-only'!U55))/12)</f>
        <v>68.799947088261376</v>
      </c>
      <c r="X55" s="284">
        <f>(R55+'Malawi-only'!R55)</f>
        <v>12133224041.387533</v>
      </c>
      <c r="Y55" s="284">
        <f>(L55+'Malawi-only'!L55)</f>
        <v>1753316144241.2703</v>
      </c>
      <c r="Z55" s="284">
        <f>(Q55+'Malawi-only'!Q55)</f>
        <v>106384535568.16148</v>
      </c>
    </row>
    <row r="56" spans="1:26" ht="15.75" customHeight="1">
      <c r="A56" s="31" t="s">
        <v>89</v>
      </c>
      <c r="B56" s="32">
        <v>2072</v>
      </c>
      <c r="C56" s="271">
        <f t="shared" si="11"/>
        <v>2.2340353945755572E-3</v>
      </c>
      <c r="D56" s="271">
        <f t="shared" si="19"/>
        <v>2.2340353945755572E-3</v>
      </c>
      <c r="E56" s="34">
        <f t="shared" si="1"/>
        <v>0</v>
      </c>
      <c r="F56" s="42">
        <v>4000</v>
      </c>
      <c r="G56" s="34">
        <f t="shared" si="2"/>
        <v>8936141578.3022289</v>
      </c>
      <c r="H56" s="34">
        <f t="shared" si="3"/>
        <v>8891460870.410717</v>
      </c>
      <c r="I56" s="43">
        <v>1</v>
      </c>
      <c r="J56" s="36">
        <f t="shared" si="4"/>
        <v>8891460870.410717</v>
      </c>
      <c r="K56" s="34">
        <f t="shared" si="14"/>
        <v>1718588168924.8237</v>
      </c>
      <c r="L56" s="37">
        <f t="shared" si="15"/>
        <v>1698299248393.0283</v>
      </c>
      <c r="M56" s="34">
        <f t="shared" si="5"/>
        <v>106992852648.76079</v>
      </c>
      <c r="N56" s="34">
        <f t="shared" si="6"/>
        <v>0</v>
      </c>
      <c r="O56" s="34">
        <f t="shared" si="7"/>
        <v>106992852648.76079</v>
      </c>
      <c r="P56" s="34">
        <f>O56*3.4%</f>
        <v>3637756990.0578671</v>
      </c>
      <c r="Q56" s="38">
        <f t="shared" si="8"/>
        <v>102838320180.40941</v>
      </c>
      <c r="R56" s="39">
        <f t="shared" si="16"/>
        <v>10256326168.538336</v>
      </c>
      <c r="S56" s="34">
        <f t="shared" si="17"/>
        <v>92306935516.845016</v>
      </c>
      <c r="T56" s="40">
        <v>10217055169</v>
      </c>
      <c r="U56" s="272">
        <f t="shared" si="9"/>
        <v>8.4492955886712982E-3</v>
      </c>
      <c r="V56" s="282">
        <f t="shared" si="10"/>
        <v>89.105978766329585</v>
      </c>
      <c r="W56" s="283">
        <f>((S56+'Malawi-only'!S56)/(T56*(U56+'Malawi-only'!U56))/12)</f>
        <v>68.93988429647392</v>
      </c>
      <c r="X56" s="284">
        <f>(R56+'Malawi-only'!R56)</f>
        <v>12177669818.889572</v>
      </c>
      <c r="Y56" s="284">
        <f>(L56+'Malawi-only'!L56)</f>
        <v>1761808232555.7915</v>
      </c>
      <c r="Z56" s="284">
        <f>(Q56+'Malawi-only'!Q56)</f>
        <v>106681007481.11188</v>
      </c>
    </row>
    <row r="57" spans="1:26" ht="15.75" customHeight="1">
      <c r="A57" s="31" t="s">
        <v>90</v>
      </c>
      <c r="B57" s="32">
        <v>2073</v>
      </c>
      <c r="C57" s="271">
        <f t="shared" si="11"/>
        <v>2.0106318551180017E-3</v>
      </c>
      <c r="D57" s="271">
        <f t="shared" si="19"/>
        <v>2.0106318551180017E-3</v>
      </c>
      <c r="E57" s="34">
        <f t="shared" si="1"/>
        <v>0</v>
      </c>
      <c r="F57" s="42">
        <v>4000</v>
      </c>
      <c r="G57" s="34">
        <f t="shared" si="2"/>
        <v>8042527420.4720068</v>
      </c>
      <c r="H57" s="34">
        <f t="shared" si="3"/>
        <v>8002314783.369647</v>
      </c>
      <c r="I57" s="35">
        <f t="shared" ref="I57:I184" si="21">100%</f>
        <v>1</v>
      </c>
      <c r="J57" s="36">
        <f t="shared" si="4"/>
        <v>8002314783.369647</v>
      </c>
      <c r="K57" s="34">
        <f t="shared" si="14"/>
        <v>1726590483708.1934</v>
      </c>
      <c r="L57" s="37">
        <f t="shared" si="15"/>
        <v>1705448412394.8098</v>
      </c>
      <c r="M57" s="34">
        <f t="shared" si="5"/>
        <v>107443249980.87302</v>
      </c>
      <c r="N57" s="34">
        <f t="shared" si="6"/>
        <v>0</v>
      </c>
      <c r="O57" s="34">
        <f t="shared" si="7"/>
        <v>107443249980.87302</v>
      </c>
      <c r="P57" s="34">
        <f>O57*3.6%</f>
        <v>3867956999.311429</v>
      </c>
      <c r="Q57" s="38">
        <f t="shared" si="8"/>
        <v>103057416516.65378</v>
      </c>
      <c r="R57" s="39">
        <f t="shared" si="16"/>
        <v>10283832018.040941</v>
      </c>
      <c r="S57" s="34">
        <f t="shared" si="17"/>
        <v>92554488162.368469</v>
      </c>
      <c r="T57" s="40">
        <v>10229327824</v>
      </c>
      <c r="U57" s="272">
        <f t="shared" si="9"/>
        <v>8.4492955886712982E-3</v>
      </c>
      <c r="V57" s="282">
        <f t="shared" si="10"/>
        <v>89.237755185037756</v>
      </c>
      <c r="W57" s="283">
        <f>((S57+'Malawi-only'!S57)/(T57*(U57+'Malawi-only'!U57))/12)</f>
        <v>69.045168494607225</v>
      </c>
      <c r="X57" s="284">
        <f>(R57+'Malawi-only'!R57)</f>
        <v>12214886571.547823</v>
      </c>
      <c r="Y57" s="284">
        <f>(L57+'Malawi-only'!L57)</f>
        <v>1769380856761.2039</v>
      </c>
      <c r="Z57" s="284">
        <f>(Q57+'Malawi-only'!Q57)</f>
        <v>106919525623.66754</v>
      </c>
    </row>
    <row r="58" spans="1:26" ht="15.75" customHeight="1">
      <c r="A58" s="31" t="s">
        <v>91</v>
      </c>
      <c r="B58" s="32">
        <v>2074</v>
      </c>
      <c r="C58" s="271">
        <f t="shared" si="11"/>
        <v>1.8095686696062015E-3</v>
      </c>
      <c r="D58" s="271">
        <f t="shared" si="19"/>
        <v>1.8095686696062015E-3</v>
      </c>
      <c r="E58" s="34">
        <f t="shared" si="1"/>
        <v>0</v>
      </c>
      <c r="F58" s="42">
        <v>4000</v>
      </c>
      <c r="G58" s="34">
        <f t="shared" si="2"/>
        <v>7238274678.4248056</v>
      </c>
      <c r="H58" s="34">
        <f t="shared" si="3"/>
        <v>7202083305.0326815</v>
      </c>
      <c r="I58" s="35">
        <f t="shared" si="21"/>
        <v>1</v>
      </c>
      <c r="J58" s="36">
        <f t="shared" si="4"/>
        <v>7202083305.0326815</v>
      </c>
      <c r="K58" s="34">
        <f t="shared" si="14"/>
        <v>1733792567013.2261</v>
      </c>
      <c r="L58" s="37">
        <f t="shared" si="15"/>
        <v>1711794170451.9927</v>
      </c>
      <c r="M58" s="34">
        <f t="shared" si="5"/>
        <v>107843032738.47554</v>
      </c>
      <c r="N58" s="34">
        <f t="shared" si="6"/>
        <v>0</v>
      </c>
      <c r="O58" s="34">
        <f t="shared" si="7"/>
        <v>107843032738.47554</v>
      </c>
      <c r="P58" s="34">
        <f>O58*3.8%</f>
        <v>4098035244.0620704</v>
      </c>
      <c r="Q58" s="38">
        <f t="shared" si="8"/>
        <v>103226272506.94141</v>
      </c>
      <c r="R58" s="39">
        <f t="shared" si="16"/>
        <v>10305741651.665379</v>
      </c>
      <c r="S58" s="34">
        <f t="shared" si="17"/>
        <v>92751674864.988403</v>
      </c>
      <c r="T58" s="40">
        <v>10240485056</v>
      </c>
      <c r="U58" s="272">
        <f t="shared" si="9"/>
        <v>8.4492955886712982E-3</v>
      </c>
      <c r="V58" s="282">
        <f t="shared" si="10"/>
        <v>89.330441988255188</v>
      </c>
      <c r="W58" s="283">
        <f>((S58+'Malawi-only'!S58)/(T58*(U58+'Malawi-only'!U58))/12)</f>
        <v>69.120333907036567</v>
      </c>
      <c r="X58" s="284">
        <f>(R58+'Malawi-only'!R58)</f>
        <v>12245638888.276659</v>
      </c>
      <c r="Y58" s="284">
        <f>(L58+'Malawi-only'!L58)</f>
        <v>1776126946859.5977</v>
      </c>
      <c r="Z58" s="284">
        <f>(Q58+'Malawi-only'!Q58)</f>
        <v>107106066980.16397</v>
      </c>
    </row>
    <row r="59" spans="1:26" ht="15.75" customHeight="1">
      <c r="A59" s="31" t="s">
        <v>92</v>
      </c>
      <c r="B59" s="32">
        <v>2075</v>
      </c>
      <c r="C59" s="271">
        <f t="shared" si="11"/>
        <v>1.6286118026455814E-3</v>
      </c>
      <c r="D59" s="271">
        <f t="shared" si="19"/>
        <v>1.6286118026455814E-3</v>
      </c>
      <c r="E59" s="34">
        <f t="shared" si="1"/>
        <v>0</v>
      </c>
      <c r="F59" s="42">
        <v>4000</v>
      </c>
      <c r="G59" s="34">
        <f t="shared" si="2"/>
        <v>6514447210.582325</v>
      </c>
      <c r="H59" s="34">
        <f t="shared" si="3"/>
        <v>6481874974.5294132</v>
      </c>
      <c r="I59" s="35">
        <f t="shared" si="21"/>
        <v>1</v>
      </c>
      <c r="J59" s="36">
        <f t="shared" si="4"/>
        <v>6481874974.5294132</v>
      </c>
      <c r="K59" s="34">
        <f t="shared" si="14"/>
        <v>1740274441987.7554</v>
      </c>
      <c r="L59" s="37">
        <f t="shared" si="15"/>
        <v>1717416907403.8088</v>
      </c>
      <c r="M59" s="34">
        <f t="shared" si="5"/>
        <v>108197265166.43996</v>
      </c>
      <c r="N59" s="34">
        <f t="shared" si="6"/>
        <v>0</v>
      </c>
      <c r="O59" s="34">
        <f t="shared" si="7"/>
        <v>108197265166.43996</v>
      </c>
      <c r="P59" s="34">
        <f>O59*4%</f>
        <v>4327890606.6575985</v>
      </c>
      <c r="Q59" s="38">
        <f t="shared" si="8"/>
        <v>103350027686.98344</v>
      </c>
      <c r="R59" s="39">
        <f t="shared" si="16"/>
        <v>10322627250.694141</v>
      </c>
      <c r="S59" s="34">
        <f t="shared" si="17"/>
        <v>92903645256.247269</v>
      </c>
      <c r="T59" s="40">
        <v>10250496432</v>
      </c>
      <c r="U59" s="272">
        <f t="shared" si="9"/>
        <v>8.4492955886712982E-3</v>
      </c>
      <c r="V59" s="282">
        <f t="shared" si="10"/>
        <v>89.389417289168705</v>
      </c>
      <c r="W59" s="283">
        <f>((S59+'Malawi-only'!S59)/(T59*(U59+'Malawi-only'!U59))/12)</f>
        <v>69.169547562863784</v>
      </c>
      <c r="X59" s="284">
        <f>(R59+'Malawi-only'!R59)</f>
        <v>12270613427.072197</v>
      </c>
      <c r="Y59" s="284">
        <f>(L59+'Malawi-only'!L59)</f>
        <v>1782130142506.1094</v>
      </c>
      <c r="Z59" s="284">
        <f>(Q59+'Malawi-only'!Q59)</f>
        <v>107246000039.73955</v>
      </c>
    </row>
    <row r="60" spans="1:26" ht="15.75" customHeight="1">
      <c r="A60" s="31" t="s">
        <v>93</v>
      </c>
      <c r="B60" s="32">
        <v>2076</v>
      </c>
      <c r="C60" s="271">
        <f t="shared" si="11"/>
        <v>1.4657506223810233E-3</v>
      </c>
      <c r="D60" s="271">
        <f t="shared" si="19"/>
        <v>1.4657506223810233E-3</v>
      </c>
      <c r="E60" s="34">
        <f t="shared" si="1"/>
        <v>0</v>
      </c>
      <c r="F60" s="42">
        <v>4000</v>
      </c>
      <c r="G60" s="34">
        <f t="shared" si="2"/>
        <v>5863002489.5240927</v>
      </c>
      <c r="H60" s="34">
        <f t="shared" si="3"/>
        <v>5833687477.0764723</v>
      </c>
      <c r="I60" s="35">
        <f t="shared" si="21"/>
        <v>1</v>
      </c>
      <c r="J60" s="36">
        <f t="shared" si="4"/>
        <v>5833687477.0764723</v>
      </c>
      <c r="K60" s="34">
        <f t="shared" si="14"/>
        <v>1746108129464.8318</v>
      </c>
      <c r="L60" s="37">
        <f t="shared" ref="L60:L184" si="22">(L59+J60+P59)*(1-$L$3)</f>
        <v>1726714696244.7993</v>
      </c>
      <c r="M60" s="34">
        <f t="shared" si="5"/>
        <v>108783025863.42236</v>
      </c>
      <c r="N60" s="34">
        <f t="shared" si="6"/>
        <v>0</v>
      </c>
      <c r="O60" s="34">
        <f t="shared" si="7"/>
        <v>108783025863.42236</v>
      </c>
      <c r="P60" s="34">
        <f>O60*4.5%</f>
        <v>4895236163.8540058</v>
      </c>
      <c r="Q60" s="38">
        <f t="shared" si="8"/>
        <v>103368350751.07051</v>
      </c>
      <c r="R60" s="39">
        <f t="shared" si="16"/>
        <v>10335002768.698345</v>
      </c>
      <c r="S60" s="34">
        <f t="shared" si="17"/>
        <v>93015024918.285095</v>
      </c>
      <c r="T60" s="40">
        <v>10259351432</v>
      </c>
      <c r="U60" s="272">
        <f t="shared" si="9"/>
        <v>8.4492955886712982E-3</v>
      </c>
      <c r="V60" s="282">
        <f t="shared" si="10"/>
        <v>89.419337995564476</v>
      </c>
      <c r="W60" s="283">
        <f>((S60+'Malawi-only'!S60)/(T60*(U60+'Malawi-only'!U60))/12)</f>
        <v>69.191956357053385</v>
      </c>
      <c r="X60" s="284">
        <f>(R60+'Malawi-only'!R60)</f>
        <v>12284303410.953497</v>
      </c>
      <c r="Y60" s="284">
        <f>(L60+'Malawi-only'!L60)</f>
        <v>1791791449522.417</v>
      </c>
      <c r="Z60" s="284">
        <f>(Q60+'Malawi-only'!Q60)</f>
        <v>107266952035.58081</v>
      </c>
    </row>
    <row r="61" spans="1:26" ht="15.75" customHeight="1">
      <c r="A61" s="31" t="s">
        <v>94</v>
      </c>
      <c r="B61" s="32">
        <v>2077</v>
      </c>
      <c r="C61" s="271">
        <f t="shared" si="11"/>
        <v>1.3191755601429209E-3</v>
      </c>
      <c r="D61" s="271">
        <f t="shared" si="19"/>
        <v>1.3191755601429209E-3</v>
      </c>
      <c r="E61" s="34">
        <f t="shared" si="1"/>
        <v>0</v>
      </c>
      <c r="F61" s="42">
        <v>4000</v>
      </c>
      <c r="G61" s="34">
        <f t="shared" si="2"/>
        <v>5276702240.5716839</v>
      </c>
      <c r="H61" s="34">
        <f t="shared" si="3"/>
        <v>5250318729.3688259</v>
      </c>
      <c r="I61" s="35">
        <f t="shared" si="21"/>
        <v>1</v>
      </c>
      <c r="J61" s="36">
        <f t="shared" si="4"/>
        <v>5250318729.3688259</v>
      </c>
      <c r="K61" s="34">
        <f t="shared" si="14"/>
        <v>1751358448194.2007</v>
      </c>
      <c r="L61" s="37">
        <f t="shared" si="22"/>
        <v>1735991821012.4534</v>
      </c>
      <c r="M61" s="34">
        <f t="shared" si="5"/>
        <v>109367484723.78456</v>
      </c>
      <c r="N61" s="34">
        <f t="shared" si="6"/>
        <v>0</v>
      </c>
      <c r="O61" s="34">
        <f t="shared" si="7"/>
        <v>109367484723.78456</v>
      </c>
      <c r="P61" s="34">
        <f>O61*5%</f>
        <v>5468374236.1892281</v>
      </c>
      <c r="Q61" s="38">
        <f t="shared" si="8"/>
        <v>103379614935.15736</v>
      </c>
      <c r="R61" s="39">
        <f t="shared" si="16"/>
        <v>10336835075.107052</v>
      </c>
      <c r="S61" s="34">
        <f t="shared" si="17"/>
        <v>93031515675.963455</v>
      </c>
      <c r="T61" s="40">
        <v>10267045023</v>
      </c>
      <c r="U61" s="272">
        <f t="shared" si="9"/>
        <v>8.4492955886712982E-3</v>
      </c>
      <c r="V61" s="282">
        <f t="shared" si="10"/>
        <v>89.368173175685385</v>
      </c>
      <c r="W61" s="283">
        <f>((S61+'Malawi-only'!S61)/(T61*(U61+'Malawi-only'!U61))/12)</f>
        <v>69.152613892184277</v>
      </c>
      <c r="X61" s="284">
        <f>(R61+'Malawi-only'!R61)</f>
        <v>12286822567.937729</v>
      </c>
      <c r="Y61" s="284">
        <f>(L61+'Malawi-only'!L61)</f>
        <v>1801430098061.0222</v>
      </c>
      <c r="Z61" s="284">
        <f>(Q61+'Malawi-only'!Q61)</f>
        <v>107279589920.81873</v>
      </c>
    </row>
    <row r="62" spans="1:26" ht="15.75" customHeight="1">
      <c r="A62" s="31" t="s">
        <v>95</v>
      </c>
      <c r="B62" s="32">
        <v>2078</v>
      </c>
      <c r="C62" s="271">
        <f t="shared" si="11"/>
        <v>1.1872580041286289E-3</v>
      </c>
      <c r="D62" s="271">
        <f t="shared" si="19"/>
        <v>1.1872580041286289E-3</v>
      </c>
      <c r="E62" s="34">
        <f t="shared" si="1"/>
        <v>0</v>
      </c>
      <c r="F62" s="42">
        <v>4000</v>
      </c>
      <c r="G62" s="34">
        <f t="shared" si="2"/>
        <v>4749032016.5145159</v>
      </c>
      <c r="H62" s="34">
        <f t="shared" si="3"/>
        <v>4725286856.4319429</v>
      </c>
      <c r="I62" s="35">
        <f t="shared" si="21"/>
        <v>1</v>
      </c>
      <c r="J62" s="36">
        <f t="shared" si="4"/>
        <v>4725286856.4319429</v>
      </c>
      <c r="K62" s="34">
        <f t="shared" si="14"/>
        <v>1756083735050.6326</v>
      </c>
      <c r="L62" s="37">
        <f t="shared" si="22"/>
        <v>1745312389364.022</v>
      </c>
      <c r="M62" s="34">
        <f t="shared" si="5"/>
        <v>109954680529.93338</v>
      </c>
      <c r="N62" s="34">
        <f t="shared" si="6"/>
        <v>0</v>
      </c>
      <c r="O62" s="34">
        <f t="shared" si="7"/>
        <v>109954680529.93338</v>
      </c>
      <c r="P62" s="34">
        <f>O62*5.5%</f>
        <v>6047507429.1463356</v>
      </c>
      <c r="Q62" s="38">
        <f t="shared" si="8"/>
        <v>103387637235.28311</v>
      </c>
      <c r="R62" s="39">
        <f t="shared" si="16"/>
        <v>10337961493.515738</v>
      </c>
      <c r="S62" s="34">
        <f t="shared" si="17"/>
        <v>93041653441.641632</v>
      </c>
      <c r="T62" s="40">
        <v>10273556322</v>
      </c>
      <c r="U62" s="272">
        <f t="shared" si="9"/>
        <v>8.4492955886712982E-3</v>
      </c>
      <c r="V62" s="282">
        <f t="shared" si="10"/>
        <v>89.321264726345007</v>
      </c>
      <c r="W62" s="283">
        <f>((S62+'Malawi-only'!S62)/(T62*(U62+'Malawi-only'!U62))/12)</f>
        <v>69.11653484949322</v>
      </c>
      <c r="X62" s="284">
        <f>(R62+'Malawi-only'!R62)</f>
        <v>12288461731.189163</v>
      </c>
      <c r="Y62" s="284">
        <f>(L62+'Malawi-only'!L62)</f>
        <v>1811112712276.4485</v>
      </c>
      <c r="Z62" s="284">
        <f>(Q62+'Malawi-only'!Q62)</f>
        <v>107288637710.62996</v>
      </c>
    </row>
    <row r="63" spans="1:26" ht="15.75" customHeight="1">
      <c r="A63" s="31" t="s">
        <v>96</v>
      </c>
      <c r="B63" s="32">
        <v>2079</v>
      </c>
      <c r="C63" s="271">
        <f t="shared" si="11"/>
        <v>1.0685322037157661E-3</v>
      </c>
      <c r="D63" s="271">
        <f t="shared" si="19"/>
        <v>1.0685322037157661E-3</v>
      </c>
      <c r="E63" s="34">
        <f t="shared" si="1"/>
        <v>0</v>
      </c>
      <c r="F63" s="42">
        <v>4000</v>
      </c>
      <c r="G63" s="34">
        <f t="shared" si="2"/>
        <v>4274128814.8630643</v>
      </c>
      <c r="H63" s="34">
        <f t="shared" si="3"/>
        <v>4252758170.7887487</v>
      </c>
      <c r="I63" s="35">
        <f t="shared" si="21"/>
        <v>1</v>
      </c>
      <c r="J63" s="36">
        <f t="shared" si="4"/>
        <v>4252758170.7887487</v>
      </c>
      <c r="K63" s="34">
        <f t="shared" si="14"/>
        <v>1760336493221.4214</v>
      </c>
      <c r="L63" s="37">
        <f t="shared" si="22"/>
        <v>1754734848636.4751</v>
      </c>
      <c r="M63" s="34">
        <f t="shared" si="5"/>
        <v>110548295464.09793</v>
      </c>
      <c r="N63" s="34">
        <f t="shared" si="6"/>
        <v>0</v>
      </c>
      <c r="O63" s="34">
        <f t="shared" si="7"/>
        <v>110548295464.09793</v>
      </c>
      <c r="P63" s="34">
        <f>O63*6%</f>
        <v>6632897727.8458757</v>
      </c>
      <c r="Q63" s="38">
        <f t="shared" si="8"/>
        <v>103395820747.5708</v>
      </c>
      <c r="R63" s="39">
        <f t="shared" si="16"/>
        <v>10338763723.528313</v>
      </c>
      <c r="S63" s="34">
        <f t="shared" si="17"/>
        <v>93048873511.754791</v>
      </c>
      <c r="T63" s="40">
        <v>10278887473</v>
      </c>
      <c r="U63" s="272">
        <f t="shared" si="9"/>
        <v>8.4492955886712982E-3</v>
      </c>
      <c r="V63" s="282">
        <f t="shared" si="10"/>
        <v>89.281865971630495</v>
      </c>
      <c r="W63" s="283">
        <f>((S63+'Malawi-only'!S63)/(T63*(U63+'Malawi-only'!U63))/12)</f>
        <v>69.086239347740488</v>
      </c>
      <c r="X63" s="284">
        <f>(R63+'Malawi-only'!R63)</f>
        <v>12289678155.562073</v>
      </c>
      <c r="Y63" s="284">
        <f>(L63+'Malawi-only'!L63)</f>
        <v>1820900057924.9087</v>
      </c>
      <c r="Z63" s="284">
        <f>(Q63+'Malawi-only'!Q63)</f>
        <v>107297649611.63832</v>
      </c>
    </row>
    <row r="64" spans="1:26" ht="15.75" customHeight="1">
      <c r="A64" s="31" t="s">
        <v>97</v>
      </c>
      <c r="B64" s="32">
        <v>2080</v>
      </c>
      <c r="C64" s="271">
        <f t="shared" si="11"/>
        <v>9.6167898334418949E-4</v>
      </c>
      <c r="D64" s="271">
        <f t="shared" si="19"/>
        <v>9.6167898334418949E-4</v>
      </c>
      <c r="E64" s="34">
        <f t="shared" si="1"/>
        <v>0</v>
      </c>
      <c r="F64" s="42">
        <v>4000</v>
      </c>
      <c r="G64" s="34">
        <f t="shared" si="2"/>
        <v>3846715933.3767576</v>
      </c>
      <c r="H64" s="34">
        <f t="shared" si="3"/>
        <v>3827482353.7098737</v>
      </c>
      <c r="I64" s="35">
        <f t="shared" si="21"/>
        <v>1</v>
      </c>
      <c r="J64" s="36">
        <f t="shared" si="4"/>
        <v>3827482353.7098737</v>
      </c>
      <c r="K64" s="34">
        <f t="shared" si="14"/>
        <v>1764163975575.1313</v>
      </c>
      <c r="L64" s="37">
        <f t="shared" si="22"/>
        <v>1764312631103.6721</v>
      </c>
      <c r="M64" s="34">
        <f t="shared" si="5"/>
        <v>111151695759.53134</v>
      </c>
      <c r="N64" s="34">
        <f t="shared" si="6"/>
        <v>0</v>
      </c>
      <c r="O64" s="34">
        <f t="shared" si="7"/>
        <v>111151695759.53134</v>
      </c>
      <c r="P64" s="34">
        <f>O64*6.5%</f>
        <v>7224860224.3695374</v>
      </c>
      <c r="Q64" s="38">
        <f t="shared" si="8"/>
        <v>103407201357.48599</v>
      </c>
      <c r="R64" s="39">
        <f t="shared" si="16"/>
        <v>10339582074.75708</v>
      </c>
      <c r="S64" s="34">
        <f t="shared" si="17"/>
        <v>93056238672.813721</v>
      </c>
      <c r="T64" s="40">
        <v>10283078029</v>
      </c>
      <c r="U64" s="272">
        <f t="shared" si="9"/>
        <v>8.4492955886712982E-3</v>
      </c>
      <c r="V64" s="282">
        <f t="shared" si="10"/>
        <v>89.2525459685789</v>
      </c>
      <c r="W64" s="283">
        <f>((S64+'Malawi-only'!S64)/(T64*(U64+'Malawi-only'!U64))/12)</f>
        <v>69.063718271565932</v>
      </c>
      <c r="X64" s="284">
        <f>(R64+'Malawi-only'!R64)</f>
        <v>12290880276.858088</v>
      </c>
      <c r="Y64" s="284">
        <f>(L64+'Malawi-only'!L64)</f>
        <v>1830847682684.9343</v>
      </c>
      <c r="Z64" s="284">
        <f>(Q64+'Malawi-only'!Q64)</f>
        <v>107309797761.688</v>
      </c>
    </row>
    <row r="65" spans="1:26" ht="15.75" customHeight="1">
      <c r="A65" s="31" t="s">
        <v>98</v>
      </c>
      <c r="B65" s="32">
        <v>2081</v>
      </c>
      <c r="C65" s="271">
        <f t="shared" si="11"/>
        <v>8.6551108500977051E-4</v>
      </c>
      <c r="D65" s="271">
        <f t="shared" si="19"/>
        <v>8.6551108500977051E-4</v>
      </c>
      <c r="E65" s="34">
        <f t="shared" si="1"/>
        <v>0</v>
      </c>
      <c r="F65" s="42">
        <v>4000</v>
      </c>
      <c r="G65" s="34">
        <f t="shared" si="2"/>
        <v>3462044340.0390821</v>
      </c>
      <c r="H65" s="34">
        <f t="shared" si="3"/>
        <v>3444734118.3388867</v>
      </c>
      <c r="I65" s="35">
        <f t="shared" si="21"/>
        <v>1</v>
      </c>
      <c r="J65" s="36">
        <f t="shared" si="4"/>
        <v>3444734118.3388867</v>
      </c>
      <c r="K65" s="34">
        <f t="shared" si="14"/>
        <v>1767608709693.4702</v>
      </c>
      <c r="L65" s="37">
        <f t="shared" si="22"/>
        <v>1774094734333.6575</v>
      </c>
      <c r="M65" s="34">
        <f t="shared" si="5"/>
        <v>111767968263.02042</v>
      </c>
      <c r="N65" s="34">
        <f t="shared" si="6"/>
        <v>0</v>
      </c>
      <c r="O65" s="34">
        <f t="shared" si="7"/>
        <v>111767968263.02042</v>
      </c>
      <c r="P65" s="34">
        <f>O65*7%</f>
        <v>7823757778.4114304</v>
      </c>
      <c r="Q65" s="38">
        <f t="shared" si="8"/>
        <v>103424489432.18593</v>
      </c>
      <c r="R65" s="39">
        <f t="shared" si="16"/>
        <v>10340720135.7486</v>
      </c>
      <c r="S65" s="34">
        <f t="shared" si="17"/>
        <v>93066481221.737396</v>
      </c>
      <c r="T65" s="40">
        <v>10286161735</v>
      </c>
      <c r="U65" s="272">
        <f t="shared" si="9"/>
        <v>8.4492955886712982E-3</v>
      </c>
      <c r="V65" s="282">
        <f t="shared" si="10"/>
        <v>89.235609732871069</v>
      </c>
      <c r="W65" s="283">
        <f>((S65+'Malawi-only'!S65)/(T65*(U65+'Malawi-only'!U65))/12)</f>
        <v>69.050757811286019</v>
      </c>
      <c r="X65" s="284">
        <f>(R65+'Malawi-only'!R65)</f>
        <v>12292432392.137455</v>
      </c>
      <c r="Y65" s="284">
        <f>(L65+'Malawi-only'!L65)</f>
        <v>1841006519942.3882</v>
      </c>
      <c r="Z65" s="284">
        <f>(Q65+'Malawi-only'!Q65)</f>
        <v>107327913944.96364</v>
      </c>
    </row>
    <row r="66" spans="1:26" ht="15.75" customHeight="1">
      <c r="A66" s="31" t="s">
        <v>99</v>
      </c>
      <c r="B66" s="32">
        <v>2082</v>
      </c>
      <c r="C66" s="271">
        <f t="shared" si="11"/>
        <v>7.789599765087935E-4</v>
      </c>
      <c r="D66" s="271">
        <f t="shared" si="19"/>
        <v>7.789599765087935E-4</v>
      </c>
      <c r="E66" s="34">
        <f t="shared" si="1"/>
        <v>0</v>
      </c>
      <c r="F66" s="42">
        <v>4000</v>
      </c>
      <c r="G66" s="34">
        <f t="shared" si="2"/>
        <v>3115839906.0351739</v>
      </c>
      <c r="H66" s="34">
        <f t="shared" si="3"/>
        <v>3100260706.5049982</v>
      </c>
      <c r="I66" s="35">
        <f t="shared" si="21"/>
        <v>1</v>
      </c>
      <c r="J66" s="36">
        <f t="shared" si="4"/>
        <v>3100260706.5049982</v>
      </c>
      <c r="K66" s="34">
        <f t="shared" si="14"/>
        <v>1770708970399.9751</v>
      </c>
      <c r="L66" s="37">
        <f t="shared" si="22"/>
        <v>1784126243442.1646</v>
      </c>
      <c r="M66" s="34">
        <f t="shared" si="5"/>
        <v>112399953336.85637</v>
      </c>
      <c r="N66" s="34">
        <f t="shared" si="6"/>
        <v>0</v>
      </c>
      <c r="O66" s="34">
        <f t="shared" si="7"/>
        <v>112399953336.85637</v>
      </c>
      <c r="P66" s="34">
        <f>O66*7.5%</f>
        <v>8429996500.2642269</v>
      </c>
      <c r="Q66" s="38">
        <f t="shared" si="8"/>
        <v>103450107052.40918</v>
      </c>
      <c r="R66" s="39">
        <f t="shared" si="16"/>
        <v>10342448943.218594</v>
      </c>
      <c r="S66" s="34">
        <f t="shared" si="17"/>
        <v>93082040488.967331</v>
      </c>
      <c r="T66" s="40">
        <v>10288205050</v>
      </c>
      <c r="U66" s="272">
        <f t="shared" si="9"/>
        <v>8.4492955886712982E-3</v>
      </c>
      <c r="V66" s="282">
        <f t="shared" si="10"/>
        <v>89.232802710925569</v>
      </c>
      <c r="W66" s="283">
        <f>((S66+'Malawi-only'!S66)/(T66*(U66+'Malawi-only'!U66))/12)</f>
        <v>69.048710828144877</v>
      </c>
      <c r="X66" s="284">
        <f>(R66+'Malawi-only'!R66)</f>
        <v>12294659672.563042</v>
      </c>
      <c r="Y66" s="284">
        <f>(L66+'Malawi-only'!L66)</f>
        <v>1851423432029.0049</v>
      </c>
      <c r="Z66" s="284">
        <f>(Q66+'Malawi-only'!Q66)</f>
        <v>107354528511.09807</v>
      </c>
    </row>
    <row r="67" spans="1:26" ht="15.75" customHeight="1">
      <c r="A67" s="31" t="s">
        <v>100</v>
      </c>
      <c r="B67" s="32">
        <v>2083</v>
      </c>
      <c r="C67" s="271">
        <f t="shared" si="11"/>
        <v>7.0106397885791414E-4</v>
      </c>
      <c r="D67" s="271">
        <f t="shared" si="19"/>
        <v>7.0106397885791414E-4</v>
      </c>
      <c r="E67" s="34">
        <f t="shared" si="1"/>
        <v>0</v>
      </c>
      <c r="F67" s="42">
        <v>4000</v>
      </c>
      <c r="G67" s="34">
        <f t="shared" si="2"/>
        <v>2804255915.4316568</v>
      </c>
      <c r="H67" s="34">
        <f t="shared" si="3"/>
        <v>2790234635.8544984</v>
      </c>
      <c r="I67" s="35">
        <f t="shared" si="21"/>
        <v>1</v>
      </c>
      <c r="J67" s="36">
        <f t="shared" si="4"/>
        <v>2790234635.8544984</v>
      </c>
      <c r="K67" s="34">
        <f t="shared" si="14"/>
        <v>1773499205035.8296</v>
      </c>
      <c r="L67" s="37">
        <f t="shared" si="22"/>
        <v>1794448801340.9941</v>
      </c>
      <c r="M67" s="34">
        <f t="shared" si="5"/>
        <v>113050274484.48264</v>
      </c>
      <c r="N67" s="34">
        <f t="shared" si="6"/>
        <v>0</v>
      </c>
      <c r="O67" s="34">
        <f t="shared" si="7"/>
        <v>113050274484.48264</v>
      </c>
      <c r="P67" s="34">
        <f>O67*8%</f>
        <v>9044021958.7586117</v>
      </c>
      <c r="Q67" s="38">
        <f t="shared" si="8"/>
        <v>103486221263.09541</v>
      </c>
      <c r="R67" s="39">
        <f t="shared" si="16"/>
        <v>10345010705.240919</v>
      </c>
      <c r="S67" s="34">
        <f t="shared" si="17"/>
        <v>93105096347.168259</v>
      </c>
      <c r="T67" s="40">
        <v>10289247323</v>
      </c>
      <c r="U67" s="272">
        <f t="shared" si="9"/>
        <v>8.4492955886712982E-3</v>
      </c>
      <c r="V67" s="282">
        <f t="shared" si="10"/>
        <v>89.24586385508259</v>
      </c>
      <c r="W67" s="283">
        <f>((S67+'Malawi-only'!S67)/(T67*(U67+'Malawi-only'!U67))/12)</f>
        <v>69.058924863351294</v>
      </c>
      <c r="X67" s="284">
        <f>(R67+'Malawi-only'!R67)</f>
        <v>12297852637.147797</v>
      </c>
      <c r="Y67" s="284">
        <f>(L67+'Malawi-only'!L67)</f>
        <v>1862141699349.2883</v>
      </c>
      <c r="Z67" s="284">
        <f>(Q67+'Malawi-only'!Q67)</f>
        <v>107391905126.90916</v>
      </c>
    </row>
    <row r="68" spans="1:26" ht="15.75" customHeight="1">
      <c r="A68" s="31" t="s">
        <v>101</v>
      </c>
      <c r="B68" s="32">
        <v>2084</v>
      </c>
      <c r="C68" s="271">
        <f t="shared" si="11"/>
        <v>6.3095758097212276E-4</v>
      </c>
      <c r="D68" s="271">
        <f t="shared" si="19"/>
        <v>6.3095758097212276E-4</v>
      </c>
      <c r="E68" s="34">
        <f t="shared" si="1"/>
        <v>0</v>
      </c>
      <c r="F68" s="42">
        <v>4000</v>
      </c>
      <c r="G68" s="34">
        <f t="shared" si="2"/>
        <v>2523830323.8884912</v>
      </c>
      <c r="H68" s="34">
        <f t="shared" si="3"/>
        <v>2511211172.2690487</v>
      </c>
      <c r="I68" s="35">
        <f t="shared" si="21"/>
        <v>1</v>
      </c>
      <c r="J68" s="36">
        <f t="shared" si="4"/>
        <v>2511211172.2690487</v>
      </c>
      <c r="K68" s="34">
        <f t="shared" si="14"/>
        <v>1776010416208.0986</v>
      </c>
      <c r="L68" s="37">
        <f t="shared" si="22"/>
        <v>1805101032454.7859</v>
      </c>
      <c r="M68" s="34">
        <f t="shared" si="5"/>
        <v>113721365044.6515</v>
      </c>
      <c r="N68" s="34">
        <f t="shared" si="6"/>
        <v>0</v>
      </c>
      <c r="O68" s="34">
        <f t="shared" si="7"/>
        <v>113721365044.6515</v>
      </c>
      <c r="P68" s="34">
        <f>O68*8.5%</f>
        <v>9666316028.7953777</v>
      </c>
      <c r="Q68" s="38">
        <f t="shared" si="8"/>
        <v>103534773770.77684</v>
      </c>
      <c r="R68" s="39">
        <f t="shared" si="16"/>
        <v>10348622126.309542</v>
      </c>
      <c r="S68" s="34">
        <f t="shared" si="17"/>
        <v>93137599136.785873</v>
      </c>
      <c r="T68" s="40">
        <v>10289315244</v>
      </c>
      <c r="U68" s="272">
        <f t="shared" si="9"/>
        <v>8.4492955886712982E-3</v>
      </c>
      <c r="V68" s="282">
        <f t="shared" si="10"/>
        <v>89.276430066629288</v>
      </c>
      <c r="W68" s="283">
        <f>((S68+'Malawi-only'!S68)/(T68*(U68+'Malawi-only'!U68))/12)</f>
        <v>69.082668230741433</v>
      </c>
      <c r="X68" s="284">
        <f>(R68+'Malawi-only'!R68)</f>
        <v>12302271147.723223</v>
      </c>
      <c r="Y68" s="284">
        <f>(L68+'Malawi-only'!L68)</f>
        <v>1873201461091.0715</v>
      </c>
      <c r="Z68" s="284">
        <f>(Q68+'Malawi-only'!Q68)</f>
        <v>107442071813.6042</v>
      </c>
    </row>
    <row r="69" spans="1:26" ht="15.75" customHeight="1">
      <c r="A69" s="31" t="s">
        <v>102</v>
      </c>
      <c r="B69" s="32">
        <v>2085</v>
      </c>
      <c r="C69" s="271">
        <f t="shared" si="11"/>
        <v>5.6786182287491048E-4</v>
      </c>
      <c r="D69" s="271">
        <f t="shared" si="19"/>
        <v>5.6786182287491048E-4</v>
      </c>
      <c r="E69" s="34">
        <f t="shared" si="1"/>
        <v>0</v>
      </c>
      <c r="F69" s="42">
        <v>4000</v>
      </c>
      <c r="G69" s="34">
        <f t="shared" si="2"/>
        <v>2271447291.4996419</v>
      </c>
      <c r="H69" s="34">
        <f t="shared" si="3"/>
        <v>2260090055.0421438</v>
      </c>
      <c r="I69" s="35">
        <f t="shared" si="21"/>
        <v>1</v>
      </c>
      <c r="J69" s="36">
        <f t="shared" si="4"/>
        <v>2260090055.0421438</v>
      </c>
      <c r="K69" s="34">
        <f t="shared" si="14"/>
        <v>1778270506263.1409</v>
      </c>
      <c r="L69" s="37">
        <f t="shared" si="22"/>
        <v>1816118924819.3542</v>
      </c>
      <c r="M69" s="34">
        <f t="shared" si="5"/>
        <v>114415492263.61932</v>
      </c>
      <c r="N69" s="34">
        <f t="shared" si="6"/>
        <v>0</v>
      </c>
      <c r="O69" s="34">
        <f t="shared" si="7"/>
        <v>114415492263.61932</v>
      </c>
      <c r="P69" s="34">
        <f>O69*9%</f>
        <v>10297394303.725739</v>
      </c>
      <c r="Q69" s="38">
        <f t="shared" si="8"/>
        <v>103597507470.09412</v>
      </c>
      <c r="R69" s="39">
        <f t="shared" si="16"/>
        <v>10353477377.077684</v>
      </c>
      <c r="S69" s="34">
        <f t="shared" si="17"/>
        <v>93181296393.699158</v>
      </c>
      <c r="T69" s="40">
        <v>10288456599</v>
      </c>
      <c r="U69" s="272">
        <f t="shared" si="9"/>
        <v>8.4492955886712982E-3</v>
      </c>
      <c r="V69" s="282">
        <f t="shared" si="10"/>
        <v>89.32577003320165</v>
      </c>
      <c r="W69" s="283">
        <f>((S69+'Malawi-only'!S69)/(T69*(U69+'Malawi-only'!U69))/12)</f>
        <v>69.120924088176125</v>
      </c>
      <c r="X69" s="284">
        <f>(R69+'Malawi-only'!R69)</f>
        <v>12308147976.624262</v>
      </c>
      <c r="Y69" s="284">
        <f>(L69+'Malawi-only'!L69)</f>
        <v>1884640112632.1128</v>
      </c>
      <c r="Z69" s="284">
        <f>(Q69+'Malawi-only'!Q69)</f>
        <v>107506848669.18727</v>
      </c>
    </row>
    <row r="70" spans="1:26" ht="15.75" customHeight="1">
      <c r="A70" s="31" t="s">
        <v>103</v>
      </c>
      <c r="B70" s="32">
        <v>2086</v>
      </c>
      <c r="C70" s="271">
        <f t="shared" si="11"/>
        <v>5.1107564058741942E-4</v>
      </c>
      <c r="D70" s="271">
        <f t="shared" si="19"/>
        <v>5.1107564058741942E-4</v>
      </c>
      <c r="E70" s="34">
        <f t="shared" si="1"/>
        <v>0</v>
      </c>
      <c r="F70" s="42">
        <v>4000</v>
      </c>
      <c r="G70" s="34">
        <f t="shared" si="2"/>
        <v>2044302562.3496776</v>
      </c>
      <c r="H70" s="34">
        <f t="shared" si="3"/>
        <v>2034081049.5379291</v>
      </c>
      <c r="I70" s="35">
        <f t="shared" si="21"/>
        <v>1</v>
      </c>
      <c r="J70" s="36">
        <f t="shared" si="4"/>
        <v>2034081049.5379291</v>
      </c>
      <c r="K70" s="34">
        <f t="shared" si="14"/>
        <v>1780304587312.6787</v>
      </c>
      <c r="L70" s="37">
        <f t="shared" si="22"/>
        <v>1827536174972.5317</v>
      </c>
      <c r="M70" s="34">
        <f t="shared" si="5"/>
        <v>115134779023.2695</v>
      </c>
      <c r="N70" s="34">
        <f t="shared" si="6"/>
        <v>0</v>
      </c>
      <c r="O70" s="34">
        <f t="shared" si="7"/>
        <v>115134779023.2695</v>
      </c>
      <c r="P70" s="34">
        <f>O70*9.5%</f>
        <v>10937804007.210602</v>
      </c>
      <c r="Q70" s="38">
        <f t="shared" si="8"/>
        <v>103675990140.97861</v>
      </c>
      <c r="R70" s="39">
        <f t="shared" si="16"/>
        <v>10359750747.009413</v>
      </c>
      <c r="S70" s="34">
        <f t="shared" si="17"/>
        <v>93237756723.084702</v>
      </c>
      <c r="T70" s="40">
        <v>10286708360</v>
      </c>
      <c r="U70" s="272">
        <f t="shared" si="9"/>
        <v>8.4492955886712982E-3</v>
      </c>
      <c r="V70" s="282">
        <f t="shared" si="10"/>
        <v>89.39508445066997</v>
      </c>
      <c r="W70" s="283">
        <f>((S70+'Malawi-only'!S70)/(T70*(U70+'Malawi-only'!U70))/12)</f>
        <v>69.174622776648448</v>
      </c>
      <c r="X70" s="284">
        <f>(R70+'Malawi-only'!R70)</f>
        <v>12315691993.092903</v>
      </c>
      <c r="Y70" s="284">
        <f>(L70+'Malawi-only'!L70)</f>
        <v>1896492664232.4038</v>
      </c>
      <c r="Z70" s="284">
        <f>(Q70+'Malawi-only'!Q70)</f>
        <v>107587872633.14558</v>
      </c>
    </row>
    <row r="71" spans="1:26" ht="15.75" customHeight="1">
      <c r="A71" s="31" t="s">
        <v>104</v>
      </c>
      <c r="B71" s="32">
        <v>2087</v>
      </c>
      <c r="C71" s="271">
        <f t="shared" si="11"/>
        <v>4.5996807652867749E-4</v>
      </c>
      <c r="D71" s="271">
        <f t="shared" si="19"/>
        <v>4.5996807652867749E-4</v>
      </c>
      <c r="E71" s="34">
        <f t="shared" si="1"/>
        <v>0</v>
      </c>
      <c r="F71" s="42">
        <v>4000</v>
      </c>
      <c r="G71" s="34">
        <f t="shared" si="2"/>
        <v>1839872306.1147101</v>
      </c>
      <c r="H71" s="34">
        <f t="shared" si="3"/>
        <v>1830672944.5841365</v>
      </c>
      <c r="I71" s="35">
        <f t="shared" si="21"/>
        <v>1</v>
      </c>
      <c r="J71" s="36">
        <f t="shared" si="4"/>
        <v>1830672944.5841365</v>
      </c>
      <c r="K71" s="34">
        <f t="shared" si="14"/>
        <v>1782135260257.2629</v>
      </c>
      <c r="L71" s="37">
        <f t="shared" si="22"/>
        <v>1839384499598.3645</v>
      </c>
      <c r="M71" s="34">
        <f t="shared" si="5"/>
        <v>115881223474.69696</v>
      </c>
      <c r="N71" s="34">
        <f t="shared" si="6"/>
        <v>0</v>
      </c>
      <c r="O71" s="34">
        <f t="shared" si="7"/>
        <v>115881223474.69696</v>
      </c>
      <c r="P71" s="34">
        <f t="shared" ref="P71:P86" si="23">O71*$P$5</f>
        <v>11588122347.469696</v>
      </c>
      <c r="Q71" s="38">
        <f t="shared" si="8"/>
        <v>103771635621.59113</v>
      </c>
      <c r="R71" s="39">
        <f t="shared" si="16"/>
        <v>10367599014.097862</v>
      </c>
      <c r="S71" s="34">
        <f t="shared" si="17"/>
        <v>93308391126.880737</v>
      </c>
      <c r="T71" s="40">
        <v>10284111374</v>
      </c>
      <c r="U71" s="272">
        <f t="shared" si="9"/>
        <v>8.4492955886712982E-3</v>
      </c>
      <c r="V71" s="282">
        <f t="shared" si="10"/>
        <v>89.485399265119682</v>
      </c>
      <c r="W71" s="283">
        <f>((S71+'Malawi-only'!S71)/(T71*(U71+'Malawi-only'!U71))/12)</f>
        <v>69.244559233077837</v>
      </c>
      <c r="X71" s="284">
        <f>(R71+'Malawi-only'!R71)</f>
        <v>12325091009.489094</v>
      </c>
      <c r="Y71" s="284">
        <f>(L71+'Malawi-only'!L71)</f>
        <v>1908792065133.4155</v>
      </c>
      <c r="Z71" s="284">
        <f>(Q71+'Malawi-only'!Q71)</f>
        <v>107686619612.37358</v>
      </c>
    </row>
    <row r="72" spans="1:26" ht="15.75" customHeight="1">
      <c r="A72" s="31" t="s">
        <v>105</v>
      </c>
      <c r="B72" s="32">
        <v>2088</v>
      </c>
      <c r="C72" s="271">
        <f t="shared" si="11"/>
        <v>4.1397126887580976E-4</v>
      </c>
      <c r="D72" s="271">
        <f t="shared" si="19"/>
        <v>4.1397126887580976E-4</v>
      </c>
      <c r="E72" s="34">
        <f t="shared" si="1"/>
        <v>0</v>
      </c>
      <c r="F72" s="42">
        <v>4000</v>
      </c>
      <c r="G72" s="34">
        <f t="shared" si="2"/>
        <v>1655885075.5032392</v>
      </c>
      <c r="H72" s="34">
        <f t="shared" si="3"/>
        <v>1647605650.1257229</v>
      </c>
      <c r="I72" s="35">
        <f t="shared" si="21"/>
        <v>1</v>
      </c>
      <c r="J72" s="36">
        <f t="shared" si="4"/>
        <v>1647605650.1257229</v>
      </c>
      <c r="K72" s="34">
        <f t="shared" si="14"/>
        <v>1783782865907.3887</v>
      </c>
      <c r="L72" s="37">
        <f t="shared" si="22"/>
        <v>1851693917482.1621</v>
      </c>
      <c r="M72" s="34">
        <f t="shared" si="5"/>
        <v>116656716801.37622</v>
      </c>
      <c r="N72" s="34">
        <f t="shared" si="6"/>
        <v>0</v>
      </c>
      <c r="O72" s="34">
        <f t="shared" si="7"/>
        <v>116656716801.37622</v>
      </c>
      <c r="P72" s="34">
        <f t="shared" si="23"/>
        <v>11665671680.137623</v>
      </c>
      <c r="Q72" s="38">
        <f t="shared" si="8"/>
        <v>104466089895.63242</v>
      </c>
      <c r="R72" s="39">
        <f t="shared" si="16"/>
        <v>10377163562.159113</v>
      </c>
      <c r="S72" s="34">
        <f t="shared" si="17"/>
        <v>93394472059.432007</v>
      </c>
      <c r="T72" s="40">
        <v>10280704572</v>
      </c>
      <c r="U72" s="272">
        <f t="shared" si="9"/>
        <v>8.4492955886712982E-3</v>
      </c>
      <c r="V72" s="282">
        <f t="shared" si="10"/>
        <v>89.59763419876839</v>
      </c>
      <c r="W72" s="283">
        <f>((S72+'Malawi-only'!S72)/(T72*(U72+'Malawi-only'!U72))/12)</f>
        <v>69.339404904181279</v>
      </c>
      <c r="X72" s="284">
        <f>(R72+'Malawi-only'!R72)</f>
        <v>12347460417.650545</v>
      </c>
      <c r="Y72" s="284">
        <f>(L72+'Malawi-only'!L72)</f>
        <v>1921569496765.7351</v>
      </c>
      <c r="Z72" s="284">
        <f>(Q72+'Malawi-only'!Q72)</f>
        <v>108406683606.61528</v>
      </c>
    </row>
    <row r="73" spans="1:26" ht="15.75" customHeight="1">
      <c r="A73" s="31" t="s">
        <v>106</v>
      </c>
      <c r="B73" s="32">
        <v>2089</v>
      </c>
      <c r="C73" s="271">
        <f t="shared" si="11"/>
        <v>3.7257414198822877E-4</v>
      </c>
      <c r="D73" s="271">
        <f t="shared" si="19"/>
        <v>3.7257414198822877E-4</v>
      </c>
      <c r="E73" s="34">
        <f t="shared" si="1"/>
        <v>0</v>
      </c>
      <c r="F73" s="42">
        <v>4000</v>
      </c>
      <c r="G73" s="34">
        <f t="shared" si="2"/>
        <v>1490296567.952915</v>
      </c>
      <c r="H73" s="34">
        <f t="shared" si="3"/>
        <v>1482845085.1131504</v>
      </c>
      <c r="I73" s="35">
        <f t="shared" si="21"/>
        <v>1</v>
      </c>
      <c r="J73" s="36">
        <f t="shared" si="4"/>
        <v>1482845085.1131504</v>
      </c>
      <c r="K73" s="34">
        <f t="shared" si="14"/>
        <v>1785265710992.5017</v>
      </c>
      <c r="L73" s="37">
        <f t="shared" si="22"/>
        <v>1863910013030.2893</v>
      </c>
      <c r="M73" s="34">
        <f t="shared" si="5"/>
        <v>117426330820.90823</v>
      </c>
      <c r="N73" s="34">
        <f t="shared" si="6"/>
        <v>0</v>
      </c>
      <c r="O73" s="34">
        <f t="shared" si="7"/>
        <v>117426330820.90823</v>
      </c>
      <c r="P73" s="34">
        <f t="shared" si="23"/>
        <v>11742633082.090824</v>
      </c>
      <c r="Q73" s="38">
        <f t="shared" si="8"/>
        <v>105155279250.12332</v>
      </c>
      <c r="R73" s="39">
        <f t="shared" si="16"/>
        <v>10446608989.563242</v>
      </c>
      <c r="S73" s="34">
        <f t="shared" si="17"/>
        <v>94019480906.069168</v>
      </c>
      <c r="T73" s="40">
        <v>10276518280</v>
      </c>
      <c r="U73" s="272">
        <f t="shared" si="9"/>
        <v>8.4492955886712982E-3</v>
      </c>
      <c r="V73" s="282">
        <f t="shared" si="10"/>
        <v>90.233977256186492</v>
      </c>
      <c r="W73" s="283">
        <f>((S73+'Malawi-only'!S73)/(T73*(U73+'Malawi-only'!U73))/12)</f>
        <v>69.831942207830764</v>
      </c>
      <c r="X73" s="284">
        <f>(R73+'Malawi-only'!R73)</f>
        <v>12430191515.138779</v>
      </c>
      <c r="Y73" s="284">
        <f>(L73+'Malawi-only'!L73)</f>
        <v>1934249655251.0376</v>
      </c>
      <c r="Z73" s="284">
        <f>(Q73+'Malawi-only'!Q73)</f>
        <v>109122444301.2744</v>
      </c>
    </row>
    <row r="74" spans="1:26" ht="15.75" customHeight="1">
      <c r="A74" s="31" t="s">
        <v>107</v>
      </c>
      <c r="B74" s="32">
        <v>2090</v>
      </c>
      <c r="C74" s="271">
        <f t="shared" si="11"/>
        <v>3.3531672778940589E-4</v>
      </c>
      <c r="D74" s="271">
        <f t="shared" si="19"/>
        <v>3.3531672778940589E-4</v>
      </c>
      <c r="E74" s="34">
        <f t="shared" si="1"/>
        <v>0</v>
      </c>
      <c r="F74" s="42">
        <v>4000</v>
      </c>
      <c r="G74" s="34">
        <f t="shared" si="2"/>
        <v>1341266911.1576235</v>
      </c>
      <c r="H74" s="34">
        <f t="shared" si="3"/>
        <v>1334560576.6018355</v>
      </c>
      <c r="I74" s="35">
        <f t="shared" si="21"/>
        <v>1</v>
      </c>
      <c r="J74" s="36">
        <f t="shared" si="4"/>
        <v>1334560576.6018355</v>
      </c>
      <c r="K74" s="34">
        <f t="shared" si="14"/>
        <v>1786600271569.1035</v>
      </c>
      <c r="L74" s="37">
        <f t="shared" si="22"/>
        <v>1876048713085.6375</v>
      </c>
      <c r="M74" s="34">
        <f t="shared" si="5"/>
        <v>118191068924.39516</v>
      </c>
      <c r="N74" s="34">
        <f t="shared" si="6"/>
        <v>0</v>
      </c>
      <c r="O74" s="34">
        <f t="shared" si="7"/>
        <v>118191068924.39516</v>
      </c>
      <c r="P74" s="34">
        <f t="shared" si="23"/>
        <v>11819106892.439516</v>
      </c>
      <c r="Q74" s="38">
        <f t="shared" si="8"/>
        <v>105840102221.79587</v>
      </c>
      <c r="R74" s="39">
        <f t="shared" si="16"/>
        <v>10515527925.012333</v>
      </c>
      <c r="S74" s="34">
        <f t="shared" si="17"/>
        <v>94639751325.110992</v>
      </c>
      <c r="T74" s="40">
        <v>10271565070</v>
      </c>
      <c r="U74" s="272">
        <f t="shared" si="9"/>
        <v>8.4492955886712982E-3</v>
      </c>
      <c r="V74" s="282">
        <f t="shared" si="10"/>
        <v>90.873073931849959</v>
      </c>
      <c r="W74" s="283">
        <f>((S74+'Malawi-only'!S74)/(T74*(U74+'Malawi-only'!U74))/12)</f>
        <v>70.326601730309207</v>
      </c>
      <c r="X74" s="284">
        <f>(R74+'Malawi-only'!R74)</f>
        <v>12512283967.607491</v>
      </c>
      <c r="Y74" s="284">
        <f>(L74+'Malawi-only'!L74)</f>
        <v>1946849234257.3237</v>
      </c>
      <c r="Z74" s="284">
        <f>(Q74+'Malawi-only'!Q74)</f>
        <v>109833614306.98618</v>
      </c>
    </row>
    <row r="75" spans="1:26" ht="15.75" customHeight="1">
      <c r="A75" s="31" t="s">
        <v>108</v>
      </c>
      <c r="B75" s="32">
        <v>2091</v>
      </c>
      <c r="C75" s="271">
        <f t="shared" si="11"/>
        <v>3.0178505501046531E-4</v>
      </c>
      <c r="D75" s="271">
        <f t="shared" si="19"/>
        <v>3.0178505501046531E-4</v>
      </c>
      <c r="E75" s="34">
        <f t="shared" si="1"/>
        <v>0</v>
      </c>
      <c r="F75" s="42">
        <v>4000</v>
      </c>
      <c r="G75" s="34">
        <f t="shared" si="2"/>
        <v>1207140220.0418613</v>
      </c>
      <c r="H75" s="34">
        <f t="shared" si="3"/>
        <v>1201104518.9416521</v>
      </c>
      <c r="I75" s="35">
        <f t="shared" si="21"/>
        <v>1</v>
      </c>
      <c r="J75" s="36">
        <f t="shared" si="4"/>
        <v>1201104518.9416521</v>
      </c>
      <c r="K75" s="34">
        <f t="shared" si="14"/>
        <v>1787801376088.0452</v>
      </c>
      <c r="L75" s="37">
        <f t="shared" si="22"/>
        <v>1888124390034.7703</v>
      </c>
      <c r="M75" s="34">
        <f t="shared" si="5"/>
        <v>118951836572.19052</v>
      </c>
      <c r="N75" s="34">
        <f t="shared" si="6"/>
        <v>0</v>
      </c>
      <c r="O75" s="34">
        <f t="shared" si="7"/>
        <v>118951836572.19052</v>
      </c>
      <c r="P75" s="34">
        <f t="shared" si="23"/>
        <v>11895183657.219053</v>
      </c>
      <c r="Q75" s="38">
        <f t="shared" si="8"/>
        <v>106521369650.39661</v>
      </c>
      <c r="R75" s="39">
        <f t="shared" si="16"/>
        <v>10584010222.179588</v>
      </c>
      <c r="S75" s="34">
        <f t="shared" si="17"/>
        <v>95256091999.616272</v>
      </c>
      <c r="T75" s="40">
        <v>10265861714</v>
      </c>
      <c r="U75" s="272">
        <f t="shared" si="9"/>
        <v>8.4492955886712982E-3</v>
      </c>
      <c r="V75" s="282">
        <f t="shared" si="10"/>
        <v>91.515698858894623</v>
      </c>
      <c r="W75" s="283">
        <f>((S75+'Malawi-only'!S75)/(T75*(U75+'Malawi-only'!U75))/12)</f>
        <v>70.823986387676854</v>
      </c>
      <c r="X75" s="284">
        <f>(R75+'Malawi-only'!R75)</f>
        <v>12593849396.862654</v>
      </c>
      <c r="Y75" s="284">
        <f>(L75+'Malawi-only'!L75)</f>
        <v>1959383174495.3633</v>
      </c>
      <c r="Z75" s="284">
        <f>(Q75+'Malawi-only'!Q75)</f>
        <v>110541047999.76274</v>
      </c>
    </row>
    <row r="76" spans="1:26" ht="15.75" customHeight="1">
      <c r="A76" s="31" t="s">
        <v>109</v>
      </c>
      <c r="B76" s="32">
        <v>2092</v>
      </c>
      <c r="C76" s="271">
        <f t="shared" si="11"/>
        <v>2.7160654950941879E-4</v>
      </c>
      <c r="D76" s="271">
        <f t="shared" si="19"/>
        <v>2.7160654950941879E-4</v>
      </c>
      <c r="E76" s="34">
        <f t="shared" si="1"/>
        <v>0</v>
      </c>
      <c r="F76" s="42">
        <v>4000</v>
      </c>
      <c r="G76" s="34">
        <f t="shared" si="2"/>
        <v>1086426198.0376751</v>
      </c>
      <c r="H76" s="34">
        <f t="shared" si="3"/>
        <v>1080994067.0474868</v>
      </c>
      <c r="I76" s="35">
        <f t="shared" si="21"/>
        <v>1</v>
      </c>
      <c r="J76" s="36">
        <f t="shared" si="4"/>
        <v>1080994067.0474868</v>
      </c>
      <c r="K76" s="34">
        <f t="shared" si="14"/>
        <v>1788882370155.0928</v>
      </c>
      <c r="L76" s="37">
        <f t="shared" si="22"/>
        <v>1900150017475.1575</v>
      </c>
      <c r="M76" s="34">
        <f t="shared" si="5"/>
        <v>119709451100.93492</v>
      </c>
      <c r="N76" s="34">
        <f t="shared" si="6"/>
        <v>0</v>
      </c>
      <c r="O76" s="34">
        <f t="shared" si="7"/>
        <v>119709451100.93492</v>
      </c>
      <c r="P76" s="34">
        <f t="shared" si="23"/>
        <v>11970945110.093493</v>
      </c>
      <c r="Q76" s="38">
        <f t="shared" si="8"/>
        <v>107199813460.88722</v>
      </c>
      <c r="R76" s="39">
        <f t="shared" si="16"/>
        <v>10652136965.039661</v>
      </c>
      <c r="S76" s="34">
        <f t="shared" si="17"/>
        <v>95869232685.356949</v>
      </c>
      <c r="T76" s="40">
        <v>10259408375</v>
      </c>
      <c r="U76" s="272">
        <f t="shared" si="9"/>
        <v>8.4492955886712982E-3</v>
      </c>
      <c r="V76" s="282">
        <f t="shared" si="10"/>
        <v>92.162698961037123</v>
      </c>
      <c r="W76" s="283">
        <f>((S76+'Malawi-only'!S76)/(T76*(U76+'Malawi-only'!U76))/12)</f>
        <v>71.324752153835533</v>
      </c>
      <c r="X76" s="284">
        <f>(R76+'Malawi-only'!R76)</f>
        <v>12674985020.09708</v>
      </c>
      <c r="Y76" s="284">
        <f>(L76+'Malawi-only'!L76)</f>
        <v>1971864963285.1279</v>
      </c>
      <c r="Z76" s="284">
        <f>(Q76+'Malawi-only'!Q76)</f>
        <v>111245509571.00206</v>
      </c>
    </row>
    <row r="77" spans="1:26" ht="15.75" customHeight="1">
      <c r="A77" s="31" t="s">
        <v>110</v>
      </c>
      <c r="B77" s="32">
        <v>2093</v>
      </c>
      <c r="C77" s="271">
        <f t="shared" si="11"/>
        <v>2.4444589455847692E-4</v>
      </c>
      <c r="D77" s="271">
        <f t="shared" si="19"/>
        <v>2.4444589455847692E-4</v>
      </c>
      <c r="E77" s="34">
        <f t="shared" si="1"/>
        <v>0</v>
      </c>
      <c r="F77" s="42">
        <v>4000</v>
      </c>
      <c r="G77" s="34">
        <f t="shared" si="2"/>
        <v>977783578.2339077</v>
      </c>
      <c r="H77" s="34">
        <f t="shared" si="3"/>
        <v>972894660.34273815</v>
      </c>
      <c r="I77" s="35">
        <f t="shared" si="21"/>
        <v>1</v>
      </c>
      <c r="J77" s="36">
        <f t="shared" si="4"/>
        <v>972894660.34273815</v>
      </c>
      <c r="K77" s="34">
        <f t="shared" si="14"/>
        <v>1789855264815.4355</v>
      </c>
      <c r="L77" s="37">
        <f t="shared" si="22"/>
        <v>1912137310316.9709</v>
      </c>
      <c r="M77" s="34">
        <f t="shared" si="5"/>
        <v>120464650549.96918</v>
      </c>
      <c r="N77" s="34">
        <f t="shared" si="6"/>
        <v>0</v>
      </c>
      <c r="O77" s="34">
        <f t="shared" si="7"/>
        <v>120464650549.96918</v>
      </c>
      <c r="P77" s="34">
        <f t="shared" si="23"/>
        <v>12046465054.996918</v>
      </c>
      <c r="Q77" s="38">
        <f t="shared" si="8"/>
        <v>107876094567.49739</v>
      </c>
      <c r="R77" s="39">
        <f t="shared" si="16"/>
        <v>10719981346.088722</v>
      </c>
      <c r="S77" s="34">
        <f t="shared" si="17"/>
        <v>96479832114.798492</v>
      </c>
      <c r="T77" s="40">
        <v>10252184759</v>
      </c>
      <c r="U77" s="272">
        <f t="shared" si="9"/>
        <v>8.4492955886712982E-3</v>
      </c>
      <c r="V77" s="282">
        <f t="shared" si="10"/>
        <v>92.815041925336288</v>
      </c>
      <c r="W77" s="283">
        <f>((S77+'Malawi-only'!S77)/(T77*(U77+'Malawi-only'!U77))/12)</f>
        <v>71.829648423258092</v>
      </c>
      <c r="X77" s="284">
        <f>(R77+'Malawi-only'!R77)</f>
        <v>12755778613.027386</v>
      </c>
      <c r="Y77" s="284">
        <f>(L77+'Malawi-only'!L77)</f>
        <v>1984306779344.6978</v>
      </c>
      <c r="Z77" s="284">
        <f>(Q77+'Malawi-only'!Q77)</f>
        <v>111947689101.37471</v>
      </c>
    </row>
    <row r="78" spans="1:26" ht="15.75" customHeight="1">
      <c r="A78" s="31" t="s">
        <v>111</v>
      </c>
      <c r="B78" s="32">
        <v>2094</v>
      </c>
      <c r="C78" s="271">
        <f t="shared" si="11"/>
        <v>2.2000130510262922E-4</v>
      </c>
      <c r="D78" s="271">
        <f t="shared" si="19"/>
        <v>2.2000130510262922E-4</v>
      </c>
      <c r="E78" s="34">
        <f t="shared" si="1"/>
        <v>0</v>
      </c>
      <c r="F78" s="42">
        <v>4000</v>
      </c>
      <c r="G78" s="34">
        <f t="shared" si="2"/>
        <v>880005220.41051686</v>
      </c>
      <c r="H78" s="34">
        <f t="shared" si="3"/>
        <v>875605194.30846429</v>
      </c>
      <c r="I78" s="35">
        <f t="shared" si="21"/>
        <v>1</v>
      </c>
      <c r="J78" s="36">
        <f t="shared" si="4"/>
        <v>875605194.30846429</v>
      </c>
      <c r="K78" s="34">
        <f t="shared" si="14"/>
        <v>1790730870009.7439</v>
      </c>
      <c r="L78" s="37">
        <f t="shared" si="22"/>
        <v>1924096850875.9932</v>
      </c>
      <c r="M78" s="34">
        <f t="shared" si="5"/>
        <v>121218101605.18758</v>
      </c>
      <c r="N78" s="34">
        <f t="shared" si="6"/>
        <v>0</v>
      </c>
      <c r="O78" s="34">
        <f t="shared" si="7"/>
        <v>121218101605.18758</v>
      </c>
      <c r="P78" s="34">
        <f t="shared" si="23"/>
        <v>12121810160.518759</v>
      </c>
      <c r="Q78" s="38">
        <f t="shared" si="8"/>
        <v>108550809987.44548</v>
      </c>
      <c r="R78" s="39">
        <f t="shared" si="16"/>
        <v>10787609456.749741</v>
      </c>
      <c r="S78" s="34">
        <f t="shared" si="17"/>
        <v>97088485110.74765</v>
      </c>
      <c r="T78" s="40">
        <v>10244185837</v>
      </c>
      <c r="U78" s="272">
        <f t="shared" si="9"/>
        <v>8.4492955886712982E-3</v>
      </c>
      <c r="V78" s="282">
        <f t="shared" si="10"/>
        <v>93.473504768614774</v>
      </c>
      <c r="W78" s="283">
        <f>((S78+'Malawi-only'!S78)/(T78*(U78+'Malawi-only'!U78))/12)</f>
        <v>72.339276980337857</v>
      </c>
      <c r="X78" s="284">
        <f>(R78+'Malawi-only'!R78)</f>
        <v>12836309433.353983</v>
      </c>
      <c r="Y78" s="284">
        <f>(L78+'Malawi-only'!L78)</f>
        <v>1996719623888.0383</v>
      </c>
      <c r="Z78" s="284">
        <f>(Q78+'Malawi-only'!Q78)</f>
        <v>112648209940.65396</v>
      </c>
    </row>
    <row r="79" spans="1:26" ht="15.75" customHeight="1">
      <c r="A79" s="31" t="s">
        <v>112</v>
      </c>
      <c r="B79" s="32">
        <v>2095</v>
      </c>
      <c r="C79" s="274">
        <f t="shared" si="11"/>
        <v>1.9800117459236631E-4</v>
      </c>
      <c r="D79" s="271">
        <f t="shared" si="19"/>
        <v>1.9800117459236631E-4</v>
      </c>
      <c r="E79" s="34">
        <f t="shared" si="1"/>
        <v>0</v>
      </c>
      <c r="F79" s="42">
        <v>4000</v>
      </c>
      <c r="G79" s="34">
        <f t="shared" si="2"/>
        <v>792004698.36946535</v>
      </c>
      <c r="H79" s="34">
        <f t="shared" si="3"/>
        <v>788044674.87761807</v>
      </c>
      <c r="I79" s="35">
        <f t="shared" si="21"/>
        <v>1</v>
      </c>
      <c r="J79" s="36">
        <f t="shared" si="4"/>
        <v>788044674.87761807</v>
      </c>
      <c r="K79" s="34">
        <f t="shared" si="14"/>
        <v>1791518914684.6216</v>
      </c>
      <c r="L79" s="37">
        <f t="shared" si="22"/>
        <v>1936038202358.5342</v>
      </c>
      <c r="M79" s="34">
        <f t="shared" si="5"/>
        <v>121970406748.58766</v>
      </c>
      <c r="N79" s="34">
        <f t="shared" si="6"/>
        <v>0</v>
      </c>
      <c r="O79" s="34">
        <f t="shared" si="7"/>
        <v>121970406748.58766</v>
      </c>
      <c r="P79" s="34">
        <f t="shared" si="23"/>
        <v>12197040674.858767</v>
      </c>
      <c r="Q79" s="38">
        <f t="shared" si="8"/>
        <v>109224499243.36024</v>
      </c>
      <c r="R79" s="39">
        <f t="shared" si="16"/>
        <v>10855080998.744549</v>
      </c>
      <c r="S79" s="34">
        <f t="shared" si="17"/>
        <v>97695728988.700928</v>
      </c>
      <c r="T79" s="40">
        <v>10235403601</v>
      </c>
      <c r="U79" s="272">
        <f t="shared" si="9"/>
        <v>8.4492955886712982E-3</v>
      </c>
      <c r="V79" s="282">
        <f t="shared" si="10"/>
        <v>94.13884287455393</v>
      </c>
      <c r="W79" s="283">
        <f>((S79+'Malawi-only'!S79)/(T79*(U79+'Malawi-only'!U79))/12)</f>
        <v>72.854222822388138</v>
      </c>
      <c r="X79" s="284">
        <f>(R79+'Malawi-only'!R79)</f>
        <v>12916649074.208033</v>
      </c>
      <c r="Y79" s="284">
        <f>(L79+'Malawi-only'!L79)</f>
        <v>2009113438609.3901</v>
      </c>
      <c r="Z79" s="284">
        <f>(Q79+'Malawi-only'!Q79)</f>
        <v>113347635394.28722</v>
      </c>
    </row>
    <row r="80" spans="1:26" ht="15.75" customHeight="1">
      <c r="A80" s="31" t="s">
        <v>113</v>
      </c>
      <c r="B80" s="32">
        <v>2096</v>
      </c>
      <c r="C80" s="274">
        <f t="shared" si="11"/>
        <v>1.7820105713312967E-4</v>
      </c>
      <c r="D80" s="271">
        <f t="shared" si="19"/>
        <v>1.7820105713312967E-4</v>
      </c>
      <c r="E80" s="34">
        <f t="shared" si="1"/>
        <v>0</v>
      </c>
      <c r="F80" s="42">
        <v>4000</v>
      </c>
      <c r="G80" s="34">
        <f t="shared" si="2"/>
        <v>712804228.53251863</v>
      </c>
      <c r="H80" s="34">
        <f t="shared" si="3"/>
        <v>709240207.38985598</v>
      </c>
      <c r="I80" s="35">
        <f t="shared" si="21"/>
        <v>1</v>
      </c>
      <c r="J80" s="36">
        <f t="shared" si="4"/>
        <v>709240207.38985598</v>
      </c>
      <c r="K80" s="34">
        <f t="shared" si="14"/>
        <v>1792228154892.0115</v>
      </c>
      <c r="L80" s="37">
        <f t="shared" si="22"/>
        <v>1947970010999.1626</v>
      </c>
      <c r="M80" s="34">
        <f t="shared" si="5"/>
        <v>122722110692.94725</v>
      </c>
      <c r="N80" s="34">
        <f t="shared" si="6"/>
        <v>0</v>
      </c>
      <c r="O80" s="34">
        <f t="shared" si="7"/>
        <v>122722110692.94725</v>
      </c>
      <c r="P80" s="34">
        <f t="shared" si="23"/>
        <v>12272211069.294725</v>
      </c>
      <c r="Q80" s="38">
        <f t="shared" si="8"/>
        <v>109897650125.53427</v>
      </c>
      <c r="R80" s="39">
        <f t="shared" si="16"/>
        <v>10922449924.336025</v>
      </c>
      <c r="S80" s="34">
        <f t="shared" si="17"/>
        <v>98302049319.024216</v>
      </c>
      <c r="T80" s="40">
        <v>10225850874</v>
      </c>
      <c r="U80" s="272">
        <f t="shared" si="9"/>
        <v>8.4492955886712982E-3</v>
      </c>
      <c r="V80" s="282">
        <f t="shared" si="10"/>
        <v>94.811576292389887</v>
      </c>
      <c r="W80" s="283">
        <f>((S80+'Malawi-only'!S80)/(T80*(U80+'Malawi-only'!U80))/12)</f>
        <v>73.37488878037766</v>
      </c>
      <c r="X80" s="284">
        <f>(R80+'Malawi-only'!R80)</f>
        <v>12996862232.121761</v>
      </c>
      <c r="Y80" s="284">
        <f>(L80+'Malawi-only'!L80)</f>
        <v>2021497211870.6069</v>
      </c>
      <c r="Z80" s="284">
        <f>(Q80+'Malawi-only'!Q80)</f>
        <v>114046474741.10574</v>
      </c>
    </row>
    <row r="81" spans="1:26" ht="15.75" customHeight="1">
      <c r="A81" s="31" t="s">
        <v>114</v>
      </c>
      <c r="B81" s="32">
        <v>2097</v>
      </c>
      <c r="C81" s="274">
        <f t="shared" si="11"/>
        <v>1.6038095141981672E-4</v>
      </c>
      <c r="D81" s="271">
        <f t="shared" si="19"/>
        <v>1.6038095141981672E-4</v>
      </c>
      <c r="E81" s="34">
        <f t="shared" si="1"/>
        <v>0</v>
      </c>
      <c r="F81" s="42">
        <v>4000</v>
      </c>
      <c r="G81" s="34">
        <f t="shared" si="2"/>
        <v>641523805.67926681</v>
      </c>
      <c r="H81" s="34">
        <f t="shared" si="3"/>
        <v>638316186.65087044</v>
      </c>
      <c r="I81" s="35">
        <f t="shared" si="21"/>
        <v>1</v>
      </c>
      <c r="J81" s="36">
        <f t="shared" si="4"/>
        <v>638316186.65087044</v>
      </c>
      <c r="K81" s="34">
        <f t="shared" si="14"/>
        <v>1792866471078.6624</v>
      </c>
      <c r="L81" s="37">
        <f t="shared" si="22"/>
        <v>1959900097985.9807</v>
      </c>
      <c r="M81" s="34">
        <f t="shared" si="5"/>
        <v>123473706173.11679</v>
      </c>
      <c r="N81" s="34">
        <f t="shared" si="6"/>
        <v>0</v>
      </c>
      <c r="O81" s="34">
        <f t="shared" si="7"/>
        <v>123473706173.11679</v>
      </c>
      <c r="P81" s="34">
        <f t="shared" si="23"/>
        <v>12347370617.31168</v>
      </c>
      <c r="Q81" s="38">
        <f t="shared" si="8"/>
        <v>110570703878.02609</v>
      </c>
      <c r="R81" s="39">
        <f t="shared" si="16"/>
        <v>10989765012.553429</v>
      </c>
      <c r="S81" s="34">
        <f t="shared" si="17"/>
        <v>98907885112.980835</v>
      </c>
      <c r="T81" s="40">
        <v>10215549310</v>
      </c>
      <c r="U81" s="272">
        <f t="shared" si="9"/>
        <v>8.4492955886712982E-3</v>
      </c>
      <c r="V81" s="282">
        <f t="shared" si="10"/>
        <v>95.492099423285097</v>
      </c>
      <c r="W81" s="283">
        <f>((S81+'Malawi-only'!S81)/(T81*(U81+'Malawi-only'!U81))/12)</f>
        <v>73.90158040927551</v>
      </c>
      <c r="X81" s="284">
        <f>(R81+'Malawi-only'!R81)</f>
        <v>13077007398.211426</v>
      </c>
      <c r="Y81" s="284">
        <f>(L81+'Malawi-only'!L81)</f>
        <v>2033879074271.1282</v>
      </c>
      <c r="Z81" s="284">
        <f>(Q81+'Malawi-only'!Q81)</f>
        <v>114745188649.34209</v>
      </c>
    </row>
    <row r="82" spans="1:26" ht="15.75" customHeight="1">
      <c r="A82" s="31" t="s">
        <v>115</v>
      </c>
      <c r="B82" s="32">
        <v>2098</v>
      </c>
      <c r="C82" s="274">
        <f t="shared" si="11"/>
        <v>1.4434285627783504E-4</v>
      </c>
      <c r="D82" s="271">
        <f t="shared" si="19"/>
        <v>1.4434285627783504E-4</v>
      </c>
      <c r="E82" s="34">
        <f t="shared" si="1"/>
        <v>0</v>
      </c>
      <c r="F82" s="42">
        <v>4000</v>
      </c>
      <c r="G82" s="34">
        <f t="shared" si="2"/>
        <v>577371425.11134005</v>
      </c>
      <c r="H82" s="34">
        <f t="shared" si="3"/>
        <v>574484567.98578334</v>
      </c>
      <c r="I82" s="35">
        <f t="shared" si="21"/>
        <v>1</v>
      </c>
      <c r="J82" s="36">
        <f t="shared" si="4"/>
        <v>574484567.98578334</v>
      </c>
      <c r="K82" s="34">
        <f t="shared" si="14"/>
        <v>1793440955646.6482</v>
      </c>
      <c r="L82" s="37">
        <f t="shared" si="22"/>
        <v>1971835542194.6929</v>
      </c>
      <c r="M82" s="34">
        <f t="shared" si="5"/>
        <v>124225639158.26566</v>
      </c>
      <c r="N82" s="34">
        <f t="shared" si="6"/>
        <v>0</v>
      </c>
      <c r="O82" s="34">
        <f t="shared" si="7"/>
        <v>124225639158.26566</v>
      </c>
      <c r="P82" s="34">
        <f t="shared" si="23"/>
        <v>12422563915.826567</v>
      </c>
      <c r="Q82" s="38">
        <f t="shared" si="8"/>
        <v>111244059866.2269</v>
      </c>
      <c r="R82" s="39">
        <f t="shared" si="16"/>
        <v>11057070387.80261</v>
      </c>
      <c r="S82" s="34">
        <f t="shared" si="17"/>
        <v>99513633490.22348</v>
      </c>
      <c r="T82" s="40">
        <v>10204489862</v>
      </c>
      <c r="U82" s="272">
        <f t="shared" si="9"/>
        <v>8.4492955886712982E-3</v>
      </c>
      <c r="V82" s="282">
        <f t="shared" si="10"/>
        <v>96.181054766722539</v>
      </c>
      <c r="W82" s="283">
        <f>((S82+'Malawi-only'!S82)/(T82*(U82+'Malawi-only'!U82))/12)</f>
        <v>74.434795235077587</v>
      </c>
      <c r="X82" s="284">
        <f>(R82+'Malawi-only'!R82)</f>
        <v>13157137480.250788</v>
      </c>
      <c r="Y82" s="284">
        <f>(L82+'Malawi-only'!L82)</f>
        <v>2046266384662.3223</v>
      </c>
      <c r="Z82" s="284">
        <f>(Q82+'Malawi-only'!Q82)</f>
        <v>115444194051.12326</v>
      </c>
    </row>
    <row r="83" spans="1:26" ht="15.75" customHeight="1">
      <c r="A83" s="31" t="s">
        <v>116</v>
      </c>
      <c r="B83" s="32">
        <v>2099</v>
      </c>
      <c r="C83" s="274">
        <f t="shared" si="11"/>
        <v>1.2990857065005155E-4</v>
      </c>
      <c r="D83" s="271">
        <f t="shared" si="19"/>
        <v>1.2990857065005155E-4</v>
      </c>
      <c r="E83" s="34">
        <f t="shared" si="1"/>
        <v>0</v>
      </c>
      <c r="F83" s="42">
        <v>4000</v>
      </c>
      <c r="G83" s="34">
        <f t="shared" si="2"/>
        <v>519634282.60020614</v>
      </c>
      <c r="H83" s="34">
        <f t="shared" si="3"/>
        <v>517036111.18720508</v>
      </c>
      <c r="I83" s="35">
        <f t="shared" si="21"/>
        <v>1</v>
      </c>
      <c r="J83" s="36">
        <f t="shared" si="4"/>
        <v>517036111.18720508</v>
      </c>
      <c r="K83" s="34">
        <f t="shared" si="14"/>
        <v>1793957991757.8354</v>
      </c>
      <c r="L83" s="37">
        <f t="shared" si="22"/>
        <v>1983782754650.5959</v>
      </c>
      <c r="M83" s="34">
        <f t="shared" si="5"/>
        <v>124978313542.98755</v>
      </c>
      <c r="N83" s="34">
        <f t="shared" si="6"/>
        <v>0</v>
      </c>
      <c r="O83" s="34">
        <f t="shared" si="7"/>
        <v>124978313542.98755</v>
      </c>
      <c r="P83" s="34">
        <f t="shared" si="23"/>
        <v>12497831354.298756</v>
      </c>
      <c r="Q83" s="38">
        <f t="shared" si="8"/>
        <v>111918079777.74535</v>
      </c>
      <c r="R83" s="39">
        <f t="shared" si="16"/>
        <v>11124405986.62269</v>
      </c>
      <c r="S83" s="34">
        <f t="shared" si="17"/>
        <v>100119653879.6042</v>
      </c>
      <c r="T83" s="40">
        <v>10192689066</v>
      </c>
      <c r="U83" s="272">
        <f t="shared" si="9"/>
        <v>8.4492955886712982E-3</v>
      </c>
      <c r="V83" s="282">
        <f t="shared" si="10"/>
        <v>96.87881407821709</v>
      </c>
      <c r="W83" s="283">
        <f>((S83+'Malawi-only'!S83)/(T83*(U83+'Malawi-only'!U83))/12)</f>
        <v>74.974821224912361</v>
      </c>
      <c r="X83" s="284">
        <f>(R83+'Malawi-only'!R83)</f>
        <v>13237300362.54615</v>
      </c>
      <c r="Y83" s="284">
        <f>(L83+'Malawi-only'!L83)</f>
        <v>2058665807561.7783</v>
      </c>
      <c r="Z83" s="284">
        <f>(Q83+'Malawi-only'!Q83)</f>
        <v>116143868529.59227</v>
      </c>
    </row>
    <row r="84" spans="1:26" ht="15.75" customHeight="1">
      <c r="A84" s="31" t="s">
        <v>117</v>
      </c>
      <c r="B84" s="32">
        <v>2100</v>
      </c>
      <c r="C84" s="274">
        <f t="shared" si="11"/>
        <v>1.1691771358504639E-4</v>
      </c>
      <c r="D84" s="271">
        <f t="shared" si="19"/>
        <v>1.1691771358504639E-4</v>
      </c>
      <c r="E84" s="34">
        <f t="shared" si="1"/>
        <v>0</v>
      </c>
      <c r="F84" s="42">
        <v>4000</v>
      </c>
      <c r="G84" s="34">
        <f t="shared" si="2"/>
        <v>467670854.34018558</v>
      </c>
      <c r="H84" s="34">
        <f t="shared" si="3"/>
        <v>465332500.06848466</v>
      </c>
      <c r="I84" s="35">
        <f t="shared" si="21"/>
        <v>1</v>
      </c>
      <c r="J84" s="36">
        <f t="shared" si="4"/>
        <v>465332500.06848466</v>
      </c>
      <c r="K84" s="34">
        <f t="shared" si="14"/>
        <v>1794423324257.9041</v>
      </c>
      <c r="L84" s="37">
        <f t="shared" si="22"/>
        <v>1995747545545.7109</v>
      </c>
      <c r="M84" s="34">
        <f t="shared" si="5"/>
        <v>125732095369.37979</v>
      </c>
      <c r="N84" s="34">
        <f t="shared" si="6"/>
        <v>0</v>
      </c>
      <c r="O84" s="34">
        <f t="shared" si="7"/>
        <v>125732095369.37979</v>
      </c>
      <c r="P84" s="34">
        <f t="shared" si="23"/>
        <v>12573209536.937981</v>
      </c>
      <c r="Q84" s="38">
        <f t="shared" si="8"/>
        <v>112593091403.27959</v>
      </c>
      <c r="R84" s="39">
        <f t="shared" si="16"/>
        <v>11191807977.774536</v>
      </c>
      <c r="S84" s="34">
        <f t="shared" si="17"/>
        <v>100726271799.97081</v>
      </c>
      <c r="T84" s="40">
        <v>10180160751</v>
      </c>
      <c r="U84" s="272">
        <f t="shared" si="9"/>
        <v>8.4492955886712982E-3</v>
      </c>
      <c r="V84" s="282">
        <f t="shared" si="10"/>
        <v>97.585743219712739</v>
      </c>
      <c r="W84" s="283">
        <f>((S84+'Malawi-only'!S84)/(T84*(U84+'Malawi-only'!U84))/12)</f>
        <v>75.521941758318732</v>
      </c>
      <c r="X84" s="284">
        <f>(R84+'Malawi-only'!R84)</f>
        <v>13317539409.83279</v>
      </c>
      <c r="Y84" s="284">
        <f>(L84+'Malawi-only'!L84)</f>
        <v>2071083382827.5564</v>
      </c>
      <c r="Z84" s="284">
        <f>(Q84+'Malawi-only'!Q84)</f>
        <v>116844554267.3961</v>
      </c>
    </row>
    <row r="85" spans="1:26" ht="15.75" customHeight="1">
      <c r="A85" s="31" t="s">
        <v>118</v>
      </c>
      <c r="B85" s="32">
        <v>2101</v>
      </c>
      <c r="C85" s="274">
        <f t="shared" si="11"/>
        <v>1.0522594222654175E-4</v>
      </c>
      <c r="D85" s="271">
        <f t="shared" si="19"/>
        <v>1.0522594222654175E-4</v>
      </c>
      <c r="E85" s="34">
        <f t="shared" si="1"/>
        <v>0</v>
      </c>
      <c r="F85" s="42">
        <v>4000</v>
      </c>
      <c r="G85" s="34">
        <f t="shared" si="2"/>
        <v>420903768.90616697</v>
      </c>
      <c r="H85" s="34">
        <f t="shared" si="3"/>
        <v>418799250.06163615</v>
      </c>
      <c r="I85" s="35">
        <f t="shared" si="21"/>
        <v>1</v>
      </c>
      <c r="J85" s="36">
        <f t="shared" si="4"/>
        <v>418799250.06163615</v>
      </c>
      <c r="K85" s="34">
        <f t="shared" si="14"/>
        <v>1794842123507.9656</v>
      </c>
      <c r="L85" s="37">
        <f t="shared" si="22"/>
        <v>2007735184555.5442</v>
      </c>
      <c r="M85" s="34">
        <f t="shared" si="5"/>
        <v>126487316626.99928</v>
      </c>
      <c r="N85" s="34">
        <f t="shared" si="6"/>
        <v>0</v>
      </c>
      <c r="O85" s="34">
        <f t="shared" si="7"/>
        <v>126487316626.99928</v>
      </c>
      <c r="P85" s="34">
        <f t="shared" si="23"/>
        <v>12648731662.699928</v>
      </c>
      <c r="Q85" s="38">
        <f t="shared" si="8"/>
        <v>113269392039.47784</v>
      </c>
      <c r="R85" s="39">
        <f t="shared" si="16"/>
        <v>11259309140.327959</v>
      </c>
      <c r="S85" s="34">
        <f t="shared" si="17"/>
        <v>101333782262.95163</v>
      </c>
      <c r="T85" s="40">
        <f t="shared" ref="T85:T184" si="24">T84*99.9%</f>
        <v>10169980590.249001</v>
      </c>
      <c r="U85" s="272">
        <f t="shared" si="9"/>
        <v>8.4492955886712982E-3</v>
      </c>
      <c r="V85" s="282">
        <f t="shared" si="10"/>
        <v>98.27258479434785</v>
      </c>
      <c r="W85" s="283">
        <f>((S85+'Malawi-only'!S85)/(T85*(U85+'Malawi-only'!U85))/12)</f>
        <v>76.053514642153132</v>
      </c>
      <c r="X85" s="284">
        <f>(R85+'Malawi-only'!R85)</f>
        <v>13397893920.790752</v>
      </c>
      <c r="Y85" s="284">
        <f>(L85+'Malawi-only'!L85)</f>
        <v>2083524588366.4077</v>
      </c>
      <c r="Z85" s="284">
        <f>(Q85+'Malawi-only'!Q85)</f>
        <v>117546561600.40343</v>
      </c>
    </row>
    <row r="86" spans="1:26" ht="15.75" customHeight="1">
      <c r="A86" s="31" t="s">
        <v>119</v>
      </c>
      <c r="B86" s="32">
        <v>2102</v>
      </c>
      <c r="C86" s="274">
        <f t="shared" si="11"/>
        <v>9.4703348003887579E-5</v>
      </c>
      <c r="D86" s="271">
        <f t="shared" si="19"/>
        <v>9.4703348003887579E-5</v>
      </c>
      <c r="E86" s="34">
        <f t="shared" si="1"/>
        <v>0</v>
      </c>
      <c r="F86" s="42">
        <v>4000</v>
      </c>
      <c r="G86" s="34">
        <f t="shared" si="2"/>
        <v>378813392.01555032</v>
      </c>
      <c r="H86" s="34">
        <f t="shared" si="3"/>
        <v>376919325.05547255</v>
      </c>
      <c r="I86" s="35">
        <f t="shared" si="21"/>
        <v>1</v>
      </c>
      <c r="J86" s="36">
        <f t="shared" si="4"/>
        <v>376919325.05547255</v>
      </c>
      <c r="K86" s="34">
        <f t="shared" si="14"/>
        <v>1795219042833.021</v>
      </c>
      <c r="L86" s="37">
        <f t="shared" si="22"/>
        <v>2019750455125.5281</v>
      </c>
      <c r="M86" s="34">
        <f t="shared" si="5"/>
        <v>127244278672.90826</v>
      </c>
      <c r="N86" s="34">
        <f t="shared" si="6"/>
        <v>0</v>
      </c>
      <c r="O86" s="34">
        <f t="shared" si="7"/>
        <v>127244278672.90826</v>
      </c>
      <c r="P86" s="34">
        <f t="shared" si="23"/>
        <v>12724427867.290827</v>
      </c>
      <c r="Q86" s="38">
        <f t="shared" si="8"/>
        <v>113947251551.58934</v>
      </c>
      <c r="R86" s="39">
        <f t="shared" si="16"/>
        <v>11326939203.947784</v>
      </c>
      <c r="S86" s="34">
        <f t="shared" si="17"/>
        <v>101942452835.53006</v>
      </c>
      <c r="T86" s="40">
        <f t="shared" si="24"/>
        <v>10159810609.658752</v>
      </c>
      <c r="U86" s="272">
        <f t="shared" si="9"/>
        <v>8.4492955886712982E-3</v>
      </c>
      <c r="V86" s="282">
        <f t="shared" si="10"/>
        <v>98.96182983595935</v>
      </c>
      <c r="W86" s="283">
        <f>((S86+'Malawi-only'!S86)/(T86*(U86+'Malawi-only'!U86))/12)</f>
        <v>76.58694594783158</v>
      </c>
      <c r="X86" s="284">
        <f>(R86+'Malawi-only'!R86)</f>
        <v>13478399536.218105</v>
      </c>
      <c r="Y86" s="284">
        <f>(L86+'Malawi-only'!L86)</f>
        <v>2095994396572.5811</v>
      </c>
      <c r="Z86" s="284">
        <f>(Q86+'Malawi-only'!Q86)</f>
        <v>118250172216.12997</v>
      </c>
    </row>
    <row r="87" spans="1:26" ht="15.75" customHeight="1">
      <c r="A87" s="31" t="s">
        <v>120</v>
      </c>
      <c r="B87" s="32">
        <v>2103</v>
      </c>
      <c r="C87" s="274">
        <f t="shared" si="11"/>
        <v>8.523301320349883E-5</v>
      </c>
      <c r="D87" s="271">
        <f t="shared" si="19"/>
        <v>8.523301320349883E-5</v>
      </c>
      <c r="E87" s="34">
        <f t="shared" si="1"/>
        <v>0</v>
      </c>
      <c r="F87" s="42">
        <v>4000</v>
      </c>
      <c r="G87" s="34">
        <f t="shared" si="2"/>
        <v>340932052.8139953</v>
      </c>
      <c r="H87" s="34">
        <f t="shared" si="3"/>
        <v>339227392.54992533</v>
      </c>
      <c r="I87" s="35">
        <f t="shared" si="21"/>
        <v>1</v>
      </c>
      <c r="J87" s="36">
        <f t="shared" si="4"/>
        <v>339227392.54992533</v>
      </c>
      <c r="K87" s="34">
        <f t="shared" si="14"/>
        <v>1795558270225.5708</v>
      </c>
      <c r="L87" s="37">
        <f t="shared" si="22"/>
        <v>2031797703330.176</v>
      </c>
      <c r="M87" s="34">
        <f t="shared" si="5"/>
        <v>128003255309.80109</v>
      </c>
      <c r="N87" s="34">
        <f t="shared" si="6"/>
        <v>0</v>
      </c>
      <c r="O87" s="34">
        <f t="shared" si="7"/>
        <v>128003255309.80109</v>
      </c>
      <c r="P87" s="34">
        <f>O87*6%</f>
        <v>7680195318.5880651</v>
      </c>
      <c r="Q87" s="38">
        <f t="shared" si="8"/>
        <v>119721444691.25696</v>
      </c>
      <c r="R87" s="39">
        <f t="shared" si="16"/>
        <v>11394725155.158936</v>
      </c>
      <c r="S87" s="34">
        <f t="shared" si="17"/>
        <v>102552526396.4304</v>
      </c>
      <c r="T87" s="40">
        <f t="shared" si="24"/>
        <v>10149650799.049095</v>
      </c>
      <c r="U87" s="272">
        <f t="shared" si="9"/>
        <v>8.4492955886712982E-3</v>
      </c>
      <c r="V87" s="282">
        <f t="shared" si="10"/>
        <v>99.653719608771993</v>
      </c>
      <c r="W87" s="283">
        <f>((S87+'Malawi-only'!S87)/(T87*(U87+'Malawi-only'!U87))/12)</f>
        <v>77.122422560909115</v>
      </c>
      <c r="X87" s="284">
        <f>(R87+'Malawi-only'!R87)</f>
        <v>13559088606.395933</v>
      </c>
      <c r="Y87" s="284">
        <f>(L87+'Malawi-only'!L87)</f>
        <v>2108497325124.155</v>
      </c>
      <c r="Z87" s="284">
        <f>(Q87+'Malawi-only'!Q87)</f>
        <v>124050171593.73096</v>
      </c>
    </row>
    <row r="88" spans="1:26" ht="15.75" customHeight="1">
      <c r="A88" s="31" t="s">
        <v>121</v>
      </c>
      <c r="B88" s="32">
        <v>2104</v>
      </c>
      <c r="C88" s="274">
        <f t="shared" si="11"/>
        <v>7.6709711883148947E-5</v>
      </c>
      <c r="D88" s="271">
        <f t="shared" si="19"/>
        <v>7.6709711883148947E-5</v>
      </c>
      <c r="E88" s="34">
        <f t="shared" si="1"/>
        <v>0</v>
      </c>
      <c r="F88" s="42">
        <v>4000</v>
      </c>
      <c r="G88" s="34">
        <f t="shared" si="2"/>
        <v>306838847.53259575</v>
      </c>
      <c r="H88" s="34">
        <f t="shared" si="3"/>
        <v>305304653.29493278</v>
      </c>
      <c r="I88" s="35">
        <f t="shared" si="21"/>
        <v>1</v>
      </c>
      <c r="J88" s="36">
        <f t="shared" si="4"/>
        <v>305304653.29493278</v>
      </c>
      <c r="K88" s="34">
        <f t="shared" si="14"/>
        <v>1795863574878.8657</v>
      </c>
      <c r="L88" s="37">
        <f t="shared" si="22"/>
        <v>2038763311700.4082</v>
      </c>
      <c r="M88" s="34">
        <f t="shared" si="5"/>
        <v>128442088637.12572</v>
      </c>
      <c r="N88" s="34">
        <f t="shared" si="6"/>
        <v>0</v>
      </c>
      <c r="O88" s="34">
        <f t="shared" si="7"/>
        <v>128442088637.12572</v>
      </c>
      <c r="P88" s="34">
        <f>O88*6.5%</f>
        <v>8348735761.4131718</v>
      </c>
      <c r="Q88" s="38">
        <f t="shared" si="8"/>
        <v>119492886111.33397</v>
      </c>
      <c r="R88" s="39">
        <f t="shared" si="16"/>
        <v>11972144469.125696</v>
      </c>
      <c r="S88" s="34">
        <f t="shared" si="17"/>
        <v>107749300222.13126</v>
      </c>
      <c r="T88" s="40">
        <f t="shared" si="24"/>
        <v>10139501148.250048</v>
      </c>
      <c r="U88" s="272">
        <f t="shared" si="9"/>
        <v>8.4492955886712982E-3</v>
      </c>
      <c r="V88" s="282">
        <f t="shared" si="10"/>
        <v>104.8084069401442</v>
      </c>
      <c r="W88" s="283">
        <f>((S88+'Malawi-only'!S88)/(T88*(U88+'Malawi-only'!U88))/12)</f>
        <v>81.040335907989842</v>
      </c>
      <c r="X88" s="284">
        <f>(R88+'Malawi-only'!R88)</f>
        <v>14149443477.859005</v>
      </c>
      <c r="Y88" s="284">
        <f>(L88+'Malawi-only'!L88)</f>
        <v>2115919912553.8789</v>
      </c>
      <c r="Z88" s="284">
        <f>(Q88+'Malawi-only'!Q88)</f>
        <v>123847484128.80058</v>
      </c>
    </row>
    <row r="89" spans="1:26" ht="15.75" customHeight="1">
      <c r="A89" s="31" t="s">
        <v>122</v>
      </c>
      <c r="B89" s="32">
        <v>2105</v>
      </c>
      <c r="C89" s="274">
        <f t="shared" si="11"/>
        <v>6.9038740694834052E-5</v>
      </c>
      <c r="D89" s="271">
        <f t="shared" si="19"/>
        <v>6.9038740694834052E-5</v>
      </c>
      <c r="E89" s="34">
        <f t="shared" si="1"/>
        <v>0</v>
      </c>
      <c r="F89" s="42">
        <v>4000</v>
      </c>
      <c r="G89" s="34">
        <f t="shared" si="2"/>
        <v>276154962.77933621</v>
      </c>
      <c r="H89" s="34">
        <f t="shared" si="3"/>
        <v>274774187.96543956</v>
      </c>
      <c r="I89" s="35">
        <f t="shared" si="21"/>
        <v>1</v>
      </c>
      <c r="J89" s="36">
        <f t="shared" si="4"/>
        <v>274774187.96543956</v>
      </c>
      <c r="K89" s="34">
        <f t="shared" si="14"/>
        <v>1796138349066.8311</v>
      </c>
      <c r="L89" s="37">
        <f t="shared" si="22"/>
        <v>2046363128238.9619</v>
      </c>
      <c r="M89" s="34">
        <f t="shared" si="5"/>
        <v>128920877079.0546</v>
      </c>
      <c r="N89" s="34">
        <f t="shared" si="6"/>
        <v>0</v>
      </c>
      <c r="O89" s="34">
        <f t="shared" si="7"/>
        <v>128920877079.0546</v>
      </c>
      <c r="P89" s="34">
        <f>O89*7%</f>
        <v>9024461395.533823</v>
      </c>
      <c r="Q89" s="38">
        <f t="shared" si="8"/>
        <v>119296933605.10316</v>
      </c>
      <c r="R89" s="39">
        <f t="shared" si="16"/>
        <v>11949288611.133398</v>
      </c>
      <c r="S89" s="34">
        <f t="shared" si="17"/>
        <v>107543597500.20058</v>
      </c>
      <c r="T89" s="40">
        <f t="shared" si="24"/>
        <v>10129361647.101799</v>
      </c>
      <c r="U89" s="272">
        <f t="shared" si="9"/>
        <v>8.4492955886712982E-3</v>
      </c>
      <c r="V89" s="282">
        <f t="shared" si="10"/>
        <v>104.71303166920391</v>
      </c>
      <c r="W89" s="283">
        <f>((S89+'Malawi-only'!S89)/(T89*(U89+'Malawi-only'!U89))/12)</f>
        <v>80.97923007264292</v>
      </c>
      <c r="X89" s="284">
        <f>(R89+'Malawi-only'!R89)</f>
        <v>14139560044.371174</v>
      </c>
      <c r="Y89" s="284">
        <f>(L89+'Malawi-only'!L89)</f>
        <v>2123978148833.7969</v>
      </c>
      <c r="Z89" s="284">
        <f>(Q89+'Malawi-only'!Q89)</f>
        <v>123677476471.57872</v>
      </c>
    </row>
    <row r="90" spans="1:26" ht="15.75" customHeight="1">
      <c r="A90" s="31" t="s">
        <v>123</v>
      </c>
      <c r="B90" s="32">
        <v>2106</v>
      </c>
      <c r="C90" s="274">
        <f t="shared" si="11"/>
        <v>6.2134866625350649E-5</v>
      </c>
      <c r="D90" s="271">
        <f t="shared" si="19"/>
        <v>6.2134866625350649E-5</v>
      </c>
      <c r="E90" s="34">
        <f t="shared" si="1"/>
        <v>0</v>
      </c>
      <c r="F90" s="42">
        <v>4000</v>
      </c>
      <c r="G90" s="34">
        <f t="shared" si="2"/>
        <v>248539466.50140259</v>
      </c>
      <c r="H90" s="34">
        <f t="shared" si="3"/>
        <v>247296769.16889557</v>
      </c>
      <c r="I90" s="35">
        <f t="shared" si="21"/>
        <v>1</v>
      </c>
      <c r="J90" s="36">
        <f t="shared" si="4"/>
        <v>247296769.16889557</v>
      </c>
      <c r="K90" s="34">
        <f t="shared" si="14"/>
        <v>1796385645836</v>
      </c>
      <c r="L90" s="37">
        <f t="shared" si="22"/>
        <v>2054607068960.4631</v>
      </c>
      <c r="M90" s="34">
        <f t="shared" si="5"/>
        <v>129440245344.50919</v>
      </c>
      <c r="N90" s="34">
        <f t="shared" si="6"/>
        <v>0</v>
      </c>
      <c r="O90" s="34">
        <f t="shared" si="7"/>
        <v>129440245344.50919</v>
      </c>
      <c r="P90" s="34">
        <f>O90*7.5%</f>
        <v>9708018400.8381882</v>
      </c>
      <c r="Q90" s="38">
        <f t="shared" si="8"/>
        <v>119133565808.95264</v>
      </c>
      <c r="R90" s="39">
        <f t="shared" si="16"/>
        <v>11929693360.510317</v>
      </c>
      <c r="S90" s="34">
        <f t="shared" si="17"/>
        <v>107367240244.59285</v>
      </c>
      <c r="T90" s="40">
        <f t="shared" si="24"/>
        <v>10119232285.454699</v>
      </c>
      <c r="U90" s="272">
        <f t="shared" si="9"/>
        <v>8.4492955886712982E-3</v>
      </c>
      <c r="V90" s="282">
        <f t="shared" si="10"/>
        <v>104.64596212877554</v>
      </c>
      <c r="W90" s="283">
        <f>((S90+'Malawi-only'!S90)/(T90*(U90+'Malawi-only'!U90))/12)</f>
        <v>80.939628375556211</v>
      </c>
      <c r="X90" s="284">
        <f>(R90+'Malawi-only'!R90)</f>
        <v>14132978115.393101</v>
      </c>
      <c r="Y90" s="284">
        <f>(L90+'Malawi-only'!L90)</f>
        <v>2132682079327.6631</v>
      </c>
      <c r="Z90" s="284">
        <f>(Q90+'Malawi-only'!Q90)</f>
        <v>123540135318.7182</v>
      </c>
    </row>
    <row r="91" spans="1:26" ht="15.75" customHeight="1">
      <c r="A91" s="31" t="s">
        <v>124</v>
      </c>
      <c r="B91" s="32">
        <v>2107</v>
      </c>
      <c r="C91" s="274">
        <f t="shared" si="11"/>
        <v>5.5921379962815587E-5</v>
      </c>
      <c r="D91" s="271">
        <f t="shared" si="19"/>
        <v>5.5921379962815587E-5</v>
      </c>
      <c r="E91" s="34">
        <f t="shared" si="1"/>
        <v>0</v>
      </c>
      <c r="F91" s="42">
        <v>4000</v>
      </c>
      <c r="G91" s="34">
        <f t="shared" si="2"/>
        <v>223685519.85126233</v>
      </c>
      <c r="H91" s="34">
        <f t="shared" si="3"/>
        <v>222567092.25200602</v>
      </c>
      <c r="I91" s="35">
        <f t="shared" si="21"/>
        <v>1</v>
      </c>
      <c r="J91" s="36">
        <f t="shared" si="4"/>
        <v>222567092.25200602</v>
      </c>
      <c r="K91" s="34">
        <f t="shared" si="14"/>
        <v>1796608212928.252</v>
      </c>
      <c r="L91" s="37">
        <f t="shared" si="22"/>
        <v>2063505385626.3267</v>
      </c>
      <c r="M91" s="34">
        <f t="shared" si="5"/>
        <v>130000839294.45859</v>
      </c>
      <c r="N91" s="34">
        <f t="shared" si="6"/>
        <v>0</v>
      </c>
      <c r="O91" s="34">
        <f t="shared" si="7"/>
        <v>130000839294.45859</v>
      </c>
      <c r="P91" s="34">
        <f>O91*8%</f>
        <v>10400067143.556686</v>
      </c>
      <c r="Q91" s="38">
        <f t="shared" si="8"/>
        <v>119002768290.14738</v>
      </c>
      <c r="R91" s="39">
        <f t="shared" si="16"/>
        <v>11913356580.895264</v>
      </c>
      <c r="S91" s="34">
        <f t="shared" si="17"/>
        <v>107220209228.05737</v>
      </c>
      <c r="T91" s="40">
        <f t="shared" si="24"/>
        <v>10109113053.169245</v>
      </c>
      <c r="U91" s="272">
        <f t="shared" si="9"/>
        <v>8.4492955886712982E-3</v>
      </c>
      <c r="V91" s="282">
        <f t="shared" si="10"/>
        <v>104.6072649541905</v>
      </c>
      <c r="W91" s="283">
        <f>((S91+'Malawi-only'!S91)/(T91*(U91+'Malawi-only'!U91))/12)</f>
        <v>80.92158415645163</v>
      </c>
      <c r="X91" s="284">
        <f>(R91+'Malawi-only'!R91)</f>
        <v>14129699226.442598</v>
      </c>
      <c r="Y91" s="284">
        <f>(L91+'Malawi-only'!L91)</f>
        <v>2142042073797.0076</v>
      </c>
      <c r="Z91" s="284">
        <f>(Q91+'Malawi-only'!Q91)</f>
        <v>123435453581.24205</v>
      </c>
    </row>
    <row r="92" spans="1:26" ht="15.75" customHeight="1">
      <c r="A92" s="31" t="s">
        <v>125</v>
      </c>
      <c r="B92" s="32">
        <v>2108</v>
      </c>
      <c r="C92" s="274">
        <f t="shared" si="11"/>
        <v>5.0329241966534027E-5</v>
      </c>
      <c r="D92" s="271">
        <f t="shared" si="19"/>
        <v>5.0329241966534027E-5</v>
      </c>
      <c r="E92" s="34">
        <f t="shared" si="1"/>
        <v>0</v>
      </c>
      <c r="F92" s="42">
        <v>4000</v>
      </c>
      <c r="G92" s="34">
        <f t="shared" si="2"/>
        <v>201316967.86613613</v>
      </c>
      <c r="H92" s="34">
        <f t="shared" si="3"/>
        <v>200310383.02680546</v>
      </c>
      <c r="I92" s="35">
        <f t="shared" si="21"/>
        <v>1</v>
      </c>
      <c r="J92" s="36">
        <f t="shared" si="4"/>
        <v>200310383.02680546</v>
      </c>
      <c r="K92" s="34">
        <f t="shared" si="14"/>
        <v>1796808523311.2788</v>
      </c>
      <c r="L92" s="37">
        <f t="shared" si="22"/>
        <v>2073068710271.3337</v>
      </c>
      <c r="M92" s="34">
        <f t="shared" si="5"/>
        <v>130603328747.09402</v>
      </c>
      <c r="N92" s="34">
        <f t="shared" si="6"/>
        <v>0</v>
      </c>
      <c r="O92" s="34">
        <f t="shared" si="7"/>
        <v>130603328747.09402</v>
      </c>
      <c r="P92" s="34">
        <f>O92*8.5%</f>
        <v>11101282943.502993</v>
      </c>
      <c r="Q92" s="38">
        <f t="shared" si="8"/>
        <v>118904535574.57307</v>
      </c>
      <c r="R92" s="39">
        <f t="shared" si="16"/>
        <v>11900276829.01474</v>
      </c>
      <c r="S92" s="34">
        <f t="shared" si="17"/>
        <v>107102491461.13264</v>
      </c>
      <c r="T92" s="40">
        <f t="shared" si="24"/>
        <v>10099003940.116077</v>
      </c>
      <c r="U92" s="272">
        <f t="shared" si="9"/>
        <v>8.4492955886712982E-3</v>
      </c>
      <c r="V92" s="282">
        <f t="shared" si="10"/>
        <v>104.59701296879257</v>
      </c>
      <c r="W92" s="283">
        <f>((S92+'Malawi-only'!S92)/(T92*(U92+'Malawi-only'!U92))/12)</f>
        <v>80.925155217629282</v>
      </c>
      <c r="X92" s="284">
        <f>(R92+'Malawi-only'!R92)</f>
        <v>14129725283.956718</v>
      </c>
      <c r="Y92" s="284">
        <f>(L92+'Malawi-only'!L92)</f>
        <v>2152068872071.8123</v>
      </c>
      <c r="Z92" s="284">
        <f>(Q92+'Malawi-only'!Q92)</f>
        <v>123363432484.45703</v>
      </c>
    </row>
    <row r="93" spans="1:26" ht="15.75" customHeight="1">
      <c r="A93" s="31" t="s">
        <v>126</v>
      </c>
      <c r="B93" s="32">
        <v>2109</v>
      </c>
      <c r="C93" s="274">
        <f t="shared" si="11"/>
        <v>4.5296317769880628E-5</v>
      </c>
      <c r="D93" s="271">
        <f t="shared" si="19"/>
        <v>4.5296317769880628E-5</v>
      </c>
      <c r="E93" s="34">
        <f t="shared" si="1"/>
        <v>0</v>
      </c>
      <c r="F93" s="42">
        <v>4000</v>
      </c>
      <c r="G93" s="34">
        <f t="shared" si="2"/>
        <v>181185271.07952252</v>
      </c>
      <c r="H93" s="34">
        <f t="shared" si="3"/>
        <v>180279344.72412491</v>
      </c>
      <c r="I93" s="35">
        <f t="shared" si="21"/>
        <v>1</v>
      </c>
      <c r="J93" s="36">
        <f t="shared" si="4"/>
        <v>180279344.72412491</v>
      </c>
      <c r="K93" s="34">
        <f t="shared" si="14"/>
        <v>1796988802656.0029</v>
      </c>
      <c r="L93" s="37">
        <f t="shared" si="22"/>
        <v>2083308097423.281</v>
      </c>
      <c r="M93" s="34">
        <f t="shared" si="5"/>
        <v>131248410137.6667</v>
      </c>
      <c r="N93" s="34">
        <f t="shared" si="6"/>
        <v>0</v>
      </c>
      <c r="O93" s="34">
        <f t="shared" si="7"/>
        <v>131248410137.6667</v>
      </c>
      <c r="P93" s="34">
        <f>O93*9%</f>
        <v>11812356912.390003</v>
      </c>
      <c r="Q93" s="38">
        <f t="shared" si="8"/>
        <v>118838872959.15031</v>
      </c>
      <c r="R93" s="39">
        <f t="shared" si="16"/>
        <v>11890453557.457308</v>
      </c>
      <c r="S93" s="34">
        <f t="shared" si="17"/>
        <v>107014082017.11577</v>
      </c>
      <c r="T93" s="40">
        <f t="shared" si="24"/>
        <v>10088904936.175962</v>
      </c>
      <c r="U93" s="272">
        <f t="shared" si="9"/>
        <v>8.4492955886712982E-3</v>
      </c>
      <c r="V93" s="282">
        <f t="shared" si="10"/>
        <v>104.61528699858751</v>
      </c>
      <c r="W93" s="283">
        <f>((S93+'Malawi-only'!S93)/(T93*(U93+'Malawi-only'!U93))/12)</f>
        <v>80.950405222203145</v>
      </c>
      <c r="X93" s="284">
        <f>(R93+'Malawi-only'!R93)</f>
        <v>14133058800.544121</v>
      </c>
      <c r="Y93" s="284">
        <f>(L93+'Malawi-only'!L93)</f>
        <v>2162773627299.9038</v>
      </c>
      <c r="Z93" s="284">
        <f>(Q93+'Malawi-only'!Q93)</f>
        <v>123324083445.32394</v>
      </c>
    </row>
    <row r="94" spans="1:26" ht="15.75" customHeight="1">
      <c r="A94" s="31" t="s">
        <v>127</v>
      </c>
      <c r="B94" s="32">
        <v>2110</v>
      </c>
      <c r="C94" s="274">
        <f t="shared" si="11"/>
        <v>4.0766685992892566E-5</v>
      </c>
      <c r="D94" s="271">
        <f t="shared" si="19"/>
        <v>4.0766685992892566E-5</v>
      </c>
      <c r="E94" s="34">
        <f t="shared" si="1"/>
        <v>0</v>
      </c>
      <c r="F94" s="42">
        <v>4000</v>
      </c>
      <c r="G94" s="34">
        <f t="shared" si="2"/>
        <v>163066743.97157025</v>
      </c>
      <c r="H94" s="34">
        <f t="shared" si="3"/>
        <v>162251410.25171241</v>
      </c>
      <c r="I94" s="35">
        <f t="shared" si="21"/>
        <v>1</v>
      </c>
      <c r="J94" s="36">
        <f t="shared" si="4"/>
        <v>162251410.25171241</v>
      </c>
      <c r="K94" s="34">
        <f t="shared" si="14"/>
        <v>1797151054066.2546</v>
      </c>
      <c r="L94" s="37">
        <f t="shared" si="22"/>
        <v>2094235064393.0498</v>
      </c>
      <c r="M94" s="34">
        <f t="shared" si="5"/>
        <v>131936809056.76215</v>
      </c>
      <c r="N94" s="34">
        <f t="shared" si="6"/>
        <v>0</v>
      </c>
      <c r="O94" s="34">
        <f t="shared" si="7"/>
        <v>131936809056.76215</v>
      </c>
      <c r="P94" s="34">
        <f>O94*9.5%</f>
        <v>12533996860.392405</v>
      </c>
      <c r="Q94" s="38">
        <f t="shared" si="8"/>
        <v>118805798135.38789</v>
      </c>
      <c r="R94" s="39">
        <f t="shared" si="16"/>
        <v>11883887295.915031</v>
      </c>
      <c r="S94" s="34">
        <f t="shared" si="17"/>
        <v>106954985663.23529</v>
      </c>
      <c r="T94" s="40">
        <f t="shared" si="24"/>
        <v>10078816031.239788</v>
      </c>
      <c r="U94" s="272">
        <f t="shared" si="9"/>
        <v>8.4492955886712982E-3</v>
      </c>
      <c r="V94" s="282">
        <f t="shared" si="10"/>
        <v>104.66217750805667</v>
      </c>
      <c r="W94" s="283">
        <f>((S94+'Malawi-only'!S94)/(T94*(U94+'Malawi-only'!U94))/12)</f>
        <v>80.997404954529372</v>
      </c>
      <c r="X94" s="284">
        <f>(R94+'Malawi-only'!R94)</f>
        <v>14139703105.458181</v>
      </c>
      <c r="Y94" s="284">
        <f>(L94+'Malawi-only'!L94)</f>
        <v>2174167947163.8459</v>
      </c>
      <c r="Z94" s="284">
        <f>(Q94+'Malawi-only'!Q94)</f>
        <v>123317429754.4742</v>
      </c>
    </row>
    <row r="95" spans="1:26" ht="15.75" customHeight="1">
      <c r="A95" s="31" t="s">
        <v>128</v>
      </c>
      <c r="B95" s="32">
        <v>2111</v>
      </c>
      <c r="C95" s="274">
        <f t="shared" si="11"/>
        <v>3.6690017393603311E-5</v>
      </c>
      <c r="D95" s="271">
        <f t="shared" si="19"/>
        <v>3.6690017393603311E-5</v>
      </c>
      <c r="E95" s="34">
        <f t="shared" si="1"/>
        <v>0</v>
      </c>
      <c r="F95" s="42">
        <v>4000</v>
      </c>
      <c r="G95" s="34">
        <f t="shared" si="2"/>
        <v>146760069.57441324</v>
      </c>
      <c r="H95" s="34">
        <f t="shared" si="3"/>
        <v>146026269.22654116</v>
      </c>
      <c r="I95" s="35">
        <f t="shared" si="21"/>
        <v>1</v>
      </c>
      <c r="J95" s="36">
        <f t="shared" si="4"/>
        <v>146026269.22654116</v>
      </c>
      <c r="K95" s="34">
        <f t="shared" si="14"/>
        <v>1797297080335.4812</v>
      </c>
      <c r="L95" s="37">
        <f t="shared" si="22"/>
        <v>2105861629978.9075</v>
      </c>
      <c r="M95" s="34">
        <f t="shared" si="5"/>
        <v>132669282688.67117</v>
      </c>
      <c r="N95" s="34">
        <f t="shared" si="6"/>
        <v>0</v>
      </c>
      <c r="O95" s="34">
        <f t="shared" si="7"/>
        <v>132669282688.67117</v>
      </c>
      <c r="P95" s="34">
        <f t="shared" ref="P95:P184" si="25">O95*$P$5</f>
        <v>13266928268.867119</v>
      </c>
      <c r="Q95" s="38">
        <f t="shared" si="8"/>
        <v>118805342647.70503</v>
      </c>
      <c r="R95" s="39">
        <f t="shared" si="16"/>
        <v>11880579813.53879</v>
      </c>
      <c r="S95" s="34">
        <f t="shared" si="17"/>
        <v>106925218321.84911</v>
      </c>
      <c r="T95" s="40">
        <f t="shared" si="24"/>
        <v>10068737215.208549</v>
      </c>
      <c r="U95" s="272">
        <f t="shared" si="9"/>
        <v>8.4492955886712982E-3</v>
      </c>
      <c r="V95" s="282">
        <f t="shared" si="10"/>
        <v>104.73778607917887</v>
      </c>
      <c r="W95" s="283">
        <f>((S95+'Malawi-only'!S95)/(T95*(U95+'Malawi-only'!U95))/12)</f>
        <v>81.066233459758237</v>
      </c>
      <c r="X95" s="284">
        <f>(R95+'Malawi-only'!R95)</f>
        <v>14149662533.262352</v>
      </c>
      <c r="Y95" s="284">
        <f>(L95+'Malawi-only'!L95)</f>
        <v>2186263933419.4351</v>
      </c>
      <c r="Z95" s="284">
        <f>(Q95+'Malawi-only'!Q95)</f>
        <v>123343508087.15216</v>
      </c>
    </row>
    <row r="96" spans="1:26" ht="15.75" customHeight="1">
      <c r="A96" s="31" t="s">
        <v>129</v>
      </c>
      <c r="B96" s="32">
        <v>2112</v>
      </c>
      <c r="C96" s="274">
        <f t="shared" si="11"/>
        <v>3.3021015654242979E-5</v>
      </c>
      <c r="D96" s="271">
        <f t="shared" si="19"/>
        <v>3.3021015654242979E-5</v>
      </c>
      <c r="E96" s="34">
        <f t="shared" si="1"/>
        <v>0</v>
      </c>
      <c r="F96" s="42">
        <v>4000</v>
      </c>
      <c r="G96" s="34">
        <f t="shared" si="2"/>
        <v>132084062.61697192</v>
      </c>
      <c r="H96" s="34">
        <f t="shared" si="3"/>
        <v>131423642.30388707</v>
      </c>
      <c r="I96" s="35">
        <f t="shared" si="21"/>
        <v>1</v>
      </c>
      <c r="J96" s="36">
        <f t="shared" si="4"/>
        <v>131423642.30388707</v>
      </c>
      <c r="K96" s="34">
        <f t="shared" si="14"/>
        <v>1797428503977.7852</v>
      </c>
      <c r="L96" s="37">
        <f t="shared" si="22"/>
        <v>2118200351899.1338</v>
      </c>
      <c r="M96" s="34">
        <f t="shared" si="5"/>
        <v>133446622169.64543</v>
      </c>
      <c r="N96" s="34">
        <f t="shared" si="6"/>
        <v>0</v>
      </c>
      <c r="O96" s="34">
        <f t="shared" si="7"/>
        <v>133446622169.64543</v>
      </c>
      <c r="P96" s="34">
        <f t="shared" si="25"/>
        <v>13344662216.964544</v>
      </c>
      <c r="Q96" s="38">
        <f t="shared" si="8"/>
        <v>119501450152.91748</v>
      </c>
      <c r="R96" s="39">
        <f t="shared" si="16"/>
        <v>11880534264.770504</v>
      </c>
      <c r="S96" s="34">
        <f t="shared" si="17"/>
        <v>106924808382.93452</v>
      </c>
      <c r="T96" s="40">
        <f t="shared" si="24"/>
        <v>10058668477.993341</v>
      </c>
      <c r="U96" s="272">
        <f t="shared" si="9"/>
        <v>8.4492955886712982E-3</v>
      </c>
      <c r="V96" s="282">
        <f t="shared" si="10"/>
        <v>104.84222675337976</v>
      </c>
      <c r="W96" s="283">
        <f>((S96+'Malawi-only'!S96)/(T96*(U96+'Malawi-only'!U96))/12)</f>
        <v>81.156979077658605</v>
      </c>
      <c r="X96" s="284">
        <f>(R96+'Malawi-only'!R96)</f>
        <v>14162942593.342962</v>
      </c>
      <c r="Y96" s="284">
        <f>(L96+'Malawi-only'!L96)</f>
        <v>2199074220079.1553</v>
      </c>
      <c r="Z96" s="284">
        <f>(Q96+'Malawi-only'!Q96)</f>
        <v>124066266810.06239</v>
      </c>
    </row>
    <row r="97" spans="1:26" ht="15.75" customHeight="1">
      <c r="A97" s="31" t="s">
        <v>130</v>
      </c>
      <c r="B97" s="32">
        <v>2113</v>
      </c>
      <c r="C97" s="274">
        <f t="shared" si="11"/>
        <v>2.9718914088818682E-5</v>
      </c>
      <c r="D97" s="271">
        <f t="shared" si="19"/>
        <v>2.9718914088818682E-5</v>
      </c>
      <c r="E97" s="34">
        <f t="shared" si="1"/>
        <v>0</v>
      </c>
      <c r="F97" s="42">
        <v>4000</v>
      </c>
      <c r="G97" s="34">
        <f t="shared" si="2"/>
        <v>118875656.35527472</v>
      </c>
      <c r="H97" s="34">
        <f t="shared" si="3"/>
        <v>118281278.07349835</v>
      </c>
      <c r="I97" s="35">
        <f t="shared" si="21"/>
        <v>1</v>
      </c>
      <c r="J97" s="36">
        <f t="shared" si="4"/>
        <v>118281278.07349835</v>
      </c>
      <c r="K97" s="34">
        <f t="shared" si="14"/>
        <v>1797546785255.8586</v>
      </c>
      <c r="L97" s="37">
        <f t="shared" si="22"/>
        <v>2130597463746.4749</v>
      </c>
      <c r="M97" s="34">
        <f t="shared" si="5"/>
        <v>134227640216.02792</v>
      </c>
      <c r="N97" s="34">
        <f t="shared" si="6"/>
        <v>0</v>
      </c>
      <c r="O97" s="34">
        <f t="shared" si="7"/>
        <v>134227640216.02792</v>
      </c>
      <c r="P97" s="34">
        <f t="shared" si="25"/>
        <v>13422764021.602793</v>
      </c>
      <c r="Q97" s="38">
        <f t="shared" si="8"/>
        <v>120200851813.453</v>
      </c>
      <c r="R97" s="39">
        <f t="shared" si="16"/>
        <v>11950145015.291748</v>
      </c>
      <c r="S97" s="34">
        <f t="shared" si="17"/>
        <v>107551305137.62573</v>
      </c>
      <c r="T97" s="40">
        <f t="shared" si="24"/>
        <v>10048609809.515348</v>
      </c>
      <c r="U97" s="272">
        <f t="shared" si="9"/>
        <v>8.4492955886712982E-3</v>
      </c>
      <c r="V97" s="282">
        <f t="shared" si="10"/>
        <v>105.56208327223668</v>
      </c>
      <c r="W97" s="283">
        <f>((S97+'Malawi-only'!S97)/(T97*(U97+'Malawi-only'!U97))/12)</f>
        <v>81.714220386002864</v>
      </c>
      <c r="X97" s="284">
        <f>(R97+'Malawi-only'!R97)</f>
        <v>14245939817.171881</v>
      </c>
      <c r="Y97" s="284">
        <f>(L97+'Malawi-only'!L97)</f>
        <v>2211945111042.4346</v>
      </c>
      <c r="Z97" s="284">
        <f>(Q97+'Malawi-only'!Q97)</f>
        <v>124792441417.21327</v>
      </c>
    </row>
    <row r="98" spans="1:26" ht="15.75" customHeight="1">
      <c r="A98" s="31" t="s">
        <v>131</v>
      </c>
      <c r="B98" s="32">
        <v>2114</v>
      </c>
      <c r="C98" s="274">
        <f t="shared" si="11"/>
        <v>2.6747022679936813E-5</v>
      </c>
      <c r="D98" s="271">
        <f t="shared" si="19"/>
        <v>2.6747022679936813E-5</v>
      </c>
      <c r="E98" s="34">
        <f t="shared" si="1"/>
        <v>0</v>
      </c>
      <c r="F98" s="42">
        <v>4000</v>
      </c>
      <c r="G98" s="34">
        <f t="shared" si="2"/>
        <v>106988090.71974726</v>
      </c>
      <c r="H98" s="34">
        <f t="shared" si="3"/>
        <v>106453150.26614852</v>
      </c>
      <c r="I98" s="35">
        <f t="shared" si="21"/>
        <v>1</v>
      </c>
      <c r="J98" s="36">
        <f t="shared" si="4"/>
        <v>106453150.26614852</v>
      </c>
      <c r="K98" s="34">
        <f t="shared" si="14"/>
        <v>1797653238406.1248</v>
      </c>
      <c r="L98" s="37">
        <f t="shared" si="22"/>
        <v>2143054617577.8848</v>
      </c>
      <c r="M98" s="34">
        <f t="shared" si="5"/>
        <v>135012440907.40674</v>
      </c>
      <c r="N98" s="34">
        <f t="shared" si="6"/>
        <v>0</v>
      </c>
      <c r="O98" s="34">
        <f t="shared" si="7"/>
        <v>135012440907.40674</v>
      </c>
      <c r="P98" s="34">
        <f t="shared" si="25"/>
        <v>13501244090.740675</v>
      </c>
      <c r="Q98" s="38">
        <f t="shared" si="8"/>
        <v>120903640832.58273</v>
      </c>
      <c r="R98" s="39">
        <f t="shared" si="16"/>
        <v>12020085181.345301</v>
      </c>
      <c r="S98" s="34">
        <f t="shared" si="17"/>
        <v>108180766632.1077</v>
      </c>
      <c r="T98" s="40">
        <f t="shared" si="24"/>
        <v>10038561199.705833</v>
      </c>
      <c r="U98" s="272">
        <f t="shared" si="9"/>
        <v>8.4492955886712982E-3</v>
      </c>
      <c r="V98" s="282">
        <f t="shared" si="10"/>
        <v>106.28618871113861</v>
      </c>
      <c r="W98" s="283">
        <f>((S98+'Malawi-only'!S98)/(T98*(U98+'Malawi-only'!U98))/12)</f>
        <v>82.274750430585897</v>
      </c>
      <c r="X98" s="284">
        <f>(R98+'Malawi-only'!R98)</f>
        <v>14329329316.812262</v>
      </c>
      <c r="Y98" s="284">
        <f>(L98+'Malawi-only'!L98)</f>
        <v>2224878323293.6611</v>
      </c>
      <c r="Z98" s="284">
        <f>(Q98+'Malawi-only'!Q98)</f>
        <v>125522129103.51665</v>
      </c>
    </row>
    <row r="99" spans="1:26" ht="15.75" customHeight="1">
      <c r="A99" s="31" t="s">
        <v>132</v>
      </c>
      <c r="B99" s="32">
        <v>2115</v>
      </c>
      <c r="C99" s="274">
        <f t="shared" si="11"/>
        <v>2.4072320411943132E-5</v>
      </c>
      <c r="D99" s="271">
        <f t="shared" si="19"/>
        <v>2.4072320411943132E-5</v>
      </c>
      <c r="E99" s="34">
        <f t="shared" si="1"/>
        <v>0</v>
      </c>
      <c r="F99" s="42">
        <v>4000</v>
      </c>
      <c r="G99" s="34">
        <f t="shared" si="2"/>
        <v>96289281.647772521</v>
      </c>
      <c r="H99" s="34">
        <f t="shared" si="3"/>
        <v>95807835.239533663</v>
      </c>
      <c r="I99" s="35">
        <f t="shared" si="21"/>
        <v>1</v>
      </c>
      <c r="J99" s="36">
        <f t="shared" si="4"/>
        <v>95807835.239533663</v>
      </c>
      <c r="K99" s="34">
        <f t="shared" si="14"/>
        <v>1797749046241.3643</v>
      </c>
      <c r="L99" s="37">
        <f t="shared" si="22"/>
        <v>2155573343669.1133</v>
      </c>
      <c r="M99" s="34">
        <f t="shared" si="5"/>
        <v>135801120651.15414</v>
      </c>
      <c r="N99" s="34">
        <f t="shared" si="6"/>
        <v>0</v>
      </c>
      <c r="O99" s="34">
        <f t="shared" si="7"/>
        <v>135801120651.15414</v>
      </c>
      <c r="P99" s="34">
        <f t="shared" si="25"/>
        <v>13580112065.115416</v>
      </c>
      <c r="Q99" s="38">
        <f t="shared" si="8"/>
        <v>121609903543.10854</v>
      </c>
      <c r="R99" s="39">
        <f t="shared" si="16"/>
        <v>12090364083.258274</v>
      </c>
      <c r="S99" s="34">
        <f t="shared" si="17"/>
        <v>108813276749.32446</v>
      </c>
      <c r="T99" s="40">
        <f t="shared" si="24"/>
        <v>10028522638.506128</v>
      </c>
      <c r="U99" s="272">
        <f t="shared" si="9"/>
        <v>8.4492955886712982E-3</v>
      </c>
      <c r="V99" s="282">
        <f t="shared" si="10"/>
        <v>107.01463626725958</v>
      </c>
      <c r="W99" s="283">
        <f>((S99+'Malawi-only'!S99)/(T99*(U99+'Malawi-only'!U99))/12)</f>
        <v>82.838641392362121</v>
      </c>
      <c r="X99" s="284">
        <f>(R99+'Malawi-only'!R99)</f>
        <v>14413122255.709019</v>
      </c>
      <c r="Y99" s="284">
        <f>(L99+'Malawi-only'!L99)</f>
        <v>2237875447204.2749</v>
      </c>
      <c r="Z99" s="284">
        <f>(Q99+'Malawi-only'!Q99)</f>
        <v>126255419888.01003</v>
      </c>
    </row>
    <row r="100" spans="1:26" ht="15.75" customHeight="1">
      <c r="A100" s="31" t="s">
        <v>133</v>
      </c>
      <c r="B100" s="32">
        <v>2116</v>
      </c>
      <c r="C100" s="274">
        <f t="shared" si="11"/>
        <v>2.1665088370748819E-5</v>
      </c>
      <c r="D100" s="271">
        <f t="shared" si="19"/>
        <v>2.1665088370748819E-5</v>
      </c>
      <c r="E100" s="34">
        <f t="shared" si="1"/>
        <v>0</v>
      </c>
      <c r="F100" s="42">
        <v>4000</v>
      </c>
      <c r="G100" s="34">
        <f t="shared" si="2"/>
        <v>86660353.482995272</v>
      </c>
      <c r="H100" s="34">
        <f t="shared" si="3"/>
        <v>86227051.715580299</v>
      </c>
      <c r="I100" s="35">
        <f t="shared" si="21"/>
        <v>1</v>
      </c>
      <c r="J100" s="36">
        <f t="shared" si="4"/>
        <v>86227051.715580299</v>
      </c>
      <c r="K100" s="34">
        <f t="shared" si="14"/>
        <v>1797835273293.0798</v>
      </c>
      <c r="L100" s="37">
        <f t="shared" si="22"/>
        <v>2168155062944.5515</v>
      </c>
      <c r="M100" s="34">
        <f t="shared" si="5"/>
        <v>136593768965.50674</v>
      </c>
      <c r="N100" s="34">
        <f t="shared" si="6"/>
        <v>0</v>
      </c>
      <c r="O100" s="34">
        <f t="shared" si="7"/>
        <v>136593768965.50674</v>
      </c>
      <c r="P100" s="34">
        <f t="shared" si="25"/>
        <v>13659376896.550674</v>
      </c>
      <c r="Q100" s="38">
        <f t="shared" si="8"/>
        <v>122319720108.61128</v>
      </c>
      <c r="R100" s="39">
        <f t="shared" si="16"/>
        <v>12160990354.310854</v>
      </c>
      <c r="S100" s="34">
        <f t="shared" si="17"/>
        <v>109448913188.79768</v>
      </c>
      <c r="T100" s="40">
        <f t="shared" si="24"/>
        <v>10018494115.867622</v>
      </c>
      <c r="U100" s="272">
        <f t="shared" si="9"/>
        <v>8.4492955886712982E-3</v>
      </c>
      <c r="V100" s="282">
        <f t="shared" si="10"/>
        <v>107.74751340087352</v>
      </c>
      <c r="W100" s="283">
        <f>((S100+'Malawi-only'!S100)/(T100*(U100+'Malawi-only'!U100))/12)</f>
        <v>83.40596100772548</v>
      </c>
      <c r="X100" s="284">
        <f>(R100+'Malawi-only'!R100)</f>
        <v>14497328973.099731</v>
      </c>
      <c r="Y100" s="284">
        <f>(L100+'Malawi-only'!L100)</f>
        <v>2250937959455.4229</v>
      </c>
      <c r="Z100" s="284">
        <f>(Q100+'Malawi-only'!Q100)</f>
        <v>126992397346.18904</v>
      </c>
    </row>
    <row r="101" spans="1:26" ht="15.75" customHeight="1">
      <c r="A101" s="31" t="s">
        <v>134</v>
      </c>
      <c r="B101" s="32">
        <v>2117</v>
      </c>
      <c r="C101" s="274">
        <f t="shared" si="11"/>
        <v>1.9498579533673938E-5</v>
      </c>
      <c r="D101" s="271">
        <f t="shared" si="19"/>
        <v>1.9498579533673938E-5</v>
      </c>
      <c r="E101" s="34">
        <f t="shared" si="1"/>
        <v>0</v>
      </c>
      <c r="F101" s="42">
        <v>4000</v>
      </c>
      <c r="G101" s="34">
        <f t="shared" si="2"/>
        <v>77994318.134695753</v>
      </c>
      <c r="H101" s="34">
        <f t="shared" si="3"/>
        <v>77604346.544022277</v>
      </c>
      <c r="I101" s="35">
        <f t="shared" si="21"/>
        <v>1</v>
      </c>
      <c r="J101" s="36">
        <f t="shared" si="4"/>
        <v>77604346.544022277</v>
      </c>
      <c r="K101" s="34">
        <f t="shared" si="14"/>
        <v>1797912877639.6238</v>
      </c>
      <c r="L101" s="37">
        <f t="shared" si="22"/>
        <v>2180801098165.5525</v>
      </c>
      <c r="M101" s="34">
        <f t="shared" si="5"/>
        <v>137390469184.42981</v>
      </c>
      <c r="N101" s="34">
        <f t="shared" si="6"/>
        <v>0</v>
      </c>
      <c r="O101" s="34">
        <f t="shared" si="7"/>
        <v>137390469184.42981</v>
      </c>
      <c r="P101" s="34">
        <f t="shared" si="25"/>
        <v>13739046918.442982</v>
      </c>
      <c r="Q101" s="38">
        <f t="shared" si="8"/>
        <v>123033165154.65689</v>
      </c>
      <c r="R101" s="39">
        <f t="shared" si="16"/>
        <v>12231972010.86113</v>
      </c>
      <c r="S101" s="34">
        <f t="shared" si="17"/>
        <v>110087748097.75015</v>
      </c>
      <c r="T101" s="40">
        <f t="shared" si="24"/>
        <v>10008475621.751757</v>
      </c>
      <c r="U101" s="272">
        <f t="shared" si="9"/>
        <v>8.4492955886712982E-3</v>
      </c>
      <c r="V101" s="282">
        <f t="shared" si="10"/>
        <v>108.48490242768078</v>
      </c>
      <c r="W101" s="283">
        <f>((S101+'Malawi-only'!S101)/(T101*(U101+'Malawi-only'!U101))/12)</f>
        <v>83.976773027389257</v>
      </c>
      <c r="X101" s="284">
        <f>(R101+'Malawi-only'!R101)</f>
        <v>14581959068.129009</v>
      </c>
      <c r="Y101" s="284">
        <f>(L101+'Malawi-only'!L101)</f>
        <v>2264067234669.8604</v>
      </c>
      <c r="Z101" s="284">
        <f>(Q101+'Malawi-only'!Q101)</f>
        <v>127733139269.19264</v>
      </c>
    </row>
    <row r="102" spans="1:26" ht="15.75" customHeight="1">
      <c r="A102" s="31" t="s">
        <v>135</v>
      </c>
      <c r="B102" s="32">
        <v>2118</v>
      </c>
      <c r="C102" s="274">
        <f t="shared" si="11"/>
        <v>1.7548721580306546E-5</v>
      </c>
      <c r="D102" s="271">
        <f t="shared" si="19"/>
        <v>1.7548721580306546E-5</v>
      </c>
      <c r="E102" s="34">
        <f t="shared" si="1"/>
        <v>0</v>
      </c>
      <c r="F102" s="42">
        <v>4000</v>
      </c>
      <c r="G102" s="34">
        <f t="shared" si="2"/>
        <v>70194886.32122618</v>
      </c>
      <c r="H102" s="34">
        <f t="shared" si="3"/>
        <v>69843911.889620051</v>
      </c>
      <c r="I102" s="35">
        <f t="shared" si="21"/>
        <v>1</v>
      </c>
      <c r="J102" s="36">
        <f t="shared" si="4"/>
        <v>69843911.889620051</v>
      </c>
      <c r="K102" s="34">
        <f t="shared" si="14"/>
        <v>1797982721551.5134</v>
      </c>
      <c r="L102" s="37">
        <f t="shared" si="22"/>
        <v>2193512684001.3872</v>
      </c>
      <c r="M102" s="34">
        <f t="shared" si="5"/>
        <v>138191299092.0874</v>
      </c>
      <c r="N102" s="34">
        <f t="shared" si="6"/>
        <v>0</v>
      </c>
      <c r="O102" s="34">
        <f t="shared" si="7"/>
        <v>138191299092.0874</v>
      </c>
      <c r="P102" s="34">
        <f t="shared" si="25"/>
        <v>13819129909.20874</v>
      </c>
      <c r="Q102" s="38">
        <f t="shared" si="8"/>
        <v>123750308336.96426</v>
      </c>
      <c r="R102" s="39">
        <f t="shared" si="16"/>
        <v>12303316515.465691</v>
      </c>
      <c r="S102" s="34">
        <f t="shared" si="17"/>
        <v>110729848639.19119</v>
      </c>
      <c r="T102" s="40">
        <f t="shared" si="24"/>
        <v>9998467146.1300068</v>
      </c>
      <c r="U102" s="272">
        <f t="shared" si="9"/>
        <v>8.4492955886712982E-3</v>
      </c>
      <c r="V102" s="282">
        <f t="shared" si="10"/>
        <v>109.2268810525981</v>
      </c>
      <c r="W102" s="283">
        <f>((S102+'Malawi-only'!S102)/(T102*(U102+'Malawi-only'!U102))/12)</f>
        <v>84.55113762991688</v>
      </c>
      <c r="X102" s="284">
        <f>(R102+'Malawi-only'!R102)</f>
        <v>14667021475.561255</v>
      </c>
      <c r="Y102" s="284">
        <f>(L102+'Malawi-only'!L102)</f>
        <v>2277264555882.1924</v>
      </c>
      <c r="Z102" s="284">
        <f>(Q102+'Malawi-only'!Q102)</f>
        <v>128477718257.1554</v>
      </c>
    </row>
    <row r="103" spans="1:26" ht="15.75" customHeight="1">
      <c r="A103" s="31" t="s">
        <v>136</v>
      </c>
      <c r="B103" s="32">
        <v>2119</v>
      </c>
      <c r="C103" s="274">
        <f t="shared" si="11"/>
        <v>1.5793849422275891E-5</v>
      </c>
      <c r="D103" s="271">
        <f t="shared" si="19"/>
        <v>1.5793849422275891E-5</v>
      </c>
      <c r="E103" s="34">
        <f t="shared" si="1"/>
        <v>0</v>
      </c>
      <c r="F103" s="42">
        <v>4000</v>
      </c>
      <c r="G103" s="34">
        <f t="shared" si="2"/>
        <v>63175397.689103559</v>
      </c>
      <c r="H103" s="34">
        <f t="shared" si="3"/>
        <v>62859520.700658038</v>
      </c>
      <c r="I103" s="35">
        <f t="shared" si="21"/>
        <v>1</v>
      </c>
      <c r="J103" s="36">
        <f t="shared" si="4"/>
        <v>62859520.700658038</v>
      </c>
      <c r="K103" s="34">
        <f t="shared" si="14"/>
        <v>1798045581072.2141</v>
      </c>
      <c r="L103" s="37">
        <f t="shared" si="22"/>
        <v>2206290976094.5815</v>
      </c>
      <c r="M103" s="34">
        <f t="shared" si="5"/>
        <v>138996331493.95865</v>
      </c>
      <c r="N103" s="34">
        <f t="shared" si="6"/>
        <v>0</v>
      </c>
      <c r="O103" s="34">
        <f t="shared" si="7"/>
        <v>138996331493.95865</v>
      </c>
      <c r="P103" s="34">
        <f t="shared" si="25"/>
        <v>13899633149.395866</v>
      </c>
      <c r="Q103" s="38">
        <f t="shared" si="8"/>
        <v>124471214852.83997</v>
      </c>
      <c r="R103" s="39">
        <f t="shared" si="16"/>
        <v>12375030833.696426</v>
      </c>
      <c r="S103" s="34">
        <f t="shared" si="17"/>
        <v>111375277503.26784</v>
      </c>
      <c r="T103" s="40">
        <f t="shared" si="24"/>
        <v>9988468678.9838772</v>
      </c>
      <c r="U103" s="272">
        <f t="shared" si="9"/>
        <v>8.4492955886712982E-3</v>
      </c>
      <c r="V103" s="282">
        <f t="shared" si="10"/>
        <v>109.97352285081274</v>
      </c>
      <c r="W103" s="283">
        <f>((S103+'Malawi-only'!S103)/(T103*(U103+'Malawi-only'!U103))/12)</f>
        <v>85.129111794398156</v>
      </c>
      <c r="X103" s="284">
        <f>(R103+'Malawi-only'!R103)</f>
        <v>14752524533.932007</v>
      </c>
      <c r="Y103" s="284">
        <f>(L103+'Malawi-only'!L103)</f>
        <v>2290531123963.6187</v>
      </c>
      <c r="Z103" s="284">
        <f>(Q103+'Malawi-only'!Q103)</f>
        <v>129226202253.31113</v>
      </c>
    </row>
    <row r="104" spans="1:26" ht="15.75" customHeight="1">
      <c r="A104" s="31" t="s">
        <v>137</v>
      </c>
      <c r="B104" s="32">
        <v>2120</v>
      </c>
      <c r="C104" s="274">
        <f t="shared" si="11"/>
        <v>1.4214464480048302E-5</v>
      </c>
      <c r="D104" s="271">
        <f t="shared" si="19"/>
        <v>1.4214464480048302E-5</v>
      </c>
      <c r="E104" s="34">
        <f t="shared" si="1"/>
        <v>0</v>
      </c>
      <c r="F104" s="42">
        <v>4000</v>
      </c>
      <c r="G104" s="34">
        <f t="shared" si="2"/>
        <v>56857857.92019321</v>
      </c>
      <c r="H104" s="34">
        <f t="shared" si="3"/>
        <v>56573568.630592242</v>
      </c>
      <c r="I104" s="35">
        <f t="shared" si="21"/>
        <v>1</v>
      </c>
      <c r="J104" s="36">
        <f t="shared" si="4"/>
        <v>56573568.630592242</v>
      </c>
      <c r="K104" s="34">
        <f t="shared" si="14"/>
        <v>1798102154640.8447</v>
      </c>
      <c r="L104" s="37">
        <f t="shared" si="22"/>
        <v>2219137059221.2017</v>
      </c>
      <c r="M104" s="34">
        <f t="shared" si="5"/>
        <v>139805634730.9357</v>
      </c>
      <c r="N104" s="34">
        <f t="shared" si="6"/>
        <v>0</v>
      </c>
      <c r="O104" s="34">
        <f t="shared" si="7"/>
        <v>139805634730.9357</v>
      </c>
      <c r="P104" s="34">
        <f t="shared" si="25"/>
        <v>13980563473.093571</v>
      </c>
      <c r="Q104" s="38">
        <f t="shared" si="8"/>
        <v>125195945901.55292</v>
      </c>
      <c r="R104" s="39">
        <f t="shared" si="16"/>
        <v>12447121485.283997</v>
      </c>
      <c r="S104" s="34">
        <f t="shared" si="17"/>
        <v>112024093367.55597</v>
      </c>
      <c r="T104" s="40">
        <f t="shared" si="24"/>
        <v>9978480210.3048935</v>
      </c>
      <c r="U104" s="272">
        <f t="shared" si="9"/>
        <v>8.4492955886712982E-3</v>
      </c>
      <c r="V104" s="282">
        <f t="shared" si="10"/>
        <v>110.72489770132938</v>
      </c>
      <c r="W104" s="283">
        <f>((S104+'Malawi-only'!S104)/(T104*(U104+'Malawi-only'!U104))/12)</f>
        <v>85.710749636320941</v>
      </c>
      <c r="X104" s="284">
        <f>(R104+'Malawi-only'!R104)</f>
        <v>14838476046.894104</v>
      </c>
      <c r="Y104" s="284">
        <f>(L104+'Malawi-only'!L104)</f>
        <v>2303868066105.7432</v>
      </c>
      <c r="Z104" s="284">
        <f>(Q104+'Malawi-only'!Q104)</f>
        <v>129978655024.77313</v>
      </c>
    </row>
    <row r="105" spans="1:26" ht="15.75" customHeight="1">
      <c r="A105" s="31" t="s">
        <v>138</v>
      </c>
      <c r="B105" s="32">
        <v>2121</v>
      </c>
      <c r="C105" s="274">
        <f t="shared" si="11"/>
        <v>1.2793018032043472E-5</v>
      </c>
      <c r="D105" s="271">
        <f t="shared" si="19"/>
        <v>1.2793018032043472E-5</v>
      </c>
      <c r="E105" s="34">
        <f t="shared" si="1"/>
        <v>0</v>
      </c>
      <c r="F105" s="42">
        <v>4000</v>
      </c>
      <c r="G105" s="34">
        <f t="shared" si="2"/>
        <v>51172072.128173888</v>
      </c>
      <c r="H105" s="34">
        <f t="shared" si="3"/>
        <v>50916211.767533019</v>
      </c>
      <c r="I105" s="35">
        <f t="shared" si="21"/>
        <v>1</v>
      </c>
      <c r="J105" s="36">
        <f t="shared" si="4"/>
        <v>50916211.767533019</v>
      </c>
      <c r="K105" s="34">
        <f t="shared" si="14"/>
        <v>1798153070852.6123</v>
      </c>
      <c r="L105" s="37">
        <f t="shared" si="22"/>
        <v>2232051954636.6099</v>
      </c>
      <c r="M105" s="34">
        <f t="shared" si="5"/>
        <v>140619273142.10641</v>
      </c>
      <c r="N105" s="34">
        <f t="shared" si="6"/>
        <v>0</v>
      </c>
      <c r="O105" s="34">
        <f t="shared" si="7"/>
        <v>140619273142.10641</v>
      </c>
      <c r="P105" s="34">
        <f t="shared" si="25"/>
        <v>14061927314.210642</v>
      </c>
      <c r="Q105" s="38">
        <f t="shared" si="8"/>
        <v>125924559098.75629</v>
      </c>
      <c r="R105" s="39">
        <f t="shared" si="16"/>
        <v>12519594590.155293</v>
      </c>
      <c r="S105" s="34">
        <f t="shared" si="17"/>
        <v>112676351311.39763</v>
      </c>
      <c r="T105" s="40">
        <f t="shared" si="24"/>
        <v>9968501730.0945892</v>
      </c>
      <c r="U105" s="272">
        <f t="shared" si="9"/>
        <v>8.4492955886712982E-3</v>
      </c>
      <c r="V105" s="282">
        <f t="shared" si="10"/>
        <v>111.48107217771781</v>
      </c>
      <c r="W105" s="283">
        <f>((S105+'Malawi-only'!S105)/(T105*(U105+'Malawi-only'!U105))/12)</f>
        <v>86.296102710286092</v>
      </c>
      <c r="X105" s="284">
        <f>(R105+'Malawi-only'!R105)</f>
        <v>14924883338.439184</v>
      </c>
      <c r="Y105" s="284">
        <f>(L105+'Malawi-only'!L105)</f>
        <v>2317276443457.564</v>
      </c>
      <c r="Z105" s="284">
        <f>(Q105+'Malawi-only'!Q105)</f>
        <v>130735136595.32407</v>
      </c>
    </row>
    <row r="106" spans="1:26" ht="15.75" customHeight="1">
      <c r="A106" s="31" t="s">
        <v>139</v>
      </c>
      <c r="B106" s="32">
        <v>2122</v>
      </c>
      <c r="C106" s="274">
        <f t="shared" si="11"/>
        <v>1.1513716228839125E-5</v>
      </c>
      <c r="D106" s="271">
        <f t="shared" si="19"/>
        <v>1.1513716228839125E-5</v>
      </c>
      <c r="E106" s="34">
        <f t="shared" si="1"/>
        <v>0</v>
      </c>
      <c r="F106" s="42">
        <v>4000</v>
      </c>
      <c r="G106" s="34">
        <f t="shared" si="2"/>
        <v>46054864.915356502</v>
      </c>
      <c r="H106" s="34">
        <f t="shared" si="3"/>
        <v>45824590.590779722</v>
      </c>
      <c r="I106" s="35">
        <f t="shared" si="21"/>
        <v>1</v>
      </c>
      <c r="J106" s="36">
        <f t="shared" si="4"/>
        <v>45824590.590779722</v>
      </c>
      <c r="K106" s="34">
        <f t="shared" si="14"/>
        <v>1798198895443.2031</v>
      </c>
      <c r="L106" s="37">
        <f t="shared" si="22"/>
        <v>2245036626688.1406</v>
      </c>
      <c r="M106" s="34">
        <f t="shared" si="5"/>
        <v>141437307481.35287</v>
      </c>
      <c r="N106" s="34">
        <f t="shared" si="6"/>
        <v>0</v>
      </c>
      <c r="O106" s="34">
        <f t="shared" si="7"/>
        <v>141437307481.35287</v>
      </c>
      <c r="P106" s="34">
        <f t="shared" si="25"/>
        <v>14143730748.135288</v>
      </c>
      <c r="Q106" s="38">
        <f t="shared" si="8"/>
        <v>126657108849.5515</v>
      </c>
      <c r="R106" s="39">
        <f t="shared" si="16"/>
        <v>12592455909.875629</v>
      </c>
      <c r="S106" s="34">
        <f t="shared" si="17"/>
        <v>113332103188.88066</v>
      </c>
      <c r="T106" s="40">
        <f t="shared" si="24"/>
        <v>9958533228.3644962</v>
      </c>
      <c r="U106" s="272">
        <f t="shared" si="9"/>
        <v>8.4492955886712982E-3</v>
      </c>
      <c r="V106" s="282">
        <f t="shared" si="10"/>
        <v>112.24210990030461</v>
      </c>
      <c r="W106" s="283">
        <f>((S106+'Malawi-only'!S106)/(T106*(U106+'Malawi-only'!U106))/12)</f>
        <v>86.885220282852458</v>
      </c>
      <c r="X106" s="284">
        <f>(R106+'Malawi-only'!R106)</f>
        <v>15011753302.607141</v>
      </c>
      <c r="Y106" s="284">
        <f>(L106+'Malawi-only'!L106)</f>
        <v>2330757258000.311</v>
      </c>
      <c r="Z106" s="284">
        <f>(Q106+'Malawi-only'!Q106)</f>
        <v>131495703635.01453</v>
      </c>
    </row>
    <row r="107" spans="1:26" ht="15.75" customHeight="1">
      <c r="A107" s="31" t="s">
        <v>140</v>
      </c>
      <c r="B107" s="32">
        <v>2123</v>
      </c>
      <c r="C107" s="274">
        <f t="shared" si="11"/>
        <v>1.0362344605955213E-5</v>
      </c>
      <c r="D107" s="271">
        <f t="shared" si="19"/>
        <v>1.0362344605955213E-5</v>
      </c>
      <c r="E107" s="34">
        <f t="shared" si="1"/>
        <v>0</v>
      </c>
      <c r="F107" s="42">
        <v>4000</v>
      </c>
      <c r="G107" s="34">
        <f t="shared" si="2"/>
        <v>41449378.423820853</v>
      </c>
      <c r="H107" s="34">
        <f t="shared" si="3"/>
        <v>41242131.531701751</v>
      </c>
      <c r="I107" s="35">
        <f t="shared" si="21"/>
        <v>1</v>
      </c>
      <c r="J107" s="36">
        <f t="shared" si="4"/>
        <v>41242131.531701751</v>
      </c>
      <c r="K107" s="34">
        <f t="shared" si="14"/>
        <v>1798240137574.7349</v>
      </c>
      <c r="L107" s="37">
        <f t="shared" si="22"/>
        <v>2258091988768.0239</v>
      </c>
      <c r="M107" s="34">
        <f t="shared" si="5"/>
        <v>142259795292.3855</v>
      </c>
      <c r="N107" s="34">
        <f t="shared" si="6"/>
        <v>0</v>
      </c>
      <c r="O107" s="34">
        <f t="shared" si="7"/>
        <v>142259795292.3855</v>
      </c>
      <c r="P107" s="34">
        <f t="shared" si="25"/>
        <v>14225979529.23855</v>
      </c>
      <c r="Q107" s="38">
        <f t="shared" si="8"/>
        <v>127393646684.33121</v>
      </c>
      <c r="R107" s="39">
        <f t="shared" si="16"/>
        <v>12665710884.955151</v>
      </c>
      <c r="S107" s="34">
        <f t="shared" si="17"/>
        <v>113991397964.59634</v>
      </c>
      <c r="T107" s="40">
        <f t="shared" si="24"/>
        <v>9948574695.1361332</v>
      </c>
      <c r="U107" s="272">
        <f t="shared" si="9"/>
        <v>8.4492955886712982E-3</v>
      </c>
      <c r="V107" s="282">
        <f t="shared" si="10"/>
        <v>113.00807185363031</v>
      </c>
      <c r="W107" s="283">
        <f>((S107+'Malawi-only'!S107)/(T107*(U107+'Malawi-only'!U107))/12)</f>
        <v>87.478149578473051</v>
      </c>
      <c r="X107" s="284">
        <f>(R107+'Malawi-only'!R107)</f>
        <v>15099092448.234686</v>
      </c>
      <c r="Y107" s="284">
        <f>(L107+'Malawi-only'!L107)</f>
        <v>2344311458736.377</v>
      </c>
      <c r="Z107" s="284">
        <f>(Q107+'Malawi-only'!Q107)</f>
        <v>132260409810.89027</v>
      </c>
    </row>
    <row r="108" spans="1:26" ht="15.75" customHeight="1">
      <c r="A108" s="31" t="s">
        <v>141</v>
      </c>
      <c r="B108" s="32">
        <v>2124</v>
      </c>
      <c r="C108" s="274">
        <f t="shared" si="11"/>
        <v>9.3261101453596928E-6</v>
      </c>
      <c r="D108" s="271">
        <f t="shared" si="19"/>
        <v>9.3261101453596928E-6</v>
      </c>
      <c r="E108" s="34">
        <f t="shared" si="1"/>
        <v>0</v>
      </c>
      <c r="F108" s="42">
        <v>4000</v>
      </c>
      <c r="G108" s="34">
        <f t="shared" si="2"/>
        <v>37304440.581438772</v>
      </c>
      <c r="H108" s="34">
        <f t="shared" si="3"/>
        <v>37117918.378531575</v>
      </c>
      <c r="I108" s="35">
        <f t="shared" si="21"/>
        <v>1</v>
      </c>
      <c r="J108" s="36">
        <f t="shared" si="4"/>
        <v>37117918.378531575</v>
      </c>
      <c r="K108" s="34">
        <f t="shared" si="14"/>
        <v>1798277255493.1133</v>
      </c>
      <c r="L108" s="37">
        <f t="shared" si="22"/>
        <v>2271218908672.5332</v>
      </c>
      <c r="M108" s="34">
        <f t="shared" si="5"/>
        <v>143086791246.3696</v>
      </c>
      <c r="N108" s="34">
        <f t="shared" si="6"/>
        <v>0</v>
      </c>
      <c r="O108" s="34">
        <f t="shared" si="7"/>
        <v>143086791246.3696</v>
      </c>
      <c r="P108" s="34">
        <f t="shared" si="25"/>
        <v>14308679124.636961</v>
      </c>
      <c r="Q108" s="38">
        <f t="shared" si="8"/>
        <v>128134221561.12398</v>
      </c>
      <c r="R108" s="39">
        <f t="shared" si="16"/>
        <v>12739364668.433121</v>
      </c>
      <c r="S108" s="34">
        <f t="shared" si="17"/>
        <v>114654282015.89809</v>
      </c>
      <c r="T108" s="40">
        <f t="shared" si="24"/>
        <v>9938626120.4409981</v>
      </c>
      <c r="U108" s="272">
        <f t="shared" si="9"/>
        <v>8.4492955886712982E-3</v>
      </c>
      <c r="V108" s="282">
        <f t="shared" si="10"/>
        <v>113.77901667261547</v>
      </c>
      <c r="W108" s="283">
        <f>((S108+'Malawi-only'!S108)/(T108*(U108+'Malawi-only'!U108))/12)</f>
        <v>88.074936001189357</v>
      </c>
      <c r="X108" s="284">
        <f>(R108+'Malawi-only'!R108)</f>
        <v>15186906939.239241</v>
      </c>
      <c r="Y108" s="284">
        <f>(L108+'Malawi-only'!L108)</f>
        <v>2357939947260.9287</v>
      </c>
      <c r="Z108" s="284">
        <f>(Q108+'Malawi-only'!Q108)</f>
        <v>133029306102.73622</v>
      </c>
    </row>
    <row r="109" spans="1:26" ht="15.75" customHeight="1">
      <c r="A109" s="31" t="s">
        <v>142</v>
      </c>
      <c r="B109" s="32">
        <v>2125</v>
      </c>
      <c r="C109" s="274">
        <f t="shared" si="11"/>
        <v>8.3934991308237245E-6</v>
      </c>
      <c r="D109" s="271">
        <f t="shared" si="19"/>
        <v>8.3934991308237245E-6</v>
      </c>
      <c r="E109" s="34">
        <f t="shared" si="1"/>
        <v>0</v>
      </c>
      <c r="F109" s="42">
        <v>4000</v>
      </c>
      <c r="G109" s="34">
        <f t="shared" si="2"/>
        <v>33573996.523294896</v>
      </c>
      <c r="H109" s="34">
        <f t="shared" si="3"/>
        <v>33406126.540678423</v>
      </c>
      <c r="I109" s="35">
        <f t="shared" si="21"/>
        <v>1</v>
      </c>
      <c r="J109" s="36">
        <f t="shared" si="4"/>
        <v>33406126.540678423</v>
      </c>
      <c r="K109" s="34">
        <f t="shared" si="14"/>
        <v>1798310661619.6541</v>
      </c>
      <c r="L109" s="37">
        <f t="shared" si="22"/>
        <v>2284418213426.7485</v>
      </c>
      <c r="M109" s="34">
        <f t="shared" si="5"/>
        <v>143918347445.88516</v>
      </c>
      <c r="N109" s="34">
        <f t="shared" si="6"/>
        <v>0</v>
      </c>
      <c r="O109" s="34">
        <f t="shared" si="7"/>
        <v>143918347445.88516</v>
      </c>
      <c r="P109" s="34">
        <f t="shared" si="25"/>
        <v>14391834744.588516</v>
      </c>
      <c r="Q109" s="38">
        <f t="shared" si="8"/>
        <v>128878880137.79016</v>
      </c>
      <c r="R109" s="39">
        <f t="shared" si="16"/>
        <v>12813422156.112398</v>
      </c>
      <c r="S109" s="34">
        <f t="shared" si="17"/>
        <v>115320799405.01158</v>
      </c>
      <c r="T109" s="40">
        <f t="shared" si="24"/>
        <v>9928687494.3205585</v>
      </c>
      <c r="U109" s="272">
        <f t="shared" si="9"/>
        <v>8.4492955886712982E-3</v>
      </c>
      <c r="V109" s="282">
        <f t="shared" si="10"/>
        <v>114.55500090053796</v>
      </c>
      <c r="W109" s="283">
        <f>((S109+'Malawi-only'!S109)/(T109*(U109+'Malawi-only'!U109))/12)</f>
        <v>88.675623334487852</v>
      </c>
      <c r="X109" s="284">
        <f>(R109+'Malawi-only'!R109)</f>
        <v>15275202630.884689</v>
      </c>
      <c r="Y109" s="284">
        <f>(L109+'Malawi-only'!L109)</f>
        <v>2371643582777.9478</v>
      </c>
      <c r="Z109" s="284">
        <f>(Q109+'Malawi-only'!Q109)</f>
        <v>133802441087.33475</v>
      </c>
    </row>
    <row r="110" spans="1:26" ht="15.75" customHeight="1">
      <c r="A110" s="31" t="s">
        <v>143</v>
      </c>
      <c r="B110" s="32">
        <v>2126</v>
      </c>
      <c r="C110" s="274">
        <f t="shared" si="11"/>
        <v>7.5541492177413524E-6</v>
      </c>
      <c r="D110" s="271">
        <f t="shared" si="19"/>
        <v>7.5541492177413524E-6</v>
      </c>
      <c r="E110" s="34">
        <f t="shared" si="1"/>
        <v>0</v>
      </c>
      <c r="F110" s="42">
        <v>4000</v>
      </c>
      <c r="G110" s="34">
        <f t="shared" si="2"/>
        <v>30216596.87096541</v>
      </c>
      <c r="H110" s="34">
        <f t="shared" si="3"/>
        <v>30065513.886610582</v>
      </c>
      <c r="I110" s="35">
        <f t="shared" si="21"/>
        <v>1</v>
      </c>
      <c r="J110" s="36">
        <f t="shared" si="4"/>
        <v>30065513.886610582</v>
      </c>
      <c r="K110" s="34">
        <f t="shared" si="14"/>
        <v>1798340727133.5408</v>
      </c>
      <c r="L110" s="37">
        <f t="shared" si="22"/>
        <v>2297690693628.3813</v>
      </c>
      <c r="M110" s="34">
        <f t="shared" si="5"/>
        <v>144754513698.58801</v>
      </c>
      <c r="N110" s="34">
        <f t="shared" si="6"/>
        <v>0</v>
      </c>
      <c r="O110" s="34">
        <f t="shared" si="7"/>
        <v>144754513698.58801</v>
      </c>
      <c r="P110" s="34">
        <f t="shared" si="25"/>
        <v>14475451369.858803</v>
      </c>
      <c r="Q110" s="38">
        <f t="shared" si="8"/>
        <v>129627667017.08557</v>
      </c>
      <c r="R110" s="39">
        <f t="shared" si="16"/>
        <v>12887888013.779016</v>
      </c>
      <c r="S110" s="34">
        <f t="shared" si="17"/>
        <v>115990992124.01114</v>
      </c>
      <c r="T110" s="40">
        <f t="shared" si="24"/>
        <v>9918758806.8262386</v>
      </c>
      <c r="U110" s="272">
        <f t="shared" si="9"/>
        <v>8.4492955886712982E-3</v>
      </c>
      <c r="V110" s="282">
        <f t="shared" si="10"/>
        <v>115.33607922161563</v>
      </c>
      <c r="W110" s="283">
        <f>((S110+'Malawi-only'!S110)/(T110*(U110+'Malawi-only'!U110))/12)</f>
        <v>89.280253921483009</v>
      </c>
      <c r="X110" s="284">
        <f>(R110+'Malawi-only'!R110)</f>
        <v>15363985102.430777</v>
      </c>
      <c r="Y110" s="284">
        <f>(L110+'Malawi-only'!L110)</f>
        <v>2385423186616.2593</v>
      </c>
      <c r="Z110" s="284">
        <f>(Q110+'Malawi-only'!Q110)</f>
        <v>134579861194.3891</v>
      </c>
    </row>
    <row r="111" spans="1:26" ht="15.75" customHeight="1">
      <c r="A111" s="31" t="s">
        <v>144</v>
      </c>
      <c r="B111" s="32">
        <v>2127</v>
      </c>
      <c r="C111" s="274">
        <f t="shared" si="11"/>
        <v>6.798734295967217E-6</v>
      </c>
      <c r="D111" s="271">
        <f t="shared" si="19"/>
        <v>6.798734295967217E-6</v>
      </c>
      <c r="E111" s="34">
        <f t="shared" si="1"/>
        <v>0</v>
      </c>
      <c r="F111" s="42">
        <v>4000</v>
      </c>
      <c r="G111" s="34">
        <f t="shared" si="2"/>
        <v>27194937.183868866</v>
      </c>
      <c r="H111" s="34">
        <f t="shared" si="3"/>
        <v>27058962.497949522</v>
      </c>
      <c r="I111" s="35">
        <f t="shared" si="21"/>
        <v>1</v>
      </c>
      <c r="J111" s="36">
        <f t="shared" si="4"/>
        <v>27058962.497949522</v>
      </c>
      <c r="K111" s="34">
        <f t="shared" si="14"/>
        <v>1798367786096.0388</v>
      </c>
      <c r="L111" s="37">
        <f t="shared" si="22"/>
        <v>2311037107358.7578</v>
      </c>
      <c r="M111" s="34">
        <f t="shared" si="5"/>
        <v>145595337763.60175</v>
      </c>
      <c r="N111" s="34">
        <f t="shared" si="6"/>
        <v>0</v>
      </c>
      <c r="O111" s="34">
        <f t="shared" si="7"/>
        <v>145595337763.60175</v>
      </c>
      <c r="P111" s="34">
        <f t="shared" si="25"/>
        <v>14559533776.360176</v>
      </c>
      <c r="Q111" s="38">
        <f t="shared" si="8"/>
        <v>130380624967.30537</v>
      </c>
      <c r="R111" s="39">
        <f t="shared" si="16"/>
        <v>12962766701.708557</v>
      </c>
      <c r="S111" s="34">
        <f t="shared" si="17"/>
        <v>116664900315.37701</v>
      </c>
      <c r="T111" s="40">
        <f t="shared" si="24"/>
        <v>9908840048.019413</v>
      </c>
      <c r="U111" s="272">
        <f t="shared" si="9"/>
        <v>8.4492955886712982E-3</v>
      </c>
      <c r="V111" s="282">
        <f t="shared" si="10"/>
        <v>116.12230467071304</v>
      </c>
      <c r="W111" s="283">
        <f>((S111+'Malawi-only'!S111)/(T111*(U111+'Malawi-only'!U111))/12)</f>
        <v>89.888868827377735</v>
      </c>
      <c r="X111" s="284">
        <f>(R111+'Malawi-only'!R111)</f>
        <v>15453259686.527992</v>
      </c>
      <c r="Y111" s="284">
        <f>(L111+'Malawi-only'!L111)</f>
        <v>2399279546295.5645</v>
      </c>
      <c r="Z111" s="284">
        <f>(Q111+'Malawi-only'!Q111)</f>
        <v>135361610936.94424</v>
      </c>
    </row>
    <row r="112" spans="1:26" ht="15.75" customHeight="1">
      <c r="A112" s="31" t="s">
        <v>145</v>
      </c>
      <c r="B112" s="32">
        <v>2128</v>
      </c>
      <c r="C112" s="274">
        <f t="shared" si="11"/>
        <v>6.1188608663704957E-6</v>
      </c>
      <c r="D112" s="271">
        <f t="shared" si="19"/>
        <v>6.1188608663704957E-6</v>
      </c>
      <c r="E112" s="34">
        <f t="shared" si="1"/>
        <v>0</v>
      </c>
      <c r="F112" s="42">
        <v>4000</v>
      </c>
      <c r="G112" s="34">
        <f t="shared" si="2"/>
        <v>24475443.465481982</v>
      </c>
      <c r="H112" s="34">
        <f t="shared" si="3"/>
        <v>24353066.248154573</v>
      </c>
      <c r="I112" s="35">
        <f t="shared" si="21"/>
        <v>1</v>
      </c>
      <c r="J112" s="36">
        <f t="shared" si="4"/>
        <v>24353066.248154573</v>
      </c>
      <c r="K112" s="34">
        <f t="shared" si="14"/>
        <v>1798392139162.2869</v>
      </c>
      <c r="L112" s="37">
        <f t="shared" si="22"/>
        <v>2324458183704.2656</v>
      </c>
      <c r="M112" s="34">
        <f t="shared" si="5"/>
        <v>146440865573.36874</v>
      </c>
      <c r="N112" s="34">
        <f t="shared" si="6"/>
        <v>0</v>
      </c>
      <c r="O112" s="34">
        <f t="shared" si="7"/>
        <v>146440865573.36874</v>
      </c>
      <c r="P112" s="34">
        <f t="shared" si="25"/>
        <v>14644086557.336876</v>
      </c>
      <c r="Q112" s="38">
        <f t="shared" si="8"/>
        <v>131137795120.95171</v>
      </c>
      <c r="R112" s="39">
        <f t="shared" si="16"/>
        <v>13038062496.730537</v>
      </c>
      <c r="S112" s="34">
        <f t="shared" si="17"/>
        <v>117342562470.57483</v>
      </c>
      <c r="T112" s="40">
        <f t="shared" si="24"/>
        <v>9898931207.9713955</v>
      </c>
      <c r="U112" s="272">
        <f t="shared" si="9"/>
        <v>8.4492955886712982E-3</v>
      </c>
      <c r="V112" s="282">
        <f t="shared" si="10"/>
        <v>116.91372882243871</v>
      </c>
      <c r="W112" s="283">
        <f>((S112+'Malawi-only'!S112)/(T112*(U112+'Malawi-only'!U112))/12)</f>
        <v>90.501507985958156</v>
      </c>
      <c r="X112" s="284">
        <f>(R112+'Malawi-only'!R112)</f>
        <v>15543031495.683289</v>
      </c>
      <c r="Y112" s="284">
        <f>(L112+'Malawi-only'!L112)</f>
        <v>2413213419187.4849</v>
      </c>
      <c r="Z112" s="284">
        <f>(Q112+'Malawi-only'!Q112)</f>
        <v>136147733118.85721</v>
      </c>
    </row>
    <row r="113" spans="1:26" ht="15.75" customHeight="1">
      <c r="A113" s="31" t="s">
        <v>146</v>
      </c>
      <c r="B113" s="32">
        <v>2129</v>
      </c>
      <c r="C113" s="274">
        <f t="shared" si="11"/>
        <v>5.5069747797334459E-6</v>
      </c>
      <c r="D113" s="271">
        <f t="shared" si="19"/>
        <v>5.5069747797334459E-6</v>
      </c>
      <c r="E113" s="34">
        <f t="shared" si="1"/>
        <v>0</v>
      </c>
      <c r="F113" s="42">
        <v>4000</v>
      </c>
      <c r="G113" s="34">
        <f t="shared" si="2"/>
        <v>22027899.118933782</v>
      </c>
      <c r="H113" s="34">
        <f t="shared" si="3"/>
        <v>21917759.623339113</v>
      </c>
      <c r="I113" s="35">
        <f t="shared" si="21"/>
        <v>1</v>
      </c>
      <c r="J113" s="36">
        <f t="shared" si="4"/>
        <v>21917759.623339113</v>
      </c>
      <c r="K113" s="34">
        <f t="shared" si="14"/>
        <v>1798414056921.9102</v>
      </c>
      <c r="L113" s="37">
        <f t="shared" si="22"/>
        <v>2337954625927.2158</v>
      </c>
      <c r="M113" s="34">
        <f t="shared" si="5"/>
        <v>147291141433.41461</v>
      </c>
      <c r="N113" s="34">
        <f t="shared" si="6"/>
        <v>0</v>
      </c>
      <c r="O113" s="34">
        <f t="shared" si="7"/>
        <v>147291141433.41461</v>
      </c>
      <c r="P113" s="34">
        <f t="shared" si="25"/>
        <v>14729114143.341461</v>
      </c>
      <c r="Q113" s="38">
        <f t="shared" si="8"/>
        <v>131899217153.62279</v>
      </c>
      <c r="R113" s="39">
        <f t="shared" si="16"/>
        <v>13113779512.095171</v>
      </c>
      <c r="S113" s="34">
        <f t="shared" si="17"/>
        <v>118024015608.85654</v>
      </c>
      <c r="T113" s="40">
        <f t="shared" si="24"/>
        <v>9889032276.7634258</v>
      </c>
      <c r="U113" s="272">
        <f t="shared" si="9"/>
        <v>8.4492955886712982E-3</v>
      </c>
      <c r="V113" s="282">
        <f t="shared" si="10"/>
        <v>117.71040196167866</v>
      </c>
      <c r="W113" s="283">
        <f>((S113+'Malawi-only'!S113)/(T113*(U113+'Malawi-only'!U113))/12)</f>
        <v>91.118210331706223</v>
      </c>
      <c r="X113" s="284">
        <f>(R113+'Malawi-only'!R113)</f>
        <v>15633305446.089739</v>
      </c>
      <c r="Y113" s="284">
        <f>(L113+'Malawi-only'!L113)</f>
        <v>2427225535812.1284</v>
      </c>
      <c r="Z113" s="284">
        <f>(Q113+'Malawi-only'!Q113)</f>
        <v>136938269021.61192</v>
      </c>
    </row>
    <row r="114" spans="1:26" ht="15.75" customHeight="1">
      <c r="A114" s="31" t="s">
        <v>147</v>
      </c>
      <c r="B114" s="32">
        <v>2130</v>
      </c>
      <c r="C114" s="274">
        <f t="shared" si="11"/>
        <v>4.9562773017601011E-6</v>
      </c>
      <c r="D114" s="271">
        <f t="shared" si="19"/>
        <v>4.9562773017601011E-6</v>
      </c>
      <c r="E114" s="34">
        <f t="shared" si="1"/>
        <v>0</v>
      </c>
      <c r="F114" s="42">
        <v>4000</v>
      </c>
      <c r="G114" s="34">
        <f t="shared" si="2"/>
        <v>19825109.207040407</v>
      </c>
      <c r="H114" s="34">
        <f t="shared" si="3"/>
        <v>19725983.661005206</v>
      </c>
      <c r="I114" s="35">
        <f t="shared" si="21"/>
        <v>1</v>
      </c>
      <c r="J114" s="36">
        <f t="shared" si="4"/>
        <v>19725983.661005206</v>
      </c>
      <c r="K114" s="34">
        <f t="shared" si="14"/>
        <v>1798433782905.571</v>
      </c>
      <c r="L114" s="37">
        <f t="shared" si="22"/>
        <v>2351527114321.1914</v>
      </c>
      <c r="M114" s="34">
        <f t="shared" si="5"/>
        <v>148146208202.23505</v>
      </c>
      <c r="N114" s="34">
        <f t="shared" si="6"/>
        <v>0</v>
      </c>
      <c r="O114" s="34">
        <f t="shared" si="7"/>
        <v>148146208202.23505</v>
      </c>
      <c r="P114" s="34">
        <f t="shared" si="25"/>
        <v>14814620820.223505</v>
      </c>
      <c r="Q114" s="38">
        <f t="shared" si="8"/>
        <v>132664929445.10147</v>
      </c>
      <c r="R114" s="39">
        <f t="shared" si="16"/>
        <v>13189921715.36228</v>
      </c>
      <c r="S114" s="34">
        <f t="shared" si="17"/>
        <v>118709295438.26051</v>
      </c>
      <c r="T114" s="40">
        <f t="shared" si="24"/>
        <v>9879143244.4866638</v>
      </c>
      <c r="U114" s="272">
        <f t="shared" si="9"/>
        <v>8.4492955886712982E-3</v>
      </c>
      <c r="V114" s="282">
        <f t="shared" si="10"/>
        <v>118.51237323740503</v>
      </c>
      <c r="W114" s="283">
        <f>((S114+'Malawi-only'!S114)/(T114*(U114+'Malawi-only'!U114))/12)</f>
        <v>91.739013918955791</v>
      </c>
      <c r="X114" s="284">
        <f>(R114+'Malawi-only'!R114)</f>
        <v>15724086279.083755</v>
      </c>
      <c r="Y114" s="284">
        <f>(L114+'Malawi-only'!L114)</f>
        <v>2441316602806.625</v>
      </c>
      <c r="Z114" s="284">
        <f>(Q114+'Malawi-only'!Q114)</f>
        <v>137733258572.54443</v>
      </c>
    </row>
    <row r="115" spans="1:26" ht="15.75" customHeight="1">
      <c r="A115" s="31" t="s">
        <v>148</v>
      </c>
      <c r="B115" s="32">
        <v>2131</v>
      </c>
      <c r="C115" s="274">
        <f t="shared" si="11"/>
        <v>4.4606495715840915E-6</v>
      </c>
      <c r="D115" s="271">
        <f t="shared" si="19"/>
        <v>4.4606495715840915E-6</v>
      </c>
      <c r="E115" s="34">
        <f t="shared" si="1"/>
        <v>0</v>
      </c>
      <c r="F115" s="42">
        <v>4000</v>
      </c>
      <c r="G115" s="34">
        <f t="shared" si="2"/>
        <v>17842598.286336366</v>
      </c>
      <c r="H115" s="34">
        <f t="shared" si="3"/>
        <v>17753385.294904683</v>
      </c>
      <c r="I115" s="35">
        <f t="shared" si="21"/>
        <v>1</v>
      </c>
      <c r="J115" s="36">
        <f t="shared" si="4"/>
        <v>17753385.294904683</v>
      </c>
      <c r="K115" s="34">
        <f t="shared" si="14"/>
        <v>1798451536290.866</v>
      </c>
      <c r="L115" s="37">
        <f t="shared" si="22"/>
        <v>2365176308782.4468</v>
      </c>
      <c r="M115" s="34">
        <f t="shared" si="5"/>
        <v>149006107453.29416</v>
      </c>
      <c r="N115" s="34">
        <f t="shared" si="6"/>
        <v>0</v>
      </c>
      <c r="O115" s="34">
        <f t="shared" si="7"/>
        <v>149006107453.29416</v>
      </c>
      <c r="P115" s="34">
        <f t="shared" si="25"/>
        <v>14900610745.329416</v>
      </c>
      <c r="Q115" s="38">
        <f t="shared" si="8"/>
        <v>133434969224.42491</v>
      </c>
      <c r="R115" s="39">
        <f t="shared" si="16"/>
        <v>13266492944.510147</v>
      </c>
      <c r="S115" s="34">
        <f t="shared" si="17"/>
        <v>119398436500.59132</v>
      </c>
      <c r="T115" s="40">
        <f t="shared" si="24"/>
        <v>9869264101.242178</v>
      </c>
      <c r="U115" s="272">
        <f t="shared" si="9"/>
        <v>8.4492955886712982E-3</v>
      </c>
      <c r="V115" s="282">
        <f t="shared" si="10"/>
        <v>119.31969080141971</v>
      </c>
      <c r="W115" s="283">
        <f>((S115+'Malawi-only'!S115)/(T115*(U115+'Malawi-only'!U115))/12)</f>
        <v>92.363956029377562</v>
      </c>
      <c r="X115" s="284">
        <f>(R115+'Malawi-only'!R115)</f>
        <v>15815378580.467119</v>
      </c>
      <c r="Y115" s="284">
        <f>(L115+'Malawi-only'!L115)</f>
        <v>2455487305598.4604</v>
      </c>
      <c r="Z115" s="284">
        <f>(Q115+'Malawi-only'!Q115)</f>
        <v>138532740496.33887</v>
      </c>
    </row>
    <row r="116" spans="1:26" ht="15.75" customHeight="1">
      <c r="A116" s="31" t="s">
        <v>149</v>
      </c>
      <c r="B116" s="32">
        <v>2132</v>
      </c>
      <c r="C116" s="274">
        <f t="shared" si="11"/>
        <v>4.0145846144256823E-6</v>
      </c>
      <c r="D116" s="271">
        <f t="shared" si="19"/>
        <v>4.0145846144256823E-6</v>
      </c>
      <c r="E116" s="34">
        <f t="shared" si="1"/>
        <v>0</v>
      </c>
      <c r="F116" s="42">
        <v>4000</v>
      </c>
      <c r="G116" s="34">
        <f t="shared" si="2"/>
        <v>16058338.457702728</v>
      </c>
      <c r="H116" s="34">
        <f t="shared" si="3"/>
        <v>15978046.765414214</v>
      </c>
      <c r="I116" s="35">
        <f t="shared" si="21"/>
        <v>1</v>
      </c>
      <c r="J116" s="36">
        <f t="shared" si="4"/>
        <v>15978046.765414214</v>
      </c>
      <c r="K116" s="34">
        <f t="shared" si="14"/>
        <v>1798467514337.6313</v>
      </c>
      <c r="L116" s="37">
        <f t="shared" si="22"/>
        <v>2378902851125.7549</v>
      </c>
      <c r="M116" s="34">
        <f t="shared" si="5"/>
        <v>149870879620.92255</v>
      </c>
      <c r="N116" s="34">
        <f t="shared" si="6"/>
        <v>0</v>
      </c>
      <c r="O116" s="34">
        <f t="shared" si="7"/>
        <v>149870879620.92255</v>
      </c>
      <c r="P116" s="34">
        <f t="shared" si="25"/>
        <v>14987087962.092255</v>
      </c>
      <c r="Q116" s="38">
        <f t="shared" si="8"/>
        <v>134209372700.53613</v>
      </c>
      <c r="R116" s="39">
        <f t="shared" si="16"/>
        <v>13343496922.442492</v>
      </c>
      <c r="S116" s="34">
        <f t="shared" si="17"/>
        <v>120091472301.98242</v>
      </c>
      <c r="T116" s="40">
        <f t="shared" si="24"/>
        <v>9859394837.1409378</v>
      </c>
      <c r="U116" s="272">
        <f t="shared" si="9"/>
        <v>8.4492955886712982E-3</v>
      </c>
      <c r="V116" s="282">
        <f t="shared" si="10"/>
        <v>120.13240193352688</v>
      </c>
      <c r="W116" s="283">
        <f>((S116+'Malawi-only'!S116)/(T116*(U116+'Malawi-only'!U116))/12)</f>
        <v>92.99307326895034</v>
      </c>
      <c r="X116" s="284">
        <f>(R116+'Malawi-only'!R116)</f>
        <v>15907186797.907551</v>
      </c>
      <c r="Y116" s="284">
        <f>(L116+'Malawi-only'!L116)</f>
        <v>2469738310813.1226</v>
      </c>
      <c r="Z116" s="284">
        <f>(Q116+'Malawi-only'!Q116)</f>
        <v>139336752451.46625</v>
      </c>
    </row>
    <row r="117" spans="1:26" ht="15.75" customHeight="1">
      <c r="A117" s="31" t="s">
        <v>150</v>
      </c>
      <c r="B117" s="32">
        <v>2133</v>
      </c>
      <c r="C117" s="274">
        <f t="shared" si="11"/>
        <v>3.6131261529831141E-6</v>
      </c>
      <c r="D117" s="271">
        <f t="shared" si="19"/>
        <v>3.6131261529831141E-6</v>
      </c>
      <c r="E117" s="34">
        <f t="shared" si="1"/>
        <v>0</v>
      </c>
      <c r="F117" s="42">
        <v>4000</v>
      </c>
      <c r="G117" s="34">
        <f t="shared" si="2"/>
        <v>14452504.611932456</v>
      </c>
      <c r="H117" s="34">
        <f t="shared" si="3"/>
        <v>14380242.088872794</v>
      </c>
      <c r="I117" s="35">
        <f t="shared" si="21"/>
        <v>1</v>
      </c>
      <c r="J117" s="36">
        <f t="shared" si="4"/>
        <v>14380242.088872794</v>
      </c>
      <c r="K117" s="34">
        <f t="shared" si="14"/>
        <v>1798481894579.7202</v>
      </c>
      <c r="L117" s="37">
        <f t="shared" si="22"/>
        <v>2392707367170.271</v>
      </c>
      <c r="M117" s="34">
        <f t="shared" si="5"/>
        <v>150740564131.72708</v>
      </c>
      <c r="N117" s="34">
        <f t="shared" si="6"/>
        <v>0</v>
      </c>
      <c r="O117" s="34">
        <f t="shared" si="7"/>
        <v>150740564131.72708</v>
      </c>
      <c r="P117" s="34">
        <f t="shared" si="25"/>
        <v>15074056413.172709</v>
      </c>
      <c r="Q117" s="38">
        <f t="shared" si="8"/>
        <v>134988175179.96159</v>
      </c>
      <c r="R117" s="39">
        <f t="shared" si="16"/>
        <v>13420937270.053614</v>
      </c>
      <c r="S117" s="34">
        <f t="shared" si="17"/>
        <v>120788435430.48251</v>
      </c>
      <c r="T117" s="40">
        <f t="shared" si="24"/>
        <v>9849535442.3037987</v>
      </c>
      <c r="U117" s="272">
        <f t="shared" si="9"/>
        <v>8.4492955886712982E-3</v>
      </c>
      <c r="V117" s="282">
        <f t="shared" si="10"/>
        <v>120.95055315447961</v>
      </c>
      <c r="W117" s="283">
        <f>((S117+'Malawi-only'!S117)/(T117*(U117+'Malawi-only'!U117))/12)</f>
        <v>93.626401655460953</v>
      </c>
      <c r="X117" s="284">
        <f>(R117+'Malawi-only'!R117)</f>
        <v>15999515256.609808</v>
      </c>
      <c r="Y117" s="284">
        <f>(L117+'Malawi-only'!L117)</f>
        <v>2484070268442.647</v>
      </c>
      <c r="Z117" s="284">
        <f>(Q117+'Malawi-only'!Q117)</f>
        <v>140145331153.07397</v>
      </c>
    </row>
    <row r="118" spans="1:26" ht="15.75" customHeight="1">
      <c r="A118" s="31" t="s">
        <v>151</v>
      </c>
      <c r="B118" s="32">
        <v>2134</v>
      </c>
      <c r="C118" s="274">
        <f t="shared" si="11"/>
        <v>3.2518135376848027E-6</v>
      </c>
      <c r="D118" s="271">
        <f t="shared" si="19"/>
        <v>3.2518135376848027E-6</v>
      </c>
      <c r="E118" s="34">
        <f t="shared" si="1"/>
        <v>0</v>
      </c>
      <c r="F118" s="42">
        <v>4000</v>
      </c>
      <c r="G118" s="34">
        <f t="shared" si="2"/>
        <v>13007254.15073921</v>
      </c>
      <c r="H118" s="34">
        <f t="shared" si="3"/>
        <v>12942217.879985513</v>
      </c>
      <c r="I118" s="35">
        <f t="shared" si="21"/>
        <v>1</v>
      </c>
      <c r="J118" s="36">
        <f t="shared" si="4"/>
        <v>12942217.879985513</v>
      </c>
      <c r="K118" s="34">
        <f t="shared" si="14"/>
        <v>1798494836797.6001</v>
      </c>
      <c r="L118" s="37">
        <f t="shared" si="22"/>
        <v>2406590468618.4233</v>
      </c>
      <c r="M118" s="34">
        <f t="shared" si="5"/>
        <v>151615199522.96066</v>
      </c>
      <c r="N118" s="34">
        <f t="shared" si="6"/>
        <v>0</v>
      </c>
      <c r="O118" s="34">
        <f t="shared" si="7"/>
        <v>151615199522.96066</v>
      </c>
      <c r="P118" s="34">
        <f t="shared" si="25"/>
        <v>15161519952.296066</v>
      </c>
      <c r="Q118" s="38">
        <f t="shared" si="8"/>
        <v>135771411172.81128</v>
      </c>
      <c r="R118" s="39">
        <f t="shared" si="16"/>
        <v>13498817517.996161</v>
      </c>
      <c r="S118" s="34">
        <f t="shared" si="17"/>
        <v>121489357661.96544</v>
      </c>
      <c r="T118" s="40">
        <f t="shared" si="24"/>
        <v>9839685906.861496</v>
      </c>
      <c r="U118" s="272">
        <f t="shared" si="9"/>
        <v>8.4492955886712982E-3</v>
      </c>
      <c r="V118" s="282">
        <f t="shared" si="10"/>
        <v>121.77419032791506</v>
      </c>
      <c r="W118" s="283">
        <f>((S118+'Malawi-only'!S118)/(T118*(U118+'Malawi-only'!U118))/12)</f>
        <v>94.263976697473126</v>
      </c>
      <c r="X118" s="284">
        <f>(R118+'Malawi-only'!R118)</f>
        <v>16092368173.430548</v>
      </c>
      <c r="Y118" s="284">
        <f>(L118+'Malawi-only'!L118)</f>
        <v>2498483813798.9829</v>
      </c>
      <c r="Z118" s="284">
        <f>(Q118+'Malawi-only'!Q118)</f>
        <v>140958512483.68005</v>
      </c>
    </row>
    <row r="119" spans="1:26" ht="15.75" customHeight="1">
      <c r="A119" s="31" t="s">
        <v>152</v>
      </c>
      <c r="B119" s="32">
        <v>2135</v>
      </c>
      <c r="C119" s="274">
        <f t="shared" si="11"/>
        <v>2.9266321839163224E-6</v>
      </c>
      <c r="D119" s="271">
        <f t="shared" si="19"/>
        <v>2.9266321839163224E-6</v>
      </c>
      <c r="E119" s="34">
        <f t="shared" si="1"/>
        <v>0</v>
      </c>
      <c r="F119" s="42">
        <v>4000</v>
      </c>
      <c r="G119" s="34">
        <f t="shared" si="2"/>
        <v>11706528.73566529</v>
      </c>
      <c r="H119" s="34">
        <f t="shared" si="3"/>
        <v>11647996.091986964</v>
      </c>
      <c r="I119" s="35">
        <f t="shared" si="21"/>
        <v>1</v>
      </c>
      <c r="J119" s="36">
        <f t="shared" si="4"/>
        <v>11647996.091986964</v>
      </c>
      <c r="K119" s="34">
        <f t="shared" si="14"/>
        <v>1798506484793.6921</v>
      </c>
      <c r="L119" s="37">
        <f t="shared" si="22"/>
        <v>2420552754748.5278</v>
      </c>
      <c r="M119" s="34">
        <f t="shared" si="5"/>
        <v>152494823549.15726</v>
      </c>
      <c r="N119" s="34">
        <f t="shared" si="6"/>
        <v>0</v>
      </c>
      <c r="O119" s="34">
        <f t="shared" si="7"/>
        <v>152494823549.15726</v>
      </c>
      <c r="P119" s="34">
        <f t="shared" si="25"/>
        <v>15249482354.915726</v>
      </c>
      <c r="Q119" s="38">
        <f t="shared" si="8"/>
        <v>136559114488.27032</v>
      </c>
      <c r="R119" s="39">
        <f t="shared" si="16"/>
        <v>13577141117.281128</v>
      </c>
      <c r="S119" s="34">
        <f t="shared" si="17"/>
        <v>122194270055.53015</v>
      </c>
      <c r="T119" s="40">
        <f t="shared" si="24"/>
        <v>9829846220.9546356</v>
      </c>
      <c r="U119" s="272">
        <f t="shared" si="9"/>
        <v>8.4492955886712982E-3</v>
      </c>
      <c r="V119" s="282">
        <f t="shared" si="10"/>
        <v>122.60335875236889</v>
      </c>
      <c r="W119" s="283">
        <f>((S119+'Malawi-only'!S119)/(T119*(U119+'Malawi-only'!U119))/12)</f>
        <v>94.905833465611082</v>
      </c>
      <c r="X119" s="284">
        <f>(R119+'Malawi-only'!R119)</f>
        <v>16185749669.592482</v>
      </c>
      <c r="Y119" s="284">
        <f>(L119+'Malawi-only'!L119)</f>
        <v>2512979569273.6948</v>
      </c>
      <c r="Z119" s="284">
        <f>(Q119+'Malawi-only'!Q119)</f>
        <v>141776331592.89304</v>
      </c>
    </row>
    <row r="120" spans="1:26" ht="15.75" customHeight="1">
      <c r="A120" s="31" t="s">
        <v>153</v>
      </c>
      <c r="B120" s="32">
        <v>2136</v>
      </c>
      <c r="C120" s="274">
        <f t="shared" si="11"/>
        <v>2.6339689655246904E-6</v>
      </c>
      <c r="D120" s="271">
        <f t="shared" si="19"/>
        <v>2.6339689655246904E-6</v>
      </c>
      <c r="E120" s="34">
        <f t="shared" si="1"/>
        <v>0</v>
      </c>
      <c r="F120" s="42">
        <v>4000</v>
      </c>
      <c r="G120" s="34">
        <f t="shared" si="2"/>
        <v>10535875.862098763</v>
      </c>
      <c r="H120" s="34">
        <f t="shared" si="3"/>
        <v>10483196.482788268</v>
      </c>
      <c r="I120" s="35">
        <f t="shared" si="21"/>
        <v>1</v>
      </c>
      <c r="J120" s="36">
        <f t="shared" si="4"/>
        <v>10483196.482788268</v>
      </c>
      <c r="K120" s="34">
        <f t="shared" si="14"/>
        <v>1798516967990.175</v>
      </c>
      <c r="L120" s="37">
        <f t="shared" si="22"/>
        <v>2434594813939.7764</v>
      </c>
      <c r="M120" s="34">
        <f t="shared" si="5"/>
        <v>153379473278.2059</v>
      </c>
      <c r="N120" s="34">
        <f t="shared" si="6"/>
        <v>0</v>
      </c>
      <c r="O120" s="34">
        <f t="shared" si="7"/>
        <v>153379473278.2059</v>
      </c>
      <c r="P120" s="34">
        <f t="shared" si="25"/>
        <v>15337947327.820591</v>
      </c>
      <c r="Q120" s="38">
        <f t="shared" si="8"/>
        <v>137351318320.63339</v>
      </c>
      <c r="R120" s="39">
        <f t="shared" si="16"/>
        <v>13655911448.827034</v>
      </c>
      <c r="S120" s="34">
        <f t="shared" si="17"/>
        <v>122903203039.4433</v>
      </c>
      <c r="T120" s="40">
        <f t="shared" si="24"/>
        <v>9820016374.7336826</v>
      </c>
      <c r="U120" s="272">
        <f t="shared" si="9"/>
        <v>8.4492955886712982E-3</v>
      </c>
      <c r="V120" s="282">
        <f t="shared" si="10"/>
        <v>123.43810324435464</v>
      </c>
      <c r="W120" s="283">
        <f>((S120+'Malawi-only'!S120)/(T120*(U120+'Malawi-only'!U120))/12)</f>
        <v>95.55200665692081</v>
      </c>
      <c r="X120" s="284">
        <f>(R120+'Malawi-only'!R120)</f>
        <v>16279663782.138031</v>
      </c>
      <c r="Y120" s="284">
        <f>(L120+'Malawi-only'!L120)</f>
        <v>2527558145923.3965</v>
      </c>
      <c r="Z120" s="284">
        <f>(Q120+'Malawi-only'!Q120)</f>
        <v>142598822987.25537</v>
      </c>
    </row>
    <row r="121" spans="1:26" ht="15.75" customHeight="1">
      <c r="A121" s="31" t="s">
        <v>154</v>
      </c>
      <c r="B121" s="32">
        <v>2137</v>
      </c>
      <c r="C121" s="274">
        <f t="shared" si="11"/>
        <v>2.3705720689722216E-6</v>
      </c>
      <c r="D121" s="271">
        <f t="shared" si="19"/>
        <v>2.3705720689722216E-6</v>
      </c>
      <c r="E121" s="34">
        <f t="shared" si="1"/>
        <v>0</v>
      </c>
      <c r="F121" s="42">
        <v>4000</v>
      </c>
      <c r="G121" s="34">
        <f t="shared" si="2"/>
        <v>9482288.2758888863</v>
      </c>
      <c r="H121" s="34">
        <f t="shared" si="3"/>
        <v>9434876.8345094416</v>
      </c>
      <c r="I121" s="35">
        <f t="shared" si="21"/>
        <v>1</v>
      </c>
      <c r="J121" s="36">
        <f t="shared" si="4"/>
        <v>9434876.8345094416</v>
      </c>
      <c r="K121" s="34">
        <f t="shared" si="14"/>
        <v>1798526402867.0095</v>
      </c>
      <c r="L121" s="37">
        <f t="shared" si="22"/>
        <v>2448717225046.3594</v>
      </c>
      <c r="M121" s="34">
        <f t="shared" si="5"/>
        <v>154269185177.92065</v>
      </c>
      <c r="N121" s="34">
        <f t="shared" si="6"/>
        <v>0</v>
      </c>
      <c r="O121" s="34">
        <f t="shared" si="7"/>
        <v>154269185177.92065</v>
      </c>
      <c r="P121" s="34">
        <f t="shared" si="25"/>
        <v>15426918517.792067</v>
      </c>
      <c r="Q121" s="38">
        <f t="shared" si="8"/>
        <v>138148055326.82797</v>
      </c>
      <c r="R121" s="39">
        <f t="shared" si="16"/>
        <v>13735131832.063339</v>
      </c>
      <c r="S121" s="34">
        <f t="shared" si="17"/>
        <v>123616186488.57005</v>
      </c>
      <c r="T121" s="40">
        <f t="shared" si="24"/>
        <v>9810196358.3589497</v>
      </c>
      <c r="U121" s="272">
        <f t="shared" si="9"/>
        <v>8.4492955886712982E-3</v>
      </c>
      <c r="V121" s="282">
        <f t="shared" si="10"/>
        <v>124.27846821339402</v>
      </c>
      <c r="W121" s="283">
        <f>((S121+'Malawi-only'!S121)/(T121*(U121+'Malawi-only'!U121))/12)</f>
        <v>96.202530652995677</v>
      </c>
      <c r="X121" s="284">
        <f>(R121+'Malawi-only'!R121)</f>
        <v>16374114474.248552</v>
      </c>
      <c r="Y121" s="284">
        <f>(L121+'Malawi-only'!L121)</f>
        <v>2542220144898.3325</v>
      </c>
      <c r="Z121" s="284">
        <f>(Q121+'Malawi-only'!Q121)</f>
        <v>143426020611.19839</v>
      </c>
    </row>
    <row r="122" spans="1:26" ht="15.75" customHeight="1">
      <c r="A122" s="31" t="s">
        <v>155</v>
      </c>
      <c r="B122" s="32">
        <v>2138</v>
      </c>
      <c r="C122" s="274">
        <f t="shared" si="11"/>
        <v>2.1335148620749996E-6</v>
      </c>
      <c r="D122" s="271">
        <f t="shared" si="19"/>
        <v>2.1335148620749996E-6</v>
      </c>
      <c r="E122" s="34">
        <f t="shared" si="1"/>
        <v>0</v>
      </c>
      <c r="F122" s="42">
        <v>4000</v>
      </c>
      <c r="G122" s="34">
        <f t="shared" si="2"/>
        <v>8534059.4482999984</v>
      </c>
      <c r="H122" s="34">
        <f t="shared" si="3"/>
        <v>8491389.1510584988</v>
      </c>
      <c r="I122" s="35">
        <f t="shared" si="21"/>
        <v>1</v>
      </c>
      <c r="J122" s="36">
        <f t="shared" si="4"/>
        <v>8491389.1510584988</v>
      </c>
      <c r="K122" s="34">
        <f t="shared" si="14"/>
        <v>1798534894256.1606</v>
      </c>
      <c r="L122" s="37">
        <f t="shared" si="22"/>
        <v>2462920558635.8257</v>
      </c>
      <c r="M122" s="34">
        <f t="shared" si="5"/>
        <v>155163995194.05701</v>
      </c>
      <c r="N122" s="34">
        <f t="shared" si="6"/>
        <v>0</v>
      </c>
      <c r="O122" s="34">
        <f t="shared" si="7"/>
        <v>155163995194.05701</v>
      </c>
      <c r="P122" s="34">
        <f t="shared" si="25"/>
        <v>15516399519.405701</v>
      </c>
      <c r="Q122" s="38">
        <f t="shared" si="8"/>
        <v>138949357696.27805</v>
      </c>
      <c r="R122" s="39">
        <f t="shared" si="16"/>
        <v>13814805532.682798</v>
      </c>
      <c r="S122" s="34">
        <f t="shared" si="17"/>
        <v>124333249794.14517</v>
      </c>
      <c r="T122" s="40">
        <f t="shared" si="24"/>
        <v>9800386162.0005913</v>
      </c>
      <c r="U122" s="272">
        <f t="shared" si="9"/>
        <v>8.4492955886712982E-3</v>
      </c>
      <c r="V122" s="282">
        <f t="shared" si="10"/>
        <v>125.12449772979748</v>
      </c>
      <c r="W122" s="283">
        <f>((S122+'Malawi-only'!S122)/(T122*(U122+'Malawi-only'!U122))/12)</f>
        <v>96.857439572485518</v>
      </c>
      <c r="X122" s="284">
        <f>(R122+'Malawi-only'!R122)</f>
        <v>16469105644.542711</v>
      </c>
      <c r="Y122" s="284">
        <f>(L122+'Malawi-only'!L122)</f>
        <v>2556966158729.8184</v>
      </c>
      <c r="Z122" s="284">
        <f>(Q122+'Malawi-only'!Q122)</f>
        <v>144257957919.99786</v>
      </c>
    </row>
    <row r="123" spans="1:26" ht="15.75" customHeight="1">
      <c r="A123" s="31" t="s">
        <v>156</v>
      </c>
      <c r="B123" s="32">
        <v>2139</v>
      </c>
      <c r="C123" s="274">
        <f t="shared" si="11"/>
        <v>1.9201633758674999E-6</v>
      </c>
      <c r="D123" s="271">
        <f t="shared" si="19"/>
        <v>1.9201633758674999E-6</v>
      </c>
      <c r="E123" s="34">
        <f t="shared" si="1"/>
        <v>0</v>
      </c>
      <c r="F123" s="42">
        <v>4000</v>
      </c>
      <c r="G123" s="34">
        <f t="shared" si="2"/>
        <v>7680653.5034699989</v>
      </c>
      <c r="H123" s="34">
        <f t="shared" si="3"/>
        <v>7642250.2359526493</v>
      </c>
      <c r="I123" s="35">
        <f t="shared" si="21"/>
        <v>1</v>
      </c>
      <c r="J123" s="36">
        <f t="shared" si="4"/>
        <v>7642250.2359526493</v>
      </c>
      <c r="K123" s="34">
        <f t="shared" si="14"/>
        <v>1798542536506.3965</v>
      </c>
      <c r="L123" s="37">
        <f t="shared" si="22"/>
        <v>2477205378105.2646</v>
      </c>
      <c r="M123" s="34">
        <f t="shared" si="5"/>
        <v>156063938820.63168</v>
      </c>
      <c r="N123" s="34">
        <f t="shared" si="6"/>
        <v>0</v>
      </c>
      <c r="O123" s="34">
        <f t="shared" si="7"/>
        <v>156063938820.63168</v>
      </c>
      <c r="P123" s="34">
        <f t="shared" si="25"/>
        <v>15606393882.063169</v>
      </c>
      <c r="Q123" s="38">
        <f t="shared" si="8"/>
        <v>139755257213.87567</v>
      </c>
      <c r="R123" s="39">
        <f t="shared" si="16"/>
        <v>13894935769.627806</v>
      </c>
      <c r="S123" s="34">
        <f t="shared" si="17"/>
        <v>125054421926.65024</v>
      </c>
      <c r="T123" s="40">
        <f t="shared" si="24"/>
        <v>9790585775.8385925</v>
      </c>
      <c r="U123" s="272">
        <f t="shared" si="9"/>
        <v>8.4492955886712982E-3</v>
      </c>
      <c r="V123" s="282">
        <f t="shared" si="10"/>
        <v>125.97623558591387</v>
      </c>
      <c r="W123" s="283">
        <f>((S123+'Malawi-only'!S123)/(T123*(U123+'Malawi-only'!U123))/12)</f>
        <v>97.516767318546542</v>
      </c>
      <c r="X123" s="284">
        <f>(R123+'Malawi-only'!R123)</f>
        <v>16564641135.456015</v>
      </c>
      <c r="Y123" s="284">
        <f>(L123+'Malawi-only'!L123)</f>
        <v>2571796772490.6548</v>
      </c>
      <c r="Z123" s="284">
        <f>(Q123+'Malawi-only'!Q123)</f>
        <v>145094667945.5321</v>
      </c>
    </row>
    <row r="124" spans="1:26" ht="15.75" customHeight="1">
      <c r="A124" s="31" t="s">
        <v>157</v>
      </c>
      <c r="B124" s="32">
        <v>2140</v>
      </c>
      <c r="C124" s="274">
        <f t="shared" si="11"/>
        <v>1.7281470382807499E-6</v>
      </c>
      <c r="D124" s="271">
        <f t="shared" si="19"/>
        <v>1.7281470382807499E-6</v>
      </c>
      <c r="E124" s="34">
        <f t="shared" si="1"/>
        <v>0</v>
      </c>
      <c r="F124" s="42">
        <v>4000</v>
      </c>
      <c r="G124" s="34">
        <f t="shared" si="2"/>
        <v>6912588.1531229997</v>
      </c>
      <c r="H124" s="34">
        <f t="shared" si="3"/>
        <v>6878025.2123573851</v>
      </c>
      <c r="I124" s="35">
        <f t="shared" si="21"/>
        <v>1</v>
      </c>
      <c r="J124" s="36">
        <f t="shared" si="4"/>
        <v>6878025.2123573851</v>
      </c>
      <c r="K124" s="34">
        <f t="shared" si="14"/>
        <v>1798549414531.6089</v>
      </c>
      <c r="L124" s="37">
        <f t="shared" si="22"/>
        <v>2491572240687.5337</v>
      </c>
      <c r="M124" s="34">
        <f t="shared" si="5"/>
        <v>156969051163.31464</v>
      </c>
      <c r="N124" s="34">
        <f t="shared" si="6"/>
        <v>0</v>
      </c>
      <c r="O124" s="34">
        <f t="shared" si="7"/>
        <v>156969051163.31464</v>
      </c>
      <c r="P124" s="34">
        <f t="shared" si="25"/>
        <v>15696905116.331465</v>
      </c>
      <c r="Q124" s="38">
        <f t="shared" si="8"/>
        <v>140565785316.74826</v>
      </c>
      <c r="R124" s="39">
        <f t="shared" si="16"/>
        <v>13975525721.387568</v>
      </c>
      <c r="S124" s="34">
        <f t="shared" si="17"/>
        <v>125779731492.4881</v>
      </c>
      <c r="T124" s="40">
        <f t="shared" si="24"/>
        <v>9780795190.0627556</v>
      </c>
      <c r="U124" s="272">
        <f t="shared" si="9"/>
        <v>8.4492955886712982E-3</v>
      </c>
      <c r="V124" s="282">
        <f t="shared" si="10"/>
        <v>126.83372535149958</v>
      </c>
      <c r="W124" s="283">
        <f>((S124+'Malawi-only'!S124)/(T124*(U124+'Malawi-only'!U124))/12)</f>
        <v>98.180547621734945</v>
      </c>
      <c r="X124" s="284">
        <f>(R124+'Malawi-only'!R124)</f>
        <v>16660724740.793671</v>
      </c>
      <c r="Y124" s="284">
        <f>(L124+'Malawi-only'!L124)</f>
        <v>2586712564841.2295</v>
      </c>
      <c r="Z124" s="284">
        <f>(Q124+'Malawi-only'!Q124)</f>
        <v>145936183355.56046</v>
      </c>
    </row>
    <row r="125" spans="1:26" ht="15.75" customHeight="1">
      <c r="A125" s="31" t="s">
        <v>158</v>
      </c>
      <c r="B125" s="32">
        <v>2141</v>
      </c>
      <c r="C125" s="274">
        <f t="shared" si="11"/>
        <v>1.5553323344526749E-6</v>
      </c>
      <c r="D125" s="271">
        <f t="shared" si="19"/>
        <v>1.5553323344526749E-6</v>
      </c>
      <c r="E125" s="34">
        <f t="shared" si="1"/>
        <v>0</v>
      </c>
      <c r="F125" s="42">
        <v>4000</v>
      </c>
      <c r="G125" s="34">
        <f t="shared" si="2"/>
        <v>6221329.3378106998</v>
      </c>
      <c r="H125" s="34">
        <f t="shared" si="3"/>
        <v>6190222.6911216462</v>
      </c>
      <c r="I125" s="35">
        <f t="shared" si="21"/>
        <v>1</v>
      </c>
      <c r="J125" s="36">
        <f t="shared" si="4"/>
        <v>6190222.6911216462</v>
      </c>
      <c r="K125" s="34">
        <f t="shared" si="14"/>
        <v>1798555604754.3</v>
      </c>
      <c r="L125" s="37">
        <f t="shared" si="22"/>
        <v>2506021698358.543</v>
      </c>
      <c r="M125" s="34">
        <f t="shared" si="5"/>
        <v>157879366996.5882</v>
      </c>
      <c r="N125" s="34">
        <f t="shared" si="6"/>
        <v>0</v>
      </c>
      <c r="O125" s="34">
        <f t="shared" si="7"/>
        <v>157879366996.5882</v>
      </c>
      <c r="P125" s="34">
        <f t="shared" si="25"/>
        <v>15787936699.658821</v>
      </c>
      <c r="Q125" s="38">
        <f t="shared" si="8"/>
        <v>141380973145.44473</v>
      </c>
      <c r="R125" s="39">
        <f t="shared" si="16"/>
        <v>14056578531.674828</v>
      </c>
      <c r="S125" s="34">
        <f t="shared" si="17"/>
        <v>126509206785.07343</v>
      </c>
      <c r="T125" s="40">
        <f t="shared" si="24"/>
        <v>9771014394.872694</v>
      </c>
      <c r="U125" s="272">
        <f t="shared" si="9"/>
        <v>8.4492955886712982E-3</v>
      </c>
      <c r="V125" s="282">
        <f t="shared" si="10"/>
        <v>127.69701042378846</v>
      </c>
      <c r="W125" s="283">
        <f>((S125+'Malawi-only'!S125)/(T125*(U125+'Malawi-only'!U125))/12)</f>
        <v>98.848814078795769</v>
      </c>
      <c r="X125" s="284">
        <f>(R125+'Malawi-only'!R125)</f>
        <v>16757360212.539246</v>
      </c>
      <c r="Y125" s="284">
        <f>(L125+'Malawi-only'!L125)</f>
        <v>2601714108972.7544</v>
      </c>
      <c r="Z125" s="284">
        <f>(Q125+'Malawi-only'!Q125)</f>
        <v>146782536507.17355</v>
      </c>
    </row>
    <row r="126" spans="1:26" ht="15.75" customHeight="1">
      <c r="A126" s="31" t="s">
        <v>159</v>
      </c>
      <c r="B126" s="32">
        <v>2142</v>
      </c>
      <c r="C126" s="274">
        <f t="shared" si="11"/>
        <v>1.3997991010074075E-6</v>
      </c>
      <c r="D126" s="271">
        <f t="shared" si="19"/>
        <v>1.3997991010074075E-6</v>
      </c>
      <c r="E126" s="34">
        <f t="shared" si="1"/>
        <v>0</v>
      </c>
      <c r="F126" s="42">
        <v>4000</v>
      </c>
      <c r="G126" s="34">
        <f t="shared" si="2"/>
        <v>5599196.4040296301</v>
      </c>
      <c r="H126" s="34">
        <f t="shared" si="3"/>
        <v>5571200.422009482</v>
      </c>
      <c r="I126" s="35">
        <f t="shared" si="21"/>
        <v>1</v>
      </c>
      <c r="J126" s="36">
        <f t="shared" si="4"/>
        <v>5571200.422009482</v>
      </c>
      <c r="K126" s="34">
        <f t="shared" si="14"/>
        <v>1798561175954.7222</v>
      </c>
      <c r="L126" s="37">
        <f t="shared" si="22"/>
        <v>2520554298655.4941</v>
      </c>
      <c r="M126" s="34">
        <f t="shared" si="5"/>
        <v>158794920815.29614</v>
      </c>
      <c r="N126" s="34">
        <f t="shared" si="6"/>
        <v>0</v>
      </c>
      <c r="O126" s="34">
        <f t="shared" si="7"/>
        <v>158794920815.29614</v>
      </c>
      <c r="P126" s="34">
        <f t="shared" si="25"/>
        <v>15879492081.529615</v>
      </c>
      <c r="Q126" s="38">
        <f t="shared" si="8"/>
        <v>142200851590.09772</v>
      </c>
      <c r="R126" s="39">
        <f t="shared" si="16"/>
        <v>14138097314.544474</v>
      </c>
      <c r="S126" s="34">
        <f t="shared" si="17"/>
        <v>127242875830.90025</v>
      </c>
      <c r="T126" s="40">
        <f t="shared" si="24"/>
        <v>9761243380.4778233</v>
      </c>
      <c r="U126" s="272">
        <f t="shared" si="9"/>
        <v>8.4492955886712982E-3</v>
      </c>
      <c r="V126" s="282">
        <f t="shared" si="10"/>
        <v>128.56613407279156</v>
      </c>
      <c r="W126" s="283">
        <f>((S126+'Malawi-only'!S126)/(T126*(U126+'Malawi-only'!U126))/12)</f>
        <v>99.521600187755766</v>
      </c>
      <c r="X126" s="284">
        <f>(R126+'Malawi-only'!R126)</f>
        <v>16854551266.993809</v>
      </c>
      <c r="Y126" s="284">
        <f>(L126+'Malawi-only'!L126)</f>
        <v>2616801973457.9238</v>
      </c>
      <c r="Z126" s="284">
        <f>(Q126+'Malawi-only'!Q126)</f>
        <v>147633759494.9964</v>
      </c>
    </row>
    <row r="127" spans="1:26" ht="15.75" customHeight="1">
      <c r="A127" s="31" t="s">
        <v>160</v>
      </c>
      <c r="B127" s="32">
        <v>2143</v>
      </c>
      <c r="C127" s="274">
        <f t="shared" si="11"/>
        <v>1.2598191909066668E-6</v>
      </c>
      <c r="D127" s="271">
        <f t="shared" si="19"/>
        <v>1.2598191909066668E-6</v>
      </c>
      <c r="E127" s="34">
        <f t="shared" si="1"/>
        <v>0</v>
      </c>
      <c r="F127" s="42">
        <v>4000</v>
      </c>
      <c r="G127" s="34">
        <f t="shared" si="2"/>
        <v>5039276.7636266667</v>
      </c>
      <c r="H127" s="34">
        <f t="shared" si="3"/>
        <v>5014080.379808533</v>
      </c>
      <c r="I127" s="35">
        <f t="shared" si="21"/>
        <v>1</v>
      </c>
      <c r="J127" s="36">
        <f t="shared" si="4"/>
        <v>5014080.379808533</v>
      </c>
      <c r="K127" s="34">
        <f t="shared" si="14"/>
        <v>1798566190035.1021</v>
      </c>
      <c r="L127" s="37">
        <f t="shared" si="22"/>
        <v>2535170585414.9951</v>
      </c>
      <c r="M127" s="34">
        <f t="shared" si="5"/>
        <v>159715746881.14468</v>
      </c>
      <c r="N127" s="34">
        <f t="shared" si="6"/>
        <v>0</v>
      </c>
      <c r="O127" s="34">
        <f t="shared" si="7"/>
        <v>159715746881.14468</v>
      </c>
      <c r="P127" s="34">
        <f t="shared" si="25"/>
        <v>15971574688.11447</v>
      </c>
      <c r="Q127" s="38">
        <f t="shared" si="8"/>
        <v>143025451332.06506</v>
      </c>
      <c r="R127" s="39">
        <f t="shared" si="16"/>
        <v>14220085159.009773</v>
      </c>
      <c r="S127" s="34">
        <f t="shared" si="17"/>
        <v>127980766431.08795</v>
      </c>
      <c r="T127" s="40">
        <f t="shared" si="24"/>
        <v>9751482137.0973473</v>
      </c>
      <c r="U127" s="272">
        <f t="shared" si="9"/>
        <v>8.4492955886712982E-3</v>
      </c>
      <c r="V127" s="282">
        <f t="shared" si="10"/>
        <v>129.44113948229909</v>
      </c>
      <c r="W127" s="283">
        <f>((S127+'Malawi-only'!S127)/(T127*(U127+'Malawi-only'!U127))/12)</f>
        <v>100.19893937968703</v>
      </c>
      <c r="X127" s="284">
        <f>(R127+'Malawi-only'!R127)</f>
        <v>16952301590.312523</v>
      </c>
      <c r="Y127" s="284">
        <f>(L127+'Malawi-only'!L127)</f>
        <v>2631976723018.2725</v>
      </c>
      <c r="Z127" s="284">
        <f>(Q127+'Malawi-only'!Q127)</f>
        <v>148489884194.67056</v>
      </c>
    </row>
    <row r="128" spans="1:26" ht="15.75" customHeight="1">
      <c r="A128" s="31" t="s">
        <v>161</v>
      </c>
      <c r="B128" s="32">
        <v>2144</v>
      </c>
      <c r="C128" s="274">
        <f t="shared" si="11"/>
        <v>1.133837271816E-6</v>
      </c>
      <c r="D128" s="271">
        <f t="shared" si="19"/>
        <v>1.133837271816E-6</v>
      </c>
      <c r="E128" s="34">
        <f t="shared" si="1"/>
        <v>0</v>
      </c>
      <c r="F128" s="42">
        <v>4000</v>
      </c>
      <c r="G128" s="34">
        <f t="shared" si="2"/>
        <v>4535349.0872640004</v>
      </c>
      <c r="H128" s="34">
        <f t="shared" si="3"/>
        <v>4512672.3418276804</v>
      </c>
      <c r="I128" s="35">
        <f t="shared" si="21"/>
        <v>1</v>
      </c>
      <c r="J128" s="36">
        <f t="shared" si="4"/>
        <v>4512672.3418276804</v>
      </c>
      <c r="K128" s="34">
        <f t="shared" si="14"/>
        <v>1798570702707.4438</v>
      </c>
      <c r="L128" s="37">
        <f t="shared" si="22"/>
        <v>2549871099439.0635</v>
      </c>
      <c r="M128" s="34">
        <f t="shared" si="5"/>
        <v>160641879264.66101</v>
      </c>
      <c r="N128" s="34">
        <f t="shared" si="6"/>
        <v>0</v>
      </c>
      <c r="O128" s="34">
        <f t="shared" si="7"/>
        <v>160641879264.66101</v>
      </c>
      <c r="P128" s="34">
        <f t="shared" si="25"/>
        <v>16064187926.466103</v>
      </c>
      <c r="Q128" s="38">
        <f t="shared" si="8"/>
        <v>143854802881.50394</v>
      </c>
      <c r="R128" s="39">
        <f t="shared" si="16"/>
        <v>14302545133.206507</v>
      </c>
      <c r="S128" s="34">
        <f t="shared" si="17"/>
        <v>128722906198.85855</v>
      </c>
      <c r="T128" s="40">
        <f t="shared" si="24"/>
        <v>9741730654.9602509</v>
      </c>
      <c r="U128" s="272">
        <f t="shared" si="9"/>
        <v>8.4492955886712982E-3</v>
      </c>
      <c r="V128" s="282">
        <f t="shared" si="10"/>
        <v>130.3220697870124</v>
      </c>
      <c r="W128" s="283">
        <f>((S128+'Malawi-only'!S128)/(T128*(U128+'Malawi-only'!U128))/12)</f>
        <v>100.88086504747237</v>
      </c>
      <c r="X128" s="284">
        <f>(R128+'Malawi-only'!R128)</f>
        <v>17050614843.498903</v>
      </c>
      <c r="Y128" s="284">
        <f>(L128+'Malawi-only'!L128)</f>
        <v>2647238919216.5645</v>
      </c>
      <c r="Z128" s="284">
        <f>(Q128+'Malawi-only'!Q128)</f>
        <v>149350942302.08875</v>
      </c>
    </row>
    <row r="129" spans="1:26" ht="15.75" customHeight="1">
      <c r="A129" s="31" t="s">
        <v>162</v>
      </c>
      <c r="B129" s="32">
        <v>2145</v>
      </c>
      <c r="C129" s="274">
        <f t="shared" si="11"/>
        <v>1.0204535446344E-6</v>
      </c>
      <c r="D129" s="271">
        <f t="shared" si="19"/>
        <v>1.0204535446344E-6</v>
      </c>
      <c r="E129" s="34">
        <f t="shared" si="1"/>
        <v>0</v>
      </c>
      <c r="F129" s="42">
        <v>4000</v>
      </c>
      <c r="G129" s="34">
        <f t="shared" si="2"/>
        <v>4081814.1785376002</v>
      </c>
      <c r="H129" s="34">
        <f t="shared" si="3"/>
        <v>4061405.1076449123</v>
      </c>
      <c r="I129" s="35">
        <f t="shared" si="21"/>
        <v>1</v>
      </c>
      <c r="J129" s="36">
        <f t="shared" si="4"/>
        <v>4061405.1076449123</v>
      </c>
      <c r="K129" s="34">
        <f t="shared" si="14"/>
        <v>1798574764112.5515</v>
      </c>
      <c r="L129" s="37">
        <f t="shared" si="22"/>
        <v>2564656379096.252</v>
      </c>
      <c r="M129" s="34">
        <f t="shared" si="5"/>
        <v>161573351883.06387</v>
      </c>
      <c r="N129" s="34">
        <f t="shared" si="6"/>
        <v>0</v>
      </c>
      <c r="O129" s="34">
        <f t="shared" si="7"/>
        <v>161573351883.06387</v>
      </c>
      <c r="P129" s="34">
        <f t="shared" si="25"/>
        <v>16157335188.306389</v>
      </c>
      <c r="Q129" s="38">
        <f t="shared" si="8"/>
        <v>144688936611.28369</v>
      </c>
      <c r="R129" s="39">
        <f t="shared" si="16"/>
        <v>14385480288.150394</v>
      </c>
      <c r="S129" s="34">
        <f t="shared" si="17"/>
        <v>129469322593.35355</v>
      </c>
      <c r="T129" s="40">
        <f t="shared" si="24"/>
        <v>9731988924.3052921</v>
      </c>
      <c r="U129" s="272">
        <f t="shared" si="9"/>
        <v>8.4492955886712982E-3</v>
      </c>
      <c r="V129" s="282">
        <f t="shared" si="10"/>
        <v>131.20896810619084</v>
      </c>
      <c r="W129" s="283">
        <f>((S129+'Malawi-only'!S129)/(T129*(U129+'Malawi-only'!U129))/12)</f>
        <v>101.5674105718707</v>
      </c>
      <c r="X129" s="284">
        <f>(R129+'Malawi-only'!R129)</f>
        <v>17149494666.911236</v>
      </c>
      <c r="Y129" s="284">
        <f>(L129+'Malawi-only'!L129)</f>
        <v>2662589121081.729</v>
      </c>
      <c r="Z129" s="284">
        <f>(Q129+'Malawi-only'!Q129)</f>
        <v>150216965368.80536</v>
      </c>
    </row>
    <row r="130" spans="1:26" ht="15.75" customHeight="1">
      <c r="A130" s="31" t="s">
        <v>163</v>
      </c>
      <c r="B130" s="32">
        <v>2146</v>
      </c>
      <c r="C130" s="274">
        <f t="shared" si="11"/>
        <v>9.1840819017095997E-7</v>
      </c>
      <c r="D130" s="271">
        <f t="shared" si="19"/>
        <v>9.1840819017095997E-7</v>
      </c>
      <c r="E130" s="34">
        <f t="shared" si="1"/>
        <v>0</v>
      </c>
      <c r="F130" s="42">
        <v>4000</v>
      </c>
      <c r="G130" s="34">
        <f t="shared" si="2"/>
        <v>3673632.7606838397</v>
      </c>
      <c r="H130" s="34">
        <f t="shared" si="3"/>
        <v>3655264.5968804206</v>
      </c>
      <c r="I130" s="35">
        <f t="shared" si="21"/>
        <v>1</v>
      </c>
      <c r="J130" s="36">
        <f t="shared" si="4"/>
        <v>3655264.5968804206</v>
      </c>
      <c r="K130" s="34">
        <f t="shared" si="14"/>
        <v>1798578419377.1484</v>
      </c>
      <c r="L130" s="37">
        <f t="shared" si="22"/>
        <v>2579526960864.3804</v>
      </c>
      <c r="M130" s="34">
        <f t="shared" si="5"/>
        <v>162510198534.45596</v>
      </c>
      <c r="N130" s="34">
        <f t="shared" si="6"/>
        <v>0</v>
      </c>
      <c r="O130" s="34">
        <f t="shared" si="7"/>
        <v>162510198534.45596</v>
      </c>
      <c r="P130" s="34">
        <f t="shared" si="25"/>
        <v>16251019853.445597</v>
      </c>
      <c r="Q130" s="38">
        <f t="shared" si="8"/>
        <v>145527882787.60532</v>
      </c>
      <c r="R130" s="39">
        <f t="shared" si="16"/>
        <v>14468893661.12837</v>
      </c>
      <c r="S130" s="34">
        <f t="shared" si="17"/>
        <v>130220042950.15532</v>
      </c>
      <c r="T130" s="40">
        <f t="shared" si="24"/>
        <v>9722256935.3809872</v>
      </c>
      <c r="U130" s="272">
        <f t="shared" si="9"/>
        <v>8.4492955886712982E-3</v>
      </c>
      <c r="V130" s="282">
        <f t="shared" si="10"/>
        <v>132.1018775741596</v>
      </c>
      <c r="W130" s="283">
        <f>((S130+'Malawi-only'!S130)/(T130*(U130+'Malawi-only'!U130))/12)</f>
        <v>102.25860934515093</v>
      </c>
      <c r="X130" s="284">
        <f>(R130+'Malawi-only'!R130)</f>
        <v>17248944684.3298</v>
      </c>
      <c r="Y130" s="284">
        <f>(L130+'Malawi-only'!L130)</f>
        <v>2678027885673.0898</v>
      </c>
      <c r="Z130" s="284">
        <f>(Q130+'Malawi-only'!Q130)</f>
        <v>151087984834.00818</v>
      </c>
    </row>
    <row r="131" spans="1:26" ht="15.75" customHeight="1">
      <c r="A131" s="31" t="s">
        <v>164</v>
      </c>
      <c r="B131" s="32">
        <v>2147</v>
      </c>
      <c r="C131" s="274">
        <f t="shared" si="11"/>
        <v>8.2656737115386403E-7</v>
      </c>
      <c r="D131" s="271">
        <f t="shared" si="19"/>
        <v>8.2656737115386403E-7</v>
      </c>
      <c r="E131" s="34">
        <f t="shared" si="1"/>
        <v>0</v>
      </c>
      <c r="F131" s="42">
        <v>4000</v>
      </c>
      <c r="G131" s="34">
        <f t="shared" si="2"/>
        <v>3306269.4846154558</v>
      </c>
      <c r="H131" s="34">
        <f t="shared" si="3"/>
        <v>3289738.1371923788</v>
      </c>
      <c r="I131" s="35">
        <f t="shared" si="21"/>
        <v>1</v>
      </c>
      <c r="J131" s="36">
        <f t="shared" si="4"/>
        <v>3289738.1371923788</v>
      </c>
      <c r="K131" s="34">
        <f t="shared" si="14"/>
        <v>1798581709115.2856</v>
      </c>
      <c r="L131" s="37">
        <f t="shared" si="22"/>
        <v>2594483379820.7354</v>
      </c>
      <c r="M131" s="34">
        <f t="shared" si="5"/>
        <v>163452452928.70633</v>
      </c>
      <c r="N131" s="34">
        <f t="shared" si="6"/>
        <v>0</v>
      </c>
      <c r="O131" s="34">
        <f t="shared" si="7"/>
        <v>163452452928.70633</v>
      </c>
      <c r="P131" s="34">
        <f t="shared" si="25"/>
        <v>16345245292.870634</v>
      </c>
      <c r="Q131" s="38">
        <f t="shared" si="8"/>
        <v>146371671597.65652</v>
      </c>
      <c r="R131" s="39">
        <f t="shared" si="16"/>
        <v>14552788278.760532</v>
      </c>
      <c r="S131" s="34">
        <f t="shared" si="17"/>
        <v>130975094508.84479</v>
      </c>
      <c r="T131" s="40">
        <f t="shared" si="24"/>
        <v>9712534678.4456081</v>
      </c>
      <c r="U131" s="272">
        <f t="shared" si="9"/>
        <v>8.4492955886712982E-3</v>
      </c>
      <c r="V131" s="282">
        <f t="shared" si="10"/>
        <v>133.00084136799219</v>
      </c>
      <c r="W131" s="283">
        <f>((S131+'Malawi-only'!S131)/(T131*(U131+'Malawi-only'!U131))/12)</f>
        <v>102.95449479253637</v>
      </c>
      <c r="X131" s="284">
        <f>(R131+'Malawi-only'!R131)</f>
        <v>17348968506.629051</v>
      </c>
      <c r="Y131" s="284">
        <f>(L131+'Malawi-only'!L131)</f>
        <v>2693555768589.9785</v>
      </c>
      <c r="Z131" s="284">
        <f>(Q131+'Malawi-only'!Q131)</f>
        <v>151964032053.39355</v>
      </c>
    </row>
    <row r="132" spans="1:26" ht="15.75" customHeight="1">
      <c r="A132" s="31" t="s">
        <v>165</v>
      </c>
      <c r="B132" s="32">
        <v>2148</v>
      </c>
      <c r="C132" s="274">
        <f t="shared" si="11"/>
        <v>7.4391063403847766E-7</v>
      </c>
      <c r="D132" s="271">
        <f t="shared" si="19"/>
        <v>7.4391063403847766E-7</v>
      </c>
      <c r="E132" s="34">
        <f t="shared" si="1"/>
        <v>0</v>
      </c>
      <c r="F132" s="42">
        <v>4000</v>
      </c>
      <c r="G132" s="34">
        <f t="shared" si="2"/>
        <v>2975642.5361539107</v>
      </c>
      <c r="H132" s="34">
        <f t="shared" si="3"/>
        <v>2960764.3234731411</v>
      </c>
      <c r="I132" s="35">
        <f t="shared" si="21"/>
        <v>1</v>
      </c>
      <c r="J132" s="36">
        <f t="shared" si="4"/>
        <v>2960764.3234731411</v>
      </c>
      <c r="K132" s="34">
        <f t="shared" si="14"/>
        <v>1798584669879.6091</v>
      </c>
      <c r="L132" s="37">
        <f t="shared" si="22"/>
        <v>2609526170084.9902</v>
      </c>
      <c r="M132" s="34">
        <f t="shared" si="5"/>
        <v>164400148715.3544</v>
      </c>
      <c r="N132" s="34">
        <f t="shared" si="6"/>
        <v>0</v>
      </c>
      <c r="O132" s="34">
        <f t="shared" si="7"/>
        <v>164400148715.3544</v>
      </c>
      <c r="P132" s="34">
        <f t="shared" si="25"/>
        <v>16440014871.53544</v>
      </c>
      <c r="Q132" s="38">
        <f t="shared" si="8"/>
        <v>147220333174.59988</v>
      </c>
      <c r="R132" s="39">
        <f t="shared" si="16"/>
        <v>14637167159.765654</v>
      </c>
      <c r="S132" s="34">
        <f t="shared" si="17"/>
        <v>131734504437.89087</v>
      </c>
      <c r="T132" s="40">
        <f t="shared" si="24"/>
        <v>9702822143.7671642</v>
      </c>
      <c r="U132" s="272">
        <f t="shared" si="9"/>
        <v>8.4492955886712982E-3</v>
      </c>
      <c r="V132" s="282">
        <f t="shared" si="10"/>
        <v>133.90590273264749</v>
      </c>
      <c r="W132" s="283">
        <f>((S132+'Malawi-only'!S132)/(T132*(U132+'Malawi-only'!U132))/12)</f>
        <v>103.65510039167782</v>
      </c>
      <c r="X132" s="284">
        <f>(R132+'Malawi-only'!R132)</f>
        <v>17449569735.094227</v>
      </c>
      <c r="Y132" s="284">
        <f>(L132+'Malawi-only'!L132)</f>
        <v>2709173324432.1924</v>
      </c>
      <c r="Z132" s="284">
        <f>(Q132+'Malawi-only'!Q132)</f>
        <v>152845138325.25702</v>
      </c>
    </row>
    <row r="133" spans="1:26" ht="15.75" customHeight="1">
      <c r="A133" s="31" t="s">
        <v>166</v>
      </c>
      <c r="B133" s="32">
        <v>2149</v>
      </c>
      <c r="C133" s="274">
        <f t="shared" si="11"/>
        <v>6.6951957063462986E-7</v>
      </c>
      <c r="D133" s="271">
        <f t="shared" si="19"/>
        <v>6.6951957063462986E-7</v>
      </c>
      <c r="E133" s="34">
        <f t="shared" si="1"/>
        <v>0</v>
      </c>
      <c r="F133" s="42">
        <v>4000</v>
      </c>
      <c r="G133" s="34">
        <f t="shared" si="2"/>
        <v>2678078.2825385192</v>
      </c>
      <c r="H133" s="34">
        <f t="shared" si="3"/>
        <v>2664687.8911258266</v>
      </c>
      <c r="I133" s="35">
        <f t="shared" si="21"/>
        <v>1</v>
      </c>
      <c r="J133" s="36">
        <f t="shared" si="4"/>
        <v>2664687.8911258266</v>
      </c>
      <c r="K133" s="34">
        <f t="shared" si="14"/>
        <v>1798587334567.5002</v>
      </c>
      <c r="L133" s="37">
        <f t="shared" si="22"/>
        <v>2624655865219.5947</v>
      </c>
      <c r="M133" s="34">
        <f t="shared" si="5"/>
        <v>165353319508.83447</v>
      </c>
      <c r="N133" s="34">
        <f t="shared" si="6"/>
        <v>0</v>
      </c>
      <c r="O133" s="34">
        <f t="shared" si="7"/>
        <v>165353319508.83447</v>
      </c>
      <c r="P133" s="34">
        <f t="shared" si="25"/>
        <v>16535331950.883448</v>
      </c>
      <c r="Q133" s="38">
        <f t="shared" si="8"/>
        <v>148073897620.16125</v>
      </c>
      <c r="R133" s="39">
        <f t="shared" si="16"/>
        <v>14722033317.45999</v>
      </c>
      <c r="S133" s="34">
        <f t="shared" si="17"/>
        <v>132498299857.13989</v>
      </c>
      <c r="T133" s="40">
        <f t="shared" si="24"/>
        <v>9693119321.6233978</v>
      </c>
      <c r="U133" s="272">
        <f t="shared" si="9"/>
        <v>8.4492955886712982E-3</v>
      </c>
      <c r="V133" s="282">
        <f t="shared" si="10"/>
        <v>134.81710500381575</v>
      </c>
      <c r="W133" s="283">
        <f>((S133+'Malawi-only'!S133)/(T133*(U133+'Malawi-only'!U133))/12)</f>
        <v>104.36045969035125</v>
      </c>
      <c r="X133" s="284">
        <f>(R133+'Malawi-only'!R133)</f>
        <v>17550751964.418034</v>
      </c>
      <c r="Y133" s="284">
        <f>(L133+'Malawi-only'!L133)</f>
        <v>2724881107216.2368</v>
      </c>
      <c r="Z133" s="284">
        <f>(Q133+'Malawi-only'!Q133)</f>
        <v>153731334914.07733</v>
      </c>
    </row>
    <row r="134" spans="1:26" ht="15.75" customHeight="1">
      <c r="A134" s="31" t="s">
        <v>167</v>
      </c>
      <c r="B134" s="32">
        <v>2150</v>
      </c>
      <c r="C134" s="274">
        <f t="shared" si="11"/>
        <v>6.0256761357116691E-7</v>
      </c>
      <c r="D134" s="271">
        <f t="shared" si="19"/>
        <v>6.0256761357116691E-7</v>
      </c>
      <c r="E134" s="34">
        <f t="shared" si="1"/>
        <v>0</v>
      </c>
      <c r="F134" s="42">
        <v>4000</v>
      </c>
      <c r="G134" s="34">
        <f t="shared" si="2"/>
        <v>2410270.4542846675</v>
      </c>
      <c r="H134" s="34">
        <f t="shared" si="3"/>
        <v>2398219.1020132443</v>
      </c>
      <c r="I134" s="35">
        <f t="shared" si="21"/>
        <v>1</v>
      </c>
      <c r="J134" s="36">
        <f t="shared" si="4"/>
        <v>2398219.1020132443</v>
      </c>
      <c r="K134" s="34">
        <f t="shared" si="14"/>
        <v>1798589732786.6023</v>
      </c>
      <c r="L134" s="37">
        <f t="shared" si="22"/>
        <v>2639872998591.8853</v>
      </c>
      <c r="M134" s="34">
        <f t="shared" si="5"/>
        <v>166311998911.28876</v>
      </c>
      <c r="N134" s="34">
        <f t="shared" si="6"/>
        <v>0</v>
      </c>
      <c r="O134" s="34">
        <f t="shared" si="7"/>
        <v>166311998911.28876</v>
      </c>
      <c r="P134" s="34">
        <f t="shared" si="25"/>
        <v>16631199891.128876</v>
      </c>
      <c r="Q134" s="38">
        <f t="shared" si="8"/>
        <v>148932395025.05908</v>
      </c>
      <c r="R134" s="39">
        <f t="shared" si="16"/>
        <v>14807389762.016127</v>
      </c>
      <c r="S134" s="34">
        <f t="shared" si="17"/>
        <v>133266507858.14513</v>
      </c>
      <c r="T134" s="40">
        <f t="shared" si="24"/>
        <v>9683426202.301775</v>
      </c>
      <c r="U134" s="272">
        <f t="shared" si="9"/>
        <v>8.4492955886712982E-3</v>
      </c>
      <c r="V134" s="282">
        <f t="shared" si="10"/>
        <v>135.7344916287017</v>
      </c>
      <c r="W134" s="283">
        <f>((S134+'Malawi-only'!S134)/(T134*(U134+'Malawi-only'!U134))/12)</f>
        <v>105.07060632255785</v>
      </c>
      <c r="X134" s="284">
        <f>(R134+'Malawi-only'!R134)</f>
        <v>17652518785.409504</v>
      </c>
      <c r="Y134" s="284">
        <f>(L134+'Malawi-only'!L134)</f>
        <v>2740679670751.771</v>
      </c>
      <c r="Z134" s="284">
        <f>(Q134+'Malawi-only'!Q134)</f>
        <v>154622653071.84583</v>
      </c>
    </row>
    <row r="135" spans="1:26" ht="15.75" customHeight="1">
      <c r="A135" s="31" t="s">
        <v>168</v>
      </c>
      <c r="B135" s="32">
        <v>2151</v>
      </c>
      <c r="C135" s="274">
        <f t="shared" si="11"/>
        <v>5.4231085221405027E-7</v>
      </c>
      <c r="D135" s="271">
        <f t="shared" si="19"/>
        <v>5.4231085221405027E-7</v>
      </c>
      <c r="E135" s="34">
        <f t="shared" si="1"/>
        <v>0</v>
      </c>
      <c r="F135" s="42">
        <v>4000</v>
      </c>
      <c r="G135" s="34">
        <f t="shared" si="2"/>
        <v>2169243.408856201</v>
      </c>
      <c r="H135" s="34">
        <f t="shared" si="3"/>
        <v>2158397.1918119201</v>
      </c>
      <c r="I135" s="35">
        <f t="shared" si="21"/>
        <v>1</v>
      </c>
      <c r="J135" s="36">
        <f t="shared" si="4"/>
        <v>2158397.1918119201</v>
      </c>
      <c r="K135" s="34">
        <f t="shared" si="14"/>
        <v>1798591891183.7942</v>
      </c>
      <c r="L135" s="37">
        <f t="shared" si="22"/>
        <v>2655178103701.7661</v>
      </c>
      <c r="M135" s="34">
        <f t="shared" si="5"/>
        <v>167276220533.21127</v>
      </c>
      <c r="N135" s="34">
        <f t="shared" si="6"/>
        <v>0</v>
      </c>
      <c r="O135" s="34">
        <f t="shared" si="7"/>
        <v>167276220533.21127</v>
      </c>
      <c r="P135" s="34">
        <f t="shared" si="25"/>
        <v>16727622053.321129</v>
      </c>
      <c r="Q135" s="38">
        <f t="shared" si="8"/>
        <v>149795855487.49069</v>
      </c>
      <c r="R135" s="39">
        <f t="shared" si="16"/>
        <v>14893239502.505909</v>
      </c>
      <c r="S135" s="34">
        <f t="shared" si="17"/>
        <v>134039155522.55318</v>
      </c>
      <c r="T135" s="40">
        <f t="shared" si="24"/>
        <v>9673742776.099474</v>
      </c>
      <c r="U135" s="272">
        <f t="shared" si="9"/>
        <v>8.4492955886712982E-3</v>
      </c>
      <c r="V135" s="282">
        <f t="shared" si="10"/>
        <v>136.65810618495109</v>
      </c>
      <c r="W135" s="283">
        <f>((S135+'Malawi-only'!S135)/(T135*(U135+'Malawi-only'!U135))/12)</f>
        <v>105.78557402318513</v>
      </c>
      <c r="X135" s="284">
        <f>(R135+'Malawi-only'!R135)</f>
        <v>17754873787.443848</v>
      </c>
      <c r="Y135" s="284">
        <f>(L135+'Malawi-only'!L135)</f>
        <v>2756569568982.2578</v>
      </c>
      <c r="Z135" s="284">
        <f>(Q135+'Malawi-only'!Q135)</f>
        <v>155519124057.36658</v>
      </c>
    </row>
    <row r="136" spans="1:26" ht="15.75" customHeight="1">
      <c r="A136" s="31" t="s">
        <v>169</v>
      </c>
      <c r="B136" s="32">
        <v>2152</v>
      </c>
      <c r="C136" s="274">
        <f t="shared" si="11"/>
        <v>4.8807976699264523E-7</v>
      </c>
      <c r="D136" s="271">
        <f t="shared" si="19"/>
        <v>4.8807976699264523E-7</v>
      </c>
      <c r="E136" s="34">
        <f t="shared" si="1"/>
        <v>0</v>
      </c>
      <c r="F136" s="42">
        <v>4000</v>
      </c>
      <c r="G136" s="34">
        <f t="shared" si="2"/>
        <v>1952319.0679705809</v>
      </c>
      <c r="H136" s="34">
        <f t="shared" si="3"/>
        <v>1942557.472630728</v>
      </c>
      <c r="I136" s="35">
        <f t="shared" si="21"/>
        <v>1</v>
      </c>
      <c r="J136" s="36">
        <f t="shared" si="4"/>
        <v>1942557.472630728</v>
      </c>
      <c r="K136" s="34">
        <f t="shared" si="14"/>
        <v>1798593833741.2668</v>
      </c>
      <c r="L136" s="37">
        <f t="shared" si="22"/>
        <v>2670571714478.4038</v>
      </c>
      <c r="M136" s="34">
        <f t="shared" si="5"/>
        <v>168246018012.13943</v>
      </c>
      <c r="N136" s="34">
        <f t="shared" si="6"/>
        <v>0</v>
      </c>
      <c r="O136" s="34">
        <f t="shared" si="7"/>
        <v>168246018012.13943</v>
      </c>
      <c r="P136" s="34">
        <f t="shared" si="25"/>
        <v>16824601801.213943</v>
      </c>
      <c r="Q136" s="38">
        <f t="shared" si="8"/>
        <v>150664309129.87085</v>
      </c>
      <c r="R136" s="39">
        <f t="shared" si="16"/>
        <v>14979585548.749069</v>
      </c>
      <c r="S136" s="34">
        <f t="shared" si="17"/>
        <v>134816269938.74162</v>
      </c>
      <c r="T136" s="40">
        <f t="shared" si="24"/>
        <v>9664069033.3233757</v>
      </c>
      <c r="U136" s="272">
        <f t="shared" si="9"/>
        <v>8.4492955886712982E-3</v>
      </c>
      <c r="V136" s="282">
        <f t="shared" si="10"/>
        <v>137.58799239790488</v>
      </c>
      <c r="W136" s="283">
        <f>((S136+'Malawi-only'!S136)/(T136*(U136+'Malawi-only'!U136))/12)</f>
        <v>106.50539664137305</v>
      </c>
      <c r="X136" s="284">
        <f>(R136+'Malawi-only'!R136)</f>
        <v>17857820560.679237</v>
      </c>
      <c r="Y136" s="284">
        <f>(L136+'Malawi-only'!L136)</f>
        <v>2772551356293.3979</v>
      </c>
      <c r="Z136" s="284">
        <f>(Q136+'Malawi-only'!Q136)</f>
        <v>156420779153.7312</v>
      </c>
    </row>
    <row r="137" spans="1:26" ht="15.75" customHeight="1">
      <c r="A137" s="31" t="s">
        <v>170</v>
      </c>
      <c r="B137" s="32">
        <v>2153</v>
      </c>
      <c r="C137" s="274">
        <f t="shared" si="11"/>
        <v>4.3927179029338074E-7</v>
      </c>
      <c r="D137" s="271">
        <f t="shared" si="19"/>
        <v>4.3927179029338074E-7</v>
      </c>
      <c r="E137" s="34">
        <f t="shared" si="1"/>
        <v>0</v>
      </c>
      <c r="F137" s="42">
        <v>4000</v>
      </c>
      <c r="G137" s="34">
        <f t="shared" si="2"/>
        <v>1757087.1611735229</v>
      </c>
      <c r="H137" s="34">
        <f t="shared" si="3"/>
        <v>1748301.7253676553</v>
      </c>
      <c r="I137" s="35">
        <f t="shared" si="21"/>
        <v>1</v>
      </c>
      <c r="J137" s="36">
        <f t="shared" si="4"/>
        <v>1748301.7253676553</v>
      </c>
      <c r="K137" s="34">
        <f t="shared" si="14"/>
        <v>1798595582042.9922</v>
      </c>
      <c r="L137" s="37">
        <f t="shared" si="22"/>
        <v>2686054365549.0527</v>
      </c>
      <c r="M137" s="34">
        <f t="shared" si="5"/>
        <v>169221425029.59033</v>
      </c>
      <c r="N137" s="34">
        <f t="shared" si="6"/>
        <v>0</v>
      </c>
      <c r="O137" s="34">
        <f t="shared" si="7"/>
        <v>169221425029.59033</v>
      </c>
      <c r="P137" s="34">
        <f t="shared" si="25"/>
        <v>16922142502.959034</v>
      </c>
      <c r="Q137" s="38">
        <f t="shared" si="8"/>
        <v>151537786113.99814</v>
      </c>
      <c r="R137" s="39">
        <f t="shared" si="16"/>
        <v>15066430912.987085</v>
      </c>
      <c r="S137" s="34">
        <f t="shared" si="17"/>
        <v>135597878216.88376</v>
      </c>
      <c r="T137" s="40">
        <f t="shared" si="24"/>
        <v>9654404964.2900543</v>
      </c>
      <c r="U137" s="272">
        <f t="shared" si="9"/>
        <v>8.4492955886712982E-3</v>
      </c>
      <c r="V137" s="282">
        <f t="shared" si="10"/>
        <v>138.52419415634944</v>
      </c>
      <c r="W137" s="283">
        <f>((S137+'Malawi-only'!S137)/(T137*(U137+'Malawi-only'!U137))/12)</f>
        <v>107.23010815271458</v>
      </c>
      <c r="X137" s="284">
        <f>(R137+'Malawi-only'!R137)</f>
        <v>17961362698.063961</v>
      </c>
      <c r="Y137" s="284">
        <f>(L137+'Malawi-only'!L137)</f>
        <v>2788625587792.5928</v>
      </c>
      <c r="Z137" s="284">
        <f>(Q137+'Malawi-only'!Q137)</f>
        <v>157327649684.15189</v>
      </c>
    </row>
    <row r="138" spans="1:26" ht="15.75" customHeight="1">
      <c r="A138" s="31" t="s">
        <v>171</v>
      </c>
      <c r="B138" s="32">
        <v>2154</v>
      </c>
      <c r="C138" s="274">
        <f t="shared" si="11"/>
        <v>3.9534461126404266E-7</v>
      </c>
      <c r="D138" s="271">
        <f t="shared" si="19"/>
        <v>3.9534461126404266E-7</v>
      </c>
      <c r="E138" s="34">
        <f t="shared" si="1"/>
        <v>0</v>
      </c>
      <c r="F138" s="42">
        <v>4000</v>
      </c>
      <c r="G138" s="34">
        <f t="shared" si="2"/>
        <v>1581378.4450561705</v>
      </c>
      <c r="H138" s="34">
        <f t="shared" si="3"/>
        <v>1573471.5528308896</v>
      </c>
      <c r="I138" s="35">
        <f t="shared" si="21"/>
        <v>1</v>
      </c>
      <c r="J138" s="36">
        <f t="shared" si="4"/>
        <v>1573471.5528308896</v>
      </c>
      <c r="K138" s="34">
        <f t="shared" si="14"/>
        <v>1798597155514.5449</v>
      </c>
      <c r="L138" s="37">
        <f t="shared" si="22"/>
        <v>2701626592482.8027</v>
      </c>
      <c r="M138" s="34">
        <f t="shared" si="5"/>
        <v>170202475326.41656</v>
      </c>
      <c r="N138" s="34">
        <f t="shared" si="6"/>
        <v>0</v>
      </c>
      <c r="O138" s="34">
        <f t="shared" si="7"/>
        <v>170202475326.41656</v>
      </c>
      <c r="P138" s="34">
        <f t="shared" si="25"/>
        <v>17020247532.641657</v>
      </c>
      <c r="Q138" s="38">
        <f t="shared" si="8"/>
        <v>152416316654.80603</v>
      </c>
      <c r="R138" s="39">
        <f t="shared" si="16"/>
        <v>15153778611.399815</v>
      </c>
      <c r="S138" s="34">
        <f t="shared" si="17"/>
        <v>136384007502.59833</v>
      </c>
      <c r="T138" s="40">
        <f t="shared" si="24"/>
        <v>9644750559.3257656</v>
      </c>
      <c r="U138" s="272">
        <f t="shared" si="9"/>
        <v>8.4492955886712982E-3</v>
      </c>
      <c r="V138" s="282">
        <f t="shared" si="10"/>
        <v>139.46675552691258</v>
      </c>
      <c r="W138" s="283">
        <f>((S138+'Malawi-only'!S138)/(T138*(U138+'Malawi-only'!U138))/12)</f>
        <v>107.95974267040725</v>
      </c>
      <c r="X138" s="284">
        <f>(R138+'Malawi-only'!R138)</f>
        <v>18065503797.154968</v>
      </c>
      <c r="Y138" s="284">
        <f>(L138+'Malawi-only'!L138)</f>
        <v>2804792819562.3311</v>
      </c>
      <c r="Z138" s="284">
        <f>(Q138+'Malawi-only'!Q138)</f>
        <v>158239767026.31635</v>
      </c>
    </row>
    <row r="139" spans="1:26" ht="15.75" customHeight="1">
      <c r="A139" s="31" t="s">
        <v>172</v>
      </c>
      <c r="B139" s="32">
        <v>2155</v>
      </c>
      <c r="C139" s="274">
        <f t="shared" si="11"/>
        <v>3.5581015013763838E-7</v>
      </c>
      <c r="D139" s="271">
        <f t="shared" si="19"/>
        <v>3.5581015013763838E-7</v>
      </c>
      <c r="E139" s="34">
        <f t="shared" si="1"/>
        <v>0</v>
      </c>
      <c r="F139" s="42">
        <v>4000</v>
      </c>
      <c r="G139" s="34">
        <f t="shared" si="2"/>
        <v>1423240.6005505535</v>
      </c>
      <c r="H139" s="34">
        <f t="shared" si="3"/>
        <v>1416124.3975478008</v>
      </c>
      <c r="I139" s="35">
        <f t="shared" si="21"/>
        <v>1</v>
      </c>
      <c r="J139" s="36">
        <f t="shared" si="4"/>
        <v>1416124.3975478008</v>
      </c>
      <c r="K139" s="34">
        <f t="shared" si="14"/>
        <v>1798598571638.9424</v>
      </c>
      <c r="L139" s="37">
        <f t="shared" si="22"/>
        <v>2717288932011.772</v>
      </c>
      <c r="M139" s="34">
        <f t="shared" si="5"/>
        <v>171189202716.74164</v>
      </c>
      <c r="N139" s="34">
        <f t="shared" si="6"/>
        <v>0</v>
      </c>
      <c r="O139" s="34">
        <f t="shared" si="7"/>
        <v>171189202716.74164</v>
      </c>
      <c r="P139" s="34">
        <f t="shared" si="25"/>
        <v>17118920271.674164</v>
      </c>
      <c r="Q139" s="38">
        <f t="shared" si="8"/>
        <v>153299931032.84213</v>
      </c>
      <c r="R139" s="39">
        <f t="shared" si="16"/>
        <v>15241631665.480604</v>
      </c>
      <c r="S139" s="34">
        <f t="shared" si="17"/>
        <v>137174684989.32542</v>
      </c>
      <c r="T139" s="40">
        <f t="shared" si="24"/>
        <v>9635105808.7664413</v>
      </c>
      <c r="U139" s="272">
        <f t="shared" si="9"/>
        <v>8.4492955886712982E-3</v>
      </c>
      <c r="V139" s="282">
        <f t="shared" si="10"/>
        <v>140.41572076724057</v>
      </c>
      <c r="W139" s="283">
        <f>((S139+'Malawi-only'!S139)/(T139*(U139+'Malawi-only'!U139))/12)</f>
        <v>108.69433445546058</v>
      </c>
      <c r="X139" s="284">
        <f>(R139+'Malawi-only'!R139)</f>
        <v>18170247461.766655</v>
      </c>
      <c r="Y139" s="284">
        <f>(L139+'Malawi-only'!L139)</f>
        <v>2821053608890.1313</v>
      </c>
      <c r="Z139" s="284">
        <f>(Q139+'Malawi-only'!Q139)</f>
        <v>159157162625.41425</v>
      </c>
    </row>
    <row r="140" spans="1:26" ht="15.75" customHeight="1">
      <c r="A140" s="31" t="s">
        <v>173</v>
      </c>
      <c r="B140" s="32">
        <v>2156</v>
      </c>
      <c r="C140" s="274">
        <f t="shared" si="11"/>
        <v>3.2022913512387453E-7</v>
      </c>
      <c r="D140" s="271">
        <f t="shared" si="19"/>
        <v>3.2022913512387453E-7</v>
      </c>
      <c r="E140" s="34">
        <f t="shared" si="1"/>
        <v>0</v>
      </c>
      <c r="F140" s="42">
        <v>4000</v>
      </c>
      <c r="G140" s="34">
        <f t="shared" si="2"/>
        <v>1280916.5404954981</v>
      </c>
      <c r="H140" s="34">
        <f t="shared" si="3"/>
        <v>1274511.9577930206</v>
      </c>
      <c r="I140" s="35">
        <f t="shared" si="21"/>
        <v>1</v>
      </c>
      <c r="J140" s="36">
        <f t="shared" si="4"/>
        <v>1274511.9577930206</v>
      </c>
      <c r="K140" s="34">
        <f t="shared" si="14"/>
        <v>1798599846150.9001</v>
      </c>
      <c r="L140" s="37">
        <f t="shared" si="22"/>
        <v>2733041922232.0068</v>
      </c>
      <c r="M140" s="34">
        <f t="shared" si="5"/>
        <v>172181641100.61642</v>
      </c>
      <c r="N140" s="34">
        <f t="shared" si="6"/>
        <v>0</v>
      </c>
      <c r="O140" s="34">
        <f t="shared" si="7"/>
        <v>172181641100.61642</v>
      </c>
      <c r="P140" s="34">
        <f t="shared" si="25"/>
        <v>17218164110.061642</v>
      </c>
      <c r="Q140" s="38">
        <f t="shared" si="8"/>
        <v>154188659605.60199</v>
      </c>
      <c r="R140" s="39">
        <f t="shared" si="16"/>
        <v>15329993103.284214</v>
      </c>
      <c r="S140" s="34">
        <f t="shared" si="17"/>
        <v>137969937929.55792</v>
      </c>
      <c r="T140" s="40">
        <f t="shared" si="24"/>
        <v>9625470702.9576759</v>
      </c>
      <c r="U140" s="272">
        <f t="shared" si="9"/>
        <v>8.4492955886712982E-3</v>
      </c>
      <c r="V140" s="282">
        <f t="shared" si="10"/>
        <v>141.37113433808</v>
      </c>
      <c r="W140" s="283">
        <f>((S140+'Malawi-only'!S140)/(T140*(U140+'Malawi-only'!U140))/12)</f>
        <v>109.43391792605449</v>
      </c>
      <c r="X140" s="284">
        <f>(R140+'Malawi-only'!R140)</f>
        <v>18275597303.467106</v>
      </c>
      <c r="Y140" s="284">
        <f>(L140+'Malawi-only'!L140)</f>
        <v>2837408514477.3804</v>
      </c>
      <c r="Z140" s="284">
        <f>(Q140+'Malawi-only'!Q140)</f>
        <v>160079868005.96777</v>
      </c>
    </row>
    <row r="141" spans="1:26" ht="15.75" customHeight="1">
      <c r="A141" s="31" t="s">
        <v>174</v>
      </c>
      <c r="B141" s="32">
        <v>2157</v>
      </c>
      <c r="C141" s="274">
        <f t="shared" si="11"/>
        <v>2.8820622161148707E-7</v>
      </c>
      <c r="D141" s="271">
        <f t="shared" si="19"/>
        <v>2.8820622161148707E-7</v>
      </c>
      <c r="E141" s="34">
        <f t="shared" si="1"/>
        <v>0</v>
      </c>
      <c r="F141" s="42">
        <v>4000</v>
      </c>
      <c r="G141" s="34">
        <f t="shared" si="2"/>
        <v>1152824.8864459484</v>
      </c>
      <c r="H141" s="34">
        <f t="shared" si="3"/>
        <v>1147060.7620137187</v>
      </c>
      <c r="I141" s="35">
        <f t="shared" si="21"/>
        <v>1</v>
      </c>
      <c r="J141" s="36">
        <f t="shared" si="4"/>
        <v>1147060.7620137187</v>
      </c>
      <c r="K141" s="34">
        <f t="shared" si="14"/>
        <v>1798600993211.6621</v>
      </c>
      <c r="L141" s="37">
        <f t="shared" si="22"/>
        <v>2748886102786.1294</v>
      </c>
      <c r="M141" s="34">
        <f t="shared" si="5"/>
        <v>173179824475.52615</v>
      </c>
      <c r="N141" s="34">
        <f t="shared" si="6"/>
        <v>0</v>
      </c>
      <c r="O141" s="34">
        <f t="shared" si="7"/>
        <v>173179824475.52615</v>
      </c>
      <c r="P141" s="34">
        <f t="shared" si="25"/>
        <v>17317982447.552616</v>
      </c>
      <c r="Q141" s="38">
        <f t="shared" si="8"/>
        <v>155082532817.83368</v>
      </c>
      <c r="R141" s="39">
        <f t="shared" si="16"/>
        <v>15418865960.5602</v>
      </c>
      <c r="S141" s="34">
        <f t="shared" si="17"/>
        <v>138769793645.04178</v>
      </c>
      <c r="T141" s="40">
        <f t="shared" si="24"/>
        <v>9615845232.2547188</v>
      </c>
      <c r="U141" s="272">
        <f t="shared" si="9"/>
        <v>8.4492955886712982E-3</v>
      </c>
      <c r="V141" s="282">
        <f t="shared" si="10"/>
        <v>142.33304091437191</v>
      </c>
      <c r="W141" s="283">
        <f>((S141+'Malawi-only'!S141)/(T141*(U141+'Malawi-only'!U141))/12)</f>
        <v>110.17852766613332</v>
      </c>
      <c r="X141" s="284">
        <f>(R141+'Malawi-only'!R141)</f>
        <v>18381556942.936901</v>
      </c>
      <c r="Y141" s="284">
        <f>(L141+'Malawi-only'!L141)</f>
        <v>2853858096629.2012</v>
      </c>
      <c r="Z141" s="284">
        <f>(Q141+'Malawi-only'!Q141)</f>
        <v>161007914782.58707</v>
      </c>
    </row>
    <row r="142" spans="1:26" ht="15.75" customHeight="1">
      <c r="A142" s="31" t="s">
        <v>175</v>
      </c>
      <c r="B142" s="32">
        <v>2158</v>
      </c>
      <c r="C142" s="274">
        <f t="shared" si="11"/>
        <v>2.5938559945033837E-7</v>
      </c>
      <c r="D142" s="271">
        <f t="shared" si="19"/>
        <v>2.5938559945033837E-7</v>
      </c>
      <c r="E142" s="34">
        <f t="shared" si="1"/>
        <v>0</v>
      </c>
      <c r="F142" s="42">
        <v>4000</v>
      </c>
      <c r="G142" s="34">
        <f t="shared" si="2"/>
        <v>1037542.3978013535</v>
      </c>
      <c r="H142" s="34">
        <f t="shared" si="3"/>
        <v>1032354.6858123468</v>
      </c>
      <c r="I142" s="35">
        <f t="shared" si="21"/>
        <v>1</v>
      </c>
      <c r="J142" s="36">
        <f t="shared" si="4"/>
        <v>1032354.6858123468</v>
      </c>
      <c r="K142" s="34">
        <f t="shared" si="14"/>
        <v>1798602025566.3479</v>
      </c>
      <c r="L142" s="37">
        <f t="shared" si="22"/>
        <v>2764822015029.5742</v>
      </c>
      <c r="M142" s="34">
        <f t="shared" si="5"/>
        <v>174183786946.86319</v>
      </c>
      <c r="N142" s="34">
        <f t="shared" si="6"/>
        <v>0</v>
      </c>
      <c r="O142" s="34">
        <f t="shared" si="7"/>
        <v>174183786946.86319</v>
      </c>
      <c r="P142" s="34">
        <f t="shared" si="25"/>
        <v>17418378694.686321</v>
      </c>
      <c r="Q142" s="38">
        <f t="shared" si="8"/>
        <v>155981581210.91599</v>
      </c>
      <c r="R142" s="39">
        <f t="shared" si="16"/>
        <v>15508253281.783369</v>
      </c>
      <c r="S142" s="34">
        <f t="shared" si="17"/>
        <v>139574279536.05032</v>
      </c>
      <c r="T142" s="40">
        <f t="shared" si="24"/>
        <v>9606229387.0224648</v>
      </c>
      <c r="U142" s="272">
        <f t="shared" si="9"/>
        <v>8.4492955886712982E-3</v>
      </c>
      <c r="V142" s="282">
        <f t="shared" si="10"/>
        <v>143.30148539546025</v>
      </c>
      <c r="W142" s="283">
        <f>((S142+'Malawi-only'!S142)/(T142*(U142+'Malawi-only'!U142))/12)</f>
        <v>110.9281984333128</v>
      </c>
      <c r="X142" s="284">
        <f>(R142+'Malawi-only'!R142)</f>
        <v>18488130011.204494</v>
      </c>
      <c r="Y142" s="284">
        <f>(L142+'Malawi-only'!L142)</f>
        <v>2870402917427.2568</v>
      </c>
      <c r="Z142" s="284">
        <f>(Q142+'Malawi-only'!Q142)</f>
        <v>161941334669.75824</v>
      </c>
    </row>
    <row r="143" spans="1:26" ht="15.75" customHeight="1">
      <c r="A143" s="31" t="s">
        <v>176</v>
      </c>
      <c r="B143" s="32">
        <v>2159</v>
      </c>
      <c r="C143" s="274">
        <f t="shared" si="11"/>
        <v>2.3344703950530454E-7</v>
      </c>
      <c r="D143" s="271">
        <f t="shared" si="19"/>
        <v>2.3344703950530454E-7</v>
      </c>
      <c r="E143" s="34">
        <f t="shared" si="1"/>
        <v>0</v>
      </c>
      <c r="F143" s="42">
        <v>4000</v>
      </c>
      <c r="G143" s="34">
        <f t="shared" si="2"/>
        <v>933788.15802121814</v>
      </c>
      <c r="H143" s="34">
        <f t="shared" si="3"/>
        <v>929119.21723111207</v>
      </c>
      <c r="I143" s="35">
        <f t="shared" si="21"/>
        <v>1</v>
      </c>
      <c r="J143" s="36">
        <f t="shared" si="4"/>
        <v>929119.21723111207</v>
      </c>
      <c r="K143" s="34">
        <f t="shared" si="14"/>
        <v>1798602954685.5652</v>
      </c>
      <c r="L143" s="37">
        <f t="shared" si="22"/>
        <v>2780850202182.0566</v>
      </c>
      <c r="M143" s="34">
        <f t="shared" si="5"/>
        <v>175193562737.46957</v>
      </c>
      <c r="N143" s="34">
        <f t="shared" si="6"/>
        <v>0</v>
      </c>
      <c r="O143" s="34">
        <f t="shared" si="7"/>
        <v>175193562737.46957</v>
      </c>
      <c r="P143" s="34">
        <f t="shared" si="25"/>
        <v>17519356273.74696</v>
      </c>
      <c r="Q143" s="38">
        <f t="shared" si="8"/>
        <v>156885835431.40402</v>
      </c>
      <c r="R143" s="39">
        <f t="shared" si="16"/>
        <v>15598158121.091599</v>
      </c>
      <c r="S143" s="34">
        <f t="shared" si="17"/>
        <v>140383423089.8244</v>
      </c>
      <c r="T143" s="40">
        <f t="shared" si="24"/>
        <v>9596623157.6354427</v>
      </c>
      <c r="U143" s="272">
        <f t="shared" si="9"/>
        <v>8.4492955886712982E-3</v>
      </c>
      <c r="V143" s="282">
        <f t="shared" si="10"/>
        <v>144.27651291450147</v>
      </c>
      <c r="W143" s="283">
        <f>((S143+'Malawi-only'!S143)/(T143*(U143+'Malawi-only'!U143))/12)</f>
        <v>111.6829651661689</v>
      </c>
      <c r="X143" s="284">
        <f>(R143+'Malawi-only'!R143)</f>
        <v>18595320150.770458</v>
      </c>
      <c r="Y143" s="284">
        <f>(L143+'Malawi-only'!L143)</f>
        <v>2887043540887.2002</v>
      </c>
      <c r="Z143" s="284">
        <f>(Q143+'Malawi-only'!Q143)</f>
        <v>162880159490.76175</v>
      </c>
    </row>
    <row r="144" spans="1:26" ht="15.75" customHeight="1">
      <c r="A144" s="31" t="s">
        <v>177</v>
      </c>
      <c r="B144" s="32">
        <v>2160</v>
      </c>
      <c r="C144" s="274">
        <f t="shared" si="11"/>
        <v>2.1010233555477408E-7</v>
      </c>
      <c r="D144" s="271">
        <f t="shared" si="19"/>
        <v>2.1010233555477408E-7</v>
      </c>
      <c r="E144" s="34">
        <f t="shared" si="1"/>
        <v>0</v>
      </c>
      <c r="F144" s="42">
        <v>4000</v>
      </c>
      <c r="G144" s="34">
        <f t="shared" si="2"/>
        <v>840409.34221909638</v>
      </c>
      <c r="H144" s="34">
        <f t="shared" si="3"/>
        <v>836207.29550800088</v>
      </c>
      <c r="I144" s="35">
        <f t="shared" si="21"/>
        <v>1</v>
      </c>
      <c r="J144" s="36">
        <f t="shared" si="4"/>
        <v>836207.29550800088</v>
      </c>
      <c r="K144" s="34">
        <f t="shared" si="14"/>
        <v>1798603790892.8606</v>
      </c>
      <c r="L144" s="37">
        <f t="shared" si="22"/>
        <v>2796971209465.7676</v>
      </c>
      <c r="M144" s="34">
        <f t="shared" si="5"/>
        <v>176209186196.34335</v>
      </c>
      <c r="N144" s="34">
        <f t="shared" si="6"/>
        <v>0</v>
      </c>
      <c r="O144" s="34">
        <f t="shared" si="7"/>
        <v>176209186196.34335</v>
      </c>
      <c r="P144" s="34">
        <f t="shared" si="25"/>
        <v>17620918619.634335</v>
      </c>
      <c r="Q144" s="38">
        <f t="shared" si="8"/>
        <v>157795326238.82547</v>
      </c>
      <c r="R144" s="39">
        <f t="shared" si="16"/>
        <v>15688583543.140404</v>
      </c>
      <c r="S144" s="34">
        <f t="shared" si="17"/>
        <v>141197251888.26361</v>
      </c>
      <c r="T144" s="40">
        <f t="shared" si="24"/>
        <v>9587026534.477808</v>
      </c>
      <c r="U144" s="272">
        <f t="shared" si="9"/>
        <v>8.4492955886712982E-3</v>
      </c>
      <c r="V144" s="282">
        <f t="shared" si="10"/>
        <v>145.2581688471578</v>
      </c>
      <c r="W144" s="283">
        <f>((S144+'Malawi-only'!S144)/(T144*(U144+'Malawi-only'!U144))/12)</f>
        <v>112.44286299097116</v>
      </c>
      <c r="X144" s="284">
        <f>(R144+'Malawi-only'!R144)</f>
        <v>18703131016.631855</v>
      </c>
      <c r="Y144" s="284">
        <f>(L144+'Malawi-only'!L144)</f>
        <v>2903780533102.3223</v>
      </c>
      <c r="Z144" s="284">
        <f>(Q144+'Malawi-only'!Q144)</f>
        <v>163824421185.80838</v>
      </c>
    </row>
    <row r="145" spans="1:26" ht="15.75" customHeight="1">
      <c r="A145" s="31" t="s">
        <v>178</v>
      </c>
      <c r="B145" s="32">
        <v>2161</v>
      </c>
      <c r="C145" s="274">
        <f t="shared" si="11"/>
        <v>1.8909210199929668E-7</v>
      </c>
      <c r="D145" s="271">
        <f t="shared" si="19"/>
        <v>1.8909210199929668E-7</v>
      </c>
      <c r="E145" s="34">
        <f t="shared" si="1"/>
        <v>0</v>
      </c>
      <c r="F145" s="42">
        <v>4000</v>
      </c>
      <c r="G145" s="34">
        <f t="shared" si="2"/>
        <v>756368.40799718664</v>
      </c>
      <c r="H145" s="34">
        <f t="shared" si="3"/>
        <v>752586.56595720071</v>
      </c>
      <c r="I145" s="35">
        <f t="shared" si="21"/>
        <v>1</v>
      </c>
      <c r="J145" s="36">
        <f t="shared" si="4"/>
        <v>752586.56595720071</v>
      </c>
      <c r="K145" s="34">
        <f t="shared" si="14"/>
        <v>1798604543479.4265</v>
      </c>
      <c r="L145" s="37">
        <f t="shared" si="22"/>
        <v>2813185584231.6318</v>
      </c>
      <c r="M145" s="34">
        <f t="shared" si="5"/>
        <v>177230691806.5928</v>
      </c>
      <c r="N145" s="34">
        <f t="shared" si="6"/>
        <v>0</v>
      </c>
      <c r="O145" s="34">
        <f t="shared" si="7"/>
        <v>177230691806.5928</v>
      </c>
      <c r="P145" s="34">
        <f t="shared" si="25"/>
        <v>17723069180.659283</v>
      </c>
      <c r="Q145" s="38">
        <f t="shared" si="8"/>
        <v>158710084512.80386</v>
      </c>
      <c r="R145" s="39">
        <f t="shared" si="16"/>
        <v>15779532623.882547</v>
      </c>
      <c r="S145" s="34">
        <f t="shared" si="17"/>
        <v>142015793614.94293</v>
      </c>
      <c r="T145" s="40">
        <f t="shared" si="24"/>
        <v>9577439507.9433308</v>
      </c>
      <c r="U145" s="272">
        <f t="shared" si="9"/>
        <v>8.4492955886712982E-3</v>
      </c>
      <c r="V145" s="282">
        <f t="shared" si="10"/>
        <v>146.24649881964532</v>
      </c>
      <c r="W145" s="283">
        <f>((S145+'Malawi-only'!S145)/(T145*(U145+'Malawi-only'!U145))/12)</f>
        <v>113.20792722791664</v>
      </c>
      <c r="X145" s="284">
        <f>(R145+'Malawi-only'!R145)</f>
        <v>18811566277.216702</v>
      </c>
      <c r="Y145" s="284">
        <f>(L145+'Malawi-only'!L145)</f>
        <v>2920614462374.7964</v>
      </c>
      <c r="Z145" s="284">
        <f>(Q145+'Malawi-only'!Q145)</f>
        <v>164774151819.47217</v>
      </c>
    </row>
    <row r="146" spans="1:26" ht="15.75" customHeight="1">
      <c r="A146" s="31" t="s">
        <v>179</v>
      </c>
      <c r="B146" s="32">
        <v>2162</v>
      </c>
      <c r="C146" s="274">
        <f t="shared" si="11"/>
        <v>1.7018289179936703E-7</v>
      </c>
      <c r="D146" s="271">
        <f t="shared" si="19"/>
        <v>1.7018289179936703E-7</v>
      </c>
      <c r="E146" s="34">
        <f t="shared" si="1"/>
        <v>0</v>
      </c>
      <c r="F146" s="42">
        <v>4000</v>
      </c>
      <c r="G146" s="34">
        <f t="shared" si="2"/>
        <v>680731.56719746813</v>
      </c>
      <c r="H146" s="34">
        <f t="shared" si="3"/>
        <v>677327.90936148074</v>
      </c>
      <c r="I146" s="35">
        <f t="shared" si="21"/>
        <v>1</v>
      </c>
      <c r="J146" s="36">
        <f t="shared" si="4"/>
        <v>677327.90936148074</v>
      </c>
      <c r="K146" s="34">
        <f t="shared" si="14"/>
        <v>1798605220807.3359</v>
      </c>
      <c r="L146" s="37">
        <f t="shared" si="22"/>
        <v>2829493876074.8301</v>
      </c>
      <c r="M146" s="34">
        <f t="shared" si="5"/>
        <v>178258114192.71429</v>
      </c>
      <c r="N146" s="34">
        <f t="shared" si="6"/>
        <v>0</v>
      </c>
      <c r="O146" s="34">
        <f t="shared" si="7"/>
        <v>178258114192.71429</v>
      </c>
      <c r="P146" s="34">
        <f t="shared" si="25"/>
        <v>17825811419.271431</v>
      </c>
      <c r="Q146" s="38">
        <f t="shared" si="8"/>
        <v>159630141259.57565</v>
      </c>
      <c r="R146" s="39">
        <f t="shared" si="16"/>
        <v>15871008451.280388</v>
      </c>
      <c r="S146" s="34">
        <f t="shared" si="17"/>
        <v>142839076061.52347</v>
      </c>
      <c r="T146" s="40">
        <f t="shared" si="24"/>
        <v>9567862068.4353886</v>
      </c>
      <c r="U146" s="272">
        <f t="shared" si="9"/>
        <v>8.4492955886712982E-3</v>
      </c>
      <c r="V146" s="282">
        <f t="shared" si="10"/>
        <v>147.24154871620294</v>
      </c>
      <c r="W146" s="283">
        <f>((S146+'Malawi-only'!S146)/(T146*(U146+'Malawi-only'!U146))/12)</f>
        <v>113.97819339691483</v>
      </c>
      <c r="X146" s="284">
        <f>(R146+'Malawi-only'!R146)</f>
        <v>18920629615.237747</v>
      </c>
      <c r="Y146" s="284">
        <f>(L146+'Malawi-only'!L146)</f>
        <v>2937545899335.752</v>
      </c>
      <c r="Z146" s="284">
        <f>(Q146+'Malawi-only'!Q146)</f>
        <v>165729383587.49039</v>
      </c>
    </row>
    <row r="147" spans="1:26" ht="15.75" customHeight="1">
      <c r="A147" s="31" t="s">
        <v>180</v>
      </c>
      <c r="B147" s="32">
        <v>2163</v>
      </c>
      <c r="C147" s="274">
        <f t="shared" si="11"/>
        <v>1.5316460261943032E-7</v>
      </c>
      <c r="D147" s="271">
        <f t="shared" si="19"/>
        <v>1.5316460261943032E-7</v>
      </c>
      <c r="E147" s="34">
        <f t="shared" si="1"/>
        <v>0</v>
      </c>
      <c r="F147" s="42">
        <v>4000</v>
      </c>
      <c r="G147" s="34">
        <f t="shared" si="2"/>
        <v>612658.41047772125</v>
      </c>
      <c r="H147" s="34">
        <f t="shared" si="3"/>
        <v>609595.11842533259</v>
      </c>
      <c r="I147" s="35">
        <f t="shared" si="21"/>
        <v>1</v>
      </c>
      <c r="J147" s="36">
        <f t="shared" si="4"/>
        <v>609595.11842533259</v>
      </c>
      <c r="K147" s="34">
        <f t="shared" si="14"/>
        <v>1798605830402.4543</v>
      </c>
      <c r="L147" s="37">
        <f t="shared" si="22"/>
        <v>2845896636940.6758</v>
      </c>
      <c r="M147" s="34">
        <f t="shared" si="5"/>
        <v>179291488127.26257</v>
      </c>
      <c r="N147" s="34">
        <f t="shared" si="6"/>
        <v>0</v>
      </c>
      <c r="O147" s="34">
        <f t="shared" si="7"/>
        <v>179291488127.26257</v>
      </c>
      <c r="P147" s="34">
        <f t="shared" si="25"/>
        <v>17929148812.726257</v>
      </c>
      <c r="Q147" s="38">
        <f t="shared" si="8"/>
        <v>160555527617.96362</v>
      </c>
      <c r="R147" s="39">
        <f t="shared" si="16"/>
        <v>15963014125.957565</v>
      </c>
      <c r="S147" s="34">
        <f t="shared" si="17"/>
        <v>143667127133.6181</v>
      </c>
      <c r="T147" s="40">
        <f t="shared" si="24"/>
        <v>9558294206.3669548</v>
      </c>
      <c r="U147" s="272">
        <f t="shared" si="9"/>
        <v>8.4492955886712982E-3</v>
      </c>
      <c r="V147" s="282">
        <f t="shared" si="10"/>
        <v>148.24336468604085</v>
      </c>
      <c r="W147" s="283">
        <f>((S147+'Malawi-only'!S147)/(T147*(U147+'Malawi-only'!U147))/12)</f>
        <v>114.75369722296955</v>
      </c>
      <c r="X147" s="284">
        <f>(R147+'Malawi-only'!R147)</f>
        <v>19030324728.473488</v>
      </c>
      <c r="Y147" s="284">
        <f>(L147+'Malawi-only'!L147)</f>
        <v>2954575417055.3271</v>
      </c>
      <c r="Z147" s="284">
        <f>(Q147+'Malawi-only'!Q147)</f>
        <v>166690148822.99548</v>
      </c>
    </row>
    <row r="148" spans="1:26" ht="15.75" customHeight="1">
      <c r="A148" s="31" t="s">
        <v>181</v>
      </c>
      <c r="B148" s="32">
        <v>2164</v>
      </c>
      <c r="C148" s="274">
        <f t="shared" si="11"/>
        <v>1.3784814235748728E-7</v>
      </c>
      <c r="D148" s="271">
        <f t="shared" si="19"/>
        <v>1.3784814235748728E-7</v>
      </c>
      <c r="E148" s="34">
        <f t="shared" si="1"/>
        <v>0</v>
      </c>
      <c r="F148" s="42">
        <v>4000</v>
      </c>
      <c r="G148" s="34">
        <f t="shared" si="2"/>
        <v>551392.56942994904</v>
      </c>
      <c r="H148" s="34">
        <f t="shared" si="3"/>
        <v>548635.60658279934</v>
      </c>
      <c r="I148" s="35">
        <f t="shared" si="21"/>
        <v>1</v>
      </c>
      <c r="J148" s="36">
        <f t="shared" si="4"/>
        <v>548635.60658279934</v>
      </c>
      <c r="K148" s="34">
        <f t="shared" si="14"/>
        <v>1798606379038.061</v>
      </c>
      <c r="L148" s="37">
        <f t="shared" si="22"/>
        <v>2862394421221.814</v>
      </c>
      <c r="M148" s="34">
        <f t="shared" si="5"/>
        <v>180330848536.97427</v>
      </c>
      <c r="N148" s="34">
        <f t="shared" si="6"/>
        <v>0</v>
      </c>
      <c r="O148" s="34">
        <f t="shared" si="7"/>
        <v>180330848536.97427</v>
      </c>
      <c r="P148" s="34">
        <f t="shared" si="25"/>
        <v>18033084853.69743</v>
      </c>
      <c r="Q148" s="38">
        <f t="shared" si="8"/>
        <v>161486274864.86047</v>
      </c>
      <c r="R148" s="39">
        <f t="shared" si="16"/>
        <v>16055552761.796364</v>
      </c>
      <c r="S148" s="34">
        <f t="shared" si="17"/>
        <v>144499974856.16727</v>
      </c>
      <c r="T148" s="40">
        <f t="shared" si="24"/>
        <v>9548735912.1605892</v>
      </c>
      <c r="U148" s="272">
        <f t="shared" si="9"/>
        <v>8.4492955886712982E-3</v>
      </c>
      <c r="V148" s="282">
        <f t="shared" si="10"/>
        <v>149.25199314982174</v>
      </c>
      <c r="W148" s="283">
        <f>((S148+'Malawi-only'!S148)/(T148*(U148+'Malawi-only'!U148))/12)</f>
        <v>115.53447464119874</v>
      </c>
      <c r="X148" s="284">
        <f>(R148+'Malawi-only'!R148)</f>
        <v>19140655330.484005</v>
      </c>
      <c r="Y148" s="284">
        <f>(L148+'Malawi-only'!L148)</f>
        <v>2971703591143.6968</v>
      </c>
      <c r="Z148" s="284">
        <f>(Q148+'Malawi-only'!Q148)</f>
        <v>167656480002.23575</v>
      </c>
    </row>
    <row r="149" spans="1:26" ht="15.75" customHeight="1">
      <c r="A149" s="31" t="s">
        <v>182</v>
      </c>
      <c r="B149" s="32">
        <v>2165</v>
      </c>
      <c r="C149" s="274">
        <f t="shared" si="11"/>
        <v>1.2406332812173856E-7</v>
      </c>
      <c r="D149" s="271">
        <f t="shared" si="19"/>
        <v>1.2406332812173856E-7</v>
      </c>
      <c r="E149" s="34">
        <f t="shared" si="1"/>
        <v>0</v>
      </c>
      <c r="F149" s="42">
        <v>4000</v>
      </c>
      <c r="G149" s="34">
        <f t="shared" si="2"/>
        <v>496253.31248695427</v>
      </c>
      <c r="H149" s="34">
        <f t="shared" si="3"/>
        <v>493772.04592451948</v>
      </c>
      <c r="I149" s="35">
        <f t="shared" si="21"/>
        <v>1</v>
      </c>
      <c r="J149" s="36">
        <f t="shared" si="4"/>
        <v>493772.04592451948</v>
      </c>
      <c r="K149" s="34">
        <f t="shared" si="14"/>
        <v>1798606872810.1069</v>
      </c>
      <c r="L149" s="37">
        <f t="shared" si="22"/>
        <v>2878987785847.6333</v>
      </c>
      <c r="M149" s="34">
        <f t="shared" si="5"/>
        <v>181376230508.40091</v>
      </c>
      <c r="N149" s="34">
        <f t="shared" si="6"/>
        <v>0</v>
      </c>
      <c r="O149" s="34">
        <f t="shared" si="7"/>
        <v>181376230508.40091</v>
      </c>
      <c r="P149" s="34">
        <f t="shared" si="25"/>
        <v>18137623050.840092</v>
      </c>
      <c r="Q149" s="38">
        <f t="shared" si="8"/>
        <v>162422414420.27301</v>
      </c>
      <c r="R149" s="39">
        <f t="shared" si="16"/>
        <v>16148627486.486048</v>
      </c>
      <c r="S149" s="34">
        <f t="shared" si="17"/>
        <v>145337647378.37442</v>
      </c>
      <c r="T149" s="40">
        <f t="shared" si="24"/>
        <v>9539187176.2484303</v>
      </c>
      <c r="U149" s="272">
        <f t="shared" si="9"/>
        <v>8.4492955886712982E-3</v>
      </c>
      <c r="V149" s="282">
        <f t="shared" si="10"/>
        <v>150.26748080572227</v>
      </c>
      <c r="W149" s="283">
        <f>((S149+'Malawi-only'!S149)/(T149*(U149+'Malawi-only'!U149))/12)</f>
        <v>116.32056180152922</v>
      </c>
      <c r="X149" s="284">
        <f>(R149+'Malawi-only'!R149)</f>
        <v>19251625151.268005</v>
      </c>
      <c r="Y149" s="284">
        <f>(L149+'Malawi-only'!L149)</f>
        <v>2988930999844.0044</v>
      </c>
      <c r="Z149" s="284">
        <f>(Q149+'Malawi-only'!Q149)</f>
        <v>168628409749.83691</v>
      </c>
    </row>
    <row r="150" spans="1:26" ht="15.75" customHeight="1">
      <c r="A150" s="31" t="s">
        <v>183</v>
      </c>
      <c r="B150" s="32">
        <v>2166</v>
      </c>
      <c r="C150" s="274">
        <f t="shared" si="11"/>
        <v>1.1165699530956471E-7</v>
      </c>
      <c r="D150" s="271">
        <f t="shared" si="19"/>
        <v>1.1165699530956471E-7</v>
      </c>
      <c r="E150" s="34">
        <f t="shared" si="1"/>
        <v>0</v>
      </c>
      <c r="F150" s="42">
        <v>4000</v>
      </c>
      <c r="G150" s="34">
        <f t="shared" si="2"/>
        <v>446627.98123825883</v>
      </c>
      <c r="H150" s="34">
        <f t="shared" si="3"/>
        <v>444394.84133206756</v>
      </c>
      <c r="I150" s="35">
        <f t="shared" si="21"/>
        <v>1</v>
      </c>
      <c r="J150" s="36">
        <f t="shared" si="4"/>
        <v>444394.84133206756</v>
      </c>
      <c r="K150" s="34">
        <f t="shared" si="14"/>
        <v>1798607317204.9482</v>
      </c>
      <c r="L150" s="37">
        <f t="shared" si="22"/>
        <v>2895677290366.6685</v>
      </c>
      <c r="M150" s="34">
        <f t="shared" si="5"/>
        <v>182427669293.10013</v>
      </c>
      <c r="N150" s="34">
        <f t="shared" si="6"/>
        <v>0</v>
      </c>
      <c r="O150" s="34">
        <f t="shared" si="7"/>
        <v>182427669293.10013</v>
      </c>
      <c r="P150" s="34">
        <f t="shared" si="25"/>
        <v>18242766929.310013</v>
      </c>
      <c r="Q150" s="38">
        <f t="shared" si="8"/>
        <v>163363977851.97116</v>
      </c>
      <c r="R150" s="39">
        <f t="shared" si="16"/>
        <v>16242241442.027302</v>
      </c>
      <c r="S150" s="34">
        <f t="shared" si="17"/>
        <v>146180172978.2457</v>
      </c>
      <c r="T150" s="40">
        <f t="shared" si="24"/>
        <v>9529647989.0721836</v>
      </c>
      <c r="U150" s="272">
        <f t="shared" si="9"/>
        <v>8.4492955886712982E-3</v>
      </c>
      <c r="V150" s="282">
        <f t="shared" si="10"/>
        <v>151.28987463511857</v>
      </c>
      <c r="W150" s="283">
        <f>((S150+'Malawi-only'!S150)/(T150*(U150+'Malawi-only'!U150))/12)</f>
        <v>117.11199507309992</v>
      </c>
      <c r="X150" s="284">
        <f>(R150+'Malawi-only'!R150)</f>
        <v>19363237937.867191</v>
      </c>
      <c r="Y150" s="284">
        <f>(L150+'Malawi-only'!L150)</f>
        <v>3006258224118.0078</v>
      </c>
      <c r="Z150" s="284">
        <f>(Q150+'Malawi-only'!Q150)</f>
        <v>169605970843.65094</v>
      </c>
    </row>
    <row r="151" spans="1:26" ht="15.75" customHeight="1">
      <c r="A151" s="31" t="s">
        <v>184</v>
      </c>
      <c r="B151" s="32">
        <v>2167</v>
      </c>
      <c r="C151" s="274">
        <f t="shared" si="11"/>
        <v>1.0049129577860824E-7</v>
      </c>
      <c r="D151" s="271">
        <f t="shared" si="19"/>
        <v>1.0049129577860824E-7</v>
      </c>
      <c r="E151" s="34">
        <f t="shared" si="1"/>
        <v>0</v>
      </c>
      <c r="F151" s="42">
        <v>4000</v>
      </c>
      <c r="G151" s="34">
        <f t="shared" si="2"/>
        <v>401965.18311443296</v>
      </c>
      <c r="H151" s="34">
        <f t="shared" si="3"/>
        <v>399955.35719886079</v>
      </c>
      <c r="I151" s="35">
        <f t="shared" si="21"/>
        <v>1</v>
      </c>
      <c r="J151" s="36">
        <f t="shared" si="4"/>
        <v>399955.35719886079</v>
      </c>
      <c r="K151" s="34">
        <f t="shared" si="14"/>
        <v>1798607717160.3054</v>
      </c>
      <c r="L151" s="37">
        <f t="shared" si="22"/>
        <v>2912463497022.7104</v>
      </c>
      <c r="M151" s="34">
        <f t="shared" si="5"/>
        <v>183485200312.43076</v>
      </c>
      <c r="N151" s="34">
        <f t="shared" si="6"/>
        <v>0</v>
      </c>
      <c r="O151" s="34">
        <f t="shared" si="7"/>
        <v>183485200312.43076</v>
      </c>
      <c r="P151" s="34">
        <f t="shared" si="25"/>
        <v>18348520031.243076</v>
      </c>
      <c r="Q151" s="38">
        <f t="shared" si="8"/>
        <v>164310996879.78174</v>
      </c>
      <c r="R151" s="39">
        <f t="shared" si="16"/>
        <v>16336397785.197117</v>
      </c>
      <c r="S151" s="34">
        <f t="shared" si="17"/>
        <v>147027580066.77405</v>
      </c>
      <c r="T151" s="40">
        <f t="shared" si="24"/>
        <v>9520118341.0831127</v>
      </c>
      <c r="U151" s="272">
        <f t="shared" si="9"/>
        <v>8.4492955886712982E-3</v>
      </c>
      <c r="V151" s="282">
        <f t="shared" si="10"/>
        <v>152.31922190793352</v>
      </c>
      <c r="W151" s="283">
        <f>((S151+'Malawi-only'!S151)/(T151*(U151+'Malawi-only'!U151))/12)</f>
        <v>117.90881104840331</v>
      </c>
      <c r="X151" s="284">
        <f>(R151+'Malawi-only'!R151)</f>
        <v>19475497454.923195</v>
      </c>
      <c r="Y151" s="284">
        <f>(L151+'Malawi-only'!L151)</f>
        <v>3023685847725.1797</v>
      </c>
      <c r="Z151" s="284">
        <f>(Q151+'Malawi-only'!Q151)</f>
        <v>170589196219.23389</v>
      </c>
    </row>
    <row r="152" spans="1:26" ht="15.75" customHeight="1">
      <c r="A152" s="31" t="s">
        <v>185</v>
      </c>
      <c r="B152" s="32">
        <v>2168</v>
      </c>
      <c r="C152" s="274">
        <f t="shared" si="11"/>
        <v>9.0442166200747421E-8</v>
      </c>
      <c r="D152" s="271">
        <f t="shared" si="19"/>
        <v>9.0442166200747421E-8</v>
      </c>
      <c r="E152" s="34">
        <f t="shared" si="1"/>
        <v>0</v>
      </c>
      <c r="F152" s="42">
        <v>4000</v>
      </c>
      <c r="G152" s="34">
        <f t="shared" si="2"/>
        <v>361768.66480298969</v>
      </c>
      <c r="H152" s="34">
        <f t="shared" si="3"/>
        <v>359959.82147897471</v>
      </c>
      <c r="I152" s="35">
        <f t="shared" si="21"/>
        <v>1</v>
      </c>
      <c r="J152" s="36">
        <f t="shared" si="4"/>
        <v>359959.82147897471</v>
      </c>
      <c r="K152" s="34">
        <f t="shared" si="14"/>
        <v>1798608077120.127</v>
      </c>
      <c r="L152" s="37">
        <f t="shared" si="22"/>
        <v>2929346970825.2681</v>
      </c>
      <c r="M152" s="34">
        <f t="shared" si="5"/>
        <v>184548859161.99188</v>
      </c>
      <c r="N152" s="34">
        <f t="shared" si="6"/>
        <v>0</v>
      </c>
      <c r="O152" s="34">
        <f t="shared" si="7"/>
        <v>184548859161.99188</v>
      </c>
      <c r="P152" s="34">
        <f t="shared" si="25"/>
        <v>18454885916.199188</v>
      </c>
      <c r="Q152" s="38">
        <f t="shared" si="8"/>
        <v>165263503379.56372</v>
      </c>
      <c r="R152" s="39">
        <f t="shared" si="16"/>
        <v>16431099687.978174</v>
      </c>
      <c r="S152" s="34">
        <f t="shared" si="17"/>
        <v>147879897191.80356</v>
      </c>
      <c r="T152" s="40">
        <f t="shared" si="24"/>
        <v>9510598222.7420311</v>
      </c>
      <c r="U152" s="272">
        <f t="shared" si="9"/>
        <v>8.4492955886712982E-3</v>
      </c>
      <c r="V152" s="282">
        <f t="shared" si="10"/>
        <v>153.35557018768176</v>
      </c>
      <c r="W152" s="283">
        <f>((S152+'Malawi-only'!S152)/(T152*(U152+'Malawi-only'!U152))/12)</f>
        <v>118.71104654719261</v>
      </c>
      <c r="X152" s="284">
        <f>(R152+'Malawi-only'!R152)</f>
        <v>19588407485.191914</v>
      </c>
      <c r="Y152" s="284">
        <f>(L152+'Malawi-only'!L152)</f>
        <v>3041214457295.9409</v>
      </c>
      <c r="Z152" s="284">
        <f>(Q152+'Malawi-only'!Q152)</f>
        <v>171578118973.99121</v>
      </c>
    </row>
    <row r="153" spans="1:26" ht="15.75" customHeight="1">
      <c r="A153" s="31" t="s">
        <v>186</v>
      </c>
      <c r="B153" s="32">
        <v>2169</v>
      </c>
      <c r="C153" s="274">
        <f t="shared" si="11"/>
        <v>8.1397949580672676E-8</v>
      </c>
      <c r="D153" s="271">
        <f t="shared" si="19"/>
        <v>8.1397949580672676E-8</v>
      </c>
      <c r="E153" s="34">
        <f t="shared" si="1"/>
        <v>0</v>
      </c>
      <c r="F153" s="42">
        <v>4000</v>
      </c>
      <c r="G153" s="34">
        <f t="shared" si="2"/>
        <v>325591.79832269071</v>
      </c>
      <c r="H153" s="34">
        <f t="shared" si="3"/>
        <v>323963.83933107724</v>
      </c>
      <c r="I153" s="35">
        <f t="shared" si="21"/>
        <v>1</v>
      </c>
      <c r="J153" s="36">
        <f t="shared" si="4"/>
        <v>323963.83933107724</v>
      </c>
      <c r="K153" s="34">
        <f t="shared" si="14"/>
        <v>1798608401083.9663</v>
      </c>
      <c r="L153" s="37">
        <f t="shared" si="22"/>
        <v>2946328279614.9541</v>
      </c>
      <c r="M153" s="34">
        <f t="shared" si="5"/>
        <v>185618681615.7421</v>
      </c>
      <c r="N153" s="34">
        <f t="shared" si="6"/>
        <v>0</v>
      </c>
      <c r="O153" s="34">
        <f t="shared" si="7"/>
        <v>185618681615.7421</v>
      </c>
      <c r="P153" s="34">
        <f t="shared" si="25"/>
        <v>18561868161.574211</v>
      </c>
      <c r="Q153" s="38">
        <f t="shared" si="8"/>
        <v>166221529386.89703</v>
      </c>
      <c r="R153" s="39">
        <f t="shared" si="16"/>
        <v>16526350337.956373</v>
      </c>
      <c r="S153" s="34">
        <f t="shared" si="17"/>
        <v>148737153041.60736</v>
      </c>
      <c r="T153" s="40">
        <f t="shared" si="24"/>
        <v>9501087624.5192909</v>
      </c>
      <c r="U153" s="272">
        <f t="shared" si="9"/>
        <v>8.4492955886712982E-3</v>
      </c>
      <c r="V153" s="282">
        <f t="shared" si="10"/>
        <v>154.39896733624391</v>
      </c>
      <c r="W153" s="283">
        <f>((S153+'Malawi-only'!S153)/(T153*(U153+'Malawi-only'!U153))/12)</f>
        <v>119.51873862017896</v>
      </c>
      <c r="X153" s="284">
        <f>(R153+'Malawi-only'!R153)</f>
        <v>19701971830.019623</v>
      </c>
      <c r="Y153" s="284">
        <f>(L153+'Malawi-only'!L153)</f>
        <v>3058844642399.6118</v>
      </c>
      <c r="Z153" s="284">
        <f>(Q153+'Malawi-only'!Q153)</f>
        <v>172572772371.02353</v>
      </c>
    </row>
    <row r="154" spans="1:26" ht="15.75" customHeight="1">
      <c r="A154" s="31" t="s">
        <v>187</v>
      </c>
      <c r="B154" s="32">
        <v>2170</v>
      </c>
      <c r="C154" s="274">
        <f t="shared" si="11"/>
        <v>7.325815462260541E-8</v>
      </c>
      <c r="D154" s="271">
        <f t="shared" si="19"/>
        <v>7.325815462260541E-8</v>
      </c>
      <c r="E154" s="34">
        <f t="shared" si="1"/>
        <v>0</v>
      </c>
      <c r="F154" s="42">
        <v>4000</v>
      </c>
      <c r="G154" s="34">
        <f t="shared" si="2"/>
        <v>293032.61849042162</v>
      </c>
      <c r="H154" s="34">
        <f t="shared" si="3"/>
        <v>291567.45539796952</v>
      </c>
      <c r="I154" s="35">
        <f t="shared" si="21"/>
        <v>1</v>
      </c>
      <c r="J154" s="36">
        <f t="shared" si="4"/>
        <v>291567.45539796952</v>
      </c>
      <c r="K154" s="34">
        <f t="shared" si="14"/>
        <v>1798608692651.4216</v>
      </c>
      <c r="L154" s="37">
        <f t="shared" si="22"/>
        <v>2963407994124.312</v>
      </c>
      <c r="M154" s="34">
        <f t="shared" si="5"/>
        <v>186694703629.83167</v>
      </c>
      <c r="N154" s="34">
        <f t="shared" si="6"/>
        <v>0</v>
      </c>
      <c r="O154" s="34">
        <f t="shared" si="7"/>
        <v>186694703629.83167</v>
      </c>
      <c r="P154" s="34">
        <f t="shared" si="25"/>
        <v>18669470362.983166</v>
      </c>
      <c r="Q154" s="38">
        <f t="shared" si="8"/>
        <v>167185107100.51428</v>
      </c>
      <c r="R154" s="39">
        <f t="shared" si="16"/>
        <v>16622152938.689705</v>
      </c>
      <c r="S154" s="34">
        <f t="shared" si="17"/>
        <v>149599376448.20734</v>
      </c>
      <c r="T154" s="40">
        <f t="shared" si="24"/>
        <v>9491586536.8947735</v>
      </c>
      <c r="U154" s="272">
        <f t="shared" si="9"/>
        <v>8.4492955886712982E-3</v>
      </c>
      <c r="V154" s="282">
        <f t="shared" si="10"/>
        <v>155.4494615183973</v>
      </c>
      <c r="W154" s="283">
        <f>((S154+'Malawi-only'!S154)/(T154*(U154+'Malawi-only'!U154))/12)</f>
        <v>120.3319245525405</v>
      </c>
      <c r="X154" s="284">
        <f>(R154+'Malawi-only'!R154)</f>
        <v>19816194309.784752</v>
      </c>
      <c r="Y154" s="284">
        <f>(L154+'Malawi-only'!L154)</f>
        <v>3076576995607.6255</v>
      </c>
      <c r="Z154" s="284">
        <f>(Q154+'Malawi-only'!Q154)</f>
        <v>173573189842.70438</v>
      </c>
    </row>
    <row r="155" spans="1:26" ht="15.75" customHeight="1">
      <c r="A155" s="31" t="s">
        <v>188</v>
      </c>
      <c r="B155" s="32">
        <v>2171</v>
      </c>
      <c r="C155" s="274">
        <f t="shared" si="11"/>
        <v>6.5932339160344869E-8</v>
      </c>
      <c r="D155" s="271">
        <f t="shared" si="19"/>
        <v>6.5932339160344869E-8</v>
      </c>
      <c r="E155" s="34">
        <f t="shared" si="1"/>
        <v>0</v>
      </c>
      <c r="F155" s="42">
        <v>4000</v>
      </c>
      <c r="G155" s="34">
        <f t="shared" si="2"/>
        <v>263729.35664137948</v>
      </c>
      <c r="H155" s="34">
        <f t="shared" si="3"/>
        <v>262410.70985817257</v>
      </c>
      <c r="I155" s="35">
        <f t="shared" si="21"/>
        <v>1</v>
      </c>
      <c r="J155" s="36">
        <f t="shared" si="4"/>
        <v>262410.70985817257</v>
      </c>
      <c r="K155" s="34">
        <f t="shared" si="14"/>
        <v>1798608955062.1316</v>
      </c>
      <c r="L155" s="37">
        <f t="shared" si="22"/>
        <v>2980586688034.5566</v>
      </c>
      <c r="M155" s="34">
        <f t="shared" si="5"/>
        <v>187776961346.17706</v>
      </c>
      <c r="N155" s="34">
        <f t="shared" si="6"/>
        <v>0</v>
      </c>
      <c r="O155" s="34">
        <f t="shared" si="7"/>
        <v>187776961346.17706</v>
      </c>
      <c r="P155" s="34">
        <f t="shared" si="25"/>
        <v>18777696134.617706</v>
      </c>
      <c r="Q155" s="38">
        <f t="shared" si="8"/>
        <v>168154268885.50156</v>
      </c>
      <c r="R155" s="39">
        <f t="shared" si="16"/>
        <v>16718510710.05143</v>
      </c>
      <c r="S155" s="34">
        <f t="shared" si="17"/>
        <v>150466596390.46286</v>
      </c>
      <c r="T155" s="40">
        <f t="shared" si="24"/>
        <v>9482094950.3578796</v>
      </c>
      <c r="U155" s="272">
        <f t="shared" si="9"/>
        <v>8.4492955886712982E-3</v>
      </c>
      <c r="V155" s="282">
        <f t="shared" si="10"/>
        <v>156.50710120613067</v>
      </c>
      <c r="W155" s="283">
        <f>((S155+'Malawi-only'!S155)/(T155*(U155+'Malawi-only'!U155))/12)</f>
        <v>121.15064186726333</v>
      </c>
      <c r="X155" s="284">
        <f>(R155+'Malawi-only'!R155)</f>
        <v>19931078764.308769</v>
      </c>
      <c r="Y155" s="284">
        <f>(L155+'Malawi-only'!L155)</f>
        <v>3094412112552.4941</v>
      </c>
      <c r="Z155" s="284">
        <f>(Q155+'Malawi-only'!Q155)</f>
        <v>174579404994.01624</v>
      </c>
    </row>
    <row r="156" spans="1:26" ht="15.75" customHeight="1">
      <c r="A156" s="31" t="s">
        <v>189</v>
      </c>
      <c r="B156" s="32">
        <v>2172</v>
      </c>
      <c r="C156" s="274">
        <f t="shared" si="11"/>
        <v>5.9339105244310385E-8</v>
      </c>
      <c r="D156" s="271">
        <f t="shared" si="19"/>
        <v>5.9339105244310385E-8</v>
      </c>
      <c r="E156" s="34">
        <f t="shared" si="1"/>
        <v>0</v>
      </c>
      <c r="F156" s="42">
        <v>4000</v>
      </c>
      <c r="G156" s="34">
        <f t="shared" si="2"/>
        <v>237356.42097724153</v>
      </c>
      <c r="H156" s="34">
        <f t="shared" si="3"/>
        <v>236169.63887235534</v>
      </c>
      <c r="I156" s="35">
        <f t="shared" si="21"/>
        <v>1</v>
      </c>
      <c r="J156" s="36">
        <f t="shared" si="4"/>
        <v>236169.63887235534</v>
      </c>
      <c r="K156" s="34">
        <f t="shared" si="14"/>
        <v>1798609191231.7705</v>
      </c>
      <c r="L156" s="37">
        <f t="shared" si="22"/>
        <v>2997864938028.6436</v>
      </c>
      <c r="M156" s="34">
        <f t="shared" si="5"/>
        <v>188865491095.80453</v>
      </c>
      <c r="N156" s="34">
        <f t="shared" si="6"/>
        <v>0</v>
      </c>
      <c r="O156" s="34">
        <f t="shared" si="7"/>
        <v>188865491095.80453</v>
      </c>
      <c r="P156" s="34">
        <f t="shared" si="25"/>
        <v>18886549109.580456</v>
      </c>
      <c r="Q156" s="38">
        <f t="shared" si="8"/>
        <v>169129047276.29297</v>
      </c>
      <c r="R156" s="39">
        <f t="shared" si="16"/>
        <v>16815426888.550156</v>
      </c>
      <c r="S156" s="34">
        <f t="shared" si="17"/>
        <v>151338841996.95142</v>
      </c>
      <c r="T156" s="40">
        <f t="shared" si="24"/>
        <v>9472612855.4075222</v>
      </c>
      <c r="U156" s="272">
        <f t="shared" si="9"/>
        <v>8.4492955886712982E-3</v>
      </c>
      <c r="V156" s="282">
        <f t="shared" si="10"/>
        <v>157.57193518276384</v>
      </c>
      <c r="W156" s="283">
        <f>((S156+'Malawi-only'!S156)/(T156*(U156+'Malawi-only'!U156))/12)</f>
        <v>121.9749283283321</v>
      </c>
      <c r="X156" s="284">
        <f>(R156+'Malawi-only'!R156)</f>
        <v>20046629053.239422</v>
      </c>
      <c r="Y156" s="284">
        <f>(L156+'Malawi-only'!L156)</f>
        <v>3112350591982.9541</v>
      </c>
      <c r="Z156" s="284">
        <f>(Q156+'Malawi-only'!Q156)</f>
        <v>175591451605.67151</v>
      </c>
    </row>
    <row r="157" spans="1:26" ht="15.75" customHeight="1">
      <c r="A157" s="31" t="s">
        <v>190</v>
      </c>
      <c r="B157" s="32">
        <v>2173</v>
      </c>
      <c r="C157" s="274">
        <f t="shared" si="11"/>
        <v>5.3405194719879349E-8</v>
      </c>
      <c r="D157" s="271">
        <f t="shared" si="19"/>
        <v>5.3405194719879349E-8</v>
      </c>
      <c r="E157" s="34">
        <f t="shared" si="1"/>
        <v>0</v>
      </c>
      <c r="F157" s="42">
        <v>4000</v>
      </c>
      <c r="G157" s="34">
        <f t="shared" si="2"/>
        <v>213620.7788795174</v>
      </c>
      <c r="H157" s="34">
        <f t="shared" si="3"/>
        <v>212552.67498511981</v>
      </c>
      <c r="I157" s="35">
        <f t="shared" si="21"/>
        <v>1</v>
      </c>
      <c r="J157" s="36">
        <f t="shared" si="4"/>
        <v>212552.67498511981</v>
      </c>
      <c r="K157" s="34">
        <f t="shared" si="14"/>
        <v>1798609403784.4456</v>
      </c>
      <c r="L157" s="37">
        <f t="shared" si="22"/>
        <v>3015243323841.0537</v>
      </c>
      <c r="M157" s="34">
        <f t="shared" si="5"/>
        <v>189960329401.98639</v>
      </c>
      <c r="N157" s="34">
        <f t="shared" si="6"/>
        <v>0</v>
      </c>
      <c r="O157" s="34">
        <f t="shared" si="7"/>
        <v>189960329401.98639</v>
      </c>
      <c r="P157" s="34">
        <f t="shared" si="25"/>
        <v>18996032940.198639</v>
      </c>
      <c r="Q157" s="38">
        <f t="shared" si="8"/>
        <v>170109474979.47882</v>
      </c>
      <c r="R157" s="39">
        <f t="shared" si="16"/>
        <v>16912904727.629297</v>
      </c>
      <c r="S157" s="34">
        <f t="shared" si="17"/>
        <v>152216142548.66367</v>
      </c>
      <c r="T157" s="40">
        <f t="shared" si="24"/>
        <v>9463140242.5521164</v>
      </c>
      <c r="U157" s="272">
        <f t="shared" si="9"/>
        <v>8.4492955886712982E-3</v>
      </c>
      <c r="V157" s="282">
        <f t="shared" si="10"/>
        <v>158.64401254689531</v>
      </c>
      <c r="W157" s="283">
        <f>((S157+'Malawi-only'!S157)/(T157*(U157+'Malawi-only'!U157))/12)</f>
        <v>122.80482194378676</v>
      </c>
      <c r="X157" s="284">
        <f>(R157+'Malawi-only'!R157)</f>
        <v>20162849056.409191</v>
      </c>
      <c r="Y157" s="284">
        <f>(L157+'Malawi-only'!L157)</f>
        <v>3130393035815.7017</v>
      </c>
      <c r="Z157" s="284">
        <f>(Q157+'Malawi-only'!Q157)</f>
        <v>176609363637.0386</v>
      </c>
    </row>
    <row r="158" spans="1:26" ht="15.75" customHeight="1">
      <c r="A158" s="31" t="s">
        <v>191</v>
      </c>
      <c r="B158" s="32">
        <v>2174</v>
      </c>
      <c r="C158" s="274">
        <f t="shared" si="11"/>
        <v>4.8064675247891418E-8</v>
      </c>
      <c r="D158" s="271">
        <f t="shared" si="19"/>
        <v>4.8064675247891418E-8</v>
      </c>
      <c r="E158" s="34">
        <f t="shared" si="1"/>
        <v>0</v>
      </c>
      <c r="F158" s="42">
        <v>4000</v>
      </c>
      <c r="G158" s="34">
        <f t="shared" si="2"/>
        <v>192258.70099156565</v>
      </c>
      <c r="H158" s="34">
        <f t="shared" si="3"/>
        <v>191297.40748660782</v>
      </c>
      <c r="I158" s="35">
        <f t="shared" si="21"/>
        <v>1</v>
      </c>
      <c r="J158" s="36">
        <f t="shared" si="4"/>
        <v>191297.40748660782</v>
      </c>
      <c r="K158" s="34">
        <f t="shared" si="14"/>
        <v>1798609595081.853</v>
      </c>
      <c r="L158" s="37">
        <f t="shared" si="22"/>
        <v>3032722428304.6211</v>
      </c>
      <c r="M158" s="34">
        <f t="shared" si="5"/>
        <v>191061512983.19113</v>
      </c>
      <c r="N158" s="34">
        <f t="shared" si="6"/>
        <v>0</v>
      </c>
      <c r="O158" s="34">
        <f t="shared" si="7"/>
        <v>191061512983.19113</v>
      </c>
      <c r="P158" s="34">
        <f t="shared" si="25"/>
        <v>19106151298.319115</v>
      </c>
      <c r="Q158" s="38">
        <f t="shared" si="8"/>
        <v>171095584876.44766</v>
      </c>
      <c r="R158" s="39">
        <f t="shared" si="16"/>
        <v>17010947497.947884</v>
      </c>
      <c r="S158" s="34">
        <f t="shared" si="17"/>
        <v>153098527481.53094</v>
      </c>
      <c r="T158" s="40">
        <f t="shared" si="24"/>
        <v>9453677102.3095646</v>
      </c>
      <c r="U158" s="272">
        <f t="shared" si="9"/>
        <v>8.4492955886712982E-3</v>
      </c>
      <c r="V158" s="282">
        <f t="shared" si="10"/>
        <v>159.72338271619483</v>
      </c>
      <c r="W158" s="283">
        <f>((S158+'Malawi-only'!S158)/(T158*(U158+'Malawi-only'!U158))/12)</f>
        <v>123.64036096865949</v>
      </c>
      <c r="X158" s="284">
        <f>(R158+'Malawi-only'!R158)</f>
        <v>20279742674.171398</v>
      </c>
      <c r="Y158" s="284">
        <f>(L158+'Malawi-only'!L158)</f>
        <v>3148540049184.0483</v>
      </c>
      <c r="Z158" s="284">
        <f>(Q158+'Malawi-only'!Q158)</f>
        <v>177633175228.89468</v>
      </c>
    </row>
    <row r="159" spans="1:26" ht="15.75" customHeight="1">
      <c r="A159" s="31" t="s">
        <v>192</v>
      </c>
      <c r="B159" s="32">
        <v>2175</v>
      </c>
      <c r="C159" s="274">
        <f t="shared" si="11"/>
        <v>4.3258207723102279E-8</v>
      </c>
      <c r="D159" s="271">
        <f t="shared" si="19"/>
        <v>4.3258207723102279E-8</v>
      </c>
      <c r="E159" s="34">
        <f t="shared" si="1"/>
        <v>0</v>
      </c>
      <c r="F159" s="42">
        <v>4000</v>
      </c>
      <c r="G159" s="34">
        <f t="shared" si="2"/>
        <v>173032.83089240911</v>
      </c>
      <c r="H159" s="34">
        <f t="shared" si="3"/>
        <v>172167.66673794706</v>
      </c>
      <c r="I159" s="35">
        <f t="shared" si="21"/>
        <v>1</v>
      </c>
      <c r="J159" s="36">
        <f t="shared" si="4"/>
        <v>172167.66673794706</v>
      </c>
      <c r="K159" s="34">
        <f t="shared" si="14"/>
        <v>1798609767249.5198</v>
      </c>
      <c r="L159" s="37">
        <f t="shared" si="22"/>
        <v>3050302837394.7217</v>
      </c>
      <c r="M159" s="34">
        <f t="shared" si="5"/>
        <v>192169078755.86746</v>
      </c>
      <c r="N159" s="34">
        <f t="shared" si="6"/>
        <v>0</v>
      </c>
      <c r="O159" s="34">
        <f t="shared" si="7"/>
        <v>192169078755.86746</v>
      </c>
      <c r="P159" s="34">
        <f t="shared" si="25"/>
        <v>19216907875.586746</v>
      </c>
      <c r="Q159" s="38">
        <f t="shared" si="8"/>
        <v>172087410025.8793</v>
      </c>
      <c r="R159" s="39">
        <f t="shared" si="16"/>
        <v>17109558487.644768</v>
      </c>
      <c r="S159" s="34">
        <f t="shared" si="17"/>
        <v>153986026388.80289</v>
      </c>
      <c r="T159" s="40">
        <f t="shared" si="24"/>
        <v>9444223425.2072563</v>
      </c>
      <c r="U159" s="272">
        <f t="shared" si="9"/>
        <v>8.4492955886712982E-3</v>
      </c>
      <c r="V159" s="282">
        <f t="shared" si="10"/>
        <v>160.8100954310583</v>
      </c>
      <c r="W159" s="283">
        <f>((S159+'Malawi-only'!S159)/(T159*(U159+'Malawi-only'!U159))/12)</f>
        <v>124.48158390780493</v>
      </c>
      <c r="X159" s="284">
        <f>(R159+'Malawi-only'!R159)</f>
        <v>20397313827.716385</v>
      </c>
      <c r="Y159" s="284">
        <f>(L159+'Malawi-only'!L159)</f>
        <v>3166792240483.8394</v>
      </c>
      <c r="Z159" s="284">
        <f>(Q159+'Malawi-only'!Q159)</f>
        <v>178662920706.02252</v>
      </c>
    </row>
    <row r="160" spans="1:26" ht="15.75" customHeight="1">
      <c r="A160" s="31" t="s">
        <v>193</v>
      </c>
      <c r="B160" s="32">
        <v>2176</v>
      </c>
      <c r="C160" s="274">
        <f t="shared" si="11"/>
        <v>3.8932386950792053E-8</v>
      </c>
      <c r="D160" s="271">
        <f t="shared" si="19"/>
        <v>3.8932386950792053E-8</v>
      </c>
      <c r="E160" s="34">
        <f t="shared" si="1"/>
        <v>0</v>
      </c>
      <c r="F160" s="42">
        <v>4000</v>
      </c>
      <c r="G160" s="34">
        <f t="shared" si="2"/>
        <v>155729.54780316821</v>
      </c>
      <c r="H160" s="34">
        <f t="shared" si="3"/>
        <v>154950.90006415237</v>
      </c>
      <c r="I160" s="35">
        <f t="shared" si="21"/>
        <v>1</v>
      </c>
      <c r="J160" s="36">
        <f t="shared" si="4"/>
        <v>154950.90006415237</v>
      </c>
      <c r="K160" s="34">
        <f t="shared" si="14"/>
        <v>1798609922200.4199</v>
      </c>
      <c r="L160" s="37">
        <f t="shared" si="22"/>
        <v>3067985140271.0981</v>
      </c>
      <c r="M160" s="34">
        <f t="shared" si="5"/>
        <v>193283063837.07919</v>
      </c>
      <c r="N160" s="34">
        <f t="shared" si="6"/>
        <v>0</v>
      </c>
      <c r="O160" s="34">
        <f t="shared" si="7"/>
        <v>193283063837.07919</v>
      </c>
      <c r="P160" s="34">
        <f t="shared" si="25"/>
        <v>19328306383.70792</v>
      </c>
      <c r="Q160" s="38">
        <f t="shared" si="8"/>
        <v>173084983666.10443</v>
      </c>
      <c r="R160" s="39">
        <f t="shared" si="16"/>
        <v>17208741002.587933</v>
      </c>
      <c r="S160" s="34">
        <f t="shared" si="17"/>
        <v>154878669023.29138</v>
      </c>
      <c r="T160" s="40">
        <f t="shared" si="24"/>
        <v>9434779201.7820492</v>
      </c>
      <c r="U160" s="272">
        <f t="shared" si="9"/>
        <v>8.4492955886712982E-3</v>
      </c>
      <c r="V160" s="282">
        <f t="shared" si="10"/>
        <v>161.90420075814126</v>
      </c>
      <c r="W160" s="283">
        <f>((S160+'Malawi-only'!S160)/(T160*(U160+'Malawi-only'!U160))/12)</f>
        <v>125.328529518636</v>
      </c>
      <c r="X160" s="284">
        <f>(R160+'Malawi-only'!R160)</f>
        <v>20515566459.369801</v>
      </c>
      <c r="Y160" s="284">
        <f>(L160+'Malawi-only'!L160)</f>
        <v>3185150221416.9067</v>
      </c>
      <c r="Z160" s="284">
        <f>(Q160+'Malawi-only'!Q160)</f>
        <v>179698634579.66818</v>
      </c>
    </row>
    <row r="161" spans="1:26" ht="15.75" customHeight="1">
      <c r="A161" s="31" t="s">
        <v>194</v>
      </c>
      <c r="B161" s="32">
        <v>2177</v>
      </c>
      <c r="C161" s="274">
        <f t="shared" si="11"/>
        <v>3.5039148255712849E-8</v>
      </c>
      <c r="D161" s="271">
        <f t="shared" si="19"/>
        <v>3.5039148255712849E-8</v>
      </c>
      <c r="E161" s="34">
        <f t="shared" si="1"/>
        <v>0</v>
      </c>
      <c r="F161" s="42">
        <v>4000</v>
      </c>
      <c r="G161" s="34">
        <f t="shared" si="2"/>
        <v>140156.59302285139</v>
      </c>
      <c r="H161" s="34">
        <f t="shared" si="3"/>
        <v>139455.81005773714</v>
      </c>
      <c r="I161" s="35">
        <f t="shared" si="21"/>
        <v>1</v>
      </c>
      <c r="J161" s="36">
        <f t="shared" si="4"/>
        <v>139455.81005773714</v>
      </c>
      <c r="K161" s="34">
        <f t="shared" si="14"/>
        <v>1798610061656.23</v>
      </c>
      <c r="L161" s="37">
        <f t="shared" si="22"/>
        <v>3085769929317.561</v>
      </c>
      <c r="M161" s="34">
        <f t="shared" si="5"/>
        <v>194403505547.00635</v>
      </c>
      <c r="N161" s="34">
        <f t="shared" si="6"/>
        <v>0</v>
      </c>
      <c r="O161" s="34">
        <f t="shared" si="7"/>
        <v>194403505547.00635</v>
      </c>
      <c r="P161" s="34">
        <f t="shared" si="25"/>
        <v>19440350554.700634</v>
      </c>
      <c r="Q161" s="38">
        <f t="shared" si="8"/>
        <v>174088339217.34421</v>
      </c>
      <c r="R161" s="39">
        <f t="shared" si="16"/>
        <v>17308498366.610443</v>
      </c>
      <c r="S161" s="34">
        <f t="shared" si="17"/>
        <v>155776485299.49399</v>
      </c>
      <c r="T161" s="40">
        <f t="shared" si="24"/>
        <v>9425344422.5802689</v>
      </c>
      <c r="U161" s="272">
        <f t="shared" si="9"/>
        <v>8.4492955886712982E-3</v>
      </c>
      <c r="V161" s="282">
        <f t="shared" si="10"/>
        <v>163.00574909378304</v>
      </c>
      <c r="W161" s="283">
        <f>((S161+'Malawi-only'!S161)/(T161*(U161+'Malawi-only'!U161))/12)</f>
        <v>126.1812368137757</v>
      </c>
      <c r="X161" s="284">
        <f>(R161+'Malawi-only'!R161)</f>
        <v>20634504532.874916</v>
      </c>
      <c r="Y161" s="284">
        <f>(L161+'Malawi-only'!L161)</f>
        <v>3203614607032.3203</v>
      </c>
      <c r="Z161" s="284">
        <f>(Q161+'Malawi-only'!Q161)</f>
        <v>180740351549.87314</v>
      </c>
    </row>
    <row r="162" spans="1:26" ht="15.75" customHeight="1">
      <c r="A162" s="31" t="s">
        <v>195</v>
      </c>
      <c r="B162" s="32">
        <v>2178</v>
      </c>
      <c r="C162" s="274">
        <f t="shared" si="11"/>
        <v>3.1535233430141564E-8</v>
      </c>
      <c r="D162" s="271">
        <f t="shared" si="19"/>
        <v>3.1535233430141564E-8</v>
      </c>
      <c r="E162" s="34">
        <f t="shared" si="1"/>
        <v>0</v>
      </c>
      <c r="F162" s="42">
        <v>4000</v>
      </c>
      <c r="G162" s="34">
        <f t="shared" si="2"/>
        <v>126140.93372056626</v>
      </c>
      <c r="H162" s="34">
        <f t="shared" si="3"/>
        <v>125510.22905196343</v>
      </c>
      <c r="I162" s="35">
        <f t="shared" si="21"/>
        <v>1</v>
      </c>
      <c r="J162" s="36">
        <f t="shared" si="4"/>
        <v>125510.22905196343</v>
      </c>
      <c r="K162" s="34">
        <f t="shared" si="14"/>
        <v>1798610187166.459</v>
      </c>
      <c r="L162" s="37">
        <f t="shared" si="22"/>
        <v>3103657800179.7998</v>
      </c>
      <c r="M162" s="34">
        <f t="shared" si="5"/>
        <v>195530441411.32739</v>
      </c>
      <c r="N162" s="34">
        <f t="shared" si="6"/>
        <v>0</v>
      </c>
      <c r="O162" s="34">
        <f t="shared" si="7"/>
        <v>195530441411.32739</v>
      </c>
      <c r="P162" s="34">
        <f t="shared" si="25"/>
        <v>19553044141.13274</v>
      </c>
      <c r="Q162" s="38">
        <f t="shared" si="8"/>
        <v>175097510283.84366</v>
      </c>
      <c r="R162" s="39">
        <f t="shared" si="16"/>
        <v>17408833921.734421</v>
      </c>
      <c r="S162" s="34">
        <f t="shared" si="17"/>
        <v>156679505295.6098</v>
      </c>
      <c r="T162" s="40">
        <f t="shared" si="24"/>
        <v>9415919078.15769</v>
      </c>
      <c r="U162" s="272">
        <f t="shared" si="9"/>
        <v>8.4492955886712982E-3</v>
      </c>
      <c r="V162" s="282">
        <f t="shared" si="10"/>
        <v>164.11479116733523</v>
      </c>
      <c r="W162" s="283">
        <f>((S162+'Malawi-only'!S162)/(T162*(U162+'Malawi-only'!U162))/12)</f>
        <v>127.03974506363414</v>
      </c>
      <c r="X162" s="284">
        <f>(R162+'Malawi-only'!R162)</f>
        <v>20754132033.660488</v>
      </c>
      <c r="Y162" s="284">
        <f>(L162+'Malawi-only'!L162)</f>
        <v>3222186015765.6704</v>
      </c>
      <c r="Z162" s="284">
        <f>(Q162+'Malawi-only'!Q162)</f>
        <v>181788106507.6958</v>
      </c>
    </row>
    <row r="163" spans="1:26" ht="15.75" customHeight="1">
      <c r="A163" s="31" t="s">
        <v>196</v>
      </c>
      <c r="B163" s="32">
        <v>2179</v>
      </c>
      <c r="C163" s="274">
        <f t="shared" si="11"/>
        <v>2.838171008712741E-8</v>
      </c>
      <c r="D163" s="271">
        <f t="shared" si="19"/>
        <v>2.838171008712741E-8</v>
      </c>
      <c r="E163" s="34">
        <f t="shared" si="1"/>
        <v>0</v>
      </c>
      <c r="F163" s="42">
        <v>4000</v>
      </c>
      <c r="G163" s="34">
        <f t="shared" si="2"/>
        <v>113526.84034850964</v>
      </c>
      <c r="H163" s="34">
        <f t="shared" si="3"/>
        <v>112959.20614676709</v>
      </c>
      <c r="I163" s="35">
        <f t="shared" si="21"/>
        <v>1</v>
      </c>
      <c r="J163" s="36">
        <f t="shared" si="4"/>
        <v>112959.20614676709</v>
      </c>
      <c r="K163" s="34">
        <f t="shared" si="14"/>
        <v>1798610300125.665</v>
      </c>
      <c r="L163" s="37">
        <f t="shared" si="22"/>
        <v>3121649351801.4985</v>
      </c>
      <c r="M163" s="34">
        <f t="shared" si="5"/>
        <v>196663909163.49442</v>
      </c>
      <c r="N163" s="34">
        <f t="shared" si="6"/>
        <v>0</v>
      </c>
      <c r="O163" s="34">
        <f t="shared" si="7"/>
        <v>196663909163.49442</v>
      </c>
      <c r="P163" s="34">
        <f t="shared" si="25"/>
        <v>19666390916.349442</v>
      </c>
      <c r="Q163" s="38">
        <f t="shared" si="8"/>
        <v>176112530655.90924</v>
      </c>
      <c r="R163" s="39">
        <f t="shared" si="16"/>
        <v>17509751028.384365</v>
      </c>
      <c r="S163" s="34">
        <f t="shared" si="17"/>
        <v>157587759255.45929</v>
      </c>
      <c r="T163" s="40">
        <f t="shared" si="24"/>
        <v>9406503159.0795326</v>
      </c>
      <c r="U163" s="272">
        <f t="shared" si="9"/>
        <v>8.4492955886712982E-3</v>
      </c>
      <c r="V163" s="282">
        <f t="shared" si="10"/>
        <v>165.23137804440532</v>
      </c>
      <c r="W163" s="283">
        <f>((S163+'Malawi-only'!S163)/(T163*(U163+'Malawi-only'!U163))/12)</f>
        <v>127.90409379891999</v>
      </c>
      <c r="X163" s="284">
        <f>(R163+'Malawi-only'!R163)</f>
        <v>20874452969.095928</v>
      </c>
      <c r="Y163" s="284">
        <f>(L163+'Malawi-only'!L163)</f>
        <v>3240865069476.5898</v>
      </c>
      <c r="Z163" s="284">
        <f>(Q163+'Malawi-only'!Q163)</f>
        <v>182841934537.33237</v>
      </c>
    </row>
    <row r="164" spans="1:26" ht="15.75" customHeight="1">
      <c r="A164" s="31" t="s">
        <v>197</v>
      </c>
      <c r="B164" s="32">
        <v>2180</v>
      </c>
      <c r="C164" s="274">
        <f t="shared" si="11"/>
        <v>2.554353907841467E-8</v>
      </c>
      <c r="D164" s="271">
        <f t="shared" si="19"/>
        <v>2.554353907841467E-8</v>
      </c>
      <c r="E164" s="34">
        <f t="shared" si="1"/>
        <v>0</v>
      </c>
      <c r="F164" s="42">
        <v>4000</v>
      </c>
      <c r="G164" s="34">
        <f t="shared" si="2"/>
        <v>102174.15631365868</v>
      </c>
      <c r="H164" s="34">
        <f t="shared" si="3"/>
        <v>101663.28553209038</v>
      </c>
      <c r="I164" s="35">
        <f t="shared" si="21"/>
        <v>1</v>
      </c>
      <c r="J164" s="36">
        <f t="shared" si="4"/>
        <v>101663.28553209038</v>
      </c>
      <c r="K164" s="34">
        <f t="shared" si="14"/>
        <v>1798610401788.9507</v>
      </c>
      <c r="L164" s="37">
        <f t="shared" si="22"/>
        <v>3139745186458.9434</v>
      </c>
      <c r="M164" s="34">
        <f t="shared" si="5"/>
        <v>197803946746.91342</v>
      </c>
      <c r="N164" s="34">
        <f t="shared" si="6"/>
        <v>0</v>
      </c>
      <c r="O164" s="34">
        <f t="shared" si="7"/>
        <v>197803946746.91342</v>
      </c>
      <c r="P164" s="34">
        <f t="shared" si="25"/>
        <v>19780394674.691341</v>
      </c>
      <c r="Q164" s="38">
        <f t="shared" si="8"/>
        <v>177133434311.86096</v>
      </c>
      <c r="R164" s="39">
        <f t="shared" si="16"/>
        <v>17611253065.590923</v>
      </c>
      <c r="S164" s="34">
        <f t="shared" si="17"/>
        <v>158501277590.31833</v>
      </c>
      <c r="T164" s="40">
        <f t="shared" si="24"/>
        <v>9397096655.920454</v>
      </c>
      <c r="U164" s="272">
        <f t="shared" si="9"/>
        <v>8.4492955886712982E-3</v>
      </c>
      <c r="V164" s="282">
        <f t="shared" si="10"/>
        <v>166.35556113002539</v>
      </c>
      <c r="W164" s="283">
        <f>((S164+'Malawi-only'!S164)/(T164*(U164+'Malawi-only'!U164))/12)</f>
        <v>128.77432281309419</v>
      </c>
      <c r="X164" s="284">
        <f>(R164+'Malawi-only'!R164)</f>
        <v>20995471368.734924</v>
      </c>
      <c r="Y164" s="284">
        <f>(L164+'Malawi-only'!L164)</f>
        <v>3259652393484.7056</v>
      </c>
      <c r="Z164" s="284">
        <f>(Q164+'Malawi-only'!Q164)</f>
        <v>183901870918.14896</v>
      </c>
    </row>
    <row r="165" spans="1:26" ht="15.75" customHeight="1">
      <c r="A165" s="31" t="s">
        <v>198</v>
      </c>
      <c r="B165" s="32">
        <v>2181</v>
      </c>
      <c r="C165" s="274">
        <f t="shared" si="11"/>
        <v>2.2989185170573203E-8</v>
      </c>
      <c r="D165" s="271">
        <f t="shared" si="19"/>
        <v>2.2989185170573203E-8</v>
      </c>
      <c r="E165" s="34">
        <f t="shared" si="1"/>
        <v>0</v>
      </c>
      <c r="F165" s="42">
        <v>4000</v>
      </c>
      <c r="G165" s="34">
        <f t="shared" si="2"/>
        <v>91956.740682292817</v>
      </c>
      <c r="H165" s="34">
        <f t="shared" si="3"/>
        <v>91496.956978881353</v>
      </c>
      <c r="I165" s="35">
        <f t="shared" si="21"/>
        <v>1</v>
      </c>
      <c r="J165" s="36">
        <f t="shared" si="4"/>
        <v>91496.956978881353</v>
      </c>
      <c r="K165" s="34">
        <f t="shared" si="14"/>
        <v>1798610493285.9077</v>
      </c>
      <c r="L165" s="37">
        <f t="shared" si="22"/>
        <v>3157945909794.2769</v>
      </c>
      <c r="M165" s="34">
        <f t="shared" si="5"/>
        <v>198950592317.03943</v>
      </c>
      <c r="N165" s="34">
        <f t="shared" si="6"/>
        <v>0</v>
      </c>
      <c r="O165" s="34">
        <f t="shared" si="7"/>
        <v>198950592317.03943</v>
      </c>
      <c r="P165" s="34">
        <f t="shared" si="25"/>
        <v>19895059231.703945</v>
      </c>
      <c r="Q165" s="38">
        <f t="shared" si="8"/>
        <v>178160255419.90881</v>
      </c>
      <c r="R165" s="39">
        <f t="shared" si="16"/>
        <v>17713343431.186096</v>
      </c>
      <c r="S165" s="34">
        <f t="shared" si="17"/>
        <v>159420090880.67487</v>
      </c>
      <c r="T165" s="40">
        <f t="shared" si="24"/>
        <v>9387699559.264534</v>
      </c>
      <c r="U165" s="272">
        <f t="shared" si="9"/>
        <v>8.4492955886712982E-3</v>
      </c>
      <c r="V165" s="282">
        <f t="shared" si="10"/>
        <v>167.48739217175472</v>
      </c>
      <c r="W165" s="283">
        <f>((S165+'Malawi-only'!S165)/(T165*(U165+'Malawi-only'!U165))/12)</f>
        <v>129.650472164772</v>
      </c>
      <c r="X165" s="284">
        <f>(R165+'Malawi-only'!R165)</f>
        <v>21117191284.548866</v>
      </c>
      <c r="Y165" s="284">
        <f>(L165+'Malawi-only'!L165)</f>
        <v>3278548616604.1846</v>
      </c>
      <c r="Z165" s="284">
        <f>(Q165+'Malawi-only'!Q165)</f>
        <v>184967951126.63434</v>
      </c>
    </row>
    <row r="166" spans="1:26" ht="15.75" customHeight="1">
      <c r="A166" s="31" t="s">
        <v>199</v>
      </c>
      <c r="B166" s="32">
        <v>2182</v>
      </c>
      <c r="C166" s="274">
        <f t="shared" si="11"/>
        <v>2.0690266653515883E-8</v>
      </c>
      <c r="D166" s="271">
        <f t="shared" si="19"/>
        <v>2.0690266653515883E-8</v>
      </c>
      <c r="E166" s="34">
        <f t="shared" si="1"/>
        <v>0</v>
      </c>
      <c r="F166" s="42">
        <v>4000</v>
      </c>
      <c r="G166" s="34">
        <f t="shared" si="2"/>
        <v>82761.066614063544</v>
      </c>
      <c r="H166" s="34">
        <f t="shared" si="3"/>
        <v>82347.261280993233</v>
      </c>
      <c r="I166" s="35">
        <f t="shared" si="21"/>
        <v>1</v>
      </c>
      <c r="J166" s="36">
        <f t="shared" si="4"/>
        <v>82347.261280993233</v>
      </c>
      <c r="K166" s="34">
        <f t="shared" si="14"/>
        <v>1798610575633.1689</v>
      </c>
      <c r="L166" s="37">
        <f t="shared" si="22"/>
        <v>3176252130847.5557</v>
      </c>
      <c r="M166" s="34">
        <f t="shared" si="5"/>
        <v>200103884243.396</v>
      </c>
      <c r="N166" s="34">
        <f t="shared" si="6"/>
        <v>0</v>
      </c>
      <c r="O166" s="34">
        <f t="shared" si="7"/>
        <v>200103884243.396</v>
      </c>
      <c r="P166" s="34">
        <f t="shared" si="25"/>
        <v>20010388424.3396</v>
      </c>
      <c r="Q166" s="38">
        <f t="shared" si="8"/>
        <v>179193028339.96112</v>
      </c>
      <c r="R166" s="39">
        <f t="shared" si="16"/>
        <v>17816025541.990883</v>
      </c>
      <c r="S166" s="34">
        <f t="shared" si="17"/>
        <v>160344229877.91794</v>
      </c>
      <c r="T166" s="40">
        <f t="shared" si="24"/>
        <v>9378311859.7052708</v>
      </c>
      <c r="U166" s="272">
        <f t="shared" si="9"/>
        <v>8.4492955886712982E-3</v>
      </c>
      <c r="V166" s="282">
        <f t="shared" si="10"/>
        <v>168.6269232627256</v>
      </c>
      <c r="W166" s="283">
        <f>((S166+'Malawi-only'!S166)/(T166*(U166+'Malawi-only'!U166))/12)</f>
        <v>130.53258218008131</v>
      </c>
      <c r="X166" s="284">
        <f>(R166+'Malawi-only'!R166)</f>
        <v>21239616791.151123</v>
      </c>
      <c r="Y166" s="284">
        <f>(L166+'Malawi-only'!L166)</f>
        <v>3297554371177.0371</v>
      </c>
      <c r="Z166" s="284">
        <f>(Q166+'Malawi-only'!Q166)</f>
        <v>186040210838.28162</v>
      </c>
    </row>
    <row r="167" spans="1:26" ht="15.75" customHeight="1">
      <c r="A167" s="31" t="s">
        <v>200</v>
      </c>
      <c r="B167" s="32">
        <v>2183</v>
      </c>
      <c r="C167" s="274">
        <f t="shared" si="11"/>
        <v>1.8621239988164295E-8</v>
      </c>
      <c r="D167" s="271">
        <f t="shared" si="19"/>
        <v>1.8621239988164295E-8</v>
      </c>
      <c r="E167" s="34">
        <f t="shared" si="1"/>
        <v>0</v>
      </c>
      <c r="F167" s="42">
        <v>4000</v>
      </c>
      <c r="G167" s="34">
        <f t="shared" si="2"/>
        <v>74484.959952657169</v>
      </c>
      <c r="H167" s="34">
        <f t="shared" si="3"/>
        <v>74112.535152893877</v>
      </c>
      <c r="I167" s="35">
        <f t="shared" si="21"/>
        <v>1</v>
      </c>
      <c r="J167" s="36">
        <f t="shared" si="4"/>
        <v>74112.535152893877</v>
      </c>
      <c r="K167" s="34">
        <f t="shared" si="14"/>
        <v>1798610649745.7041</v>
      </c>
      <c r="L167" s="37">
        <f t="shared" si="22"/>
        <v>3194664462087.7388</v>
      </c>
      <c r="M167" s="34">
        <f t="shared" si="5"/>
        <v>201263861111.52756</v>
      </c>
      <c r="N167" s="34">
        <f t="shared" si="6"/>
        <v>0</v>
      </c>
      <c r="O167" s="34">
        <f t="shared" si="7"/>
        <v>201263861111.52756</v>
      </c>
      <c r="P167" s="34">
        <f t="shared" si="25"/>
        <v>20126386111.152756</v>
      </c>
      <c r="Q167" s="38">
        <f t="shared" si="8"/>
        <v>180231787625.37296</v>
      </c>
      <c r="R167" s="39">
        <f t="shared" si="16"/>
        <v>17919302833.996113</v>
      </c>
      <c r="S167" s="34">
        <f t="shared" si="17"/>
        <v>161273725505.965</v>
      </c>
      <c r="T167" s="40">
        <f t="shared" si="24"/>
        <v>9368933547.8455658</v>
      </c>
      <c r="U167" s="272">
        <f t="shared" si="9"/>
        <v>8.4492955886712982E-3</v>
      </c>
      <c r="V167" s="282">
        <f t="shared" si="10"/>
        <v>169.77420684463826</v>
      </c>
      <c r="W167" s="283">
        <f>((S167+'Malawi-only'!S167)/(T167*(U167+'Malawi-only'!U167))/12)</f>
        <v>131.42069345498149</v>
      </c>
      <c r="X167" s="284">
        <f>(R167+'Malawi-only'!R167)</f>
        <v>21362751986.013214</v>
      </c>
      <c r="Y167" s="284">
        <f>(L167+'Malawi-only'!L167)</f>
        <v>3316670293105.3027</v>
      </c>
      <c r="Z167" s="284">
        <f>(Q167+'Malawi-only'!Q167)</f>
        <v>187118685929.40717</v>
      </c>
    </row>
    <row r="168" spans="1:26" ht="15.75" customHeight="1">
      <c r="A168" s="31" t="s">
        <v>201</v>
      </c>
      <c r="B168" s="32">
        <v>2184</v>
      </c>
      <c r="C168" s="274">
        <f t="shared" si="11"/>
        <v>1.6759115989347865E-8</v>
      </c>
      <c r="D168" s="271">
        <f t="shared" si="19"/>
        <v>1.6759115989347865E-8</v>
      </c>
      <c r="E168" s="34">
        <f t="shared" si="1"/>
        <v>0</v>
      </c>
      <c r="F168" s="42">
        <v>4000</v>
      </c>
      <c r="G168" s="34">
        <f t="shared" si="2"/>
        <v>67036.463957391446</v>
      </c>
      <c r="H168" s="34">
        <f t="shared" si="3"/>
        <v>66701.281637604494</v>
      </c>
      <c r="I168" s="35">
        <f t="shared" si="21"/>
        <v>1</v>
      </c>
      <c r="J168" s="36">
        <f t="shared" si="4"/>
        <v>66701.281637604494</v>
      </c>
      <c r="K168" s="34">
        <f t="shared" si="14"/>
        <v>1798610716446.9858</v>
      </c>
      <c r="L168" s="37">
        <f t="shared" si="22"/>
        <v>3213183519442.7236</v>
      </c>
      <c r="M168" s="34">
        <f t="shared" si="5"/>
        <v>202430561724.8916</v>
      </c>
      <c r="N168" s="34">
        <f t="shared" si="6"/>
        <v>0</v>
      </c>
      <c r="O168" s="34">
        <f t="shared" si="7"/>
        <v>202430561724.8916</v>
      </c>
      <c r="P168" s="34">
        <f t="shared" si="25"/>
        <v>20243056172.489162</v>
      </c>
      <c r="Q168" s="38">
        <f t="shared" si="8"/>
        <v>181276568024.64041</v>
      </c>
      <c r="R168" s="39">
        <f t="shared" si="16"/>
        <v>18023178762.537296</v>
      </c>
      <c r="S168" s="34">
        <f t="shared" si="17"/>
        <v>162208608862.83566</v>
      </c>
      <c r="T168" s="40">
        <f t="shared" si="24"/>
        <v>9359564614.2977219</v>
      </c>
      <c r="U168" s="272">
        <f t="shared" si="9"/>
        <v>8.4492955886712982E-3</v>
      </c>
      <c r="V168" s="282">
        <f t="shared" si="10"/>
        <v>170.92929571071306</v>
      </c>
      <c r="W168" s="283">
        <f>((S168+'Malawi-only'!S168)/(T168*(U168+'Malawi-only'!U168))/12)</f>
        <v>132.31484685754907</v>
      </c>
      <c r="X168" s="284">
        <f>(R168+'Malawi-only'!R168)</f>
        <v>21486600989.67374</v>
      </c>
      <c r="Y168" s="284">
        <f>(L168+'Malawi-only'!L168)</f>
        <v>3335897021882.2539</v>
      </c>
      <c r="Z168" s="284">
        <f>(Q168+'Malawi-only'!Q168)</f>
        <v>188203412478.9133</v>
      </c>
    </row>
    <row r="169" spans="1:26" ht="15.75" customHeight="1">
      <c r="A169" s="31" t="s">
        <v>202</v>
      </c>
      <c r="B169" s="32">
        <v>2185</v>
      </c>
      <c r="C169" s="274">
        <f t="shared" si="11"/>
        <v>1.5083204390413078E-8</v>
      </c>
      <c r="D169" s="271">
        <f t="shared" si="19"/>
        <v>1.5083204390413078E-8</v>
      </c>
      <c r="E169" s="34">
        <f t="shared" si="1"/>
        <v>0</v>
      </c>
      <c r="F169" s="42">
        <v>4000</v>
      </c>
      <c r="G169" s="34">
        <f t="shared" si="2"/>
        <v>60332.817561652315</v>
      </c>
      <c r="H169" s="34">
        <f t="shared" si="3"/>
        <v>60031.153473844053</v>
      </c>
      <c r="I169" s="35">
        <f t="shared" si="21"/>
        <v>1</v>
      </c>
      <c r="J169" s="36">
        <f t="shared" si="4"/>
        <v>60031.153473844053</v>
      </c>
      <c r="K169" s="34">
        <f t="shared" si="14"/>
        <v>1798610776478.1394</v>
      </c>
      <c r="L169" s="37">
        <f t="shared" si="22"/>
        <v>3231809922328.543</v>
      </c>
      <c r="M169" s="34">
        <f t="shared" si="5"/>
        <v>203604025106.69821</v>
      </c>
      <c r="N169" s="34">
        <f t="shared" si="6"/>
        <v>0</v>
      </c>
      <c r="O169" s="34">
        <f t="shared" si="7"/>
        <v>203604025106.69821</v>
      </c>
      <c r="P169" s="34">
        <f t="shared" si="25"/>
        <v>20360402510.669823</v>
      </c>
      <c r="Q169" s="38">
        <f t="shared" si="8"/>
        <v>182327404483.04825</v>
      </c>
      <c r="R169" s="39">
        <f t="shared" si="16"/>
        <v>18127656802.464043</v>
      </c>
      <c r="S169" s="34">
        <f t="shared" si="17"/>
        <v>163148911222.17636</v>
      </c>
      <c r="T169" s="40">
        <f t="shared" si="24"/>
        <v>9350205049.6834259</v>
      </c>
      <c r="U169" s="272">
        <f t="shared" si="9"/>
        <v>8.4492955886712982E-3</v>
      </c>
      <c r="V169" s="282">
        <f t="shared" si="10"/>
        <v>172.09224300860433</v>
      </c>
      <c r="W169" s="283">
        <f>((S169+'Malawi-only'!S169)/(T169*(U169+'Malawi-only'!U169))/12)</f>
        <v>133.21508353023367</v>
      </c>
      <c r="X169" s="284">
        <f>(R169+'Malawi-only'!R169)</f>
        <v>21611167945.940838</v>
      </c>
      <c r="Y169" s="284">
        <f>(L169+'Malawi-only'!L169)</f>
        <v>3355235200622.7192</v>
      </c>
      <c r="Z169" s="284">
        <f>(Q169+'Malawi-only'!Q169)</f>
        <v>189294426770.00183</v>
      </c>
    </row>
    <row r="170" spans="1:26" ht="15.75" customHeight="1">
      <c r="A170" s="31" t="s">
        <v>203</v>
      </c>
      <c r="B170" s="32">
        <v>2186</v>
      </c>
      <c r="C170" s="274">
        <f t="shared" si="11"/>
        <v>1.3574883951371771E-8</v>
      </c>
      <c r="D170" s="271">
        <f t="shared" si="19"/>
        <v>1.3574883951371771E-8</v>
      </c>
      <c r="E170" s="34">
        <f t="shared" si="1"/>
        <v>0</v>
      </c>
      <c r="F170" s="42">
        <v>4000</v>
      </c>
      <c r="G170" s="34">
        <f t="shared" si="2"/>
        <v>54299.535805487089</v>
      </c>
      <c r="H170" s="34">
        <f t="shared" si="3"/>
        <v>54028.038126459651</v>
      </c>
      <c r="I170" s="35">
        <f t="shared" si="21"/>
        <v>1</v>
      </c>
      <c r="J170" s="36">
        <f t="shared" si="4"/>
        <v>54028.038126459651</v>
      </c>
      <c r="K170" s="34">
        <f t="shared" si="14"/>
        <v>1798610830506.1775</v>
      </c>
      <c r="L170" s="37">
        <f t="shared" si="22"/>
        <v>3250544293677.8174</v>
      </c>
      <c r="M170" s="34">
        <f t="shared" si="5"/>
        <v>204784290501.70248</v>
      </c>
      <c r="N170" s="34">
        <f t="shared" si="6"/>
        <v>0</v>
      </c>
      <c r="O170" s="34">
        <f t="shared" si="7"/>
        <v>204784290501.70248</v>
      </c>
      <c r="P170" s="34">
        <f t="shared" si="25"/>
        <v>20478429050.17025</v>
      </c>
      <c r="Q170" s="38">
        <f t="shared" si="8"/>
        <v>183384332144.27457</v>
      </c>
      <c r="R170" s="39">
        <f t="shared" si="16"/>
        <v>18232740448.304825</v>
      </c>
      <c r="S170" s="34">
        <f t="shared" si="17"/>
        <v>164094664034.74341</v>
      </c>
      <c r="T170" s="40">
        <f t="shared" si="24"/>
        <v>9340854844.6337433</v>
      </c>
      <c r="U170" s="272">
        <f t="shared" si="9"/>
        <v>8.4492955886712982E-3</v>
      </c>
      <c r="V170" s="282">
        <f t="shared" si="10"/>
        <v>173.26310224328344</v>
      </c>
      <c r="W170" s="283">
        <f>((S170+'Malawi-only'!S170)/(T170*(U170+'Malawi-only'!U170))/12)</f>
        <v>134.12144489209018</v>
      </c>
      <c r="X170" s="284">
        <f>(R170+'Malawi-only'!R170)</f>
        <v>21736457022.089012</v>
      </c>
      <c r="Y170" s="284">
        <f>(L170+'Malawi-only'!L170)</f>
        <v>3374685476092.6396</v>
      </c>
      <c r="Z170" s="284">
        <f>(Q170+'Malawi-only'!Q170)</f>
        <v>190391765291.84296</v>
      </c>
    </row>
    <row r="171" spans="1:26" ht="15.75" customHeight="1">
      <c r="A171" s="31" t="s">
        <v>204</v>
      </c>
      <c r="B171" s="32">
        <v>2187</v>
      </c>
      <c r="C171" s="274">
        <f t="shared" si="11"/>
        <v>1.2217395556234593E-8</v>
      </c>
      <c r="D171" s="271">
        <f t="shared" si="19"/>
        <v>1.2217395556234593E-8</v>
      </c>
      <c r="E171" s="34">
        <f t="shared" si="1"/>
        <v>0</v>
      </c>
      <c r="F171" s="42">
        <v>4000</v>
      </c>
      <c r="G171" s="34">
        <f t="shared" si="2"/>
        <v>48869.582224938378</v>
      </c>
      <c r="H171" s="34">
        <f t="shared" si="3"/>
        <v>48625.234313813686</v>
      </c>
      <c r="I171" s="35">
        <f t="shared" si="21"/>
        <v>1</v>
      </c>
      <c r="J171" s="36">
        <f t="shared" si="4"/>
        <v>48625.234313813686</v>
      </c>
      <c r="K171" s="34">
        <f t="shared" si="14"/>
        <v>1798610879131.4119</v>
      </c>
      <c r="L171" s="37">
        <f t="shared" si="22"/>
        <v>3269387259967.5459</v>
      </c>
      <c r="M171" s="34">
        <f t="shared" si="5"/>
        <v>205971397377.95538</v>
      </c>
      <c r="N171" s="34">
        <f t="shared" si="6"/>
        <v>0</v>
      </c>
      <c r="O171" s="34">
        <f t="shared" si="7"/>
        <v>205971397377.95538</v>
      </c>
      <c r="P171" s="34">
        <f t="shared" si="25"/>
        <v>20597139737.79554</v>
      </c>
      <c r="Q171" s="38">
        <f t="shared" si="8"/>
        <v>184447386351.95905</v>
      </c>
      <c r="R171" s="39">
        <f t="shared" si="16"/>
        <v>18338433214.427456</v>
      </c>
      <c r="S171" s="34">
        <f t="shared" si="17"/>
        <v>165045898929.84711</v>
      </c>
      <c r="T171" s="40">
        <f t="shared" si="24"/>
        <v>9331513989.7891102</v>
      </c>
      <c r="U171" s="272">
        <f t="shared" si="9"/>
        <v>8.4492955886712982E-3</v>
      </c>
      <c r="V171" s="282">
        <f t="shared" si="10"/>
        <v>174.44192727989363</v>
      </c>
      <c r="W171" s="283">
        <f>((S171+'Malawi-only'!S171)/(T171*(U171+'Malawi-only'!U171))/12)</f>
        <v>135.03397264098908</v>
      </c>
      <c r="X171" s="284">
        <f>(R171+'Malawi-only'!R171)</f>
        <v>21862472409.050865</v>
      </c>
      <c r="Y171" s="284">
        <f>(L171+'Malawi-only'!L171)</f>
        <v>3394248498737.9302</v>
      </c>
      <c r="Z171" s="284">
        <f>(Q171+'Malawi-only'!Q171)</f>
        <v>191495464741.20587</v>
      </c>
    </row>
    <row r="172" spans="1:26" ht="15.75" customHeight="1">
      <c r="A172" s="31" t="s">
        <v>205</v>
      </c>
      <c r="B172" s="32">
        <v>2188</v>
      </c>
      <c r="C172" s="274">
        <f t="shared" si="11"/>
        <v>1.0995656000611133E-8</v>
      </c>
      <c r="D172" s="271">
        <f t="shared" si="19"/>
        <v>1.0995656000611133E-8</v>
      </c>
      <c r="E172" s="34">
        <f t="shared" si="1"/>
        <v>0</v>
      </c>
      <c r="F172" s="42">
        <v>4000</v>
      </c>
      <c r="G172" s="34">
        <f t="shared" si="2"/>
        <v>43982.624002444529</v>
      </c>
      <c r="H172" s="34">
        <f t="shared" si="3"/>
        <v>43762.710882432308</v>
      </c>
      <c r="I172" s="35">
        <f t="shared" si="21"/>
        <v>1</v>
      </c>
      <c r="J172" s="36">
        <f t="shared" si="4"/>
        <v>43762.710882432308</v>
      </c>
      <c r="K172" s="34">
        <f t="shared" si="14"/>
        <v>1798610922894.1228</v>
      </c>
      <c r="L172" s="37">
        <f t="shared" si="22"/>
        <v>3288339451246.3184</v>
      </c>
      <c r="M172" s="34">
        <f t="shared" si="5"/>
        <v>207165385428.51807</v>
      </c>
      <c r="N172" s="34">
        <f t="shared" si="6"/>
        <v>0</v>
      </c>
      <c r="O172" s="34">
        <f t="shared" si="7"/>
        <v>207165385428.51807</v>
      </c>
      <c r="P172" s="34">
        <f t="shared" si="25"/>
        <v>20716538542.851807</v>
      </c>
      <c r="Q172" s="38">
        <f t="shared" si="8"/>
        <v>185516602651.23792</v>
      </c>
      <c r="R172" s="39">
        <f t="shared" si="16"/>
        <v>18444738635.195904</v>
      </c>
      <c r="S172" s="34">
        <f t="shared" si="17"/>
        <v>166002647716.76315</v>
      </c>
      <c r="T172" s="40">
        <f t="shared" si="24"/>
        <v>9322182475.7993221</v>
      </c>
      <c r="U172" s="272">
        <f t="shared" si="9"/>
        <v>8.4492955886712982E-3</v>
      </c>
      <c r="V172" s="282">
        <f t="shared" si="10"/>
        <v>175.6287723465831</v>
      </c>
      <c r="W172" s="283">
        <f>((S172+'Malawi-only'!S172)/(T172*(U172+'Malawi-only'!U172))/12)</f>
        <v>135.9527087558096</v>
      </c>
      <c r="X172" s="284">
        <f>(R172+'Malawi-only'!R172)</f>
        <v>21989218321.604366</v>
      </c>
      <c r="Y172" s="284">
        <f>(L172+'Malawi-only'!L172)</f>
        <v>3413924922712.7437</v>
      </c>
      <c r="Z172" s="284">
        <f>(Q172+'Malawi-only'!Q172)</f>
        <v>192605562024.05484</v>
      </c>
    </row>
    <row r="173" spans="1:26" ht="15.75" customHeight="1">
      <c r="A173" s="31" t="s">
        <v>206</v>
      </c>
      <c r="B173" s="32">
        <v>2189</v>
      </c>
      <c r="C173" s="274">
        <f t="shared" si="11"/>
        <v>9.8960904005500209E-9</v>
      </c>
      <c r="D173" s="271">
        <f t="shared" si="19"/>
        <v>9.8960904005500209E-9</v>
      </c>
      <c r="E173" s="34">
        <f t="shared" si="1"/>
        <v>0</v>
      </c>
      <c r="F173" s="42">
        <v>4000</v>
      </c>
      <c r="G173" s="34">
        <f t="shared" si="2"/>
        <v>39584.361602200086</v>
      </c>
      <c r="H173" s="34">
        <f t="shared" si="3"/>
        <v>39386.439794189086</v>
      </c>
      <c r="I173" s="35">
        <f t="shared" si="21"/>
        <v>1</v>
      </c>
      <c r="J173" s="36">
        <f t="shared" si="4"/>
        <v>39386.439794189086</v>
      </c>
      <c r="K173" s="34">
        <f t="shared" si="14"/>
        <v>1798610962280.5625</v>
      </c>
      <c r="L173" s="37">
        <f t="shared" si="22"/>
        <v>3307401501161.0229</v>
      </c>
      <c r="M173" s="34">
        <f t="shared" si="5"/>
        <v>208366294573.14444</v>
      </c>
      <c r="N173" s="34">
        <f t="shared" si="6"/>
        <v>0</v>
      </c>
      <c r="O173" s="34">
        <f t="shared" si="7"/>
        <v>208366294573.14444</v>
      </c>
      <c r="P173" s="34">
        <f t="shared" si="25"/>
        <v>20836629457.314445</v>
      </c>
      <c r="Q173" s="38">
        <f t="shared" si="8"/>
        <v>186592016790.25082</v>
      </c>
      <c r="R173" s="39">
        <f t="shared" si="16"/>
        <v>18551660265.123791</v>
      </c>
      <c r="S173" s="34">
        <f t="shared" si="17"/>
        <v>166964942386.11414</v>
      </c>
      <c r="T173" s="40">
        <f t="shared" si="24"/>
        <v>9312860293.3235245</v>
      </c>
      <c r="U173" s="272">
        <f t="shared" si="9"/>
        <v>8.4492955886712982E-3</v>
      </c>
      <c r="V173" s="282">
        <f t="shared" si="10"/>
        <v>176.82369203731878</v>
      </c>
      <c r="W173" s="283">
        <f>((S173+'Malawi-only'!S173)/(T173*(U173+'Malawi-only'!U173))/12)</f>
        <v>136.87769549861835</v>
      </c>
      <c r="X173" s="284">
        <f>(R173+'Malawi-only'!R173)</f>
        <v>22116698998.556217</v>
      </c>
      <c r="Y173" s="284">
        <f>(L173+'Malawi-only'!L173)</f>
        <v>3433715405907.2104</v>
      </c>
      <c r="Z173" s="284">
        <f>(Q173+'Malawi-only'!Q173)</f>
        <v>193722094257.11566</v>
      </c>
    </row>
    <row r="174" spans="1:26" ht="15.75" customHeight="1">
      <c r="A174" s="31" t="s">
        <v>207</v>
      </c>
      <c r="B174" s="32">
        <v>2190</v>
      </c>
      <c r="C174" s="274">
        <f t="shared" si="11"/>
        <v>8.9064813604950187E-9</v>
      </c>
      <c r="D174" s="271">
        <f t="shared" si="19"/>
        <v>8.9064813604950187E-9</v>
      </c>
      <c r="E174" s="34">
        <f t="shared" si="1"/>
        <v>0</v>
      </c>
      <c r="F174" s="42">
        <v>4000</v>
      </c>
      <c r="G174" s="34">
        <f t="shared" si="2"/>
        <v>35625.925441980071</v>
      </c>
      <c r="H174" s="34">
        <f t="shared" si="3"/>
        <v>35447.795814770172</v>
      </c>
      <c r="I174" s="35">
        <f t="shared" si="21"/>
        <v>1</v>
      </c>
      <c r="J174" s="36">
        <f t="shared" si="4"/>
        <v>35447.795814770172</v>
      </c>
      <c r="K174" s="34">
        <f t="shared" si="14"/>
        <v>1798610997728.3584</v>
      </c>
      <c r="L174" s="37">
        <f t="shared" si="22"/>
        <v>3326574046983.1006</v>
      </c>
      <c r="M174" s="34">
        <f t="shared" si="5"/>
        <v>209574164959.93533</v>
      </c>
      <c r="N174" s="34">
        <f t="shared" si="6"/>
        <v>0</v>
      </c>
      <c r="O174" s="34">
        <f t="shared" si="7"/>
        <v>209574164959.93533</v>
      </c>
      <c r="P174" s="34">
        <f t="shared" si="25"/>
        <v>20957416495.993534</v>
      </c>
      <c r="Q174" s="38">
        <f t="shared" si="8"/>
        <v>187673664721.6221</v>
      </c>
      <c r="R174" s="39">
        <f t="shared" si="16"/>
        <v>18659201679.025082</v>
      </c>
      <c r="S174" s="34">
        <f t="shared" si="17"/>
        <v>167932815111.22574</v>
      </c>
      <c r="T174" s="40">
        <f t="shared" si="24"/>
        <v>9303547433.0302029</v>
      </c>
      <c r="U174" s="272">
        <f t="shared" si="9"/>
        <v>8.4492955886712982E-3</v>
      </c>
      <c r="V174" s="282">
        <f t="shared" si="10"/>
        <v>178.02674131468584</v>
      </c>
      <c r="W174" s="283">
        <f>((S174+'Malawi-only'!S174)/(T174*(U174+'Malawi-only'!U174))/12)</f>
        <v>137.80897541683663</v>
      </c>
      <c r="X174" s="284">
        <f>(R174+'Malawi-only'!R174)</f>
        <v>22244918702.921768</v>
      </c>
      <c r="Y174" s="284">
        <f>(L174+'Malawi-only'!L174)</f>
        <v>3453620609974.7041</v>
      </c>
      <c r="Z174" s="284">
        <f>(Q174+'Malawi-only'!Q174)</f>
        <v>194845098769.41547</v>
      </c>
    </row>
    <row r="175" spans="1:26" ht="15.75" customHeight="1">
      <c r="A175" s="31" t="s">
        <v>208</v>
      </c>
      <c r="B175" s="32">
        <v>2191</v>
      </c>
      <c r="C175" s="274">
        <f t="shared" si="11"/>
        <v>8.0158332244455167E-9</v>
      </c>
      <c r="D175" s="271">
        <f t="shared" si="19"/>
        <v>8.0158332244455167E-9</v>
      </c>
      <c r="E175" s="34">
        <f t="shared" si="1"/>
        <v>0</v>
      </c>
      <c r="F175" s="42">
        <v>4000</v>
      </c>
      <c r="G175" s="34">
        <f t="shared" si="2"/>
        <v>32063.332897782067</v>
      </c>
      <c r="H175" s="34">
        <f t="shared" si="3"/>
        <v>31903.016233293158</v>
      </c>
      <c r="I175" s="35">
        <f t="shared" si="21"/>
        <v>1</v>
      </c>
      <c r="J175" s="36">
        <f t="shared" si="4"/>
        <v>31903.016233293158</v>
      </c>
      <c r="K175" s="34">
        <f t="shared" si="14"/>
        <v>1798611029631.3745</v>
      </c>
      <c r="L175" s="37">
        <f t="shared" si="22"/>
        <v>3345857729634.4194</v>
      </c>
      <c r="M175" s="34">
        <f t="shared" si="5"/>
        <v>210789036966.96841</v>
      </c>
      <c r="N175" s="34">
        <f t="shared" si="6"/>
        <v>0</v>
      </c>
      <c r="O175" s="34">
        <f t="shared" si="7"/>
        <v>210789036966.96841</v>
      </c>
      <c r="P175" s="34">
        <f t="shared" si="25"/>
        <v>21078903696.696842</v>
      </c>
      <c r="Q175" s="38">
        <f t="shared" si="8"/>
        <v>188761582603.92023</v>
      </c>
      <c r="R175" s="39">
        <f t="shared" si="16"/>
        <v>18767366472.162212</v>
      </c>
      <c r="S175" s="34">
        <f t="shared" si="17"/>
        <v>168906298249.4599</v>
      </c>
      <c r="T175" s="40">
        <f t="shared" si="24"/>
        <v>9294243885.5971737</v>
      </c>
      <c r="U175" s="272">
        <f t="shared" si="9"/>
        <v>8.4492955886712982E-3</v>
      </c>
      <c r="V175" s="282">
        <f t="shared" si="10"/>
        <v>179.23797551267492</v>
      </c>
      <c r="W175" s="283">
        <f>((S175+'Malawi-only'!S175)/(T175*(U175+'Malawi-only'!U175))/12)</f>
        <v>138.74659134539826</v>
      </c>
      <c r="X175" s="284">
        <f>(R175+'Malawi-only'!R175)</f>
        <v>22373881722.101902</v>
      </c>
      <c r="Y175" s="284">
        <f>(L175+'Malawi-only'!L175)</f>
        <v>3473641200358.7124</v>
      </c>
      <c r="Z175" s="284">
        <f>(Q175+'Malawi-only'!Q175)</f>
        <v>195974613103.79962</v>
      </c>
    </row>
    <row r="176" spans="1:26" ht="15.75" customHeight="1">
      <c r="A176" s="31" t="s">
        <v>209</v>
      </c>
      <c r="B176" s="32">
        <v>2192</v>
      </c>
      <c r="C176" s="274">
        <f t="shared" si="11"/>
        <v>7.2142499020009652E-9</v>
      </c>
      <c r="D176" s="271">
        <f t="shared" si="19"/>
        <v>7.2142499020009652E-9</v>
      </c>
      <c r="E176" s="34">
        <f t="shared" si="1"/>
        <v>0</v>
      </c>
      <c r="F176" s="42">
        <v>4000</v>
      </c>
      <c r="G176" s="34">
        <f t="shared" si="2"/>
        <v>28856.999608003862</v>
      </c>
      <c r="H176" s="34">
        <f t="shared" si="3"/>
        <v>28712.714609963841</v>
      </c>
      <c r="I176" s="35">
        <f t="shared" si="21"/>
        <v>1</v>
      </c>
      <c r="J176" s="36">
        <f t="shared" si="4"/>
        <v>28712.714609963841</v>
      </c>
      <c r="K176" s="34">
        <f t="shared" si="14"/>
        <v>1798611058344.0891</v>
      </c>
      <c r="L176" s="37">
        <f t="shared" si="22"/>
        <v>3365253193712.8091</v>
      </c>
      <c r="M176" s="34">
        <f t="shared" si="5"/>
        <v>212010951203.90698</v>
      </c>
      <c r="N176" s="34">
        <f t="shared" si="6"/>
        <v>0</v>
      </c>
      <c r="O176" s="34">
        <f t="shared" si="7"/>
        <v>212010951203.90698</v>
      </c>
      <c r="P176" s="34">
        <f t="shared" si="25"/>
        <v>21201095120.390701</v>
      </c>
      <c r="Q176" s="38">
        <f t="shared" si="8"/>
        <v>189855806803.09872</v>
      </c>
      <c r="R176" s="39">
        <f t="shared" si="16"/>
        <v>18876158260.392025</v>
      </c>
      <c r="S176" s="34">
        <f t="shared" si="17"/>
        <v>169885424343.5282</v>
      </c>
      <c r="T176" s="40">
        <f t="shared" si="24"/>
        <v>9284949641.7115784</v>
      </c>
      <c r="U176" s="272">
        <f t="shared" si="9"/>
        <v>8.4492955886712982E-3</v>
      </c>
      <c r="V176" s="282">
        <f t="shared" si="10"/>
        <v>180.45745033946079</v>
      </c>
      <c r="W176" s="283">
        <f>((S176+'Malawi-only'!S176)/(T176*(U176+'Malawi-only'!U176))/12)</f>
        <v>139.69058640890069</v>
      </c>
      <c r="X176" s="284">
        <f>(R176+'Malawi-only'!R176)</f>
        <v>22503592368.057285</v>
      </c>
      <c r="Y176" s="284">
        <f>(L176+'Malawi-only'!L176)</f>
        <v>3493777846319.3574</v>
      </c>
      <c r="Z176" s="284">
        <f>(Q176+'Malawi-only'!Q176)</f>
        <v>197110675018.42923</v>
      </c>
    </row>
    <row r="177" spans="1:26" ht="15.75" customHeight="1">
      <c r="A177" s="31" t="s">
        <v>210</v>
      </c>
      <c r="B177" s="32">
        <v>2193</v>
      </c>
      <c r="C177" s="274">
        <f t="shared" si="11"/>
        <v>6.4928249118008691E-9</v>
      </c>
      <c r="D177" s="271">
        <f t="shared" si="19"/>
        <v>6.4928249118008691E-9</v>
      </c>
      <c r="E177" s="34">
        <f t="shared" si="1"/>
        <v>0</v>
      </c>
      <c r="F177" s="42">
        <v>4000</v>
      </c>
      <c r="G177" s="34">
        <f t="shared" si="2"/>
        <v>25971.299647203476</v>
      </c>
      <c r="H177" s="34">
        <f t="shared" si="3"/>
        <v>25841.443148967457</v>
      </c>
      <c r="I177" s="35">
        <f t="shared" si="21"/>
        <v>1</v>
      </c>
      <c r="J177" s="36">
        <f t="shared" si="4"/>
        <v>25841.443148967457</v>
      </c>
      <c r="K177" s="34">
        <f t="shared" si="14"/>
        <v>1798611084185.5322</v>
      </c>
      <c r="L177" s="37">
        <f t="shared" si="22"/>
        <v>3384761087517.3062</v>
      </c>
      <c r="M177" s="34">
        <f t="shared" si="5"/>
        <v>213239948513.5903</v>
      </c>
      <c r="N177" s="34">
        <f t="shared" si="6"/>
        <v>0</v>
      </c>
      <c r="O177" s="34">
        <f t="shared" si="7"/>
        <v>213239948513.5903</v>
      </c>
      <c r="P177" s="34">
        <f t="shared" si="25"/>
        <v>21323994851.359032</v>
      </c>
      <c r="Q177" s="38">
        <f t="shared" si="8"/>
        <v>190956373893.9201</v>
      </c>
      <c r="R177" s="39">
        <f t="shared" si="16"/>
        <v>18985580680.309872</v>
      </c>
      <c r="S177" s="34">
        <f t="shared" si="17"/>
        <v>170870226122.78885</v>
      </c>
      <c r="T177" s="40">
        <f t="shared" si="24"/>
        <v>9275664692.0698681</v>
      </c>
      <c r="U177" s="272">
        <f t="shared" si="9"/>
        <v>8.4492955886712982E-3</v>
      </c>
      <c r="V177" s="282">
        <f t="shared" si="10"/>
        <v>181.68522188017531</v>
      </c>
      <c r="W177" s="283">
        <f>((S177+'Malawi-only'!S177)/(T177*(U177+'Malawi-only'!U177))/12)</f>
        <v>140.64100402375186</v>
      </c>
      <c r="X177" s="284">
        <f>(R177+'Malawi-only'!R177)</f>
        <v>22634054977.480373</v>
      </c>
      <c r="Y177" s="284">
        <f>(L177+'Malawi-only'!L177)</f>
        <v>3514031220959.6108</v>
      </c>
      <c r="Z177" s="284">
        <f>(Q177+'Malawi-only'!Q177)</f>
        <v>198253322488.26111</v>
      </c>
    </row>
    <row r="178" spans="1:26" ht="15.75" customHeight="1">
      <c r="A178" s="31" t="s">
        <v>211</v>
      </c>
      <c r="B178" s="32">
        <v>2194</v>
      </c>
      <c r="C178" s="274">
        <f t="shared" si="11"/>
        <v>5.843542420620782E-9</v>
      </c>
      <c r="D178" s="271">
        <f t="shared" si="19"/>
        <v>5.843542420620782E-9</v>
      </c>
      <c r="E178" s="34">
        <f t="shared" si="1"/>
        <v>0</v>
      </c>
      <c r="F178" s="42">
        <v>4000</v>
      </c>
      <c r="G178" s="34">
        <f t="shared" si="2"/>
        <v>23374.169682483127</v>
      </c>
      <c r="H178" s="34">
        <f t="shared" si="3"/>
        <v>23257.298834070712</v>
      </c>
      <c r="I178" s="35">
        <f t="shared" si="21"/>
        <v>1</v>
      </c>
      <c r="J178" s="36">
        <f t="shared" si="4"/>
        <v>23257.298834070712</v>
      </c>
      <c r="K178" s="34">
        <f t="shared" si="14"/>
        <v>1798611107442.8311</v>
      </c>
      <c r="L178" s="37">
        <f t="shared" si="22"/>
        <v>3404382063073.1509</v>
      </c>
      <c r="M178" s="34">
        <f t="shared" si="5"/>
        <v>214476069973.60852</v>
      </c>
      <c r="N178" s="34">
        <f t="shared" si="6"/>
        <v>0</v>
      </c>
      <c r="O178" s="34">
        <f t="shared" si="7"/>
        <v>214476069973.60852</v>
      </c>
      <c r="P178" s="34">
        <f t="shared" si="25"/>
        <v>21447606997.360855</v>
      </c>
      <c r="Q178" s="38">
        <f t="shared" si="8"/>
        <v>192063320661.36646</v>
      </c>
      <c r="R178" s="39">
        <f t="shared" si="16"/>
        <v>19095637389.39201</v>
      </c>
      <c r="S178" s="34">
        <f t="shared" si="17"/>
        <v>171860736504.52811</v>
      </c>
      <c r="T178" s="40">
        <f t="shared" si="24"/>
        <v>9266389027.3778</v>
      </c>
      <c r="U178" s="272">
        <f t="shared" si="9"/>
        <v>8.4492955886712982E-3</v>
      </c>
      <c r="V178" s="282">
        <f t="shared" si="10"/>
        <v>182.92134659967618</v>
      </c>
      <c r="W178" s="283">
        <f>((S178+'Malawi-only'!S178)/(T178*(U178+'Malawi-only'!U178))/12)</f>
        <v>141.59788790031362</v>
      </c>
      <c r="X178" s="284">
        <f>(R178+'Malawi-only'!R178)</f>
        <v>22765273911.965424</v>
      </c>
      <c r="Y178" s="284">
        <f>(L178+'Malawi-only'!L178)</f>
        <v>3534402001251.2544</v>
      </c>
      <c r="Z178" s="284">
        <f>(Q178+'Malawi-only'!Q178)</f>
        <v>199402593706.51328</v>
      </c>
    </row>
    <row r="179" spans="1:26" ht="15.75" customHeight="1">
      <c r="A179" s="31" t="s">
        <v>212</v>
      </c>
      <c r="B179" s="32">
        <v>2195</v>
      </c>
      <c r="C179" s="274">
        <f t="shared" si="11"/>
        <v>5.259188178558704E-9</v>
      </c>
      <c r="D179" s="271">
        <f t="shared" si="19"/>
        <v>5.259188178558704E-9</v>
      </c>
      <c r="E179" s="34">
        <f t="shared" si="1"/>
        <v>0</v>
      </c>
      <c r="F179" s="42">
        <v>4000</v>
      </c>
      <c r="G179" s="34">
        <f t="shared" si="2"/>
        <v>21036.752714234815</v>
      </c>
      <c r="H179" s="34">
        <f t="shared" si="3"/>
        <v>20931.568950663641</v>
      </c>
      <c r="I179" s="35">
        <f t="shared" si="21"/>
        <v>1</v>
      </c>
      <c r="J179" s="36">
        <f t="shared" si="4"/>
        <v>20931.568950663641</v>
      </c>
      <c r="K179" s="34">
        <f t="shared" si="14"/>
        <v>1798611128374.3999</v>
      </c>
      <c r="L179" s="37">
        <f t="shared" si="22"/>
        <v>3424116776156.5796</v>
      </c>
      <c r="M179" s="34">
        <f t="shared" si="5"/>
        <v>215719356897.8645</v>
      </c>
      <c r="N179" s="34">
        <f t="shared" si="6"/>
        <v>0</v>
      </c>
      <c r="O179" s="34">
        <f t="shared" si="7"/>
        <v>215719356897.8645</v>
      </c>
      <c r="P179" s="34">
        <f t="shared" si="25"/>
        <v>21571935689.786453</v>
      </c>
      <c r="Q179" s="38">
        <f t="shared" si="8"/>
        <v>193176684102.03766</v>
      </c>
      <c r="R179" s="39">
        <f t="shared" si="16"/>
        <v>19206332066.136646</v>
      </c>
      <c r="S179" s="34">
        <f t="shared" si="17"/>
        <v>172856988595.2298</v>
      </c>
      <c r="T179" s="40">
        <f t="shared" si="24"/>
        <v>9257122638.3504238</v>
      </c>
      <c r="U179" s="272">
        <f t="shared" si="9"/>
        <v>8.4492955886712982E-3</v>
      </c>
      <c r="V179" s="282">
        <f t="shared" si="10"/>
        <v>184.16588134531466</v>
      </c>
      <c r="W179" s="283">
        <f>((S179+'Malawi-only'!S179)/(T179*(U179+'Malawi-only'!U179))/12)</f>
        <v>142.56128204504449</v>
      </c>
      <c r="X179" s="284">
        <f>(R179+'Malawi-only'!R179)</f>
        <v>22897253558.176826</v>
      </c>
      <c r="Y179" s="284">
        <f>(L179+'Malawi-only'!L179)</f>
        <v>3554890868060.6235</v>
      </c>
      <c r="Z179" s="284">
        <f>(Q179+'Malawi-only'!Q179)</f>
        <v>200558527086.11801</v>
      </c>
    </row>
    <row r="180" spans="1:26" ht="15.75" customHeight="1">
      <c r="A180" s="31" t="s">
        <v>213</v>
      </c>
      <c r="B180" s="32">
        <v>2196</v>
      </c>
      <c r="C180" s="274">
        <f t="shared" si="11"/>
        <v>4.7332693607028336E-9</v>
      </c>
      <c r="D180" s="271">
        <f t="shared" si="19"/>
        <v>4.7332693607028336E-9</v>
      </c>
      <c r="E180" s="34">
        <f t="shared" si="1"/>
        <v>0</v>
      </c>
      <c r="F180" s="42">
        <v>4000</v>
      </c>
      <c r="G180" s="34">
        <f t="shared" si="2"/>
        <v>18933.077442811336</v>
      </c>
      <c r="H180" s="34">
        <f t="shared" si="3"/>
        <v>18838.41205559728</v>
      </c>
      <c r="I180" s="35">
        <f t="shared" si="21"/>
        <v>1</v>
      </c>
      <c r="J180" s="36">
        <f t="shared" si="4"/>
        <v>18838.41205559728</v>
      </c>
      <c r="K180" s="34">
        <f t="shared" si="14"/>
        <v>1798611147212.812</v>
      </c>
      <c r="L180" s="37">
        <f t="shared" si="22"/>
        <v>3443965886319.436</v>
      </c>
      <c r="M180" s="34">
        <f t="shared" si="5"/>
        <v>216969850838.12448</v>
      </c>
      <c r="N180" s="34">
        <f t="shared" si="6"/>
        <v>0</v>
      </c>
      <c r="O180" s="34">
        <f t="shared" si="7"/>
        <v>216969850838.12448</v>
      </c>
      <c r="P180" s="34">
        <f t="shared" si="25"/>
        <v>21696985083.81245</v>
      </c>
      <c r="Q180" s="38">
        <f t="shared" si="8"/>
        <v>194296501425.54047</v>
      </c>
      <c r="R180" s="39">
        <f t="shared" si="16"/>
        <v>19317668410.203766</v>
      </c>
      <c r="S180" s="34">
        <f t="shared" si="17"/>
        <v>173859015691.83389</v>
      </c>
      <c r="T180" s="40">
        <f t="shared" si="24"/>
        <v>9247865515.7120743</v>
      </c>
      <c r="U180" s="272">
        <f t="shared" si="9"/>
        <v>8.4492955886712982E-3</v>
      </c>
      <c r="V180" s="282">
        <f t="shared" si="10"/>
        <v>185.41888334970383</v>
      </c>
      <c r="W180" s="283">
        <f>((S180+'Malawi-only'!S180)/(T180*(U180+'Malawi-only'!U180))/12)</f>
        <v>143.53123076264265</v>
      </c>
      <c r="X180" s="284">
        <f>(R180+'Malawi-only'!R180)</f>
        <v>23029998328.016033</v>
      </c>
      <c r="Y180" s="284">
        <f>(L180+'Malawi-only'!L180)</f>
        <v>3575498506174.1689</v>
      </c>
      <c r="Z180" s="284">
        <f>(Q180+'Malawi-only'!Q180)</f>
        <v>201721161261.16501</v>
      </c>
    </row>
    <row r="181" spans="1:26" ht="15.75" customHeight="1">
      <c r="A181" s="31" t="s">
        <v>214</v>
      </c>
      <c r="B181" s="32">
        <v>2197</v>
      </c>
      <c r="C181" s="274">
        <f t="shared" si="11"/>
        <v>4.2599424246325507E-9</v>
      </c>
      <c r="D181" s="271">
        <f t="shared" si="19"/>
        <v>4.2599424246325507E-9</v>
      </c>
      <c r="E181" s="34">
        <f t="shared" si="1"/>
        <v>0</v>
      </c>
      <c r="F181" s="42">
        <v>4000</v>
      </c>
      <c r="G181" s="34">
        <f t="shared" si="2"/>
        <v>17039.769698530203</v>
      </c>
      <c r="H181" s="34">
        <f t="shared" si="3"/>
        <v>16954.570850037551</v>
      </c>
      <c r="I181" s="35">
        <f t="shared" si="21"/>
        <v>1</v>
      </c>
      <c r="J181" s="36">
        <f t="shared" si="4"/>
        <v>16954.570850037551</v>
      </c>
      <c r="K181" s="34">
        <f t="shared" si="14"/>
        <v>1798611164167.3828</v>
      </c>
      <c r="L181" s="37">
        <f t="shared" si="22"/>
        <v>3463930056913.6406</v>
      </c>
      <c r="M181" s="34">
        <f t="shared" si="5"/>
        <v>218227593585.55936</v>
      </c>
      <c r="N181" s="34">
        <f t="shared" si="6"/>
        <v>0</v>
      </c>
      <c r="O181" s="34">
        <f t="shared" si="7"/>
        <v>218227593585.55936</v>
      </c>
      <c r="P181" s="34">
        <f t="shared" si="25"/>
        <v>21822759358.555939</v>
      </c>
      <c r="Q181" s="38">
        <f t="shared" si="8"/>
        <v>195422810055.86841</v>
      </c>
      <c r="R181" s="39">
        <f t="shared" si="16"/>
        <v>19429650142.554047</v>
      </c>
      <c r="S181" s="34">
        <f t="shared" si="17"/>
        <v>174866851282.98642</v>
      </c>
      <c r="T181" s="40">
        <f t="shared" si="24"/>
        <v>9238617650.1963634</v>
      </c>
      <c r="U181" s="272">
        <f t="shared" si="9"/>
        <v>8.4492955886712982E-3</v>
      </c>
      <c r="V181" s="282">
        <f t="shared" si="10"/>
        <v>186.68041023348928</v>
      </c>
      <c r="W181" s="283">
        <f>((S181+'Malawi-only'!S181)/(T181*(U181+'Malawi-only'!U181))/12)</f>
        <v>144.507778658191</v>
      </c>
      <c r="X181" s="284">
        <f>(R181+'Malawi-only'!R181)</f>
        <v>23163512658.7873</v>
      </c>
      <c r="Y181" s="284">
        <f>(L181+'Malawi-only'!L181)</f>
        <v>3596225604323.8628</v>
      </c>
      <c r="Z181" s="284">
        <f>(Q181+'Malawi-only'!Q181)</f>
        <v>202890535088.33493</v>
      </c>
    </row>
    <row r="182" spans="1:26" ht="15.75" customHeight="1">
      <c r="A182" s="31" t="s">
        <v>215</v>
      </c>
      <c r="B182" s="32">
        <v>2198</v>
      </c>
      <c r="C182" s="274">
        <f t="shared" si="11"/>
        <v>3.8339481821692954E-9</v>
      </c>
      <c r="D182" s="271">
        <f t="shared" si="19"/>
        <v>3.8339481821692954E-9</v>
      </c>
      <c r="E182" s="34">
        <f t="shared" si="1"/>
        <v>0</v>
      </c>
      <c r="F182" s="42">
        <v>4000</v>
      </c>
      <c r="G182" s="34">
        <f t="shared" si="2"/>
        <v>15335.792728677181</v>
      </c>
      <c r="H182" s="34">
        <f t="shared" si="3"/>
        <v>15259.113765033795</v>
      </c>
      <c r="I182" s="35">
        <f t="shared" si="21"/>
        <v>1</v>
      </c>
      <c r="J182" s="36">
        <f t="shared" si="4"/>
        <v>15259.113765033795</v>
      </c>
      <c r="K182" s="34">
        <f t="shared" si="14"/>
        <v>1798611179426.4966</v>
      </c>
      <c r="L182" s="37">
        <f t="shared" si="22"/>
        <v>3484009955115.5449</v>
      </c>
      <c r="M182" s="34">
        <f t="shared" si="5"/>
        <v>219492627172.27933</v>
      </c>
      <c r="N182" s="34">
        <f t="shared" si="6"/>
        <v>0</v>
      </c>
      <c r="O182" s="34">
        <f t="shared" si="7"/>
        <v>219492627172.27933</v>
      </c>
      <c r="P182" s="34">
        <f t="shared" si="25"/>
        <v>21949262717.227936</v>
      </c>
      <c r="Q182" s="38">
        <f t="shared" si="8"/>
        <v>196555647632.77612</v>
      </c>
      <c r="R182" s="39">
        <f t="shared" si="16"/>
        <v>19542281005.586842</v>
      </c>
      <c r="S182" s="34">
        <f t="shared" si="17"/>
        <v>175880529050.28156</v>
      </c>
      <c r="T182" s="40">
        <f t="shared" si="24"/>
        <v>9229379032.5461674</v>
      </c>
      <c r="U182" s="272">
        <f t="shared" si="9"/>
        <v>8.4492955886712982E-3</v>
      </c>
      <c r="V182" s="282">
        <f t="shared" si="10"/>
        <v>187.95052000812356</v>
      </c>
      <c r="W182" s="283">
        <f>((S182+'Malawi-only'!S182)/(T182*(U182+'Malawi-only'!U182))/12)</f>
        <v>145.49097063930498</v>
      </c>
      <c r="X182" s="284">
        <f>(R182+'Malawi-only'!R182)</f>
        <v>23297801013.362411</v>
      </c>
      <c r="Y182" s="284">
        <f>(L182+'Malawi-only'!L182)</f>
        <v>3617072855212.4907</v>
      </c>
      <c r="Z182" s="284">
        <f>(Q182+'Malawi-only'!Q182)</f>
        <v>204066687648.32727</v>
      </c>
    </row>
    <row r="183" spans="1:26" ht="15.75" customHeight="1">
      <c r="A183" s="31" t="s">
        <v>216</v>
      </c>
      <c r="B183" s="32">
        <v>2199</v>
      </c>
      <c r="C183" s="274">
        <f t="shared" si="11"/>
        <v>3.4505533639523661E-9</v>
      </c>
      <c r="D183" s="271">
        <f t="shared" si="19"/>
        <v>3.4505533639523661E-9</v>
      </c>
      <c r="E183" s="34">
        <f t="shared" si="1"/>
        <v>0</v>
      </c>
      <c r="F183" s="42">
        <v>4000</v>
      </c>
      <c r="G183" s="34">
        <f t="shared" si="2"/>
        <v>13802.213455809464</v>
      </c>
      <c r="H183" s="34">
        <f t="shared" si="3"/>
        <v>13733.202388530417</v>
      </c>
      <c r="I183" s="35">
        <f t="shared" si="21"/>
        <v>1</v>
      </c>
      <c r="J183" s="36">
        <f t="shared" si="4"/>
        <v>13733.202388530417</v>
      </c>
      <c r="K183" s="34">
        <f t="shared" si="14"/>
        <v>1798611193159.699</v>
      </c>
      <c r="L183" s="37">
        <f t="shared" si="22"/>
        <v>3504206251950.1924</v>
      </c>
      <c r="M183" s="34">
        <f t="shared" si="5"/>
        <v>220764993872.86212</v>
      </c>
      <c r="N183" s="34">
        <f t="shared" si="6"/>
        <v>0</v>
      </c>
      <c r="O183" s="34">
        <f t="shared" si="7"/>
        <v>220764993872.86212</v>
      </c>
      <c r="P183" s="34">
        <f t="shared" si="25"/>
        <v>22076499387.286213</v>
      </c>
      <c r="Q183" s="38">
        <f t="shared" si="8"/>
        <v>197695052013.14801</v>
      </c>
      <c r="R183" s="39">
        <f t="shared" si="16"/>
        <v>19655564763.277615</v>
      </c>
      <c r="S183" s="34">
        <f t="shared" si="17"/>
        <v>176900082869.4985</v>
      </c>
      <c r="T183" s="40">
        <f t="shared" si="24"/>
        <v>9220149653.5136223</v>
      </c>
      <c r="U183" s="272">
        <f t="shared" si="9"/>
        <v>8.4492955886712982E-3</v>
      </c>
      <c r="V183" s="282">
        <f t="shared" si="10"/>
        <v>189.22927107864658</v>
      </c>
      <c r="W183" s="283">
        <f>((S183+'Malawi-only'!S183)/(T183*(U183+'Malawi-only'!U183))/12)</f>
        <v>146.48085191828491</v>
      </c>
      <c r="X183" s="284">
        <f>(R183+'Malawi-only'!R183)</f>
        <v>23432867880.344643</v>
      </c>
      <c r="Y183" s="284">
        <f>(L183+'Malawi-only'!L183)</f>
        <v>3638040955538.8442</v>
      </c>
      <c r="Z183" s="284">
        <f>(Q183+'Malawi-only'!Q183)</f>
        <v>205249658247.28207</v>
      </c>
    </row>
    <row r="184" spans="1:26" ht="15.75" customHeight="1">
      <c r="A184" s="47" t="s">
        <v>217</v>
      </c>
      <c r="B184" s="48">
        <v>2200</v>
      </c>
      <c r="C184" s="275">
        <f t="shared" si="11"/>
        <v>3.1054980275571295E-9</v>
      </c>
      <c r="D184" s="271">
        <f t="shared" si="19"/>
        <v>3.1054980275571295E-9</v>
      </c>
      <c r="E184" s="34">
        <f t="shared" si="1"/>
        <v>0</v>
      </c>
      <c r="F184" s="42">
        <v>4000</v>
      </c>
      <c r="G184" s="34">
        <f t="shared" si="2"/>
        <v>12421.992110228517</v>
      </c>
      <c r="H184" s="50">
        <f t="shared" si="3"/>
        <v>12359.882149677374</v>
      </c>
      <c r="I184" s="51">
        <f t="shared" si="21"/>
        <v>1</v>
      </c>
      <c r="J184" s="36">
        <f t="shared" si="4"/>
        <v>12359.882149677374</v>
      </c>
      <c r="K184" s="50">
        <f t="shared" si="14"/>
        <v>1798611205519.5811</v>
      </c>
      <c r="L184" s="37">
        <f t="shared" si="22"/>
        <v>3524519622315.5122</v>
      </c>
      <c r="M184" s="34">
        <f t="shared" si="5"/>
        <v>222044736205.87726</v>
      </c>
      <c r="N184" s="34">
        <f t="shared" si="6"/>
        <v>0</v>
      </c>
      <c r="O184" s="50">
        <f t="shared" si="7"/>
        <v>222044736205.87726</v>
      </c>
      <c r="P184" s="34">
        <f t="shared" si="25"/>
        <v>22204473620.587727</v>
      </c>
      <c r="Q184" s="38">
        <f t="shared" si="8"/>
        <v>198841061272.36307</v>
      </c>
      <c r="R184" s="39">
        <f t="shared" si="16"/>
        <v>19769505201.3148</v>
      </c>
      <c r="S184" s="34">
        <f t="shared" si="17"/>
        <v>177925546811.83322</v>
      </c>
      <c r="T184" s="40">
        <f t="shared" si="24"/>
        <v>9210929503.8601093</v>
      </c>
      <c r="U184" s="285">
        <f t="shared" si="9"/>
        <v>8.4492955886712982E-3</v>
      </c>
      <c r="V184" s="282">
        <f t="shared" si="10"/>
        <v>190.5167222464726</v>
      </c>
      <c r="W184" s="283">
        <f>((S184+'Malawi-only'!S184)/(T184*(U184+'Malawi-only'!U184))/12)</f>
        <v>147.47746801427391</v>
      </c>
      <c r="X184" s="284">
        <f>(R184+'Malawi-only'!R184)</f>
        <v>23568717774.232117</v>
      </c>
      <c r="Y184" s="284">
        <f>(L184+'Malawi-only'!L184)</f>
        <v>3659130606022.8442</v>
      </c>
      <c r="Z184" s="284">
        <f>(Q184+'Malawi-only'!Q184)</f>
        <v>206439486418.19769</v>
      </c>
    </row>
    <row r="185" spans="1:26" ht="15.75" customHeight="1">
      <c r="A185" s="4"/>
      <c r="B185" s="4"/>
      <c r="C185" s="4"/>
      <c r="D185" s="4"/>
      <c r="E185" s="4"/>
      <c r="F185" s="4"/>
      <c r="G185" s="4"/>
      <c r="H185" s="4"/>
      <c r="I185" s="4"/>
      <c r="J185" s="4"/>
      <c r="K185" s="4"/>
      <c r="L185" s="4"/>
      <c r="M185" s="4"/>
      <c r="N185" s="4"/>
      <c r="O185" s="4"/>
      <c r="P185" s="4"/>
      <c r="Q185" s="4"/>
      <c r="R185" s="4"/>
      <c r="S185" s="4"/>
      <c r="T185" s="53"/>
      <c r="U185" s="286"/>
      <c r="V185" s="4"/>
      <c r="W185" s="4"/>
      <c r="X185" s="4"/>
      <c r="Y185" s="4"/>
      <c r="Z185" s="4"/>
    </row>
    <row r="186" spans="1:26" ht="15.75" customHeight="1">
      <c r="A186" s="54" t="s">
        <v>218</v>
      </c>
      <c r="B186" s="55"/>
      <c r="C186" s="276">
        <f>SUM(C9:C184)</f>
        <v>3.1600365222135869</v>
      </c>
      <c r="D186" s="57"/>
      <c r="E186" s="57"/>
      <c r="F186" s="57" t="s">
        <v>219</v>
      </c>
      <c r="G186" s="58">
        <f>SUM(G8:G184)</f>
        <v>3111640788338.5342</v>
      </c>
      <c r="H186" s="59"/>
      <c r="I186" s="59"/>
      <c r="J186" s="59"/>
      <c r="K186" s="59"/>
      <c r="L186" s="59"/>
      <c r="M186" s="59"/>
      <c r="P186" s="64" t="s">
        <v>221</v>
      </c>
      <c r="Q186" s="65">
        <f>SUM(Q8:Q184)</f>
        <v>21937917175650.242</v>
      </c>
      <c r="R186" s="59"/>
      <c r="S186" s="59"/>
      <c r="T186" s="66"/>
      <c r="U186" s="287"/>
      <c r="V186" s="59"/>
      <c r="W186" s="59"/>
      <c r="X186" s="59"/>
      <c r="Y186" s="59"/>
      <c r="Z186" s="59"/>
    </row>
    <row r="187" spans="1:26" ht="15.75" customHeight="1">
      <c r="A187" s="4"/>
      <c r="B187" s="4"/>
      <c r="C187" s="4"/>
      <c r="D187" s="4"/>
      <c r="E187" s="4"/>
      <c r="F187" s="4"/>
      <c r="G187" s="4"/>
      <c r="H187" s="4"/>
      <c r="I187" s="4"/>
      <c r="J187" s="4"/>
      <c r="K187" s="4"/>
      <c r="L187" s="4"/>
      <c r="M187" s="4"/>
      <c r="N187" s="4"/>
      <c r="O187" s="4"/>
      <c r="P187" s="4"/>
      <c r="Q187" s="4"/>
      <c r="R187" s="4"/>
      <c r="S187" s="4"/>
      <c r="T187" s="53"/>
      <c r="U187" s="286"/>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53"/>
      <c r="U188" s="286"/>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53"/>
      <c r="U189" s="286"/>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53"/>
      <c r="U190" s="286"/>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53"/>
      <c r="U191" s="286"/>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53"/>
      <c r="U192" s="286"/>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53"/>
      <c r="U193" s="286"/>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53"/>
      <c r="U194" s="286"/>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53"/>
      <c r="U195" s="286"/>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53"/>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53"/>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53"/>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53"/>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53"/>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53"/>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53"/>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53"/>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53"/>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53"/>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53"/>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53"/>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53"/>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53"/>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53"/>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53"/>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53"/>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53"/>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53"/>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53"/>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53"/>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53"/>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53"/>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53"/>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53"/>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53"/>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53"/>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53"/>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53"/>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53"/>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53"/>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53"/>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53"/>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53"/>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53"/>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53"/>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53"/>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53"/>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53"/>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53"/>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53"/>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53"/>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53"/>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53"/>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53"/>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53"/>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53"/>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53"/>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53"/>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53"/>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53"/>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53"/>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53"/>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53"/>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53"/>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53"/>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53"/>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53"/>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53"/>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53"/>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53"/>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53"/>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53"/>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53"/>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53"/>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53"/>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53"/>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53"/>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53"/>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53"/>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53"/>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53"/>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53"/>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53"/>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53"/>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53"/>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53"/>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53"/>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53"/>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53"/>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53"/>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53"/>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53"/>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53"/>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53"/>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53"/>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53"/>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53"/>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53"/>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53"/>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53"/>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53"/>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53"/>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53"/>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53"/>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53"/>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53"/>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53"/>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53"/>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53"/>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53"/>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53"/>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53"/>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53"/>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53"/>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53"/>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row r="388" spans="1:26" ht="15.75" customHeight="1"/>
    <row r="389" spans="1:26" ht="15.75" customHeight="1"/>
    <row r="390" spans="1:26" ht="15.75" customHeight="1"/>
    <row r="391" spans="1:26" ht="15.75" customHeight="1"/>
    <row r="392" spans="1:26" ht="15.75" customHeight="1"/>
    <row r="393" spans="1:26" ht="15.75" customHeight="1"/>
    <row r="394" spans="1:26" ht="15.75" customHeight="1"/>
    <row r="395" spans="1:26" ht="15.75" customHeight="1"/>
    <row r="396" spans="1:26" ht="15.75" customHeight="1"/>
    <row r="397" spans="1:26" ht="15.75" customHeight="1"/>
    <row r="398" spans="1:26" ht="15.75" customHeight="1"/>
    <row r="399" spans="1:26" ht="15.75" customHeight="1"/>
    <row r="400" spans="1:26"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V1:W1"/>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0"/>
  <sheetViews>
    <sheetView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12.5703125" defaultRowHeight="15" customHeight="1"/>
  <cols>
    <col min="1" max="1" width="8.5703125" customWidth="1"/>
    <col min="2" max="2" width="9.42578125" customWidth="1"/>
    <col min="5" max="5" width="20.42578125" customWidth="1"/>
    <col min="10" max="10" width="17.28515625" customWidth="1"/>
    <col min="11" max="11" width="15.7109375" customWidth="1"/>
    <col min="12" max="12" width="16.5703125" customWidth="1"/>
    <col min="13" max="13" width="17.42578125" customWidth="1"/>
    <col min="14" max="14" width="16.85546875" customWidth="1"/>
    <col min="15" max="15" width="15.5703125" customWidth="1"/>
    <col min="16" max="17" width="17.140625" customWidth="1"/>
    <col min="18" max="18" width="18.42578125" customWidth="1"/>
    <col min="19" max="19" width="16" customWidth="1"/>
    <col min="23" max="24" width="18" customWidth="1"/>
    <col min="25" max="25" width="21.5703125" customWidth="1"/>
    <col min="26" max="26" width="18" customWidth="1"/>
  </cols>
  <sheetData>
    <row r="1" spans="1:26" ht="41.25" customHeight="1">
      <c r="A1" s="322" t="s">
        <v>514</v>
      </c>
      <c r="B1" s="2"/>
      <c r="C1" s="325"/>
      <c r="D1" s="325"/>
      <c r="E1" s="2"/>
      <c r="F1" s="2"/>
      <c r="G1" s="2"/>
      <c r="H1" s="2"/>
      <c r="I1" s="2"/>
      <c r="J1" s="2"/>
      <c r="K1" s="2"/>
      <c r="L1" s="2"/>
      <c r="M1" s="2"/>
      <c r="N1" s="2"/>
      <c r="O1" s="2"/>
      <c r="P1" s="2"/>
      <c r="Q1" s="2"/>
      <c r="R1" s="2"/>
      <c r="S1" s="2"/>
      <c r="T1" s="2"/>
      <c r="U1" s="2"/>
      <c r="V1" s="352"/>
      <c r="W1" s="353"/>
    </row>
    <row r="2" spans="1:26" ht="36.75" customHeight="1">
      <c r="A2" s="19" t="s">
        <v>515</v>
      </c>
      <c r="B2" s="5" t="s">
        <v>444</v>
      </c>
      <c r="C2" s="326" t="s">
        <v>2</v>
      </c>
      <c r="D2" s="326"/>
      <c r="E2" s="5" t="s">
        <v>446</v>
      </c>
      <c r="F2" s="5" t="s">
        <v>3</v>
      </c>
      <c r="G2" s="5"/>
      <c r="H2" s="5" t="s">
        <v>4</v>
      </c>
      <c r="I2" s="5" t="s">
        <v>5</v>
      </c>
      <c r="J2" s="265"/>
      <c r="K2" s="19" t="s">
        <v>510</v>
      </c>
      <c r="L2" s="5" t="s">
        <v>6</v>
      </c>
      <c r="M2" s="5" t="s">
        <v>7</v>
      </c>
      <c r="N2" s="5" t="s">
        <v>448</v>
      </c>
      <c r="O2" s="6"/>
      <c r="P2" s="5" t="s">
        <v>8</v>
      </c>
      <c r="Q2" s="5" t="s">
        <v>9</v>
      </c>
      <c r="R2" s="5"/>
      <c r="S2" s="6"/>
      <c r="T2" s="5" t="s">
        <v>11</v>
      </c>
      <c r="U2" s="5" t="s">
        <v>12</v>
      </c>
      <c r="V2" s="6"/>
      <c r="W2" s="6"/>
      <c r="X2" s="6"/>
      <c r="Y2" s="6"/>
      <c r="Z2" s="6"/>
    </row>
    <row r="3" spans="1:26" ht="15.75" customHeight="1">
      <c r="A3" s="266">
        <v>17663</v>
      </c>
      <c r="B3" s="266">
        <v>8231613070</v>
      </c>
      <c r="C3" s="327">
        <v>37.4</v>
      </c>
      <c r="D3" s="327"/>
      <c r="E3" s="10" t="s">
        <v>449</v>
      </c>
      <c r="F3" s="9">
        <v>145</v>
      </c>
      <c r="G3" s="10"/>
      <c r="H3" s="11">
        <v>5.0000000000000001E-3</v>
      </c>
      <c r="I3" s="16">
        <v>0.1</v>
      </c>
      <c r="J3" s="10"/>
      <c r="K3" s="266">
        <v>0</v>
      </c>
      <c r="L3" s="14">
        <v>5.0000000000000001E-4</v>
      </c>
      <c r="M3" s="14">
        <v>6.3E-2</v>
      </c>
      <c r="N3" s="16">
        <f>1-I3</f>
        <v>0.9</v>
      </c>
      <c r="O3" s="13"/>
      <c r="P3" s="278" t="s">
        <v>469</v>
      </c>
      <c r="Q3" s="11">
        <v>5.0000000000000001E-3</v>
      </c>
      <c r="R3" s="10"/>
      <c r="S3" s="13"/>
      <c r="T3" s="13"/>
      <c r="U3" s="269">
        <f>A5</f>
        <v>2.145751974709861E-6</v>
      </c>
      <c r="V3" s="13"/>
      <c r="W3" s="13"/>
      <c r="X3" s="13"/>
      <c r="Y3" s="13"/>
      <c r="Z3" s="13"/>
    </row>
    <row r="4" spans="1:26" ht="41.25" customHeight="1">
      <c r="A4" s="5" t="s">
        <v>450</v>
      </c>
      <c r="B4" s="5" t="s">
        <v>451</v>
      </c>
      <c r="C4" s="326" t="s">
        <v>14</v>
      </c>
      <c r="D4" s="326" t="s">
        <v>452</v>
      </c>
      <c r="E4" s="5" t="s">
        <v>453</v>
      </c>
      <c r="F4" s="5" t="s">
        <v>15</v>
      </c>
      <c r="G4" s="18"/>
      <c r="H4" s="5"/>
      <c r="I4" s="19" t="s">
        <v>16</v>
      </c>
      <c r="J4" s="19" t="s">
        <v>17</v>
      </c>
      <c r="K4" s="19" t="s">
        <v>454</v>
      </c>
      <c r="L4" s="5"/>
      <c r="M4" s="5"/>
      <c r="N4" s="19" t="s">
        <v>470</v>
      </c>
      <c r="O4" s="19" t="s">
        <v>471</v>
      </c>
      <c r="P4" s="5" t="s">
        <v>19</v>
      </c>
      <c r="Q4" s="5"/>
      <c r="R4" s="5" t="s">
        <v>20</v>
      </c>
      <c r="S4" s="5"/>
      <c r="T4" s="5"/>
      <c r="U4" s="5" t="s">
        <v>21</v>
      </c>
      <c r="V4" s="6"/>
      <c r="W4" s="6"/>
      <c r="X4" s="6"/>
      <c r="Y4" s="6"/>
      <c r="Z4" s="6"/>
    </row>
    <row r="5" spans="1:26" ht="19.5" customHeight="1">
      <c r="A5" s="328">
        <f>A3/B3</f>
        <v>2.145751974709861E-6</v>
      </c>
      <c r="B5" s="329">
        <f>C3*A5</f>
        <v>8.0251123854148794E-5</v>
      </c>
      <c r="C5" s="14">
        <v>0.1</v>
      </c>
      <c r="D5" s="330">
        <v>2.2232999999999999E-4</v>
      </c>
      <c r="E5" s="10" t="s">
        <v>449</v>
      </c>
      <c r="F5" s="14">
        <f>C5*1.64</f>
        <v>0.16400000000000001</v>
      </c>
      <c r="G5" s="10"/>
      <c r="H5" s="13"/>
      <c r="I5" s="20">
        <v>0.01</v>
      </c>
      <c r="J5" s="20">
        <v>0.04</v>
      </c>
      <c r="K5" s="10">
        <f>K3*5</f>
        <v>0</v>
      </c>
      <c r="L5" s="13"/>
      <c r="M5" s="13"/>
      <c r="N5" s="20">
        <f t="shared" ref="N5:O5" si="0">I5</f>
        <v>0.01</v>
      </c>
      <c r="O5" s="20">
        <f t="shared" si="0"/>
        <v>0.04</v>
      </c>
      <c r="P5" s="16">
        <v>0.1</v>
      </c>
      <c r="Q5" s="13"/>
      <c r="R5" s="12">
        <v>0.1</v>
      </c>
      <c r="S5" s="13"/>
      <c r="T5" s="13"/>
      <c r="U5" s="22" t="s">
        <v>458</v>
      </c>
      <c r="V5" s="13"/>
      <c r="W5" s="13"/>
      <c r="X5" s="13"/>
      <c r="Y5" s="13"/>
      <c r="Z5" s="13"/>
    </row>
    <row r="6" spans="1:26" ht="3" customHeight="1">
      <c r="A6" s="23"/>
      <c r="B6" s="23"/>
      <c r="C6" s="331"/>
      <c r="D6" s="331"/>
      <c r="E6" s="23"/>
      <c r="F6" s="23"/>
      <c r="G6" s="23"/>
      <c r="H6" s="23"/>
      <c r="I6" s="23"/>
      <c r="J6" s="23"/>
      <c r="K6" s="23"/>
      <c r="L6" s="23"/>
      <c r="M6" s="23"/>
      <c r="N6" s="23"/>
      <c r="O6" s="23"/>
      <c r="P6" s="23"/>
      <c r="Q6" s="23"/>
      <c r="R6" s="23"/>
      <c r="S6" s="23"/>
      <c r="T6" s="23"/>
      <c r="U6" s="23"/>
      <c r="V6" s="23"/>
      <c r="W6" s="4"/>
      <c r="X6" s="4"/>
      <c r="Y6" s="4"/>
      <c r="Z6" s="4"/>
    </row>
    <row r="7" spans="1:26" ht="57.75" customHeight="1">
      <c r="A7" s="24" t="s">
        <v>23</v>
      </c>
      <c r="B7" s="25" t="s">
        <v>24</v>
      </c>
      <c r="C7" s="332" t="s">
        <v>459</v>
      </c>
      <c r="D7" s="332" t="s">
        <v>460</v>
      </c>
      <c r="E7" s="25" t="s">
        <v>472</v>
      </c>
      <c r="F7" s="25" t="s">
        <v>26</v>
      </c>
      <c r="G7" s="25" t="s">
        <v>27</v>
      </c>
      <c r="H7" s="25" t="s">
        <v>28</v>
      </c>
      <c r="I7" s="25" t="s">
        <v>29</v>
      </c>
      <c r="J7" s="25" t="s">
        <v>30</v>
      </c>
      <c r="K7" s="25" t="s">
        <v>31</v>
      </c>
      <c r="L7" s="25" t="s">
        <v>32</v>
      </c>
      <c r="M7" s="25" t="s">
        <v>33</v>
      </c>
      <c r="N7" s="25" t="s">
        <v>34</v>
      </c>
      <c r="O7" s="25" t="s">
        <v>35</v>
      </c>
      <c r="P7" s="25" t="s">
        <v>36</v>
      </c>
      <c r="Q7" s="25" t="s">
        <v>473</v>
      </c>
      <c r="R7" s="25" t="s">
        <v>464</v>
      </c>
      <c r="S7" s="25" t="s">
        <v>39</v>
      </c>
      <c r="T7" s="25" t="s">
        <v>40</v>
      </c>
      <c r="U7" s="25" t="s">
        <v>12</v>
      </c>
      <c r="V7" s="28" t="s">
        <v>474</v>
      </c>
      <c r="W7" s="281" t="s">
        <v>475</v>
      </c>
      <c r="X7" s="280" t="s">
        <v>476</v>
      </c>
      <c r="Y7" s="280" t="s">
        <v>516</v>
      </c>
      <c r="Z7" s="281" t="s">
        <v>478</v>
      </c>
    </row>
    <row r="8" spans="1:26" ht="17.25" customHeight="1">
      <c r="A8" s="29"/>
      <c r="B8" s="30"/>
      <c r="C8" s="333"/>
      <c r="D8" s="333"/>
      <c r="E8" s="30"/>
      <c r="F8" s="30"/>
      <c r="G8" s="30"/>
      <c r="H8" s="30"/>
      <c r="I8" s="30"/>
      <c r="J8" s="30"/>
      <c r="K8" s="30"/>
      <c r="L8" s="30"/>
      <c r="M8" s="30"/>
      <c r="N8" s="30"/>
      <c r="O8" s="30"/>
      <c r="P8" s="30"/>
      <c r="Q8" s="30"/>
      <c r="R8" s="30"/>
      <c r="S8" s="30"/>
      <c r="T8" s="30"/>
      <c r="U8" s="30"/>
      <c r="V8" s="30"/>
      <c r="W8" s="4"/>
      <c r="X8" s="4"/>
      <c r="Y8" s="4"/>
      <c r="Z8" s="4"/>
    </row>
    <row r="9" spans="1:26" ht="15.75" customHeight="1">
      <c r="A9" s="31" t="s">
        <v>42</v>
      </c>
      <c r="B9" s="32">
        <v>2025</v>
      </c>
      <c r="C9" s="334">
        <f>B5</f>
        <v>8.0251123854148794E-5</v>
      </c>
      <c r="D9" s="334">
        <f>$D$5</f>
        <v>2.2232999999999999E-4</v>
      </c>
      <c r="E9" s="34">
        <f t="shared" ref="E9:E184" si="1">(C9-D9)*(F9*1000000000)</f>
        <v>-20601437.041148424</v>
      </c>
      <c r="F9" s="34">
        <f>F3</f>
        <v>145</v>
      </c>
      <c r="G9" s="34">
        <f t="shared" ref="G9:G184" si="2">D9*F9*1000000000</f>
        <v>32237850</v>
      </c>
      <c r="H9" s="34">
        <f t="shared" ref="H9:H184" si="3">G9*(1-$H$3)</f>
        <v>32076660.75</v>
      </c>
      <c r="I9" s="35">
        <f>I3</f>
        <v>0.1</v>
      </c>
      <c r="J9" s="36">
        <f t="shared" ref="J9:J184" si="4">H9*I9</f>
        <v>3207666.0750000002</v>
      </c>
      <c r="K9" s="34">
        <f>$K$5+J9</f>
        <v>3207666.0750000002</v>
      </c>
      <c r="L9" s="37">
        <f>($K$5+J9)*(1-$L$3)</f>
        <v>3206062.2419625004</v>
      </c>
      <c r="M9" s="34">
        <f t="shared" ref="M9:M184" si="5">L9*$M$3</f>
        <v>201981.92124363754</v>
      </c>
      <c r="N9" s="34">
        <f t="shared" ref="N9:N184" si="6">H9*(1-I9)</f>
        <v>28868994.675000001</v>
      </c>
      <c r="O9" s="34">
        <f t="shared" ref="O9:O184" si="7">M9+N9</f>
        <v>29070976.596243639</v>
      </c>
      <c r="P9" s="34"/>
      <c r="Q9" s="38">
        <f t="shared" ref="Q9:Q184" si="8">(O9-P9)*(1-$Q$3)</f>
        <v>28925621.71326242</v>
      </c>
      <c r="R9" s="324">
        <v>0</v>
      </c>
      <c r="S9" s="34">
        <f>Q8-R8</f>
        <v>0</v>
      </c>
      <c r="T9" s="40">
        <v>8231613070</v>
      </c>
      <c r="U9" s="272">
        <f t="shared" ref="U9:U184" si="9">$U$3</f>
        <v>2.145751974709861E-6</v>
      </c>
      <c r="V9" s="282">
        <f t="shared" ref="V9:V184" si="10">(S9/(T9*U9))/12</f>
        <v>0</v>
      </c>
      <c r="W9" s="283">
        <f>((S9+'Malawi-only'!S9)/(T9*(U9+'Malawi-only'!U9))/12)</f>
        <v>7.3888583619575662E-2</v>
      </c>
      <c r="X9" s="284">
        <f>(R9+'Malawi-only'!R9)</f>
        <v>19713872.8125</v>
      </c>
      <c r="Y9" s="284">
        <f>(L9+'Malawi-only'!L9)</f>
        <v>7606735.8044624999</v>
      </c>
      <c r="Z9" s="284">
        <f>(Q9+'Malawi-only'!Q9)</f>
        <v>68353367.338262424</v>
      </c>
    </row>
    <row r="10" spans="1:26" ht="15.75" customHeight="1">
      <c r="A10" s="31" t="s">
        <v>43</v>
      </c>
      <c r="B10" s="32">
        <v>2026</v>
      </c>
      <c r="C10" s="334">
        <f t="shared" ref="C10:C184" si="11">C9*(1-$C$5)</f>
        <v>7.2226011468733917E-5</v>
      </c>
      <c r="D10" s="334">
        <f t="shared" ref="D10:D19" si="12">D9*0.82</f>
        <v>1.823106E-4</v>
      </c>
      <c r="E10" s="34">
        <f t="shared" si="1"/>
        <v>-18580076.852307089</v>
      </c>
      <c r="F10" s="34">
        <f t="shared" ref="F10:F30" si="13">F9*(1+$F$5)</f>
        <v>168.78</v>
      </c>
      <c r="G10" s="34">
        <f t="shared" si="2"/>
        <v>30770383.068</v>
      </c>
      <c r="H10" s="34">
        <f t="shared" si="3"/>
        <v>30616531.152660001</v>
      </c>
      <c r="I10" s="35">
        <f>$I$3+$I$5</f>
        <v>0.11</v>
      </c>
      <c r="J10" s="36">
        <f t="shared" si="4"/>
        <v>3367818.4267926002</v>
      </c>
      <c r="K10" s="34">
        <f t="shared" ref="K10:K184" si="14">K9+J10</f>
        <v>6575484.5017926004</v>
      </c>
      <c r="L10" s="37">
        <f t="shared" ref="L10:L59" si="15">(L9+J10)*(1-$L$3)</f>
        <v>6570593.7284207242</v>
      </c>
      <c r="M10" s="34">
        <f t="shared" si="5"/>
        <v>413947.4048905056</v>
      </c>
      <c r="N10" s="34">
        <f t="shared" si="6"/>
        <v>27248712.725867402</v>
      </c>
      <c r="O10" s="34">
        <f t="shared" si="7"/>
        <v>27662660.130757906</v>
      </c>
      <c r="P10" s="34"/>
      <c r="Q10" s="38">
        <f t="shared" si="8"/>
        <v>27524346.830104116</v>
      </c>
      <c r="R10" s="39">
        <f t="shared" ref="R10:R184" si="16">Q9*$R$5</f>
        <v>2892562.1713262424</v>
      </c>
      <c r="S10" s="34">
        <f t="shared" ref="S10:S184" si="17">Q9-R10</f>
        <v>26033059.541936178</v>
      </c>
      <c r="T10" s="40">
        <v>8300678395</v>
      </c>
      <c r="U10" s="272">
        <f t="shared" si="9"/>
        <v>2.145751974709861E-6</v>
      </c>
      <c r="V10" s="282">
        <f t="shared" si="10"/>
        <v>121.80100088111942</v>
      </c>
      <c r="W10" s="283">
        <f>((S10+'Malawi-only'!S10)/(T10*(U10+'Malawi-only'!U10))/12)</f>
        <v>0.21373641017225362</v>
      </c>
      <c r="X10" s="284">
        <f>(R10+'Malawi-only'!R10)</f>
        <v>34363993.04437308</v>
      </c>
      <c r="Y10" s="284">
        <f>(L10+'Malawi-only'!L10)</f>
        <v>18749239.002199423</v>
      </c>
      <c r="Z10" s="284">
        <f>(Q10+'Malawi-only'!Q10)</f>
        <v>90467208.576197788</v>
      </c>
    </row>
    <row r="11" spans="1:26" ht="15.75" customHeight="1">
      <c r="A11" s="31" t="s">
        <v>44</v>
      </c>
      <c r="B11" s="32">
        <v>2027</v>
      </c>
      <c r="C11" s="334">
        <f t="shared" si="11"/>
        <v>6.5003410321860528E-5</v>
      </c>
      <c r="D11" s="334">
        <f t="shared" si="12"/>
        <v>1.4949469199999999E-4</v>
      </c>
      <c r="E11" s="34">
        <f t="shared" si="1"/>
        <v>-16599150.439184742</v>
      </c>
      <c r="F11" s="34">
        <f t="shared" si="13"/>
        <v>196.45991999999998</v>
      </c>
      <c r="G11" s="34">
        <f t="shared" si="2"/>
        <v>29369715.230744638</v>
      </c>
      <c r="H11" s="34">
        <f t="shared" si="3"/>
        <v>29222866.654590916</v>
      </c>
      <c r="I11" s="35">
        <f t="shared" ref="I11:I18" si="18">I10+$I$5</f>
        <v>0.12</v>
      </c>
      <c r="J11" s="36">
        <f t="shared" si="4"/>
        <v>3506743.9985509096</v>
      </c>
      <c r="K11" s="34">
        <f t="shared" si="14"/>
        <v>10082228.500343509</v>
      </c>
      <c r="L11" s="37">
        <f t="shared" si="15"/>
        <v>10072299.058108149</v>
      </c>
      <c r="M11" s="34">
        <f t="shared" si="5"/>
        <v>634554.84066081338</v>
      </c>
      <c r="N11" s="34">
        <f t="shared" si="6"/>
        <v>25716122.656040005</v>
      </c>
      <c r="O11" s="34">
        <f t="shared" si="7"/>
        <v>26350677.49670082</v>
      </c>
      <c r="P11" s="34"/>
      <c r="Q11" s="38">
        <f t="shared" si="8"/>
        <v>26218924.109217316</v>
      </c>
      <c r="R11" s="39">
        <f t="shared" si="16"/>
        <v>2752434.6830104119</v>
      </c>
      <c r="S11" s="34">
        <f t="shared" si="17"/>
        <v>24771912.147093706</v>
      </c>
      <c r="T11" s="40">
        <v>8369094344</v>
      </c>
      <c r="U11" s="272">
        <f t="shared" si="9"/>
        <v>2.145751974709861E-6</v>
      </c>
      <c r="V11" s="282">
        <f t="shared" si="10"/>
        <v>114.95299755244146</v>
      </c>
      <c r="W11" s="283">
        <f>((S11+'Malawi-only'!S11)/(T11*(U11+'Malawi-only'!U11))/12)</f>
        <v>0.2623377917296183</v>
      </c>
      <c r="X11" s="284">
        <f>(R11+'Malawi-only'!R11)</f>
        <v>49142659.748807035</v>
      </c>
      <c r="Y11" s="284">
        <f>(L11+'Malawi-only'!L11)</f>
        <v>34848716.849285804</v>
      </c>
      <c r="Z11" s="284">
        <f>(Q11+'Malawi-only'!Q11)</f>
        <v>118999374.24081056</v>
      </c>
    </row>
    <row r="12" spans="1:26" ht="15.75" customHeight="1">
      <c r="A12" s="31" t="s">
        <v>45</v>
      </c>
      <c r="B12" s="32">
        <v>2028</v>
      </c>
      <c r="C12" s="334">
        <f t="shared" si="11"/>
        <v>5.8503069289674474E-5</v>
      </c>
      <c r="D12" s="334">
        <f t="shared" si="12"/>
        <v>1.2258564743999997E-4</v>
      </c>
      <c r="E12" s="34">
        <f t="shared" si="1"/>
        <v>-14654362.117802991</v>
      </c>
      <c r="F12" s="34">
        <f t="shared" si="13"/>
        <v>228.67934687999997</v>
      </c>
      <c r="G12" s="34">
        <f t="shared" si="2"/>
        <v>28032805.793441132</v>
      </c>
      <c r="H12" s="34">
        <f t="shared" si="3"/>
        <v>27892641.764473926</v>
      </c>
      <c r="I12" s="35">
        <f t="shared" si="18"/>
        <v>0.13</v>
      </c>
      <c r="J12" s="36">
        <f t="shared" si="4"/>
        <v>3626043.4293816104</v>
      </c>
      <c r="K12" s="34">
        <f t="shared" si="14"/>
        <v>13708271.92972512</v>
      </c>
      <c r="L12" s="37">
        <f t="shared" si="15"/>
        <v>13691493.316246016</v>
      </c>
      <c r="M12" s="34">
        <f t="shared" si="5"/>
        <v>862564.07892349898</v>
      </c>
      <c r="N12" s="34">
        <f t="shared" si="6"/>
        <v>24266598.335092317</v>
      </c>
      <c r="O12" s="34">
        <f t="shared" si="7"/>
        <v>25129162.414015815</v>
      </c>
      <c r="P12" s="34"/>
      <c r="Q12" s="38">
        <f t="shared" si="8"/>
        <v>25003516.601945736</v>
      </c>
      <c r="R12" s="39">
        <f t="shared" si="16"/>
        <v>2621892.410921732</v>
      </c>
      <c r="S12" s="34">
        <f t="shared" si="17"/>
        <v>23597031.698295586</v>
      </c>
      <c r="T12" s="40">
        <v>8436618886</v>
      </c>
      <c r="U12" s="272">
        <f t="shared" si="9"/>
        <v>2.145751974709861E-6</v>
      </c>
      <c r="V12" s="282">
        <f t="shared" si="10"/>
        <v>108.62459699216073</v>
      </c>
      <c r="W12" s="283">
        <f>((S12+'Malawi-only'!S12)/(T12*(U12+'Malawi-only'!U12))/12)</f>
        <v>0.32461193240567715</v>
      </c>
      <c r="X12" s="284">
        <f>(R12+'Malawi-only'!R12)</f>
        <v>67790027.100766942</v>
      </c>
      <c r="Y12" s="284">
        <f>(L12+'Malawi-only'!L12)</f>
        <v>57784534.110556036</v>
      </c>
      <c r="Z12" s="284">
        <f>(Q12+'Malawi-only'!Q12)</f>
        <v>155339785.98163617</v>
      </c>
    </row>
    <row r="13" spans="1:26" ht="15.75" customHeight="1">
      <c r="A13" s="31" t="s">
        <v>46</v>
      </c>
      <c r="B13" s="32">
        <v>2029</v>
      </c>
      <c r="C13" s="334">
        <f t="shared" si="11"/>
        <v>5.265276236070703E-5</v>
      </c>
      <c r="D13" s="334">
        <f t="shared" si="12"/>
        <v>1.0052023090079998E-4</v>
      </c>
      <c r="E13" s="34">
        <f t="shared" si="1"/>
        <v>-12741494.879125174</v>
      </c>
      <c r="F13" s="34">
        <f t="shared" si="13"/>
        <v>266.18275976831995</v>
      </c>
      <c r="G13" s="34">
        <f t="shared" si="2"/>
        <v>26756752.473723695</v>
      </c>
      <c r="H13" s="34">
        <f t="shared" si="3"/>
        <v>26622968.711355075</v>
      </c>
      <c r="I13" s="35">
        <f t="shared" si="18"/>
        <v>0.14000000000000001</v>
      </c>
      <c r="J13" s="36">
        <f t="shared" si="4"/>
        <v>3727215.6195897111</v>
      </c>
      <c r="K13" s="34">
        <f t="shared" si="14"/>
        <v>17435487.54931483</v>
      </c>
      <c r="L13" s="37">
        <f t="shared" si="15"/>
        <v>17409999.581367809</v>
      </c>
      <c r="M13" s="34">
        <f t="shared" si="5"/>
        <v>1096829.9736261719</v>
      </c>
      <c r="N13" s="34">
        <f t="shared" si="6"/>
        <v>22895753.091765363</v>
      </c>
      <c r="O13" s="34">
        <f t="shared" si="7"/>
        <v>23992583.065391533</v>
      </c>
      <c r="P13" s="34"/>
      <c r="Q13" s="38">
        <f t="shared" si="8"/>
        <v>23872620.150064576</v>
      </c>
      <c r="R13" s="39">
        <f t="shared" si="16"/>
        <v>2500351.6601945735</v>
      </c>
      <c r="S13" s="34">
        <f t="shared" si="17"/>
        <v>22503164.941751163</v>
      </c>
      <c r="T13" s="40">
        <v>8503285323</v>
      </c>
      <c r="U13" s="272">
        <f t="shared" si="9"/>
        <v>2.145751974709861E-6</v>
      </c>
      <c r="V13" s="282">
        <f t="shared" si="10"/>
        <v>102.77703501573137</v>
      </c>
      <c r="W13" s="283">
        <f>((S13+'Malawi-only'!S13)/(T13*(U13+'Malawi-only'!U13))/12)</f>
        <v>0.40327265948890267</v>
      </c>
      <c r="X13" s="284">
        <f>(R13+'Malawi-only'!R13)</f>
        <v>91143533.284695983</v>
      </c>
      <c r="Y13" s="284">
        <f>(L13+'Malawi-only'!L13)</f>
        <v>90017236.153964326</v>
      </c>
      <c r="Z13" s="284">
        <f>(Q13+'Malawi-only'!Q13)</f>
        <v>201158983.3990674</v>
      </c>
    </row>
    <row r="14" spans="1:26" ht="15.75" customHeight="1">
      <c r="A14" s="31" t="s">
        <v>47</v>
      </c>
      <c r="B14" s="32">
        <v>2030</v>
      </c>
      <c r="C14" s="334">
        <f t="shared" si="11"/>
        <v>4.7387486124636326E-5</v>
      </c>
      <c r="D14" s="334">
        <f t="shared" si="12"/>
        <v>8.2426589338655974E-5</v>
      </c>
      <c r="E14" s="34">
        <f t="shared" si="1"/>
        <v>-10856401.24501838</v>
      </c>
      <c r="F14" s="34">
        <f t="shared" si="13"/>
        <v>309.8367323703244</v>
      </c>
      <c r="G14" s="34">
        <f t="shared" si="2"/>
        <v>25538785.101119783</v>
      </c>
      <c r="H14" s="34">
        <f t="shared" si="3"/>
        <v>25411091.175614182</v>
      </c>
      <c r="I14" s="35">
        <f t="shared" si="18"/>
        <v>0.15000000000000002</v>
      </c>
      <c r="J14" s="36">
        <f t="shared" si="4"/>
        <v>3811663.6763421278</v>
      </c>
      <c r="K14" s="34">
        <f t="shared" si="14"/>
        <v>21247151.225656956</v>
      </c>
      <c r="L14" s="37">
        <f t="shared" si="15"/>
        <v>21211052.42608108</v>
      </c>
      <c r="M14" s="34">
        <f t="shared" si="5"/>
        <v>1336296.3028431081</v>
      </c>
      <c r="N14" s="34">
        <f t="shared" si="6"/>
        <v>21599427.499272052</v>
      </c>
      <c r="O14" s="34">
        <f t="shared" si="7"/>
        <v>22935723.802115161</v>
      </c>
      <c r="P14" s="34"/>
      <c r="Q14" s="38">
        <f t="shared" si="8"/>
        <v>22821045.183104586</v>
      </c>
      <c r="R14" s="39">
        <f t="shared" si="16"/>
        <v>2387262.0150064579</v>
      </c>
      <c r="S14" s="34">
        <f t="shared" si="17"/>
        <v>21485358.13505812</v>
      </c>
      <c r="T14" s="40">
        <v>8569124911</v>
      </c>
      <c r="U14" s="272">
        <f t="shared" si="9"/>
        <v>2.145751974709861E-6</v>
      </c>
      <c r="V14" s="282">
        <f t="shared" si="10"/>
        <v>97.374526038063735</v>
      </c>
      <c r="W14" s="283">
        <f>((S14+'Malawi-only'!S14)/(T14*(U14+'Malawi-only'!U14))/12)</f>
        <v>0.50155901687844184</v>
      </c>
      <c r="X14" s="284">
        <f>(R14+'Malawi-only'!R14)</f>
        <v>120207376.04549448</v>
      </c>
      <c r="Y14" s="284">
        <f>(L14+'Malawi-only'!L14)</f>
        <v>134741680.76024154</v>
      </c>
      <c r="Z14" s="284">
        <f>(Q14+'Malawi-only'!Q14)</f>
        <v>258461273.24408063</v>
      </c>
    </row>
    <row r="15" spans="1:26" ht="15.75" customHeight="1">
      <c r="A15" s="31" t="s">
        <v>48</v>
      </c>
      <c r="B15" s="32">
        <v>2031</v>
      </c>
      <c r="C15" s="334">
        <f t="shared" si="11"/>
        <v>4.2648737512172693E-5</v>
      </c>
      <c r="D15" s="334">
        <f t="shared" si="12"/>
        <v>6.7589803257697898E-5</v>
      </c>
      <c r="E15" s="34">
        <f t="shared" si="1"/>
        <v>-8994994.2756649777</v>
      </c>
      <c r="F15" s="34">
        <f t="shared" si="13"/>
        <v>360.64995647905755</v>
      </c>
      <c r="G15" s="34">
        <f t="shared" si="2"/>
        <v>24376259.60331681</v>
      </c>
      <c r="H15" s="34">
        <f t="shared" si="3"/>
        <v>24254378.305300225</v>
      </c>
      <c r="I15" s="35">
        <f t="shared" si="18"/>
        <v>0.16000000000000003</v>
      </c>
      <c r="J15" s="36">
        <f t="shared" si="4"/>
        <v>3880700.5288480367</v>
      </c>
      <c r="K15" s="34">
        <f t="shared" si="14"/>
        <v>25127851.754504994</v>
      </c>
      <c r="L15" s="37">
        <f t="shared" si="15"/>
        <v>25079207.078451652</v>
      </c>
      <c r="M15" s="34">
        <f t="shared" si="5"/>
        <v>1579990.0459424541</v>
      </c>
      <c r="N15" s="34">
        <f t="shared" si="6"/>
        <v>20373677.776452187</v>
      </c>
      <c r="O15" s="34">
        <f t="shared" si="7"/>
        <v>21953667.822394643</v>
      </c>
      <c r="P15" s="34"/>
      <c r="Q15" s="38">
        <f t="shared" si="8"/>
        <v>21843899.48328267</v>
      </c>
      <c r="R15" s="39">
        <f t="shared" si="16"/>
        <v>2282104.5183104589</v>
      </c>
      <c r="S15" s="34">
        <f t="shared" si="17"/>
        <v>20538940.664794128</v>
      </c>
      <c r="T15" s="40">
        <v>8634119333</v>
      </c>
      <c r="U15" s="272">
        <f t="shared" si="9"/>
        <v>2.145751974709861E-6</v>
      </c>
      <c r="V15" s="282">
        <f t="shared" si="10"/>
        <v>92.384524225097792</v>
      </c>
      <c r="W15" s="283">
        <f>((S15+'Malawi-only'!S15)/(T15*(U15+'Malawi-only'!U15))/12)</f>
        <v>0.62333327823587459</v>
      </c>
      <c r="X15" s="284">
        <f>(R15+'Malawi-only'!R15)</f>
        <v>156183944.23243928</v>
      </c>
      <c r="Y15" s="284">
        <f>(L15+'Malawi-only'!L15)</f>
        <v>196077167.89938369</v>
      </c>
      <c r="Z15" s="284">
        <f>(Q15+'Malawi-only'!Q15)</f>
        <v>329647578.91154033</v>
      </c>
    </row>
    <row r="16" spans="1:26" ht="15.75" customHeight="1">
      <c r="A16" s="31" t="s">
        <v>49</v>
      </c>
      <c r="B16" s="32">
        <v>2032</v>
      </c>
      <c r="C16" s="334">
        <f t="shared" si="11"/>
        <v>3.8383863760955422E-5</v>
      </c>
      <c r="D16" s="334">
        <f t="shared" si="12"/>
        <v>5.5423638671312276E-5</v>
      </c>
      <c r="E16" s="34">
        <f t="shared" si="1"/>
        <v>-7153238.7089257697</v>
      </c>
      <c r="F16" s="34">
        <f t="shared" si="13"/>
        <v>419.79654934162295</v>
      </c>
      <c r="G16" s="34">
        <f t="shared" si="2"/>
        <v>23266652.266173825</v>
      </c>
      <c r="H16" s="34">
        <f t="shared" si="3"/>
        <v>23150319.004842956</v>
      </c>
      <c r="I16" s="35">
        <f t="shared" si="18"/>
        <v>0.17000000000000004</v>
      </c>
      <c r="J16" s="36">
        <f t="shared" si="4"/>
        <v>3935554.2308233036</v>
      </c>
      <c r="K16" s="34">
        <f t="shared" si="14"/>
        <v>29063405.985328298</v>
      </c>
      <c r="L16" s="37">
        <f t="shared" si="15"/>
        <v>29000253.92862032</v>
      </c>
      <c r="M16" s="34">
        <f t="shared" si="5"/>
        <v>1827015.9975030802</v>
      </c>
      <c r="N16" s="34">
        <f t="shared" si="6"/>
        <v>19214764.774019651</v>
      </c>
      <c r="O16" s="34">
        <f t="shared" si="7"/>
        <v>21041780.771522731</v>
      </c>
      <c r="P16" s="34"/>
      <c r="Q16" s="38">
        <f t="shared" si="8"/>
        <v>20936571.867665116</v>
      </c>
      <c r="R16" s="39">
        <f t="shared" si="16"/>
        <v>2184389.9483282673</v>
      </c>
      <c r="S16" s="34">
        <f t="shared" si="17"/>
        <v>19659509.534954403</v>
      </c>
      <c r="T16" s="40">
        <v>8698229812</v>
      </c>
      <c r="U16" s="272">
        <f t="shared" si="9"/>
        <v>2.145751974709861E-6</v>
      </c>
      <c r="V16" s="282">
        <f t="shared" si="10"/>
        <v>87.777060736543021</v>
      </c>
      <c r="W16" s="283">
        <f>((S16+'Malawi-only'!S16)/(T16*(U16+'Malawi-only'!U16))/12)</f>
        <v>0.77319354382306393</v>
      </c>
      <c r="X16" s="284">
        <f>(R16+'Malawi-only'!R16)</f>
        <v>200510958.31242779</v>
      </c>
      <c r="Y16" s="284">
        <f>(L16+'Malawi-only'!L16)</f>
        <v>279302960.59086907</v>
      </c>
      <c r="Z16" s="284">
        <f>(Q16+'Malawi-only'!Q16)</f>
        <v>417589708.59586418</v>
      </c>
    </row>
    <row r="17" spans="1:26" ht="15.75" customHeight="1">
      <c r="A17" s="31" t="s">
        <v>50</v>
      </c>
      <c r="B17" s="32">
        <v>2033</v>
      </c>
      <c r="C17" s="334">
        <f t="shared" si="11"/>
        <v>3.4545477384859882E-5</v>
      </c>
      <c r="D17" s="334">
        <f t="shared" si="12"/>
        <v>4.5447383710476066E-5</v>
      </c>
      <c r="E17" s="34">
        <f t="shared" si="1"/>
        <v>-5327142.212444528</v>
      </c>
      <c r="F17" s="34">
        <f t="shared" si="13"/>
        <v>488.64318343364909</v>
      </c>
      <c r="G17" s="34">
        <f t="shared" si="2"/>
        <v>22207554.25501759</v>
      </c>
      <c r="H17" s="34">
        <f t="shared" si="3"/>
        <v>22096516.483742502</v>
      </c>
      <c r="I17" s="35">
        <f t="shared" si="18"/>
        <v>0.18000000000000005</v>
      </c>
      <c r="J17" s="36">
        <f t="shared" si="4"/>
        <v>3977372.9670736515</v>
      </c>
      <c r="K17" s="34">
        <f t="shared" si="14"/>
        <v>33040778.952401951</v>
      </c>
      <c r="L17" s="37">
        <f t="shared" si="15"/>
        <v>32961138.082246128</v>
      </c>
      <c r="M17" s="34">
        <f t="shared" si="5"/>
        <v>2076551.6991815062</v>
      </c>
      <c r="N17" s="34">
        <f t="shared" si="6"/>
        <v>18119143.516668849</v>
      </c>
      <c r="O17" s="34">
        <f t="shared" si="7"/>
        <v>20195695.215850353</v>
      </c>
      <c r="P17" s="34"/>
      <c r="Q17" s="38">
        <f t="shared" si="8"/>
        <v>20094716.739771102</v>
      </c>
      <c r="R17" s="39">
        <f t="shared" si="16"/>
        <v>2093657.1867665118</v>
      </c>
      <c r="S17" s="34">
        <f t="shared" si="17"/>
        <v>18842914.680898603</v>
      </c>
      <c r="T17" s="40">
        <v>8761449081</v>
      </c>
      <c r="U17" s="272">
        <f t="shared" si="9"/>
        <v>2.145751974709861E-6</v>
      </c>
      <c r="V17" s="282">
        <f t="shared" si="10"/>
        <v>83.524017067687538</v>
      </c>
      <c r="W17" s="283">
        <f>((S17+'Malawi-only'!S17)/(T17*(U17+'Malawi-only'!U17))/12)</f>
        <v>0.95660233779143733</v>
      </c>
      <c r="X17" s="284">
        <f>(R17+'Malawi-only'!R17)</f>
        <v>254905327.73781437</v>
      </c>
      <c r="Y17" s="284">
        <f>(L17+'Malawi-only'!L17)</f>
        <v>391149410.59645683</v>
      </c>
      <c r="Z17" s="284">
        <f>(Q17+'Malawi-only'!Q17)</f>
        <v>525718057.84186685</v>
      </c>
    </row>
    <row r="18" spans="1:26" ht="15.75" customHeight="1">
      <c r="A18" s="31" t="s">
        <v>51</v>
      </c>
      <c r="B18" s="32">
        <v>2034</v>
      </c>
      <c r="C18" s="334">
        <f t="shared" si="11"/>
        <v>3.1090929646373895E-5</v>
      </c>
      <c r="D18" s="334">
        <f t="shared" si="12"/>
        <v>3.7266854642590373E-5</v>
      </c>
      <c r="E18" s="34">
        <f t="shared" si="1"/>
        <v>-3512746.7295296481</v>
      </c>
      <c r="F18" s="34">
        <f t="shared" si="13"/>
        <v>568.7806655167675</v>
      </c>
      <c r="G18" s="34">
        <f t="shared" si="2"/>
        <v>21196666.385329187</v>
      </c>
      <c r="H18" s="34">
        <f t="shared" si="3"/>
        <v>21090683.053402539</v>
      </c>
      <c r="I18" s="35">
        <f t="shared" si="18"/>
        <v>0.19000000000000006</v>
      </c>
      <c r="J18" s="36">
        <f t="shared" si="4"/>
        <v>4007229.7801464838</v>
      </c>
      <c r="K18" s="34">
        <f t="shared" si="14"/>
        <v>37048008.732548438</v>
      </c>
      <c r="L18" s="37">
        <f t="shared" si="15"/>
        <v>36949883.678461418</v>
      </c>
      <c r="M18" s="34">
        <f t="shared" si="5"/>
        <v>2327842.6717430693</v>
      </c>
      <c r="N18" s="34">
        <f t="shared" si="6"/>
        <v>17083453.273256056</v>
      </c>
      <c r="O18" s="34">
        <f t="shared" si="7"/>
        <v>19411295.944999125</v>
      </c>
      <c r="P18" s="34"/>
      <c r="Q18" s="38">
        <f t="shared" si="8"/>
        <v>19314239.465274129</v>
      </c>
      <c r="R18" s="39">
        <f t="shared" si="16"/>
        <v>2009471.6739771103</v>
      </c>
      <c r="S18" s="34">
        <f t="shared" si="17"/>
        <v>18085245.065793991</v>
      </c>
      <c r="T18" s="40">
        <v>8823784909</v>
      </c>
      <c r="U18" s="272">
        <f t="shared" si="9"/>
        <v>2.145751974709861E-6</v>
      </c>
      <c r="V18" s="282">
        <f t="shared" si="10"/>
        <v>79.599202774475671</v>
      </c>
      <c r="W18" s="283">
        <f>((S18+'Malawi-only'!S18)/(T18*(U18+'Malawi-only'!U18))/12)</f>
        <v>1.1800413092436111</v>
      </c>
      <c r="X18" s="284">
        <f>(R18+'Malawi-only'!R18)</f>
        <v>321414906.94968992</v>
      </c>
      <c r="Y18" s="284">
        <f>(L18+'Malawi-only'!L18)</f>
        <v>540157104.98977482</v>
      </c>
      <c r="Z18" s="284">
        <f>(Q18+'Malawi-only'!Q18)</f>
        <v>658125110.01669967</v>
      </c>
    </row>
    <row r="19" spans="1:26" ht="15.75" customHeight="1">
      <c r="A19" s="31" t="s">
        <v>52</v>
      </c>
      <c r="B19" s="32">
        <v>2035</v>
      </c>
      <c r="C19" s="334">
        <f t="shared" si="11"/>
        <v>2.7981836681736506E-5</v>
      </c>
      <c r="D19" s="334">
        <f t="shared" si="12"/>
        <v>3.0558820806924105E-5</v>
      </c>
      <c r="E19" s="34">
        <f t="shared" si="1"/>
        <v>-1706119.9000534045</v>
      </c>
      <c r="F19" s="34">
        <f t="shared" si="13"/>
        <v>662.06069466151735</v>
      </c>
      <c r="G19" s="34">
        <f t="shared" si="2"/>
        <v>20231794.131469004</v>
      </c>
      <c r="H19" s="34">
        <f t="shared" si="3"/>
        <v>20130635.160811659</v>
      </c>
      <c r="I19" s="35">
        <f t="shared" ref="I19:I38" si="19">I18+$J$5</f>
        <v>0.23000000000000007</v>
      </c>
      <c r="J19" s="36">
        <f t="shared" si="4"/>
        <v>4630046.0869866833</v>
      </c>
      <c r="K19" s="34">
        <f t="shared" si="14"/>
        <v>41678054.819535121</v>
      </c>
      <c r="L19" s="37">
        <f t="shared" si="15"/>
        <v>41559139.800565377</v>
      </c>
      <c r="M19" s="34">
        <f t="shared" si="5"/>
        <v>2618225.8074356187</v>
      </c>
      <c r="N19" s="34">
        <f t="shared" si="6"/>
        <v>15500589.073824976</v>
      </c>
      <c r="O19" s="34">
        <f t="shared" si="7"/>
        <v>18118814.881260596</v>
      </c>
      <c r="P19" s="34"/>
      <c r="Q19" s="38">
        <f t="shared" si="8"/>
        <v>18028220.806854293</v>
      </c>
      <c r="R19" s="39">
        <f t="shared" si="16"/>
        <v>1931423.9465274131</v>
      </c>
      <c r="S19" s="34">
        <f t="shared" si="17"/>
        <v>17382815.518746715</v>
      </c>
      <c r="T19" s="40">
        <v>8885210181</v>
      </c>
      <c r="U19" s="272">
        <f t="shared" si="9"/>
        <v>2.145751974709861E-6</v>
      </c>
      <c r="V19" s="282">
        <f t="shared" si="10"/>
        <v>75.978663283063199</v>
      </c>
      <c r="W19" s="283">
        <f>((S19+'Malawi-only'!S19)/(T19*(U19+'Malawi-only'!U19))/12)</f>
        <v>1.3844131909124566</v>
      </c>
      <c r="X19" s="284">
        <f>(R19+'Malawi-only'!R19)</f>
        <v>383245725.07695419</v>
      </c>
      <c r="Y19" s="284">
        <f>(L19+'Malawi-only'!L19)</f>
        <v>776364322.82097328</v>
      </c>
      <c r="Z19" s="284">
        <f>(Q19+'Malawi-only'!Q19)</f>
        <v>780656823.06770778</v>
      </c>
    </row>
    <row r="20" spans="1:26" ht="15.75" customHeight="1">
      <c r="A20" s="31" t="s">
        <v>53</v>
      </c>
      <c r="B20" s="32">
        <v>2036</v>
      </c>
      <c r="C20" s="334">
        <f t="shared" si="11"/>
        <v>2.5183653013562856E-5</v>
      </c>
      <c r="D20" s="334">
        <f t="shared" ref="D20:D184" si="20">C20</f>
        <v>2.5183653013562856E-5</v>
      </c>
      <c r="E20" s="34">
        <f t="shared" si="1"/>
        <v>0</v>
      </c>
      <c r="F20" s="34">
        <f t="shared" si="13"/>
        <v>770.63864858600618</v>
      </c>
      <c r="G20" s="34">
        <f t="shared" si="2"/>
        <v>19407496.324830983</v>
      </c>
      <c r="H20" s="34">
        <f t="shared" si="3"/>
        <v>19310458.843206827</v>
      </c>
      <c r="I20" s="35">
        <f t="shared" si="19"/>
        <v>0.27000000000000007</v>
      </c>
      <c r="J20" s="36">
        <f t="shared" si="4"/>
        <v>5213823.8876658445</v>
      </c>
      <c r="K20" s="34">
        <f t="shared" si="14"/>
        <v>46891878.707200967</v>
      </c>
      <c r="L20" s="37">
        <f t="shared" si="15"/>
        <v>46749577.20638711</v>
      </c>
      <c r="M20" s="34">
        <f t="shared" si="5"/>
        <v>2945223.364002388</v>
      </c>
      <c r="N20" s="34">
        <f t="shared" si="6"/>
        <v>14096634.955540983</v>
      </c>
      <c r="O20" s="34">
        <f t="shared" si="7"/>
        <v>17041858.319543369</v>
      </c>
      <c r="P20" s="34"/>
      <c r="Q20" s="38">
        <f t="shared" si="8"/>
        <v>16956649.027945653</v>
      </c>
      <c r="R20" s="39">
        <f t="shared" si="16"/>
        <v>1802822.0806854293</v>
      </c>
      <c r="S20" s="34">
        <f t="shared" si="17"/>
        <v>16225398.726168863</v>
      </c>
      <c r="T20" s="40">
        <v>8945686614</v>
      </c>
      <c r="U20" s="272">
        <f t="shared" si="9"/>
        <v>2.145751974709861E-6</v>
      </c>
      <c r="V20" s="282">
        <f t="shared" si="10"/>
        <v>70.440256909715004</v>
      </c>
      <c r="W20" s="283">
        <f>((S20+'Malawi-only'!S20)/(T20*(U20+'Malawi-only'!U20))/12)</f>
        <v>1.6149860584457658</v>
      </c>
      <c r="X20" s="284">
        <f>(R20+'Malawi-only'!R20)</f>
        <v>453842876.22143656</v>
      </c>
      <c r="Y20" s="284">
        <f>(L20+'Malawi-only'!L20)</f>
        <v>1133110754.3655901</v>
      </c>
      <c r="Z20" s="284">
        <f>(Q20+'Malawi-only'!Q20)</f>
        <v>921036757.30944788</v>
      </c>
    </row>
    <row r="21" spans="1:26" ht="15.75" customHeight="1">
      <c r="A21" s="31" t="s">
        <v>54</v>
      </c>
      <c r="B21" s="32">
        <v>2037</v>
      </c>
      <c r="C21" s="334">
        <f t="shared" si="11"/>
        <v>2.2665287712206572E-5</v>
      </c>
      <c r="D21" s="334">
        <f t="shared" si="20"/>
        <v>2.2665287712206572E-5</v>
      </c>
      <c r="E21" s="34">
        <f t="shared" si="1"/>
        <v>0</v>
      </c>
      <c r="F21" s="34">
        <f t="shared" si="13"/>
        <v>897.02338695411117</v>
      </c>
      <c r="G21" s="34">
        <f t="shared" si="2"/>
        <v>20331293.149892934</v>
      </c>
      <c r="H21" s="34">
        <f t="shared" si="3"/>
        <v>20229636.684143469</v>
      </c>
      <c r="I21" s="35">
        <f t="shared" si="19"/>
        <v>0.31000000000000005</v>
      </c>
      <c r="J21" s="36">
        <f t="shared" si="4"/>
        <v>6271187.3720844761</v>
      </c>
      <c r="K21" s="34">
        <f t="shared" si="14"/>
        <v>53163066.079285443</v>
      </c>
      <c r="L21" s="37">
        <f t="shared" si="15"/>
        <v>52994254.196182355</v>
      </c>
      <c r="M21" s="34">
        <f t="shared" si="5"/>
        <v>3338638.0143594886</v>
      </c>
      <c r="N21" s="34">
        <f t="shared" si="6"/>
        <v>13958449.312058993</v>
      </c>
      <c r="O21" s="34">
        <f t="shared" si="7"/>
        <v>17297087.326418482</v>
      </c>
      <c r="P21" s="34"/>
      <c r="Q21" s="38">
        <f t="shared" si="8"/>
        <v>17210601.889786389</v>
      </c>
      <c r="R21" s="39">
        <f t="shared" si="16"/>
        <v>1695664.9027945653</v>
      </c>
      <c r="S21" s="34">
        <f t="shared" si="17"/>
        <v>15260984.125151087</v>
      </c>
      <c r="T21" s="40">
        <v>9005152624</v>
      </c>
      <c r="U21" s="272">
        <f t="shared" si="9"/>
        <v>2.145751974709861E-6</v>
      </c>
      <c r="V21" s="282">
        <f t="shared" si="10"/>
        <v>65.815880505709188</v>
      </c>
      <c r="W21" s="283">
        <f>((S21+'Malawi-only'!S21)/(T21*(U21+'Malawi-only'!U21))/12)</f>
        <v>1.8762100842313225</v>
      </c>
      <c r="X21" s="284">
        <f>(R21+'Malawi-only'!R21)</f>
        <v>534058341.90427065</v>
      </c>
      <c r="Y21" s="284">
        <f>(L21+'Malawi-only'!L21)</f>
        <v>1654324286.3696949</v>
      </c>
      <c r="Z21" s="284">
        <f>(Q21+'Malawi-only'!Q21)</f>
        <v>1081935955.8927386</v>
      </c>
    </row>
    <row r="22" spans="1:26" ht="15.75" customHeight="1">
      <c r="A22" s="31" t="s">
        <v>55</v>
      </c>
      <c r="B22" s="32">
        <v>2038</v>
      </c>
      <c r="C22" s="334">
        <f t="shared" si="11"/>
        <v>2.0398758940985917E-5</v>
      </c>
      <c r="D22" s="334">
        <f t="shared" si="20"/>
        <v>2.0398758940985917E-5</v>
      </c>
      <c r="E22" s="34">
        <f t="shared" si="1"/>
        <v>0</v>
      </c>
      <c r="F22" s="34">
        <f t="shared" si="13"/>
        <v>1044.1352224145853</v>
      </c>
      <c r="G22" s="34">
        <f t="shared" si="2"/>
        <v>21299062.703827839</v>
      </c>
      <c r="H22" s="34">
        <f t="shared" si="3"/>
        <v>21192567.390308701</v>
      </c>
      <c r="I22" s="35">
        <f t="shared" si="19"/>
        <v>0.35000000000000003</v>
      </c>
      <c r="J22" s="36">
        <f t="shared" si="4"/>
        <v>7417398.5866080457</v>
      </c>
      <c r="K22" s="34">
        <f t="shared" si="14"/>
        <v>60580464.665893488</v>
      </c>
      <c r="L22" s="37">
        <f t="shared" si="15"/>
        <v>60381446.956399009</v>
      </c>
      <c r="M22" s="34">
        <f t="shared" si="5"/>
        <v>3804031.1582531375</v>
      </c>
      <c r="N22" s="34">
        <f t="shared" si="6"/>
        <v>13775168.803700654</v>
      </c>
      <c r="O22" s="34">
        <f t="shared" si="7"/>
        <v>17579199.961953793</v>
      </c>
      <c r="P22" s="34"/>
      <c r="Q22" s="38">
        <f t="shared" si="8"/>
        <v>17491303.962144025</v>
      </c>
      <c r="R22" s="39">
        <f t="shared" si="16"/>
        <v>1721060.188978639</v>
      </c>
      <c r="S22" s="34">
        <f t="shared" si="17"/>
        <v>15489541.70080775</v>
      </c>
      <c r="T22" s="40">
        <v>9063572926</v>
      </c>
      <c r="U22" s="272">
        <f t="shared" si="9"/>
        <v>2.145751974709861E-6</v>
      </c>
      <c r="V22" s="282">
        <f t="shared" si="10"/>
        <v>66.37100102226573</v>
      </c>
      <c r="W22" s="283">
        <f>((S22+'Malawi-only'!S22)/(T22*(U22+'Malawi-only'!U22))/12)</f>
        <v>2.1734508759711098</v>
      </c>
      <c r="X22" s="284">
        <f>(R22+'Malawi-only'!R22)</f>
        <v>624728609.38313723</v>
      </c>
      <c r="Y22" s="284">
        <f>(L22+'Malawi-only'!L22)</f>
        <v>2396269739.462841</v>
      </c>
      <c r="Z22" s="284">
        <f>(Q22+'Malawi-only'!Q22)</f>
        <v>1263506402.3504612</v>
      </c>
    </row>
    <row r="23" spans="1:26" ht="15.75" customHeight="1">
      <c r="A23" s="31" t="s">
        <v>56</v>
      </c>
      <c r="B23" s="32">
        <v>2039</v>
      </c>
      <c r="C23" s="334">
        <f t="shared" si="11"/>
        <v>1.8358883046887324E-5</v>
      </c>
      <c r="D23" s="334">
        <f t="shared" si="20"/>
        <v>1.8358883046887324E-5</v>
      </c>
      <c r="E23" s="34">
        <f t="shared" si="1"/>
        <v>0</v>
      </c>
      <c r="F23" s="34">
        <f t="shared" si="13"/>
        <v>1215.3733988905772</v>
      </c>
      <c r="G23" s="34">
        <f t="shared" si="2"/>
        <v>22312898.088530041</v>
      </c>
      <c r="H23" s="34">
        <f t="shared" si="3"/>
        <v>22201333.598087393</v>
      </c>
      <c r="I23" s="35">
        <f t="shared" si="19"/>
        <v>0.39</v>
      </c>
      <c r="J23" s="36">
        <f t="shared" si="4"/>
        <v>8658520.1032540835</v>
      </c>
      <c r="K23" s="34">
        <f t="shared" si="14"/>
        <v>69238984.769147575</v>
      </c>
      <c r="L23" s="37">
        <f t="shared" si="15"/>
        <v>69005447.076123267</v>
      </c>
      <c r="M23" s="34">
        <f t="shared" si="5"/>
        <v>4347343.1657957658</v>
      </c>
      <c r="N23" s="34">
        <f t="shared" si="6"/>
        <v>13542813.494833309</v>
      </c>
      <c r="O23" s="34">
        <f t="shared" si="7"/>
        <v>17890156.660629075</v>
      </c>
      <c r="P23" s="34"/>
      <c r="Q23" s="38">
        <f t="shared" si="8"/>
        <v>17800705.87732593</v>
      </c>
      <c r="R23" s="39">
        <f t="shared" si="16"/>
        <v>1749130.3962144025</v>
      </c>
      <c r="S23" s="34">
        <f t="shared" si="17"/>
        <v>15742173.565929621</v>
      </c>
      <c r="T23" s="40">
        <v>9120928380</v>
      </c>
      <c r="U23" s="272">
        <f t="shared" si="9"/>
        <v>2.145751974709861E-6</v>
      </c>
      <c r="V23" s="282">
        <f t="shared" si="10"/>
        <v>67.029330861648674</v>
      </c>
      <c r="W23" s="283">
        <f>((S23+'Malawi-only'!S23)/(T23*(U23+'Malawi-only'!U23))/12)</f>
        <v>2.5042667036507038</v>
      </c>
      <c r="X23" s="284">
        <f>(R23+'Malawi-only'!R23)</f>
        <v>726343668.1613704</v>
      </c>
      <c r="Y23" s="284">
        <f>(L23+'Malawi-only'!L23)</f>
        <v>3431221595.1366963</v>
      </c>
      <c r="Z23" s="284">
        <f>(Q23+'Malawi-only'!Q23)</f>
        <v>1466989781.4076381</v>
      </c>
    </row>
    <row r="24" spans="1:26" ht="15.75" customHeight="1">
      <c r="A24" s="31" t="s">
        <v>57</v>
      </c>
      <c r="B24" s="32">
        <v>2040</v>
      </c>
      <c r="C24" s="334">
        <f t="shared" si="11"/>
        <v>1.6522994742198591E-5</v>
      </c>
      <c r="D24" s="334">
        <f t="shared" si="20"/>
        <v>1.6522994742198591E-5</v>
      </c>
      <c r="E24" s="34">
        <f t="shared" si="1"/>
        <v>0</v>
      </c>
      <c r="F24" s="34">
        <f t="shared" si="13"/>
        <v>1414.6946363086317</v>
      </c>
      <c r="G24" s="34">
        <f t="shared" si="2"/>
        <v>23374992.037544068</v>
      </c>
      <c r="H24" s="34">
        <f t="shared" si="3"/>
        <v>23258117.077356346</v>
      </c>
      <c r="I24" s="35">
        <f t="shared" si="19"/>
        <v>0.43</v>
      </c>
      <c r="J24" s="36">
        <f t="shared" si="4"/>
        <v>10000990.343263229</v>
      </c>
      <c r="K24" s="34">
        <f t="shared" si="14"/>
        <v>79239975.112410799</v>
      </c>
      <c r="L24" s="37">
        <f t="shared" si="15"/>
        <v>78966934.200676799</v>
      </c>
      <c r="M24" s="34">
        <f t="shared" si="5"/>
        <v>4974916.854642638</v>
      </c>
      <c r="N24" s="34">
        <f t="shared" si="6"/>
        <v>13257126.734093118</v>
      </c>
      <c r="O24" s="34">
        <f t="shared" si="7"/>
        <v>18232043.588735756</v>
      </c>
      <c r="P24" s="34"/>
      <c r="Q24" s="38">
        <f t="shared" si="8"/>
        <v>18140883.370792076</v>
      </c>
      <c r="R24" s="39">
        <f t="shared" si="16"/>
        <v>1780070.5877325931</v>
      </c>
      <c r="S24" s="34">
        <f t="shared" si="17"/>
        <v>16020635.289593337</v>
      </c>
      <c r="T24" s="40">
        <v>9177190203</v>
      </c>
      <c r="U24" s="272">
        <f t="shared" si="9"/>
        <v>2.145751974709861E-6</v>
      </c>
      <c r="V24" s="282">
        <f t="shared" si="10"/>
        <v>67.796805986743877</v>
      </c>
      <c r="W24" s="283">
        <f>((S24+'Malawi-only'!S24)/(T24*(U24+'Malawi-only'!U24))/12)</f>
        <v>2.8697204308237869</v>
      </c>
      <c r="X24" s="284">
        <f>(R24+'Malawi-only'!R24)</f>
        <v>839368430.84580505</v>
      </c>
      <c r="Y24" s="284">
        <f>(L24+'Malawi-only'!L24)</f>
        <v>4851561852.2282562</v>
      </c>
      <c r="Z24" s="284">
        <f>(Q24+'Malawi-only'!Q24)</f>
        <v>1693317603.8869371</v>
      </c>
    </row>
    <row r="25" spans="1:26" ht="15.75" customHeight="1">
      <c r="A25" s="31" t="s">
        <v>58</v>
      </c>
      <c r="B25" s="32">
        <v>2041</v>
      </c>
      <c r="C25" s="334">
        <f t="shared" si="11"/>
        <v>1.4870695267978732E-5</v>
      </c>
      <c r="D25" s="334">
        <f t="shared" si="20"/>
        <v>1.4870695267978732E-5</v>
      </c>
      <c r="E25" s="34">
        <f t="shared" si="1"/>
        <v>0</v>
      </c>
      <c r="F25" s="34">
        <f t="shared" si="13"/>
        <v>1646.7045566632473</v>
      </c>
      <c r="G25" s="34">
        <f t="shared" si="2"/>
        <v>24487641.658531167</v>
      </c>
      <c r="H25" s="34">
        <f t="shared" si="3"/>
        <v>24365203.450238511</v>
      </c>
      <c r="I25" s="35">
        <f t="shared" si="19"/>
        <v>0.47</v>
      </c>
      <c r="J25" s="36">
        <f t="shared" si="4"/>
        <v>11451645.6216121</v>
      </c>
      <c r="K25" s="34">
        <f t="shared" si="14"/>
        <v>90691620.7340229</v>
      </c>
      <c r="L25" s="37">
        <f t="shared" si="15"/>
        <v>90373370.532377765</v>
      </c>
      <c r="M25" s="34">
        <f t="shared" si="5"/>
        <v>5693522.3435397996</v>
      </c>
      <c r="N25" s="34">
        <f t="shared" si="6"/>
        <v>12913557.828626411</v>
      </c>
      <c r="O25" s="34">
        <f t="shared" si="7"/>
        <v>18607080.17216621</v>
      </c>
      <c r="P25" s="34"/>
      <c r="Q25" s="38">
        <f t="shared" si="8"/>
        <v>18514044.771305379</v>
      </c>
      <c r="R25" s="39">
        <f t="shared" si="16"/>
        <v>1814088.3370792076</v>
      </c>
      <c r="S25" s="34">
        <f t="shared" si="17"/>
        <v>16326795.033712868</v>
      </c>
      <c r="T25" s="40">
        <v>9232281575</v>
      </c>
      <c r="U25" s="272">
        <f t="shared" si="9"/>
        <v>2.145751974709861E-6</v>
      </c>
      <c r="V25" s="282">
        <f t="shared" si="10"/>
        <v>68.680133741309945</v>
      </c>
      <c r="W25" s="283">
        <f>((S25+'Malawi-only'!S25)/(T25*(U25+'Malawi-only'!U25))/12)</f>
        <v>2.9821586316493991</v>
      </c>
      <c r="X25" s="284">
        <f>(R25+'Malawi-only'!R25)</f>
        <v>877866502.77827454</v>
      </c>
      <c r="Y25" s="284">
        <f>(L25+'Malawi-only'!L25)</f>
        <v>6571674936.8526945</v>
      </c>
      <c r="Z25" s="284">
        <f>(Q25+'Malawi-only'!Q25)</f>
        <v>1770618873.6536961</v>
      </c>
    </row>
    <row r="26" spans="1:26" ht="15.75" customHeight="1">
      <c r="A26" s="31" t="s">
        <v>59</v>
      </c>
      <c r="B26" s="32">
        <v>2042</v>
      </c>
      <c r="C26" s="334">
        <f t="shared" si="11"/>
        <v>1.3383625741180859E-5</v>
      </c>
      <c r="D26" s="334">
        <f t="shared" si="20"/>
        <v>1.3383625741180859E-5</v>
      </c>
      <c r="E26" s="34">
        <f t="shared" si="1"/>
        <v>0</v>
      </c>
      <c r="F26" s="34">
        <f t="shared" si="13"/>
        <v>1916.7641039560199</v>
      </c>
      <c r="G26" s="34">
        <f t="shared" si="2"/>
        <v>25653253.401477251</v>
      </c>
      <c r="H26" s="34">
        <f t="shared" si="3"/>
        <v>25524987.134469863</v>
      </c>
      <c r="I26" s="35">
        <f t="shared" si="19"/>
        <v>0.51</v>
      </c>
      <c r="J26" s="36">
        <f t="shared" si="4"/>
        <v>13017743.43857963</v>
      </c>
      <c r="K26" s="34">
        <f t="shared" si="14"/>
        <v>103709364.17260253</v>
      </c>
      <c r="L26" s="37">
        <f t="shared" si="15"/>
        <v>103339418.41397193</v>
      </c>
      <c r="M26" s="34">
        <f t="shared" si="5"/>
        <v>6510383.3600802319</v>
      </c>
      <c r="N26" s="34">
        <f t="shared" si="6"/>
        <v>12507243.695890233</v>
      </c>
      <c r="O26" s="34">
        <f t="shared" si="7"/>
        <v>19017627.055970464</v>
      </c>
      <c r="P26" s="34"/>
      <c r="Q26" s="38">
        <f t="shared" si="8"/>
        <v>18922538.920690611</v>
      </c>
      <c r="R26" s="39">
        <f t="shared" si="16"/>
        <v>1851404.4771305379</v>
      </c>
      <c r="S26" s="34">
        <f t="shared" si="17"/>
        <v>16662640.294174841</v>
      </c>
      <c r="T26" s="40">
        <v>9286110371</v>
      </c>
      <c r="U26" s="272">
        <f t="shared" si="9"/>
        <v>2.145751974709861E-6</v>
      </c>
      <c r="V26" s="282">
        <f t="shared" si="10"/>
        <v>69.686589579930214</v>
      </c>
      <c r="W26" s="283">
        <f>((S26+'Malawi-only'!S26)/(T26*(U26+'Malawi-only'!U26))/12)</f>
        <v>2.9853091786256765</v>
      </c>
      <c r="X26" s="284">
        <f>(R26+'Malawi-only'!R26)</f>
        <v>883719252.97163677</v>
      </c>
      <c r="Y26" s="284">
        <f>(L26+'Malawi-only'!L26)</f>
        <v>8539917319.6585827</v>
      </c>
      <c r="Z26" s="284">
        <f>(Q26+'Malawi-only'!Q26)</f>
        <v>1782658235.909703</v>
      </c>
    </row>
    <row r="27" spans="1:26" ht="15.75" customHeight="1">
      <c r="A27" s="31" t="s">
        <v>60</v>
      </c>
      <c r="B27" s="32">
        <v>2043</v>
      </c>
      <c r="C27" s="334">
        <f t="shared" si="11"/>
        <v>1.2045263167062773E-5</v>
      </c>
      <c r="D27" s="334">
        <f t="shared" si="20"/>
        <v>1.2045263167062773E-5</v>
      </c>
      <c r="E27" s="34">
        <f t="shared" si="1"/>
        <v>0</v>
      </c>
      <c r="F27" s="34">
        <f t="shared" si="13"/>
        <v>2231.1134170048072</v>
      </c>
      <c r="G27" s="34">
        <f t="shared" si="2"/>
        <v>26874348.263387568</v>
      </c>
      <c r="H27" s="34">
        <f t="shared" si="3"/>
        <v>26739976.522070631</v>
      </c>
      <c r="I27" s="35">
        <f t="shared" si="19"/>
        <v>0.55000000000000004</v>
      </c>
      <c r="J27" s="36">
        <f t="shared" si="4"/>
        <v>14706987.087138848</v>
      </c>
      <c r="K27" s="34">
        <f t="shared" si="14"/>
        <v>118416351.25974138</v>
      </c>
      <c r="L27" s="37">
        <f t="shared" si="15"/>
        <v>117987382.29836023</v>
      </c>
      <c r="M27" s="34">
        <f t="shared" si="5"/>
        <v>7433205.0847966941</v>
      </c>
      <c r="N27" s="34">
        <f t="shared" si="6"/>
        <v>12032989.434931783</v>
      </c>
      <c r="O27" s="34">
        <f t="shared" si="7"/>
        <v>19466194.519728478</v>
      </c>
      <c r="P27" s="34"/>
      <c r="Q27" s="38">
        <f t="shared" si="8"/>
        <v>19368863.547129836</v>
      </c>
      <c r="R27" s="39">
        <f t="shared" si="16"/>
        <v>1892253.8920690613</v>
      </c>
      <c r="S27" s="34">
        <f t="shared" si="17"/>
        <v>17030285.028621551</v>
      </c>
      <c r="T27" s="40">
        <v>9338661314</v>
      </c>
      <c r="U27" s="272">
        <f t="shared" si="9"/>
        <v>2.145751974709861E-6</v>
      </c>
      <c r="V27" s="282">
        <f t="shared" si="10"/>
        <v>70.823359659484467</v>
      </c>
      <c r="W27" s="283">
        <f>((S27+'Malawi-only'!S27)/(T27*(U27+'Malawi-only'!U27))/12)</f>
        <v>2.9940784615518861</v>
      </c>
      <c r="X27" s="284">
        <f>(R27+'Malawi-only'!R27)</f>
        <v>891131674.49333489</v>
      </c>
      <c r="Y27" s="284">
        <f>(L27+'Malawi-only'!L27)</f>
        <v>10775965862.906525</v>
      </c>
      <c r="Z27" s="284">
        <f>(Q27+'Malawi-only'!Q27)</f>
        <v>1797847704.7496614</v>
      </c>
    </row>
    <row r="28" spans="1:26" ht="15.75" customHeight="1">
      <c r="A28" s="31" t="s">
        <v>61</v>
      </c>
      <c r="B28" s="32">
        <v>2044</v>
      </c>
      <c r="C28" s="334">
        <f t="shared" si="11"/>
        <v>1.0840736850356496E-5</v>
      </c>
      <c r="D28" s="334">
        <f t="shared" si="20"/>
        <v>1.0840736850356496E-5</v>
      </c>
      <c r="E28" s="34">
        <f t="shared" si="1"/>
        <v>0</v>
      </c>
      <c r="F28" s="34">
        <f t="shared" si="13"/>
        <v>2597.0160173935956</v>
      </c>
      <c r="G28" s="34">
        <f t="shared" si="2"/>
        <v>28153567.240724817</v>
      </c>
      <c r="H28" s="34">
        <f t="shared" si="3"/>
        <v>28012799.404521193</v>
      </c>
      <c r="I28" s="35">
        <f t="shared" si="19"/>
        <v>0.59000000000000008</v>
      </c>
      <c r="J28" s="36">
        <f t="shared" si="4"/>
        <v>16527551.648667507</v>
      </c>
      <c r="K28" s="34">
        <f t="shared" si="14"/>
        <v>134943902.90840888</v>
      </c>
      <c r="L28" s="37">
        <f t="shared" si="15"/>
        <v>134447676.48005423</v>
      </c>
      <c r="M28" s="34">
        <f t="shared" si="5"/>
        <v>8470203.6182434168</v>
      </c>
      <c r="N28" s="34">
        <f t="shared" si="6"/>
        <v>11485247.755853686</v>
      </c>
      <c r="O28" s="34">
        <f t="shared" si="7"/>
        <v>19955451.374097101</v>
      </c>
      <c r="P28" s="34"/>
      <c r="Q28" s="38">
        <f t="shared" si="8"/>
        <v>19855674.117226616</v>
      </c>
      <c r="R28" s="39">
        <f t="shared" si="16"/>
        <v>1936886.3547129836</v>
      </c>
      <c r="S28" s="34">
        <f t="shared" si="17"/>
        <v>17431977.192416854</v>
      </c>
      <c r="T28" s="40">
        <v>9389873693</v>
      </c>
      <c r="U28" s="272">
        <f t="shared" si="9"/>
        <v>2.145751974709861E-6</v>
      </c>
      <c r="V28" s="282">
        <f t="shared" si="10"/>
        <v>72.098483778943418</v>
      </c>
      <c r="W28" s="283">
        <f>((S28+'Malawi-only'!S28)/(T28*(U28+'Malawi-only'!U28))/12)</f>
        <v>3.0088411206144663</v>
      </c>
      <c r="X28" s="284">
        <f>(R28+'Malawi-only'!R28)</f>
        <v>900237491.3643893</v>
      </c>
      <c r="Y28" s="284">
        <f>(L28+'Malawi-only'!L28)</f>
        <v>13300808488.547432</v>
      </c>
      <c r="Z28" s="284">
        <f>(Q28+'Malawi-only'!Q28)</f>
        <v>1816456884.1365793</v>
      </c>
    </row>
    <row r="29" spans="1:26" ht="15.75" customHeight="1">
      <c r="A29" s="31" t="s">
        <v>62</v>
      </c>
      <c r="B29" s="32">
        <v>2045</v>
      </c>
      <c r="C29" s="334">
        <f t="shared" si="11"/>
        <v>9.7566631653208461E-6</v>
      </c>
      <c r="D29" s="334">
        <f t="shared" si="20"/>
        <v>9.7566631653208461E-6</v>
      </c>
      <c r="E29" s="34">
        <f t="shared" si="1"/>
        <v>0</v>
      </c>
      <c r="F29" s="34">
        <f t="shared" si="13"/>
        <v>3022.9266442461449</v>
      </c>
      <c r="G29" s="34">
        <f t="shared" si="2"/>
        <v>29493677.041383315</v>
      </c>
      <c r="H29" s="34">
        <f t="shared" si="3"/>
        <v>29346208.656176399</v>
      </c>
      <c r="I29" s="35">
        <f t="shared" si="19"/>
        <v>0.63000000000000012</v>
      </c>
      <c r="J29" s="36">
        <f t="shared" si="4"/>
        <v>18488111.453391135</v>
      </c>
      <c r="K29" s="34">
        <f t="shared" si="14"/>
        <v>153432014.36180001</v>
      </c>
      <c r="L29" s="37">
        <f t="shared" si="15"/>
        <v>152859320.03947866</v>
      </c>
      <c r="M29" s="34">
        <f t="shared" si="5"/>
        <v>9630137.1624871548</v>
      </c>
      <c r="N29" s="34">
        <f t="shared" si="6"/>
        <v>10858097.202785265</v>
      </c>
      <c r="O29" s="34">
        <f t="shared" si="7"/>
        <v>20488234.365272418</v>
      </c>
      <c r="P29" s="34"/>
      <c r="Q29" s="38">
        <f t="shared" si="8"/>
        <v>20385793.193446055</v>
      </c>
      <c r="R29" s="39">
        <f t="shared" si="16"/>
        <v>1985567.4117226617</v>
      </c>
      <c r="S29" s="34">
        <f t="shared" si="17"/>
        <v>17870106.705503955</v>
      </c>
      <c r="T29" s="40">
        <v>9439639668</v>
      </c>
      <c r="U29" s="272">
        <f t="shared" si="9"/>
        <v>2.145751974709861E-6</v>
      </c>
      <c r="V29" s="282">
        <f t="shared" si="10"/>
        <v>73.520924956405352</v>
      </c>
      <c r="W29" s="283">
        <f>((S29+'Malawi-only'!S29)/(T29*(U29+'Malawi-only'!U29))/12)</f>
        <v>3.0300145674122727</v>
      </c>
      <c r="X29" s="284">
        <f>(R29+'Malawi-only'!R29)</f>
        <v>911179625.03959477</v>
      </c>
      <c r="Y29" s="284">
        <f>(L29+'Malawi-only'!L29)</f>
        <v>16136824408.045694</v>
      </c>
      <c r="Z29" s="284">
        <f>(Q29+'Malawi-only'!Q29)</f>
        <v>1838773908.4491904</v>
      </c>
    </row>
    <row r="30" spans="1:26" ht="15.75" customHeight="1">
      <c r="A30" s="31" t="s">
        <v>63</v>
      </c>
      <c r="B30" s="32">
        <v>2046</v>
      </c>
      <c r="C30" s="334">
        <f t="shared" si="11"/>
        <v>8.780996848788762E-6</v>
      </c>
      <c r="D30" s="334">
        <f t="shared" si="20"/>
        <v>8.780996848788762E-6</v>
      </c>
      <c r="E30" s="34">
        <f t="shared" si="1"/>
        <v>0</v>
      </c>
      <c r="F30" s="34">
        <f t="shared" si="13"/>
        <v>3518.6866139025124</v>
      </c>
      <c r="G30" s="34">
        <f t="shared" si="2"/>
        <v>30897576.068553161</v>
      </c>
      <c r="H30" s="34">
        <f t="shared" si="3"/>
        <v>30743088.188210394</v>
      </c>
      <c r="I30" s="35">
        <f t="shared" si="19"/>
        <v>0.67000000000000015</v>
      </c>
      <c r="J30" s="36">
        <f t="shared" si="4"/>
        <v>20597869.086100969</v>
      </c>
      <c r="K30" s="34">
        <f t="shared" si="14"/>
        <v>174029883.44790098</v>
      </c>
      <c r="L30" s="37">
        <f t="shared" si="15"/>
        <v>173370460.53101686</v>
      </c>
      <c r="M30" s="34">
        <f t="shared" si="5"/>
        <v>10922339.013454063</v>
      </c>
      <c r="N30" s="34">
        <f t="shared" si="6"/>
        <v>10145219.102109425</v>
      </c>
      <c r="O30" s="34">
        <f t="shared" si="7"/>
        <v>21067558.115563489</v>
      </c>
      <c r="P30" s="34"/>
      <c r="Q30" s="38">
        <f t="shared" si="8"/>
        <v>20962220.324985672</v>
      </c>
      <c r="R30" s="39">
        <f t="shared" si="16"/>
        <v>2038579.3193446056</v>
      </c>
      <c r="S30" s="34">
        <f t="shared" si="17"/>
        <v>18347213.874101449</v>
      </c>
      <c r="T30" s="40">
        <v>9487889604</v>
      </c>
      <c r="U30" s="272">
        <f t="shared" si="9"/>
        <v>2.145751974709861E-6</v>
      </c>
      <c r="V30" s="282">
        <f t="shared" si="10"/>
        <v>75.099964865178038</v>
      </c>
      <c r="W30" s="283">
        <f>((S30+'Malawi-only'!S30)/(T30*(U30+'Malawi-only'!U30))/12)</f>
        <v>3.058033909804212</v>
      </c>
      <c r="X30" s="284">
        <f>(R30+'Malawi-only'!R30)</f>
        <v>924110767.01630211</v>
      </c>
      <c r="Y30" s="284">
        <f>(L30+'Malawi-only'!L30)</f>
        <v>19307869019.534908</v>
      </c>
      <c r="Z30" s="284">
        <f>(Q30+'Malawi-only'!Q30)</f>
        <v>1865106595.7189007</v>
      </c>
    </row>
    <row r="31" spans="1:26" ht="15.75" customHeight="1">
      <c r="A31" s="31" t="s">
        <v>64</v>
      </c>
      <c r="B31" s="32">
        <v>2047</v>
      </c>
      <c r="C31" s="334">
        <f t="shared" si="11"/>
        <v>7.9028971639098863E-6</v>
      </c>
      <c r="D31" s="334">
        <f t="shared" si="20"/>
        <v>7.9028971639098863E-6</v>
      </c>
      <c r="E31" s="34">
        <f t="shared" si="1"/>
        <v>0</v>
      </c>
      <c r="F31" s="42">
        <v>4000</v>
      </c>
      <c r="G31" s="34">
        <f t="shared" si="2"/>
        <v>31611588.655639544</v>
      </c>
      <c r="H31" s="34">
        <f t="shared" si="3"/>
        <v>31453530.712361347</v>
      </c>
      <c r="I31" s="35">
        <f t="shared" si="19"/>
        <v>0.71000000000000019</v>
      </c>
      <c r="J31" s="36">
        <f t="shared" si="4"/>
        <v>22332006.805776563</v>
      </c>
      <c r="K31" s="34">
        <f t="shared" si="14"/>
        <v>196361890.25367755</v>
      </c>
      <c r="L31" s="37">
        <f t="shared" si="15"/>
        <v>195604616.10312504</v>
      </c>
      <c r="M31" s="34">
        <f t="shared" si="5"/>
        <v>12323090.814496877</v>
      </c>
      <c r="N31" s="34">
        <f t="shared" si="6"/>
        <v>9121523.9065847844</v>
      </c>
      <c r="O31" s="34">
        <f t="shared" si="7"/>
        <v>21444614.721081659</v>
      </c>
      <c r="P31" s="34"/>
      <c r="Q31" s="38">
        <f t="shared" si="8"/>
        <v>21337391.647476252</v>
      </c>
      <c r="R31" s="39">
        <f t="shared" si="16"/>
        <v>2096222.0324985674</v>
      </c>
      <c r="S31" s="34">
        <f t="shared" si="17"/>
        <v>18865998.292487103</v>
      </c>
      <c r="T31" s="40">
        <v>9534545977</v>
      </c>
      <c r="U31" s="272">
        <f t="shared" si="9"/>
        <v>2.145751974709861E-6</v>
      </c>
      <c r="V31" s="282">
        <f t="shared" si="10"/>
        <v>76.845600123173071</v>
      </c>
      <c r="W31" s="283">
        <f>((S31+'Malawi-only'!S31)/(T31*(U31+'Malawi-only'!U31))/12)</f>
        <v>3.0933691598592552</v>
      </c>
      <c r="X31" s="284">
        <f>(R31+'Malawi-only'!R31)</f>
        <v>939193985.11638105</v>
      </c>
      <c r="Y31" s="284">
        <f>(L31+'Malawi-only'!L31)</f>
        <v>22838829422.928047</v>
      </c>
      <c r="Z31" s="284">
        <f>(Q31+'Malawi-only'!Q31)</f>
        <v>1895532917.8152411</v>
      </c>
    </row>
    <row r="32" spans="1:26" ht="15.75" customHeight="1">
      <c r="A32" s="31" t="s">
        <v>65</v>
      </c>
      <c r="B32" s="32">
        <v>2048</v>
      </c>
      <c r="C32" s="334">
        <f t="shared" si="11"/>
        <v>7.1126074475188982E-6</v>
      </c>
      <c r="D32" s="334">
        <f t="shared" si="20"/>
        <v>7.1126074475188982E-6</v>
      </c>
      <c r="E32" s="34">
        <f t="shared" si="1"/>
        <v>0</v>
      </c>
      <c r="F32" s="42">
        <v>4000</v>
      </c>
      <c r="G32" s="34">
        <f t="shared" si="2"/>
        <v>28450429.790075593</v>
      </c>
      <c r="H32" s="34">
        <f t="shared" si="3"/>
        <v>28308177.641125213</v>
      </c>
      <c r="I32" s="35">
        <f t="shared" si="19"/>
        <v>0.75000000000000022</v>
      </c>
      <c r="J32" s="36">
        <f t="shared" si="4"/>
        <v>21231133.230843917</v>
      </c>
      <c r="K32" s="34">
        <f t="shared" si="14"/>
        <v>217593023.48452145</v>
      </c>
      <c r="L32" s="37">
        <f t="shared" si="15"/>
        <v>216727331.45930198</v>
      </c>
      <c r="M32" s="34">
        <f t="shared" si="5"/>
        <v>13653821.881936025</v>
      </c>
      <c r="N32" s="34">
        <f t="shared" si="6"/>
        <v>7077044.4102812968</v>
      </c>
      <c r="O32" s="34">
        <f t="shared" si="7"/>
        <v>20730866.292217322</v>
      </c>
      <c r="P32" s="34"/>
      <c r="Q32" s="38">
        <f t="shared" si="8"/>
        <v>20627211.960756235</v>
      </c>
      <c r="R32" s="39">
        <f t="shared" si="16"/>
        <v>2133739.1647476251</v>
      </c>
      <c r="S32" s="34">
        <f t="shared" si="17"/>
        <v>19203652.482728627</v>
      </c>
      <c r="T32" s="40">
        <v>9579536043</v>
      </c>
      <c r="U32" s="272">
        <f t="shared" si="9"/>
        <v>2.145751974709861E-6</v>
      </c>
      <c r="V32" s="282">
        <f t="shared" si="10"/>
        <v>77.853581366571348</v>
      </c>
      <c r="W32" s="283">
        <f>((S32+'Malawi-only'!S32)/(T32*(U32+'Malawi-only'!U32))/12)</f>
        <v>3.1357969289584506</v>
      </c>
      <c r="X32" s="284">
        <f>(R32+'Malawi-only'!R32)</f>
        <v>956578290.26423621</v>
      </c>
      <c r="Y32" s="284">
        <f>(L32+'Malawi-only'!L32)</f>
        <v>26753785523.655384</v>
      </c>
      <c r="Z32" s="284">
        <f>(Q32+'Malawi-only'!Q32)</f>
        <v>1929516314.1597335</v>
      </c>
    </row>
    <row r="33" spans="1:26" ht="15.75" customHeight="1">
      <c r="A33" s="31" t="s">
        <v>66</v>
      </c>
      <c r="B33" s="32">
        <v>2049</v>
      </c>
      <c r="C33" s="334">
        <f t="shared" si="11"/>
        <v>6.4013467027670089E-6</v>
      </c>
      <c r="D33" s="334">
        <f t="shared" si="20"/>
        <v>6.4013467027670089E-6</v>
      </c>
      <c r="E33" s="34">
        <f t="shared" si="1"/>
        <v>0</v>
      </c>
      <c r="F33" s="42">
        <v>4000</v>
      </c>
      <c r="G33" s="34">
        <f t="shared" si="2"/>
        <v>25605386.811068036</v>
      </c>
      <c r="H33" s="34">
        <f t="shared" si="3"/>
        <v>25477359.877012696</v>
      </c>
      <c r="I33" s="35">
        <f t="shared" si="19"/>
        <v>0.79000000000000026</v>
      </c>
      <c r="J33" s="36">
        <f t="shared" si="4"/>
        <v>20127114.302840035</v>
      </c>
      <c r="K33" s="34">
        <f t="shared" si="14"/>
        <v>237720137.78736147</v>
      </c>
      <c r="L33" s="37">
        <f t="shared" si="15"/>
        <v>236736018.53926095</v>
      </c>
      <c r="M33" s="34">
        <f t="shared" si="5"/>
        <v>14914369.16797344</v>
      </c>
      <c r="N33" s="34">
        <f t="shared" si="6"/>
        <v>5350245.5741726598</v>
      </c>
      <c r="O33" s="34">
        <f t="shared" si="7"/>
        <v>20264614.742146101</v>
      </c>
      <c r="P33" s="34"/>
      <c r="Q33" s="38">
        <f t="shared" si="8"/>
        <v>20163291.668435369</v>
      </c>
      <c r="R33" s="39">
        <f t="shared" si="16"/>
        <v>2062721.1960756236</v>
      </c>
      <c r="S33" s="34">
        <f t="shared" si="17"/>
        <v>18564490.764680613</v>
      </c>
      <c r="T33" s="40">
        <v>9622824029</v>
      </c>
      <c r="U33" s="272">
        <f t="shared" si="9"/>
        <v>2.145751974709861E-6</v>
      </c>
      <c r="V33" s="282">
        <f t="shared" si="10"/>
        <v>74.923788605559324</v>
      </c>
      <c r="W33" s="283">
        <f>((S33+'Malawi-only'!S33)/(T33*(U33+'Malawi-only'!U33))/12)</f>
        <v>3.1265070695724155</v>
      </c>
      <c r="X33" s="284">
        <f>(R33+'Malawi-only'!R33)</f>
        <v>958648667.3413043</v>
      </c>
      <c r="Y33" s="284">
        <f>(L33+'Malawi-only'!L33)</f>
        <v>30523912248.563183</v>
      </c>
      <c r="Z33" s="284">
        <f>(Q33+'Malawi-only'!Q33)</f>
        <v>1933335183.9588926</v>
      </c>
    </row>
    <row r="34" spans="1:26" ht="15.75" customHeight="1">
      <c r="A34" s="31" t="s">
        <v>67</v>
      </c>
      <c r="B34" s="32">
        <v>2050</v>
      </c>
      <c r="C34" s="334">
        <f t="shared" si="11"/>
        <v>5.761212032490308E-6</v>
      </c>
      <c r="D34" s="334">
        <f t="shared" si="20"/>
        <v>5.761212032490308E-6</v>
      </c>
      <c r="E34" s="34">
        <f t="shared" si="1"/>
        <v>0</v>
      </c>
      <c r="F34" s="42">
        <v>4000</v>
      </c>
      <c r="G34" s="34">
        <f t="shared" si="2"/>
        <v>23044848.129961234</v>
      </c>
      <c r="H34" s="34">
        <f t="shared" si="3"/>
        <v>22929623.889311429</v>
      </c>
      <c r="I34" s="35">
        <f t="shared" si="19"/>
        <v>0.83000000000000029</v>
      </c>
      <c r="J34" s="36">
        <f t="shared" si="4"/>
        <v>19031587.828128494</v>
      </c>
      <c r="K34" s="34">
        <f t="shared" si="14"/>
        <v>256751725.61548996</v>
      </c>
      <c r="L34" s="37">
        <f t="shared" si="15"/>
        <v>255639722.56420577</v>
      </c>
      <c r="M34" s="34">
        <f t="shared" si="5"/>
        <v>16105302.521544963</v>
      </c>
      <c r="N34" s="34">
        <f t="shared" si="6"/>
        <v>3898036.0611829362</v>
      </c>
      <c r="O34" s="34">
        <f t="shared" si="7"/>
        <v>20003338.582727898</v>
      </c>
      <c r="P34" s="34"/>
      <c r="Q34" s="38">
        <f t="shared" si="8"/>
        <v>19903321.889814258</v>
      </c>
      <c r="R34" s="39">
        <f t="shared" si="16"/>
        <v>2016329.166843537</v>
      </c>
      <c r="S34" s="34">
        <f t="shared" si="17"/>
        <v>18146962.501591831</v>
      </c>
      <c r="T34" s="40">
        <v>9664378587</v>
      </c>
      <c r="U34" s="272">
        <f t="shared" si="9"/>
        <v>2.145751974709861E-6</v>
      </c>
      <c r="V34" s="282">
        <f t="shared" si="10"/>
        <v>72.923791464277727</v>
      </c>
      <c r="W34" s="283">
        <f>((S34+'Malawi-only'!S34)/(T34*(U34+'Malawi-only'!U34))/12)</f>
        <v>3.1648910325004085</v>
      </c>
      <c r="X34" s="284">
        <f>(R34+'Malawi-only'!R34)</f>
        <v>975254397.00255382</v>
      </c>
      <c r="Y34" s="284">
        <f>(L34+'Malawi-only'!L34)</f>
        <v>34094882397.589314</v>
      </c>
      <c r="Z34" s="284">
        <f>(Q34+'Malawi-only'!Q34)</f>
        <v>1966379457.561235</v>
      </c>
    </row>
    <row r="35" spans="1:26" ht="15.75" customHeight="1">
      <c r="A35" s="31" t="s">
        <v>68</v>
      </c>
      <c r="B35" s="32">
        <v>2051</v>
      </c>
      <c r="C35" s="334">
        <f t="shared" si="11"/>
        <v>5.1850908292412775E-6</v>
      </c>
      <c r="D35" s="334">
        <f t="shared" si="20"/>
        <v>5.1850908292412775E-6</v>
      </c>
      <c r="E35" s="34">
        <f t="shared" si="1"/>
        <v>0</v>
      </c>
      <c r="F35" s="42">
        <v>4000</v>
      </c>
      <c r="G35" s="34">
        <f t="shared" si="2"/>
        <v>20740363.316965111</v>
      </c>
      <c r="H35" s="34">
        <f t="shared" si="3"/>
        <v>20636661.500380285</v>
      </c>
      <c r="I35" s="35">
        <f t="shared" si="19"/>
        <v>0.87000000000000033</v>
      </c>
      <c r="J35" s="36">
        <f t="shared" si="4"/>
        <v>17953895.505330853</v>
      </c>
      <c r="K35" s="34">
        <f t="shared" si="14"/>
        <v>274705621.12082082</v>
      </c>
      <c r="L35" s="37">
        <f t="shared" si="15"/>
        <v>273456821.26050186</v>
      </c>
      <c r="M35" s="34">
        <f t="shared" si="5"/>
        <v>17227779.739411619</v>
      </c>
      <c r="N35" s="34">
        <f t="shared" si="6"/>
        <v>2682765.9950494301</v>
      </c>
      <c r="O35" s="34">
        <f t="shared" si="7"/>
        <v>19910545.734461047</v>
      </c>
      <c r="P35" s="34"/>
      <c r="Q35" s="38">
        <f t="shared" si="8"/>
        <v>19810993.00578874</v>
      </c>
      <c r="R35" s="39">
        <f t="shared" si="16"/>
        <v>1990332.1889814259</v>
      </c>
      <c r="S35" s="34">
        <f t="shared" si="17"/>
        <v>17912989.700832833</v>
      </c>
      <c r="T35" s="40">
        <v>9704192304</v>
      </c>
      <c r="U35" s="272">
        <f t="shared" si="9"/>
        <v>2.145751974709861E-6</v>
      </c>
      <c r="V35" s="282">
        <f t="shared" si="10"/>
        <v>71.68823947827785</v>
      </c>
      <c r="W35" s="283">
        <f>((S35+'Malawi-only'!S35)/(T35*(U35+'Malawi-only'!U35))/12)</f>
        <v>3.45034184565657</v>
      </c>
      <c r="X35" s="284">
        <f>(R35+'Malawi-only'!R35)</f>
        <v>1069330805.0232857</v>
      </c>
      <c r="Y35" s="284">
        <f>(L35+'Malawi-only'!L35)</f>
        <v>37338698086.871918</v>
      </c>
      <c r="Z35" s="284">
        <f>(Q35+'Malawi-only'!Q35)</f>
        <v>2154491938.6743975</v>
      </c>
    </row>
    <row r="36" spans="1:26" ht="15.75" customHeight="1">
      <c r="A36" s="31" t="s">
        <v>69</v>
      </c>
      <c r="B36" s="32">
        <v>2052</v>
      </c>
      <c r="C36" s="334">
        <f t="shared" si="11"/>
        <v>4.6665817463171503E-6</v>
      </c>
      <c r="D36" s="334">
        <f t="shared" si="20"/>
        <v>4.6665817463171503E-6</v>
      </c>
      <c r="E36" s="34">
        <f t="shared" si="1"/>
        <v>0</v>
      </c>
      <c r="F36" s="42">
        <v>4000</v>
      </c>
      <c r="G36" s="34">
        <f t="shared" si="2"/>
        <v>18666326.9852686</v>
      </c>
      <c r="H36" s="34">
        <f t="shared" si="3"/>
        <v>18572995.350342259</v>
      </c>
      <c r="I36" s="35">
        <f t="shared" si="19"/>
        <v>0.91000000000000036</v>
      </c>
      <c r="J36" s="36">
        <f t="shared" si="4"/>
        <v>16901425.768811461</v>
      </c>
      <c r="K36" s="34">
        <f t="shared" si="14"/>
        <v>291607046.88963228</v>
      </c>
      <c r="L36" s="37">
        <f t="shared" si="15"/>
        <v>290213067.90579867</v>
      </c>
      <c r="M36" s="34">
        <f t="shared" si="5"/>
        <v>18283423.278065316</v>
      </c>
      <c r="N36" s="34">
        <f t="shared" si="6"/>
        <v>1671569.5815307966</v>
      </c>
      <c r="O36" s="34">
        <f t="shared" si="7"/>
        <v>19954992.859596115</v>
      </c>
      <c r="P36" s="34"/>
      <c r="Q36" s="38">
        <f t="shared" si="8"/>
        <v>19855217.895298135</v>
      </c>
      <c r="R36" s="39">
        <f t="shared" si="16"/>
        <v>1981099.3005788741</v>
      </c>
      <c r="S36" s="34">
        <f t="shared" si="17"/>
        <v>17829893.705209866</v>
      </c>
      <c r="T36" s="40">
        <v>9742264515</v>
      </c>
      <c r="U36" s="272">
        <f t="shared" si="9"/>
        <v>2.145751974709861E-6</v>
      </c>
      <c r="V36" s="282">
        <f t="shared" si="10"/>
        <v>71.076833261256695</v>
      </c>
      <c r="W36" s="283">
        <f>((S36+'Malawi-only'!S36)/(T36*(U36+'Malawi-only'!U36))/12)</f>
        <v>3.7588330906773142</v>
      </c>
      <c r="X36" s="284">
        <f>(R36+'Malawi-only'!R36)</f>
        <v>1171074406.6798611</v>
      </c>
      <c r="Y36" s="284">
        <f>(L36+'Malawi-only'!L36)</f>
        <v>40255548103.615845</v>
      </c>
      <c r="Z36" s="284">
        <f>(Q36+'Malawi-only'!Q36)</f>
        <v>2358041832.6538625</v>
      </c>
    </row>
    <row r="37" spans="1:26" ht="15.75" customHeight="1">
      <c r="A37" s="31" t="s">
        <v>70</v>
      </c>
      <c r="B37" s="32">
        <v>2053</v>
      </c>
      <c r="C37" s="334">
        <f t="shared" si="11"/>
        <v>4.1999235716854354E-6</v>
      </c>
      <c r="D37" s="334">
        <f t="shared" si="20"/>
        <v>4.1999235716854354E-6</v>
      </c>
      <c r="E37" s="34">
        <f t="shared" si="1"/>
        <v>0</v>
      </c>
      <c r="F37" s="42">
        <v>4000</v>
      </c>
      <c r="G37" s="34">
        <f t="shared" si="2"/>
        <v>16799694.286741741</v>
      </c>
      <c r="H37" s="34">
        <f t="shared" si="3"/>
        <v>16715695.815308033</v>
      </c>
      <c r="I37" s="35">
        <f t="shared" si="19"/>
        <v>0.9500000000000004</v>
      </c>
      <c r="J37" s="36">
        <f t="shared" si="4"/>
        <v>15879911.024542637</v>
      </c>
      <c r="K37" s="34">
        <f t="shared" si="14"/>
        <v>307486957.91417491</v>
      </c>
      <c r="L37" s="37">
        <f t="shared" si="15"/>
        <v>305939932.44087613</v>
      </c>
      <c r="M37" s="34">
        <f t="shared" si="5"/>
        <v>19274215.743775196</v>
      </c>
      <c r="N37" s="34">
        <f t="shared" si="6"/>
        <v>835784.79076539492</v>
      </c>
      <c r="O37" s="34">
        <f t="shared" si="7"/>
        <v>20110000.53454059</v>
      </c>
      <c r="P37" s="34"/>
      <c r="Q37" s="38">
        <f t="shared" si="8"/>
        <v>20009450.531867888</v>
      </c>
      <c r="R37" s="39">
        <f t="shared" si="16"/>
        <v>1985521.7895298135</v>
      </c>
      <c r="S37" s="34">
        <f t="shared" si="17"/>
        <v>17869696.105768323</v>
      </c>
      <c r="T37" s="40">
        <v>9778614614</v>
      </c>
      <c r="U37" s="272">
        <f t="shared" si="9"/>
        <v>2.145751974709861E-6</v>
      </c>
      <c r="V37" s="282">
        <f t="shared" si="10"/>
        <v>70.97069685388233</v>
      </c>
      <c r="W37" s="283">
        <f>((S37+'Malawi-only'!S37)/(T37*(U37+'Malawi-only'!U37))/12)</f>
        <v>4.0335932932468177</v>
      </c>
      <c r="X37" s="284">
        <f>(R37+'Malawi-only'!R37)</f>
        <v>1262552136.818378</v>
      </c>
      <c r="Y37" s="284">
        <f>(L37+'Malawi-only'!L37)</f>
        <v>42878056052.291359</v>
      </c>
      <c r="Z37" s="284">
        <f>(Q37+'Malawi-only'!Q37)</f>
        <v>2541142680.5895643</v>
      </c>
    </row>
    <row r="38" spans="1:26" ht="15.75" customHeight="1">
      <c r="A38" s="31" t="s">
        <v>71</v>
      </c>
      <c r="B38" s="32">
        <v>2054</v>
      </c>
      <c r="C38" s="334">
        <f t="shared" si="11"/>
        <v>3.7799312145168921E-6</v>
      </c>
      <c r="D38" s="334">
        <f t="shared" si="20"/>
        <v>3.7799312145168921E-6</v>
      </c>
      <c r="E38" s="34">
        <f t="shared" si="1"/>
        <v>0</v>
      </c>
      <c r="F38" s="42">
        <v>4000</v>
      </c>
      <c r="G38" s="34">
        <f t="shared" si="2"/>
        <v>15119724.858067568</v>
      </c>
      <c r="H38" s="34">
        <f t="shared" si="3"/>
        <v>15044126.233777231</v>
      </c>
      <c r="I38" s="35">
        <f t="shared" si="19"/>
        <v>0.99000000000000044</v>
      </c>
      <c r="J38" s="36">
        <f t="shared" si="4"/>
        <v>14893684.971439464</v>
      </c>
      <c r="K38" s="34">
        <f t="shared" si="14"/>
        <v>322380642.8856144</v>
      </c>
      <c r="L38" s="37">
        <f t="shared" si="15"/>
        <v>320673200.60360944</v>
      </c>
      <c r="M38" s="34">
        <f t="shared" si="5"/>
        <v>20202411.638027396</v>
      </c>
      <c r="N38" s="34">
        <f t="shared" si="6"/>
        <v>150441.26233776577</v>
      </c>
      <c r="O38" s="34">
        <f t="shared" si="7"/>
        <v>20352852.900365163</v>
      </c>
      <c r="P38" s="34"/>
      <c r="Q38" s="38">
        <f t="shared" si="8"/>
        <v>20251088.635863338</v>
      </c>
      <c r="R38" s="39">
        <f t="shared" si="16"/>
        <v>2000945.0531867889</v>
      </c>
      <c r="S38" s="34">
        <f t="shared" si="17"/>
        <v>18008505.478681099</v>
      </c>
      <c r="T38" s="40">
        <v>9813251659</v>
      </c>
      <c r="U38" s="272">
        <f t="shared" si="9"/>
        <v>2.145751974709861E-6</v>
      </c>
      <c r="V38" s="282">
        <f t="shared" si="10"/>
        <v>71.269542183938356</v>
      </c>
      <c r="W38" s="283">
        <f>((S38+'Malawi-only'!S38)/(T38*(U38+'Malawi-only'!U38))/12)</f>
        <v>4.2782948926530882</v>
      </c>
      <c r="X38" s="284">
        <f>(R38+'Malawi-only'!R38)</f>
        <v>1344789345.6474507</v>
      </c>
      <c r="Y38" s="284">
        <f>(L38+'Malawi-only'!L38)</f>
        <v>45235590638.88662</v>
      </c>
      <c r="Z38" s="284">
        <f>(Q38+'Malawi-only'!Q38)</f>
        <v>2705827889.8243909</v>
      </c>
    </row>
    <row r="39" spans="1:26" ht="15.75" customHeight="1">
      <c r="A39" s="31" t="s">
        <v>72</v>
      </c>
      <c r="B39" s="32">
        <v>2055</v>
      </c>
      <c r="C39" s="334">
        <f t="shared" si="11"/>
        <v>3.4019380930652029E-6</v>
      </c>
      <c r="D39" s="334">
        <f t="shared" si="20"/>
        <v>3.4019380930652029E-6</v>
      </c>
      <c r="E39" s="34">
        <f t="shared" si="1"/>
        <v>0</v>
      </c>
      <c r="F39" s="42">
        <v>4000</v>
      </c>
      <c r="G39" s="34">
        <f t="shared" si="2"/>
        <v>13607752.372260811</v>
      </c>
      <c r="H39" s="34">
        <f t="shared" si="3"/>
        <v>13539713.610399507</v>
      </c>
      <c r="I39" s="43">
        <v>1</v>
      </c>
      <c r="J39" s="36">
        <f t="shared" si="4"/>
        <v>13539713.610399507</v>
      </c>
      <c r="K39" s="34">
        <f t="shared" si="14"/>
        <v>335920356.49601388</v>
      </c>
      <c r="L39" s="37">
        <f t="shared" si="15"/>
        <v>334045807.75690192</v>
      </c>
      <c r="M39" s="34">
        <f t="shared" si="5"/>
        <v>21044885.88868482</v>
      </c>
      <c r="N39" s="34">
        <f t="shared" si="6"/>
        <v>0</v>
      </c>
      <c r="O39" s="34">
        <f t="shared" si="7"/>
        <v>21044885.88868482</v>
      </c>
      <c r="P39" s="34"/>
      <c r="Q39" s="38">
        <f t="shared" si="8"/>
        <v>20939661.459241398</v>
      </c>
      <c r="R39" s="39">
        <f t="shared" si="16"/>
        <v>2025108.8635863338</v>
      </c>
      <c r="S39" s="34">
        <f t="shared" si="17"/>
        <v>18225979.772277005</v>
      </c>
      <c r="T39" s="40">
        <v>9846237570</v>
      </c>
      <c r="U39" s="272">
        <f t="shared" si="9"/>
        <v>2.145751974709861E-6</v>
      </c>
      <c r="V39" s="282">
        <f t="shared" si="10"/>
        <v>71.888563717861928</v>
      </c>
      <c r="W39" s="283">
        <f>((S39+'Malawi-only'!S39)/(T39*(U39+'Malawi-only'!U39))/12)</f>
        <v>4.4961898968882092</v>
      </c>
      <c r="X39" s="284">
        <f>(R39+'Malawi-only'!R39)</f>
        <v>1418708977.2431901</v>
      </c>
      <c r="Y39" s="284">
        <f>(L39+'Malawi-only'!L39)</f>
        <v>47354184426.163994</v>
      </c>
      <c r="Z39" s="284">
        <f>(Q39+'Malawi-only'!Q39)</f>
        <v>2854307398.2184486</v>
      </c>
    </row>
    <row r="40" spans="1:26" ht="15.75" customHeight="1">
      <c r="A40" s="31" t="s">
        <v>73</v>
      </c>
      <c r="B40" s="32">
        <v>2056</v>
      </c>
      <c r="C40" s="334">
        <f t="shared" si="11"/>
        <v>3.0617442837586828E-6</v>
      </c>
      <c r="D40" s="334">
        <f t="shared" si="20"/>
        <v>3.0617442837586828E-6</v>
      </c>
      <c r="E40" s="34">
        <f t="shared" si="1"/>
        <v>0</v>
      </c>
      <c r="F40" s="42">
        <v>4000</v>
      </c>
      <c r="G40" s="34">
        <f t="shared" si="2"/>
        <v>12246977.135034731</v>
      </c>
      <c r="H40" s="34">
        <f t="shared" si="3"/>
        <v>12185742.249359557</v>
      </c>
      <c r="I40" s="43">
        <v>1</v>
      </c>
      <c r="J40" s="36">
        <f t="shared" si="4"/>
        <v>12185742.249359557</v>
      </c>
      <c r="K40" s="34">
        <f t="shared" si="14"/>
        <v>348106098.74537343</v>
      </c>
      <c r="L40" s="37">
        <f t="shared" si="15"/>
        <v>346058434.23125833</v>
      </c>
      <c r="M40" s="34">
        <f t="shared" si="5"/>
        <v>21801681.356569275</v>
      </c>
      <c r="N40" s="34">
        <f t="shared" si="6"/>
        <v>0</v>
      </c>
      <c r="O40" s="34">
        <f t="shared" si="7"/>
        <v>21801681.356569275</v>
      </c>
      <c r="P40" s="34">
        <f>O40*0.2%</f>
        <v>43603.362713138551</v>
      </c>
      <c r="Q40" s="38">
        <f t="shared" si="8"/>
        <v>21649287.603886854</v>
      </c>
      <c r="R40" s="39">
        <f t="shared" si="16"/>
        <v>2093966.1459241398</v>
      </c>
      <c r="S40" s="34">
        <f t="shared" si="17"/>
        <v>18845695.313317258</v>
      </c>
      <c r="T40" s="40">
        <v>9877680392</v>
      </c>
      <c r="U40" s="272">
        <f t="shared" si="9"/>
        <v>2.145751974709861E-6</v>
      </c>
      <c r="V40" s="282">
        <f t="shared" si="10"/>
        <v>74.096284082170484</v>
      </c>
      <c r="W40" s="283">
        <f>((S40+'Malawi-only'!S40)/(T40*(U40+'Malawi-only'!U40))/12)</f>
        <v>4.6819516830100065</v>
      </c>
      <c r="X40" s="284">
        <f>(R40+'Malawi-only'!R40)</f>
        <v>1482213496.9739463</v>
      </c>
      <c r="Y40" s="284">
        <f>(L40+'Malawi-only'!L40)</f>
        <v>49257597758.28804</v>
      </c>
      <c r="Z40" s="284">
        <f>(Q40+'Malawi-only'!Q40)</f>
        <v>2981888349.2599316</v>
      </c>
    </row>
    <row r="41" spans="1:26" ht="15.75" customHeight="1">
      <c r="A41" s="31" t="s">
        <v>74</v>
      </c>
      <c r="B41" s="32">
        <v>2057</v>
      </c>
      <c r="C41" s="334">
        <f t="shared" si="11"/>
        <v>2.7555698553828148E-6</v>
      </c>
      <c r="D41" s="334">
        <f t="shared" si="20"/>
        <v>2.7555698553828148E-6</v>
      </c>
      <c r="E41" s="34">
        <f t="shared" si="1"/>
        <v>0</v>
      </c>
      <c r="F41" s="42">
        <v>4000</v>
      </c>
      <c r="G41" s="34">
        <f t="shared" si="2"/>
        <v>11022279.421531258</v>
      </c>
      <c r="H41" s="34">
        <f t="shared" si="3"/>
        <v>10967168.024423601</v>
      </c>
      <c r="I41" s="43">
        <v>1</v>
      </c>
      <c r="J41" s="36">
        <f t="shared" si="4"/>
        <v>10967168.024423601</v>
      </c>
      <c r="K41" s="34">
        <f t="shared" si="14"/>
        <v>359073266.76979703</v>
      </c>
      <c r="L41" s="37">
        <f t="shared" si="15"/>
        <v>356847089.45455408</v>
      </c>
      <c r="M41" s="34">
        <f t="shared" si="5"/>
        <v>22481366.635636907</v>
      </c>
      <c r="N41" s="34">
        <f t="shared" si="6"/>
        <v>0</v>
      </c>
      <c r="O41" s="34">
        <f t="shared" si="7"/>
        <v>22481366.635636907</v>
      </c>
      <c r="P41" s="34">
        <f>O41*0.4%</f>
        <v>89925.466542547627</v>
      </c>
      <c r="Q41" s="38">
        <f t="shared" si="8"/>
        <v>22279483.963248886</v>
      </c>
      <c r="R41" s="39">
        <f t="shared" si="16"/>
        <v>2164928.7603886854</v>
      </c>
      <c r="S41" s="34">
        <f t="shared" si="17"/>
        <v>19484358.84349817</v>
      </c>
      <c r="T41" s="40">
        <v>9907637193</v>
      </c>
      <c r="U41" s="272">
        <f t="shared" si="9"/>
        <v>2.145751974709861E-6</v>
      </c>
      <c r="V41" s="282">
        <f t="shared" si="10"/>
        <v>76.375709491901389</v>
      </c>
      <c r="W41" s="283">
        <f>((S41+'Malawi-only'!S41)/(T41*(U41+'Malawi-only'!U41))/12)</f>
        <v>4.8455788304938734</v>
      </c>
      <c r="X41" s="284">
        <f>(R41+'Malawi-only'!R41)</f>
        <v>1538737273.0797668</v>
      </c>
      <c r="Y41" s="284">
        <f>(L41+'Malawi-only'!L41)</f>
        <v>50973309513.81234</v>
      </c>
      <c r="Z41" s="284">
        <f>(Q41+'Malawi-only'!Q41)</f>
        <v>3095424172.602005</v>
      </c>
    </row>
    <row r="42" spans="1:26" ht="15.75" customHeight="1">
      <c r="A42" s="31" t="s">
        <v>75</v>
      </c>
      <c r="B42" s="32">
        <v>2058</v>
      </c>
      <c r="C42" s="334">
        <f t="shared" si="11"/>
        <v>2.4800128698445333E-6</v>
      </c>
      <c r="D42" s="334">
        <f t="shared" si="20"/>
        <v>2.4800128698445333E-6</v>
      </c>
      <c r="E42" s="34">
        <f t="shared" si="1"/>
        <v>0</v>
      </c>
      <c r="F42" s="42">
        <v>4000</v>
      </c>
      <c r="G42" s="34">
        <f t="shared" si="2"/>
        <v>9920051.479378134</v>
      </c>
      <c r="H42" s="34">
        <f t="shared" si="3"/>
        <v>9870451.2219812442</v>
      </c>
      <c r="I42" s="43">
        <v>1</v>
      </c>
      <c r="J42" s="36">
        <f t="shared" si="4"/>
        <v>9870451.2219812442</v>
      </c>
      <c r="K42" s="34">
        <f t="shared" si="14"/>
        <v>368943717.99177825</v>
      </c>
      <c r="L42" s="37">
        <f t="shared" si="15"/>
        <v>366534181.90619707</v>
      </c>
      <c r="M42" s="34">
        <f t="shared" si="5"/>
        <v>23091653.460090417</v>
      </c>
      <c r="N42" s="34">
        <f t="shared" si="6"/>
        <v>0</v>
      </c>
      <c r="O42" s="34">
        <f t="shared" si="7"/>
        <v>23091653.460090417</v>
      </c>
      <c r="P42" s="34">
        <f>O42*0.6%</f>
        <v>138549.9207605425</v>
      </c>
      <c r="Q42" s="38">
        <f t="shared" si="8"/>
        <v>22838338.021633226</v>
      </c>
      <c r="R42" s="39">
        <f t="shared" si="16"/>
        <v>2227948.3963248888</v>
      </c>
      <c r="S42" s="34">
        <f t="shared" si="17"/>
        <v>20051535.566923998</v>
      </c>
      <c r="T42" s="40">
        <v>9936164379</v>
      </c>
      <c r="U42" s="272">
        <f t="shared" si="9"/>
        <v>2.145751974709861E-6</v>
      </c>
      <c r="V42" s="282">
        <f t="shared" si="10"/>
        <v>78.373294359179638</v>
      </c>
      <c r="W42" s="283">
        <f>((S42+'Malawi-only'!S42)/(T42*(U42+'Malawi-only'!U42))/12)</f>
        <v>4.9898233422166429</v>
      </c>
      <c r="X42" s="284">
        <f>(R42+'Malawi-only'!R42)</f>
        <v>1589167983.0568588</v>
      </c>
      <c r="Y42" s="284">
        <f>(L42+'Malawi-only'!L42)</f>
        <v>52521163867.157906</v>
      </c>
      <c r="Z42" s="284">
        <f>(Q42+'Malawi-only'!Q42)</f>
        <v>3196718407.342701</v>
      </c>
    </row>
    <row r="43" spans="1:26" ht="15.75" customHeight="1">
      <c r="A43" s="31" t="s">
        <v>76</v>
      </c>
      <c r="B43" s="32">
        <v>2059</v>
      </c>
      <c r="C43" s="334">
        <f t="shared" si="11"/>
        <v>2.2320115828600801E-6</v>
      </c>
      <c r="D43" s="334">
        <f t="shared" si="20"/>
        <v>2.2320115828600801E-6</v>
      </c>
      <c r="E43" s="34">
        <f t="shared" si="1"/>
        <v>0</v>
      </c>
      <c r="F43" s="42">
        <v>4000</v>
      </c>
      <c r="G43" s="34">
        <f t="shared" si="2"/>
        <v>8928046.3314403202</v>
      </c>
      <c r="H43" s="34">
        <f t="shared" si="3"/>
        <v>8883406.0997831188</v>
      </c>
      <c r="I43" s="43">
        <v>1</v>
      </c>
      <c r="J43" s="36">
        <f t="shared" si="4"/>
        <v>8883406.0997831188</v>
      </c>
      <c r="K43" s="34">
        <f t="shared" si="14"/>
        <v>377827124.09156138</v>
      </c>
      <c r="L43" s="37">
        <f t="shared" si="15"/>
        <v>375229879.21197724</v>
      </c>
      <c r="M43" s="34">
        <f t="shared" si="5"/>
        <v>23639482.390354566</v>
      </c>
      <c r="N43" s="34">
        <f t="shared" si="6"/>
        <v>0</v>
      </c>
      <c r="O43" s="34">
        <f t="shared" si="7"/>
        <v>23639482.390354566</v>
      </c>
      <c r="P43" s="34">
        <f>O43*0.8%</f>
        <v>189115.85912283653</v>
      </c>
      <c r="Q43" s="38">
        <f t="shared" si="8"/>
        <v>23333114.698575571</v>
      </c>
      <c r="R43" s="39">
        <f t="shared" si="16"/>
        <v>2283833.8021633229</v>
      </c>
      <c r="S43" s="34">
        <f t="shared" si="17"/>
        <v>20554504.219469905</v>
      </c>
      <c r="T43" s="40">
        <v>9963337082</v>
      </c>
      <c r="U43" s="272">
        <f t="shared" si="9"/>
        <v>2.145751974709861E-6</v>
      </c>
      <c r="V43" s="282">
        <f t="shared" si="10"/>
        <v>80.120087568982711</v>
      </c>
      <c r="W43" s="283">
        <f>((S43+'Malawi-only'!S43)/(T43*(U43+'Malawi-only'!U43))/12)</f>
        <v>5.1169178960905608</v>
      </c>
      <c r="X43" s="284">
        <f>(R43+'Malawi-only'!R43)</f>
        <v>1634158804.001791</v>
      </c>
      <c r="Y43" s="284">
        <f>(L43+'Malawi-only'!L43)</f>
        <v>53918997079.62117</v>
      </c>
      <c r="Z43" s="284">
        <f>(Q43+'Malawi-only'!Q43)</f>
        <v>3287083055.0978308</v>
      </c>
    </row>
    <row r="44" spans="1:26" ht="15.75" customHeight="1">
      <c r="A44" s="31" t="s">
        <v>77</v>
      </c>
      <c r="B44" s="32">
        <v>2060</v>
      </c>
      <c r="C44" s="334">
        <f t="shared" si="11"/>
        <v>2.0088104245740722E-6</v>
      </c>
      <c r="D44" s="334">
        <f t="shared" si="20"/>
        <v>2.0088104245740722E-6</v>
      </c>
      <c r="E44" s="34">
        <f t="shared" si="1"/>
        <v>0</v>
      </c>
      <c r="F44" s="42">
        <v>4000</v>
      </c>
      <c r="G44" s="34">
        <f t="shared" si="2"/>
        <v>8035241.698296289</v>
      </c>
      <c r="H44" s="34">
        <f t="shared" si="3"/>
        <v>7995065.4898048071</v>
      </c>
      <c r="I44" s="43">
        <v>1</v>
      </c>
      <c r="J44" s="36">
        <f t="shared" si="4"/>
        <v>7995065.4898048071</v>
      </c>
      <c r="K44" s="34">
        <f t="shared" si="14"/>
        <v>385822189.58136618</v>
      </c>
      <c r="L44" s="37">
        <f t="shared" si="15"/>
        <v>383033332.22943115</v>
      </c>
      <c r="M44" s="34">
        <f t="shared" si="5"/>
        <v>24131099.930454161</v>
      </c>
      <c r="N44" s="34">
        <f t="shared" si="6"/>
        <v>0</v>
      </c>
      <c r="O44" s="34">
        <f t="shared" si="7"/>
        <v>24131099.930454161</v>
      </c>
      <c r="P44" s="34">
        <f>O44*1%</f>
        <v>241310.99930454162</v>
      </c>
      <c r="Q44" s="38">
        <f t="shared" si="8"/>
        <v>23770339.986493871</v>
      </c>
      <c r="R44" s="39">
        <f t="shared" si="16"/>
        <v>2333311.4698575572</v>
      </c>
      <c r="S44" s="34">
        <f t="shared" si="17"/>
        <v>20999803.228718013</v>
      </c>
      <c r="T44" s="40">
        <v>9989232292</v>
      </c>
      <c r="U44" s="272">
        <f t="shared" si="9"/>
        <v>2.145751974709861E-6</v>
      </c>
      <c r="V44" s="282">
        <f t="shared" si="10"/>
        <v>81.643637543596313</v>
      </c>
      <c r="W44" s="283">
        <f>((S44+'Malawi-only'!S44)/(T44*(U44+'Malawi-only'!U44))/12)</f>
        <v>5.2288411033263671</v>
      </c>
      <c r="X44" s="284">
        <f>(R44+'Malawi-only'!R44)</f>
        <v>1674295537.2900469</v>
      </c>
      <c r="Y44" s="284">
        <f>(L44+'Malawi-only'!L44)</f>
        <v>55182841210.251228</v>
      </c>
      <c r="Z44" s="284">
        <f>(Q44+'Malawi-only'!Q44)</f>
        <v>3367694791.626873</v>
      </c>
    </row>
    <row r="45" spans="1:26" ht="15.75" customHeight="1">
      <c r="A45" s="31" t="s">
        <v>78</v>
      </c>
      <c r="B45" s="32">
        <v>2061</v>
      </c>
      <c r="C45" s="334">
        <f t="shared" si="11"/>
        <v>1.807929382116665E-6</v>
      </c>
      <c r="D45" s="334">
        <f t="shared" si="20"/>
        <v>1.807929382116665E-6</v>
      </c>
      <c r="E45" s="34">
        <f t="shared" si="1"/>
        <v>0</v>
      </c>
      <c r="F45" s="42">
        <v>4000</v>
      </c>
      <c r="G45" s="34">
        <f t="shared" si="2"/>
        <v>7231717.5284666596</v>
      </c>
      <c r="H45" s="34">
        <f t="shared" si="3"/>
        <v>7195558.9408243261</v>
      </c>
      <c r="I45" s="43">
        <v>1</v>
      </c>
      <c r="J45" s="36">
        <f t="shared" si="4"/>
        <v>7195558.9408243261</v>
      </c>
      <c r="K45" s="34">
        <f t="shared" si="14"/>
        <v>393017748.52219051</v>
      </c>
      <c r="L45" s="37">
        <f t="shared" si="15"/>
        <v>390033776.72467035</v>
      </c>
      <c r="M45" s="34">
        <f t="shared" si="5"/>
        <v>24572127.933654234</v>
      </c>
      <c r="N45" s="34">
        <f t="shared" si="6"/>
        <v>0</v>
      </c>
      <c r="O45" s="34">
        <f t="shared" si="7"/>
        <v>24572127.933654234</v>
      </c>
      <c r="P45" s="34">
        <f>O45*1.2%</f>
        <v>294865.53520385083</v>
      </c>
      <c r="Q45" s="38">
        <f t="shared" si="8"/>
        <v>24155876.086458132</v>
      </c>
      <c r="R45" s="39">
        <f t="shared" si="16"/>
        <v>2377033.9986493872</v>
      </c>
      <c r="S45" s="34">
        <f t="shared" si="17"/>
        <v>21393305.987844482</v>
      </c>
      <c r="T45" s="40">
        <v>10013916213</v>
      </c>
      <c r="U45" s="272">
        <f t="shared" si="9"/>
        <v>2.145751974709861E-6</v>
      </c>
      <c r="V45" s="282">
        <f t="shared" si="10"/>
        <v>82.968489338702909</v>
      </c>
      <c r="W45" s="283">
        <f>((S45+'Malawi-only'!S45)/(T45*(U45+'Malawi-only'!U45))/12)</f>
        <v>5.3273530271321103</v>
      </c>
      <c r="X45" s="284">
        <f>(R45+'Malawi-only'!R45)</f>
        <v>1710103556.5010583</v>
      </c>
      <c r="Y45" s="284">
        <f>(L45+'Malawi-only'!L45)</f>
        <v>56327107189.343796</v>
      </c>
      <c r="Z45" s="284">
        <f>(Q45+'Malawi-only'!Q45)</f>
        <v>3439608921.0912762</v>
      </c>
    </row>
    <row r="46" spans="1:26" ht="15.75" customHeight="1">
      <c r="A46" s="31" t="s">
        <v>79</v>
      </c>
      <c r="B46" s="32">
        <v>2062</v>
      </c>
      <c r="C46" s="334">
        <f t="shared" si="11"/>
        <v>1.6271364439049986E-6</v>
      </c>
      <c r="D46" s="334">
        <f t="shared" si="20"/>
        <v>1.6271364439049986E-6</v>
      </c>
      <c r="E46" s="34">
        <f t="shared" si="1"/>
        <v>0</v>
      </c>
      <c r="F46" s="42">
        <v>4000</v>
      </c>
      <c r="G46" s="34">
        <f t="shared" si="2"/>
        <v>6508545.7756199948</v>
      </c>
      <c r="H46" s="34">
        <f t="shared" si="3"/>
        <v>6476003.0467418944</v>
      </c>
      <c r="I46" s="43">
        <v>1</v>
      </c>
      <c r="J46" s="36">
        <f t="shared" si="4"/>
        <v>6476003.0467418944</v>
      </c>
      <c r="K46" s="34">
        <f t="shared" si="14"/>
        <v>399493751.56893241</v>
      </c>
      <c r="L46" s="37">
        <f t="shared" si="15"/>
        <v>396311524.88152659</v>
      </c>
      <c r="M46" s="34">
        <f t="shared" si="5"/>
        <v>24967626.067536175</v>
      </c>
      <c r="N46" s="34">
        <f t="shared" si="6"/>
        <v>0</v>
      </c>
      <c r="O46" s="34">
        <f t="shared" si="7"/>
        <v>24967626.067536175</v>
      </c>
      <c r="P46" s="34">
        <f>O46*1.4%</f>
        <v>349546.76494550641</v>
      </c>
      <c r="Q46" s="38">
        <f t="shared" si="8"/>
        <v>24494988.906077716</v>
      </c>
      <c r="R46" s="39">
        <f t="shared" si="16"/>
        <v>2415587.6086458131</v>
      </c>
      <c r="S46" s="34">
        <f t="shared" si="17"/>
        <v>21740288.47781232</v>
      </c>
      <c r="T46" s="40">
        <v>10037466600</v>
      </c>
      <c r="U46" s="272">
        <f t="shared" si="9"/>
        <v>2.145751974709861E-6</v>
      </c>
      <c r="V46" s="282">
        <f t="shared" si="10"/>
        <v>84.116350597151921</v>
      </c>
      <c r="W46" s="283">
        <f>((S46+'Malawi-only'!S46)/(T46*(U46+'Malawi-only'!U46))/12)</f>
        <v>5.4140090379346093</v>
      </c>
      <c r="X46" s="284">
        <f>(R46+'Malawi-only'!R46)</f>
        <v>1742054039.8381543</v>
      </c>
      <c r="Y46" s="284">
        <f>(L46+'Malawi-only'!L46)</f>
        <v>57364749345.935944</v>
      </c>
      <c r="Z46" s="284">
        <f>(Q46+'Malawi-only'!Q46)</f>
        <v>3503771893.3650947</v>
      </c>
    </row>
    <row r="47" spans="1:26" ht="15.75" customHeight="1">
      <c r="A47" s="31" t="s">
        <v>80</v>
      </c>
      <c r="B47" s="32">
        <v>2063</v>
      </c>
      <c r="C47" s="334">
        <f t="shared" si="11"/>
        <v>1.4644227995144987E-6</v>
      </c>
      <c r="D47" s="334">
        <f t="shared" si="20"/>
        <v>1.4644227995144987E-6</v>
      </c>
      <c r="E47" s="34">
        <f t="shared" si="1"/>
        <v>0</v>
      </c>
      <c r="F47" s="42">
        <v>4000</v>
      </c>
      <c r="G47" s="34">
        <f t="shared" si="2"/>
        <v>5857691.1980579952</v>
      </c>
      <c r="H47" s="34">
        <f t="shared" si="3"/>
        <v>5828402.7420677049</v>
      </c>
      <c r="I47" s="43">
        <v>1</v>
      </c>
      <c r="J47" s="36">
        <f t="shared" si="4"/>
        <v>5828402.7420677049</v>
      </c>
      <c r="K47" s="34">
        <f t="shared" si="14"/>
        <v>405322154.31100011</v>
      </c>
      <c r="L47" s="37">
        <f t="shared" si="15"/>
        <v>401938857.65978253</v>
      </c>
      <c r="M47" s="34">
        <f t="shared" si="5"/>
        <v>25322148.032566298</v>
      </c>
      <c r="N47" s="34">
        <f t="shared" si="6"/>
        <v>0</v>
      </c>
      <c r="O47" s="34">
        <f t="shared" si="7"/>
        <v>25322148.032566298</v>
      </c>
      <c r="P47" s="34">
        <f>O47*1.6%</f>
        <v>405154.36852106079</v>
      </c>
      <c r="Q47" s="38">
        <f t="shared" si="8"/>
        <v>24792408.695725013</v>
      </c>
      <c r="R47" s="39">
        <f t="shared" si="16"/>
        <v>2449498.8906077719</v>
      </c>
      <c r="S47" s="34">
        <f t="shared" si="17"/>
        <v>22045490.015469946</v>
      </c>
      <c r="T47" s="40">
        <v>10059950035</v>
      </c>
      <c r="U47" s="272">
        <f t="shared" si="9"/>
        <v>2.145751974709861E-6</v>
      </c>
      <c r="V47" s="282">
        <f t="shared" si="10"/>
        <v>85.106585316418204</v>
      </c>
      <c r="W47" s="283">
        <f>((S47+'Malawi-only'!S47)/(T47*(U47+'Malawi-only'!U47))/12)</f>
        <v>5.4901942598670699</v>
      </c>
      <c r="X47" s="284">
        <f>(R47+'Malawi-only'!R47)</f>
        <v>1770569560.7188714</v>
      </c>
      <c r="Y47" s="284">
        <f>(L47+'Malawi-only'!L47)</f>
        <v>58307413268.730972</v>
      </c>
      <c r="Z47" s="284">
        <f>(Q47+'Malawi-only'!Q47)</f>
        <v>3561032532.352252</v>
      </c>
    </row>
    <row r="48" spans="1:26" ht="15.75" customHeight="1">
      <c r="A48" s="31" t="s">
        <v>81</v>
      </c>
      <c r="B48" s="32">
        <v>2064</v>
      </c>
      <c r="C48" s="334">
        <f t="shared" si="11"/>
        <v>1.3179805195630489E-6</v>
      </c>
      <c r="D48" s="334">
        <f t="shared" si="20"/>
        <v>1.3179805195630489E-6</v>
      </c>
      <c r="E48" s="34">
        <f t="shared" si="1"/>
        <v>0</v>
      </c>
      <c r="F48" s="42">
        <v>4000</v>
      </c>
      <c r="G48" s="34">
        <f t="shared" si="2"/>
        <v>5271922.0782521954</v>
      </c>
      <c r="H48" s="34">
        <f t="shared" si="3"/>
        <v>5245562.4678609343</v>
      </c>
      <c r="I48" s="43">
        <v>1</v>
      </c>
      <c r="J48" s="36">
        <f t="shared" si="4"/>
        <v>5245562.4678609343</v>
      </c>
      <c r="K48" s="34">
        <f t="shared" si="14"/>
        <v>410567716.77886105</v>
      </c>
      <c r="L48" s="37">
        <f t="shared" si="15"/>
        <v>406980827.91757965</v>
      </c>
      <c r="M48" s="34">
        <f t="shared" si="5"/>
        <v>25639792.15880752</v>
      </c>
      <c r="N48" s="34">
        <f t="shared" si="6"/>
        <v>0</v>
      </c>
      <c r="O48" s="34">
        <f t="shared" si="7"/>
        <v>25639792.15880752</v>
      </c>
      <c r="P48" s="34">
        <f>O48*1.8%</f>
        <v>461516.25885853544</v>
      </c>
      <c r="Q48" s="38">
        <f t="shared" si="8"/>
        <v>25052384.52044924</v>
      </c>
      <c r="R48" s="39">
        <f t="shared" si="16"/>
        <v>2479240.8695725012</v>
      </c>
      <c r="S48" s="34">
        <f t="shared" si="17"/>
        <v>22313167.826152511</v>
      </c>
      <c r="T48" s="40">
        <v>10081402737</v>
      </c>
      <c r="U48" s="272">
        <f t="shared" si="9"/>
        <v>2.145751974709861E-6</v>
      </c>
      <c r="V48" s="282">
        <f t="shared" si="10"/>
        <v>85.956653798178067</v>
      </c>
      <c r="W48" s="283">
        <f>((S48+'Malawi-only'!S48)/(T48*(U48+'Malawi-only'!U48))/12)</f>
        <v>5.5571543753062125</v>
      </c>
      <c r="X48" s="284">
        <f>(R48+'Malawi-only'!R48)</f>
        <v>1796029102.625912</v>
      </c>
      <c r="Y48" s="284">
        <f>(L48+'Malawi-only'!L48)</f>
        <v>59165568689.412743</v>
      </c>
      <c r="Z48" s="284">
        <f>(Q48+'Malawi-only'!Q48)</f>
        <v>3612152108.0331283</v>
      </c>
    </row>
    <row r="49" spans="1:26" ht="15.75" customHeight="1">
      <c r="A49" s="31" t="s">
        <v>82</v>
      </c>
      <c r="B49" s="32">
        <v>2065</v>
      </c>
      <c r="C49" s="334">
        <f t="shared" si="11"/>
        <v>1.1861824676067441E-6</v>
      </c>
      <c r="D49" s="334">
        <f t="shared" si="20"/>
        <v>1.1861824676067441E-6</v>
      </c>
      <c r="E49" s="34">
        <f t="shared" si="1"/>
        <v>0</v>
      </c>
      <c r="F49" s="42">
        <v>4000</v>
      </c>
      <c r="G49" s="34">
        <f t="shared" si="2"/>
        <v>4744729.8704269771</v>
      </c>
      <c r="H49" s="34">
        <f t="shared" si="3"/>
        <v>4721006.2210748419</v>
      </c>
      <c r="I49" s="43">
        <v>1</v>
      </c>
      <c r="J49" s="36">
        <f t="shared" si="4"/>
        <v>4721006.2210748419</v>
      </c>
      <c r="K49" s="34">
        <f t="shared" si="14"/>
        <v>415288722.99993587</v>
      </c>
      <c r="L49" s="37">
        <f t="shared" si="15"/>
        <v>411495983.22158515</v>
      </c>
      <c r="M49" s="34">
        <f t="shared" si="5"/>
        <v>25924246.942959864</v>
      </c>
      <c r="N49" s="34">
        <f t="shared" si="6"/>
        <v>0</v>
      </c>
      <c r="O49" s="34">
        <f t="shared" si="7"/>
        <v>25924246.942959864</v>
      </c>
      <c r="P49" s="34">
        <f>O49*2%</f>
        <v>518484.93885919731</v>
      </c>
      <c r="Q49" s="38">
        <f t="shared" si="8"/>
        <v>25278733.194080163</v>
      </c>
      <c r="R49" s="39">
        <f t="shared" si="16"/>
        <v>2505238.4520449243</v>
      </c>
      <c r="S49" s="34">
        <f t="shared" si="17"/>
        <v>22547146.068404317</v>
      </c>
      <c r="T49" s="40">
        <v>10101849561</v>
      </c>
      <c r="U49" s="272">
        <f t="shared" si="9"/>
        <v>2.145751974709861E-6</v>
      </c>
      <c r="V49" s="282">
        <f t="shared" si="10"/>
        <v>86.682197926491313</v>
      </c>
      <c r="W49" s="283">
        <f>((S49+'Malawi-only'!S49)/(T49*(U49+'Malawi-only'!U49))/12)</f>
        <v>5.6160032988260866</v>
      </c>
      <c r="X49" s="284">
        <f>(R49+'Malawi-only'!R49)</f>
        <v>1818772557.5047276</v>
      </c>
      <c r="Y49" s="284">
        <f>(L49+'Malawi-only'!L49)</f>
        <v>59948628906.146164</v>
      </c>
      <c r="Z49" s="284">
        <f>(Q49+'Malawi-only'!Q49)</f>
        <v>3657813371.2994456</v>
      </c>
    </row>
    <row r="50" spans="1:26" ht="15.75" customHeight="1">
      <c r="A50" s="31" t="s">
        <v>83</v>
      </c>
      <c r="B50" s="32">
        <v>2066</v>
      </c>
      <c r="C50" s="334">
        <f t="shared" si="11"/>
        <v>1.0675642208460696E-6</v>
      </c>
      <c r="D50" s="334">
        <f t="shared" si="20"/>
        <v>1.0675642208460696E-6</v>
      </c>
      <c r="E50" s="34">
        <f t="shared" si="1"/>
        <v>0</v>
      </c>
      <c r="F50" s="42">
        <v>4000</v>
      </c>
      <c r="G50" s="34">
        <f t="shared" si="2"/>
        <v>4270256.883384278</v>
      </c>
      <c r="H50" s="34">
        <f t="shared" si="3"/>
        <v>4248905.5989673566</v>
      </c>
      <c r="I50" s="43">
        <v>1</v>
      </c>
      <c r="J50" s="36">
        <f t="shared" si="4"/>
        <v>4248905.5989673566</v>
      </c>
      <c r="K50" s="34">
        <f t="shared" si="14"/>
        <v>419537628.59890324</v>
      </c>
      <c r="L50" s="37">
        <f t="shared" si="15"/>
        <v>415537016.37614226</v>
      </c>
      <c r="M50" s="34">
        <f t="shared" si="5"/>
        <v>26178832.031696964</v>
      </c>
      <c r="N50" s="34">
        <f t="shared" si="6"/>
        <v>0</v>
      </c>
      <c r="O50" s="34">
        <f t="shared" si="7"/>
        <v>26178832.031696964</v>
      </c>
      <c r="P50" s="34">
        <f>O50*2.2%</f>
        <v>575934.30469733325</v>
      </c>
      <c r="Q50" s="38">
        <f t="shared" si="8"/>
        <v>25474883.238364629</v>
      </c>
      <c r="R50" s="39">
        <f t="shared" si="16"/>
        <v>2527873.3194080163</v>
      </c>
      <c r="S50" s="34">
        <f t="shared" si="17"/>
        <v>22750859.874672145</v>
      </c>
      <c r="T50" s="40">
        <v>10121317107</v>
      </c>
      <c r="U50" s="272">
        <f t="shared" si="9"/>
        <v>2.145751974709861E-6</v>
      </c>
      <c r="V50" s="282">
        <f t="shared" si="10"/>
        <v>87.297140230818897</v>
      </c>
      <c r="W50" s="283">
        <f>((S50+'Malawi-only'!S50)/(T50*(U50+'Malawi-only'!U50))/12)</f>
        <v>5.6677313697167202</v>
      </c>
      <c r="X50" s="284">
        <f>(R50+'Malawi-only'!R50)</f>
        <v>1839104760.889888</v>
      </c>
      <c r="Y50" s="284">
        <f>(L50+'Malawi-only'!L50)</f>
        <v>60665058111.246284</v>
      </c>
      <c r="Z50" s="284">
        <f>(Q50+'Malawi-only'!Q50)</f>
        <v>3698628658.3793249</v>
      </c>
    </row>
    <row r="51" spans="1:26" ht="15.75" customHeight="1">
      <c r="A51" s="31" t="s">
        <v>84</v>
      </c>
      <c r="B51" s="32">
        <v>2067</v>
      </c>
      <c r="C51" s="334">
        <f t="shared" si="11"/>
        <v>9.608077987614626E-7</v>
      </c>
      <c r="D51" s="334">
        <f t="shared" si="20"/>
        <v>9.608077987614626E-7</v>
      </c>
      <c r="E51" s="34">
        <f t="shared" si="1"/>
        <v>0</v>
      </c>
      <c r="F51" s="42">
        <v>4000</v>
      </c>
      <c r="G51" s="34">
        <f t="shared" si="2"/>
        <v>3843231.1950458502</v>
      </c>
      <c r="H51" s="34">
        <f t="shared" si="3"/>
        <v>3824015.0390706211</v>
      </c>
      <c r="I51" s="43">
        <v>1</v>
      </c>
      <c r="J51" s="36">
        <f t="shared" si="4"/>
        <v>3824015.0390706211</v>
      </c>
      <c r="K51" s="34">
        <f t="shared" si="14"/>
        <v>423361643.63797385</v>
      </c>
      <c r="L51" s="37">
        <f t="shared" si="15"/>
        <v>419151350.89950526</v>
      </c>
      <c r="M51" s="34">
        <f t="shared" si="5"/>
        <v>26406535.10666883</v>
      </c>
      <c r="N51" s="34">
        <f t="shared" si="6"/>
        <v>0</v>
      </c>
      <c r="O51" s="34">
        <f t="shared" si="7"/>
        <v>26406535.10666883</v>
      </c>
      <c r="P51" s="34">
        <f>O51*2.4%</f>
        <v>633756.84256005194</v>
      </c>
      <c r="Q51" s="38">
        <f t="shared" si="8"/>
        <v>25643914.372788232</v>
      </c>
      <c r="R51" s="39">
        <f t="shared" si="16"/>
        <v>2547488.323836463</v>
      </c>
      <c r="S51" s="34">
        <f t="shared" si="17"/>
        <v>22927394.914528165</v>
      </c>
      <c r="T51" s="40">
        <v>10139808361</v>
      </c>
      <c r="U51" s="272">
        <f t="shared" si="9"/>
        <v>2.145751974709861E-6</v>
      </c>
      <c r="V51" s="282">
        <f t="shared" si="10"/>
        <v>87.814088467494159</v>
      </c>
      <c r="W51" s="283">
        <f>((S51+'Malawi-only'!S51)/(T51*(U51+'Malawi-only'!U51))/12)</f>
        <v>5.7132331259213665</v>
      </c>
      <c r="X51" s="284">
        <f>(R51+'Malawi-only'!R51)</f>
        <v>1857299111.4669507</v>
      </c>
      <c r="Y51" s="284">
        <f>(L51+'Malawi-only'!L51)</f>
        <v>61322467848.775627</v>
      </c>
      <c r="Z51" s="284">
        <f>(Q51+'Malawi-only'!Q51)</f>
        <v>3735147160.6590166</v>
      </c>
    </row>
    <row r="52" spans="1:26" ht="15.75" customHeight="1">
      <c r="A52" s="31" t="s">
        <v>85</v>
      </c>
      <c r="B52" s="32">
        <v>2068</v>
      </c>
      <c r="C52" s="334">
        <f t="shared" si="11"/>
        <v>8.6472701888531632E-7</v>
      </c>
      <c r="D52" s="334">
        <f t="shared" si="20"/>
        <v>8.6472701888531632E-7</v>
      </c>
      <c r="E52" s="34">
        <f t="shared" si="1"/>
        <v>0</v>
      </c>
      <c r="F52" s="42">
        <v>4000</v>
      </c>
      <c r="G52" s="34">
        <f t="shared" si="2"/>
        <v>3458908.0755412653</v>
      </c>
      <c r="H52" s="34">
        <f t="shared" si="3"/>
        <v>3441613.535163559</v>
      </c>
      <c r="I52" s="43">
        <v>1</v>
      </c>
      <c r="J52" s="36">
        <f t="shared" si="4"/>
        <v>3441613.535163559</v>
      </c>
      <c r="K52" s="34">
        <f t="shared" si="14"/>
        <v>426803257.17313743</v>
      </c>
      <c r="L52" s="37">
        <f t="shared" si="15"/>
        <v>422381667.95245153</v>
      </c>
      <c r="M52" s="34">
        <f t="shared" si="5"/>
        <v>26610045.081004448</v>
      </c>
      <c r="N52" s="34">
        <f t="shared" si="6"/>
        <v>0</v>
      </c>
      <c r="O52" s="34">
        <f t="shared" si="7"/>
        <v>26610045.081004448</v>
      </c>
      <c r="P52" s="34">
        <f>O52*2.6%</f>
        <v>691861.17210611573</v>
      </c>
      <c r="Q52" s="38">
        <f t="shared" si="8"/>
        <v>25788592.989353839</v>
      </c>
      <c r="R52" s="39">
        <f t="shared" si="16"/>
        <v>2564391.4372788235</v>
      </c>
      <c r="S52" s="34">
        <f t="shared" si="17"/>
        <v>23079522.93550941</v>
      </c>
      <c r="T52" s="40">
        <v>10157301941</v>
      </c>
      <c r="U52" s="272">
        <f t="shared" si="9"/>
        <v>2.145751974709861E-6</v>
      </c>
      <c r="V52" s="282">
        <f t="shared" si="10"/>
        <v>88.244510400184268</v>
      </c>
      <c r="W52" s="283">
        <f>((S52+'Malawi-only'!S52)/(T52*(U52+'Malawi-only'!U52))/12)</f>
        <v>5.7533200997509084</v>
      </c>
      <c r="X52" s="284">
        <f>(R52+'Malawi-only'!R52)</f>
        <v>1873600817.8647764</v>
      </c>
      <c r="Y52" s="284">
        <f>(L52+'Malawi-only'!L52)</f>
        <v>61927703703.616051</v>
      </c>
      <c r="Z52" s="284">
        <f>(Q52+'Malawi-only'!Q52)</f>
        <v>3767861445.8443489</v>
      </c>
    </row>
    <row r="53" spans="1:26" ht="15.75" customHeight="1">
      <c r="A53" s="31" t="s">
        <v>86</v>
      </c>
      <c r="B53" s="32">
        <v>2069</v>
      </c>
      <c r="C53" s="334">
        <f t="shared" si="11"/>
        <v>7.7825431699678468E-7</v>
      </c>
      <c r="D53" s="334">
        <f t="shared" si="20"/>
        <v>7.7825431699678468E-7</v>
      </c>
      <c r="E53" s="34">
        <f t="shared" si="1"/>
        <v>0</v>
      </c>
      <c r="F53" s="42">
        <v>4000</v>
      </c>
      <c r="G53" s="34">
        <f t="shared" si="2"/>
        <v>3113017.2679871386</v>
      </c>
      <c r="H53" s="34">
        <f t="shared" si="3"/>
        <v>3097452.1816472029</v>
      </c>
      <c r="I53" s="43">
        <v>1</v>
      </c>
      <c r="J53" s="36">
        <f t="shared" si="4"/>
        <v>3097452.1816472029</v>
      </c>
      <c r="K53" s="34">
        <f t="shared" si="14"/>
        <v>429900709.35478461</v>
      </c>
      <c r="L53" s="37">
        <f t="shared" si="15"/>
        <v>425266380.57403171</v>
      </c>
      <c r="M53" s="34">
        <f t="shared" si="5"/>
        <v>26791781.976163998</v>
      </c>
      <c r="N53" s="34">
        <f t="shared" si="6"/>
        <v>0</v>
      </c>
      <c r="O53" s="34">
        <f t="shared" si="7"/>
        <v>26791781.976163998</v>
      </c>
      <c r="P53" s="34">
        <f>O53*2.8%</f>
        <v>750169.89533259184</v>
      </c>
      <c r="Q53" s="38">
        <f t="shared" si="8"/>
        <v>25911404.020427249</v>
      </c>
      <c r="R53" s="39">
        <f t="shared" si="16"/>
        <v>2578859.298935384</v>
      </c>
      <c r="S53" s="34">
        <f t="shared" si="17"/>
        <v>23209733.690418456</v>
      </c>
      <c r="T53" s="40">
        <v>10173782135</v>
      </c>
      <c r="U53" s="272">
        <f t="shared" si="9"/>
        <v>2.145751974709861E-6</v>
      </c>
      <c r="V53" s="282">
        <f t="shared" si="10"/>
        <v>88.598619951474703</v>
      </c>
      <c r="W53" s="283">
        <f>((S53+'Malawi-only'!S53)/(T53*(U53+'Malawi-only'!U53))/12)</f>
        <v>5.7887146178918583</v>
      </c>
      <c r="X53" s="284">
        <f>(R53+'Malawi-only'!R53)</f>
        <v>1888229811.067158</v>
      </c>
      <c r="Y53" s="284">
        <f>(L53+'Malawi-only'!L53)</f>
        <v>62486923211.938141</v>
      </c>
      <c r="Z53" s="284">
        <f>(Q53+'Malawi-only'!Q53)</f>
        <v>3797213307.5568724</v>
      </c>
    </row>
    <row r="54" spans="1:26" ht="15.75" customHeight="1">
      <c r="A54" s="31" t="s">
        <v>87</v>
      </c>
      <c r="B54" s="32">
        <v>2070</v>
      </c>
      <c r="C54" s="334">
        <f t="shared" si="11"/>
        <v>7.0042888529710619E-7</v>
      </c>
      <c r="D54" s="334">
        <f t="shared" si="20"/>
        <v>7.0042888529710619E-7</v>
      </c>
      <c r="E54" s="34">
        <f t="shared" si="1"/>
        <v>0</v>
      </c>
      <c r="F54" s="42">
        <v>4000</v>
      </c>
      <c r="G54" s="34">
        <f t="shared" si="2"/>
        <v>2801715.5411884245</v>
      </c>
      <c r="H54" s="34">
        <f t="shared" si="3"/>
        <v>2787706.9634824824</v>
      </c>
      <c r="I54" s="43">
        <v>1</v>
      </c>
      <c r="J54" s="36">
        <f t="shared" si="4"/>
        <v>2787706.9634824824</v>
      </c>
      <c r="K54" s="34">
        <f t="shared" si="14"/>
        <v>432688416.31826711</v>
      </c>
      <c r="L54" s="37">
        <f t="shared" si="15"/>
        <v>427840060.49374551</v>
      </c>
      <c r="M54" s="34">
        <f t="shared" si="5"/>
        <v>26953923.811105967</v>
      </c>
      <c r="N54" s="34">
        <f t="shared" si="6"/>
        <v>0</v>
      </c>
      <c r="O54" s="34">
        <f t="shared" si="7"/>
        <v>26953923.811105967</v>
      </c>
      <c r="P54" s="34">
        <f>O54*3%</f>
        <v>808617.71433317894</v>
      </c>
      <c r="Q54" s="38">
        <f t="shared" si="8"/>
        <v>26014579.566288922</v>
      </c>
      <c r="R54" s="39">
        <f t="shared" si="16"/>
        <v>2591140.4020427251</v>
      </c>
      <c r="S54" s="34">
        <f t="shared" si="17"/>
        <v>23320263.618384525</v>
      </c>
      <c r="T54" s="40">
        <v>10189241959</v>
      </c>
      <c r="U54" s="272">
        <f t="shared" si="9"/>
        <v>2.145751974709861E-6</v>
      </c>
      <c r="V54" s="282">
        <f t="shared" si="10"/>
        <v>88.885478196655924</v>
      </c>
      <c r="W54" s="283">
        <f>((S54+'Malawi-only'!S54)/(T54*(U54+'Malawi-only'!U54))/12)</f>
        <v>5.8200573287432711</v>
      </c>
      <c r="X54" s="284">
        <f>(R54+'Malawi-only'!R54)</f>
        <v>1901383356.8801198</v>
      </c>
      <c r="Y54" s="284">
        <f>(L54+'Malawi-only'!L54)</f>
        <v>63005665882.681084</v>
      </c>
      <c r="Z54" s="284">
        <f>(Q54+'Malawi-only'!Q54)</f>
        <v>3823599012.5224433</v>
      </c>
    </row>
    <row r="55" spans="1:26" ht="15.75" customHeight="1">
      <c r="A55" s="31" t="s">
        <v>88</v>
      </c>
      <c r="B55" s="32">
        <v>2071</v>
      </c>
      <c r="C55" s="334">
        <f t="shared" si="11"/>
        <v>6.303859967673956E-7</v>
      </c>
      <c r="D55" s="334">
        <f t="shared" si="20"/>
        <v>6.303859967673956E-7</v>
      </c>
      <c r="E55" s="34">
        <f t="shared" si="1"/>
        <v>0</v>
      </c>
      <c r="F55" s="42">
        <v>4000</v>
      </c>
      <c r="G55" s="34">
        <f t="shared" si="2"/>
        <v>2521543.9870695826</v>
      </c>
      <c r="H55" s="34">
        <f t="shared" si="3"/>
        <v>2508936.2671342348</v>
      </c>
      <c r="I55" s="43">
        <v>1</v>
      </c>
      <c r="J55" s="36">
        <f t="shared" si="4"/>
        <v>2508936.2671342348</v>
      </c>
      <c r="K55" s="34">
        <f t="shared" si="14"/>
        <v>435197352.58540136</v>
      </c>
      <c r="L55" s="37">
        <f t="shared" si="15"/>
        <v>430133822.26249933</v>
      </c>
      <c r="M55" s="34">
        <f t="shared" si="5"/>
        <v>27098430.80253746</v>
      </c>
      <c r="N55" s="34">
        <f t="shared" si="6"/>
        <v>0</v>
      </c>
      <c r="O55" s="34">
        <f t="shared" si="7"/>
        <v>27098430.80253746</v>
      </c>
      <c r="P55" s="34">
        <f>O55*3.2%</f>
        <v>867149.7856811987</v>
      </c>
      <c r="Q55" s="38">
        <f t="shared" si="8"/>
        <v>26100124.611771978</v>
      </c>
      <c r="R55" s="39">
        <f t="shared" si="16"/>
        <v>2601457.9566288926</v>
      </c>
      <c r="S55" s="34">
        <f t="shared" si="17"/>
        <v>23413121.609660029</v>
      </c>
      <c r="T55" s="40">
        <v>10203681568</v>
      </c>
      <c r="U55" s="272">
        <f t="shared" si="9"/>
        <v>2.145751974709861E-6</v>
      </c>
      <c r="V55" s="282">
        <f t="shared" si="10"/>
        <v>89.113121596523328</v>
      </c>
      <c r="W55" s="283">
        <f>((S55+'Malawi-only'!S55)/(T55*(U55+'Malawi-only'!U55))/12)</f>
        <v>5.8479163817786395</v>
      </c>
      <c r="X55" s="284">
        <f>(R55+'Malawi-only'!R55)</f>
        <v>1913238399.3456938</v>
      </c>
      <c r="Y55" s="284">
        <f>(L55+'Malawi-only'!L55)</f>
        <v>63488916129.512878</v>
      </c>
      <c r="Z55" s="284">
        <f>(Q55+'Malawi-only'!Q55)</f>
        <v>3847374007.3899021</v>
      </c>
    </row>
    <row r="56" spans="1:26" ht="15.75" customHeight="1">
      <c r="A56" s="31" t="s">
        <v>89</v>
      </c>
      <c r="B56" s="32">
        <v>2072</v>
      </c>
      <c r="C56" s="334">
        <f t="shared" si="11"/>
        <v>5.6734739709065607E-7</v>
      </c>
      <c r="D56" s="334">
        <f t="shared" si="20"/>
        <v>5.6734739709065607E-7</v>
      </c>
      <c r="E56" s="34">
        <f t="shared" si="1"/>
        <v>0</v>
      </c>
      <c r="F56" s="42">
        <v>4000</v>
      </c>
      <c r="G56" s="34">
        <f t="shared" si="2"/>
        <v>2269389.5883626244</v>
      </c>
      <c r="H56" s="34">
        <f t="shared" si="3"/>
        <v>2258042.6404208113</v>
      </c>
      <c r="I56" s="43">
        <v>1</v>
      </c>
      <c r="J56" s="36">
        <f t="shared" si="4"/>
        <v>2258042.6404208113</v>
      </c>
      <c r="K56" s="34">
        <f t="shared" si="14"/>
        <v>437455395.22582215</v>
      </c>
      <c r="L56" s="37">
        <f t="shared" si="15"/>
        <v>432175668.9704687</v>
      </c>
      <c r="M56" s="34">
        <f t="shared" si="5"/>
        <v>27227067.145139527</v>
      </c>
      <c r="N56" s="34">
        <f t="shared" si="6"/>
        <v>0</v>
      </c>
      <c r="O56" s="34">
        <f t="shared" si="7"/>
        <v>27227067.145139527</v>
      </c>
      <c r="P56" s="34">
        <f>O56*3.4%</f>
        <v>925720.28293474403</v>
      </c>
      <c r="Q56" s="38">
        <f t="shared" si="8"/>
        <v>26169840.127893757</v>
      </c>
      <c r="R56" s="39">
        <f t="shared" si="16"/>
        <v>2610012.4611771982</v>
      </c>
      <c r="S56" s="34">
        <f t="shared" si="17"/>
        <v>23490112.150594778</v>
      </c>
      <c r="T56" s="40">
        <v>10217055169</v>
      </c>
      <c r="U56" s="272">
        <f t="shared" si="9"/>
        <v>2.145751974709861E-6</v>
      </c>
      <c r="V56" s="282">
        <f t="shared" si="10"/>
        <v>89.289128667476362</v>
      </c>
      <c r="W56" s="283">
        <f>((S56+'Malawi-only'!S56)/(T56*(U56+'Malawi-only'!U56))/12)</f>
        <v>5.8728253567977395</v>
      </c>
      <c r="X56" s="284">
        <f>(R56+'Malawi-only'!R56)</f>
        <v>1923953662.8124142</v>
      </c>
      <c r="Y56" s="284">
        <f>(L56+'Malawi-only'!L56)</f>
        <v>63941159831.733643</v>
      </c>
      <c r="Z56" s="284">
        <f>(Q56+'Malawi-only'!Q56)</f>
        <v>3868857140.830368</v>
      </c>
    </row>
    <row r="57" spans="1:26" ht="15.75" customHeight="1">
      <c r="A57" s="31" t="s">
        <v>90</v>
      </c>
      <c r="B57" s="32">
        <v>2073</v>
      </c>
      <c r="C57" s="334">
        <f t="shared" si="11"/>
        <v>5.1061265738159045E-7</v>
      </c>
      <c r="D57" s="334">
        <f t="shared" si="20"/>
        <v>5.1061265738159045E-7</v>
      </c>
      <c r="E57" s="34">
        <f t="shared" si="1"/>
        <v>0</v>
      </c>
      <c r="F57" s="42">
        <v>4000</v>
      </c>
      <c r="G57" s="34">
        <f t="shared" si="2"/>
        <v>2042450.6295263618</v>
      </c>
      <c r="H57" s="34">
        <f t="shared" si="3"/>
        <v>2032238.3763787299</v>
      </c>
      <c r="I57" s="35">
        <f t="shared" ref="I57:I184" si="21">100%</f>
        <v>1</v>
      </c>
      <c r="J57" s="36">
        <f t="shared" si="4"/>
        <v>2032238.3763787299</v>
      </c>
      <c r="K57" s="34">
        <f t="shared" si="14"/>
        <v>439487633.60220087</v>
      </c>
      <c r="L57" s="37">
        <f t="shared" si="15"/>
        <v>433990803.39317399</v>
      </c>
      <c r="M57" s="34">
        <f t="shared" si="5"/>
        <v>27341420.613769963</v>
      </c>
      <c r="N57" s="34">
        <f t="shared" si="6"/>
        <v>0</v>
      </c>
      <c r="O57" s="34">
        <f t="shared" si="7"/>
        <v>27341420.613769963</v>
      </c>
      <c r="P57" s="34">
        <f>O57*3.6%</f>
        <v>984291.14209571877</v>
      </c>
      <c r="Q57" s="38">
        <f t="shared" si="8"/>
        <v>26225343.824315872</v>
      </c>
      <c r="R57" s="39">
        <f t="shared" si="16"/>
        <v>2616984.0127893761</v>
      </c>
      <c r="S57" s="34">
        <f t="shared" si="17"/>
        <v>23552856.115104381</v>
      </c>
      <c r="T57" s="40">
        <v>10229327824</v>
      </c>
      <c r="U57" s="272">
        <f t="shared" si="9"/>
        <v>2.145751974709861E-6</v>
      </c>
      <c r="V57" s="282">
        <f t="shared" si="10"/>
        <v>89.42021612075564</v>
      </c>
      <c r="W57" s="283">
        <f>((S57+'Malawi-only'!S57)/(T57*(U57+'Malawi-only'!U57))/12)</f>
        <v>5.8952575514854972</v>
      </c>
      <c r="X57" s="284">
        <f>(R57+'Malawi-only'!R57)</f>
        <v>1933671537.5196714</v>
      </c>
      <c r="Y57" s="284">
        <f>(L57+'Malawi-only'!L57)</f>
        <v>64366435169.787292</v>
      </c>
      <c r="Z57" s="284">
        <f>(Q57+'Malawi-only'!Q57)</f>
        <v>3888334450.8380799</v>
      </c>
    </row>
    <row r="58" spans="1:26" ht="15.75" customHeight="1">
      <c r="A58" s="31" t="s">
        <v>91</v>
      </c>
      <c r="B58" s="32">
        <v>2074</v>
      </c>
      <c r="C58" s="334">
        <f t="shared" si="11"/>
        <v>4.595513916434314E-7</v>
      </c>
      <c r="D58" s="334">
        <f t="shared" si="20"/>
        <v>4.595513916434314E-7</v>
      </c>
      <c r="E58" s="34">
        <f t="shared" si="1"/>
        <v>0</v>
      </c>
      <c r="F58" s="42">
        <v>4000</v>
      </c>
      <c r="G58" s="34">
        <f t="shared" si="2"/>
        <v>1838205.5665737255</v>
      </c>
      <c r="H58" s="34">
        <f t="shared" si="3"/>
        <v>1829014.5387408568</v>
      </c>
      <c r="I58" s="35">
        <f t="shared" si="21"/>
        <v>1</v>
      </c>
      <c r="J58" s="36">
        <f t="shared" si="4"/>
        <v>1829014.5387408568</v>
      </c>
      <c r="K58" s="34">
        <f t="shared" si="14"/>
        <v>441316648.14094174</v>
      </c>
      <c r="L58" s="37">
        <f t="shared" si="15"/>
        <v>435601908.02294892</v>
      </c>
      <c r="M58" s="34">
        <f t="shared" si="5"/>
        <v>27442920.205445781</v>
      </c>
      <c r="N58" s="34">
        <f t="shared" si="6"/>
        <v>0</v>
      </c>
      <c r="O58" s="34">
        <f t="shared" si="7"/>
        <v>27442920.205445781</v>
      </c>
      <c r="P58" s="34">
        <f>O58*3.8%</f>
        <v>1042830.9678069396</v>
      </c>
      <c r="Q58" s="38">
        <f t="shared" si="8"/>
        <v>26268088.791450649</v>
      </c>
      <c r="R58" s="39">
        <f t="shared" si="16"/>
        <v>2622534.3824315872</v>
      </c>
      <c r="S58" s="34">
        <f t="shared" si="17"/>
        <v>23602809.441884287</v>
      </c>
      <c r="T58" s="40">
        <v>10240485056</v>
      </c>
      <c r="U58" s="272">
        <f t="shared" si="9"/>
        <v>2.145751974709861E-6</v>
      </c>
      <c r="V58" s="282">
        <f t="shared" si="10"/>
        <v>89.512235832079497</v>
      </c>
      <c r="W58" s="283">
        <f>((S58+'Malawi-only'!S58)/(T58*(U58+'Malawi-only'!U58))/12)</f>
        <v>5.9156262444216514</v>
      </c>
      <c r="X58" s="284">
        <f>(R58+'Malawi-only'!R58)</f>
        <v>1942519770.9937119</v>
      </c>
      <c r="Y58" s="284">
        <f>(L58+'Malawi-only'!L58)</f>
        <v>64768378315.627991</v>
      </c>
      <c r="Z58" s="284">
        <f>(Q58+'Malawi-only'!Q58)</f>
        <v>3906062562.0140114</v>
      </c>
    </row>
    <row r="59" spans="1:26" ht="15.75" customHeight="1">
      <c r="A59" s="31" t="s">
        <v>92</v>
      </c>
      <c r="B59" s="32">
        <v>2075</v>
      </c>
      <c r="C59" s="334">
        <f t="shared" si="11"/>
        <v>4.1359625247908825E-7</v>
      </c>
      <c r="D59" s="334">
        <f t="shared" si="20"/>
        <v>4.1359625247908825E-7</v>
      </c>
      <c r="E59" s="34">
        <f t="shared" si="1"/>
        <v>0</v>
      </c>
      <c r="F59" s="42">
        <v>4000</v>
      </c>
      <c r="G59" s="34">
        <f t="shared" si="2"/>
        <v>1654385.009916353</v>
      </c>
      <c r="H59" s="34">
        <f t="shared" si="3"/>
        <v>1646113.0848667712</v>
      </c>
      <c r="I59" s="35">
        <f t="shared" si="21"/>
        <v>1</v>
      </c>
      <c r="J59" s="36">
        <f t="shared" si="4"/>
        <v>1646113.0848667712</v>
      </c>
      <c r="K59" s="34">
        <f t="shared" si="14"/>
        <v>442962761.2258085</v>
      </c>
      <c r="L59" s="37">
        <f t="shared" si="15"/>
        <v>437029397.09726179</v>
      </c>
      <c r="M59" s="34">
        <f t="shared" si="5"/>
        <v>27532852.017127492</v>
      </c>
      <c r="N59" s="34">
        <f t="shared" si="6"/>
        <v>0</v>
      </c>
      <c r="O59" s="34">
        <f t="shared" si="7"/>
        <v>27532852.017127492</v>
      </c>
      <c r="P59" s="34">
        <f>O59*4%</f>
        <v>1101314.0806850996</v>
      </c>
      <c r="Q59" s="38">
        <f t="shared" si="8"/>
        <v>26299380.246760178</v>
      </c>
      <c r="R59" s="39">
        <f t="shared" si="16"/>
        <v>2626808.8791450653</v>
      </c>
      <c r="S59" s="34">
        <f t="shared" si="17"/>
        <v>23641279.912305586</v>
      </c>
      <c r="T59" s="40">
        <v>10250496432</v>
      </c>
      <c r="U59" s="272">
        <f t="shared" si="9"/>
        <v>2.145751974709861E-6</v>
      </c>
      <c r="V59" s="282">
        <f t="shared" si="10"/>
        <v>89.570566162949504</v>
      </c>
      <c r="W59" s="283">
        <f>((S59+'Malawi-only'!S59)/(T59*(U59+'Malawi-only'!U59))/12)</f>
        <v>5.9343109349157297</v>
      </c>
      <c r="X59" s="284">
        <f>(R59+'Malawi-only'!R59)</f>
        <v>1950612985.2572005</v>
      </c>
      <c r="Y59" s="284">
        <f>(L59+'Malawi-only'!L59)</f>
        <v>65150264499.397903</v>
      </c>
      <c r="Z59" s="284">
        <f>(Q59+'Malawi-only'!Q59)</f>
        <v>3922271733.002871</v>
      </c>
    </row>
    <row r="60" spans="1:26" ht="15.75" customHeight="1">
      <c r="A60" s="31" t="s">
        <v>93</v>
      </c>
      <c r="B60" s="32">
        <v>2076</v>
      </c>
      <c r="C60" s="334">
        <f t="shared" si="11"/>
        <v>3.7223662723117943E-7</v>
      </c>
      <c r="D60" s="334">
        <f t="shared" si="20"/>
        <v>3.7223662723117943E-7</v>
      </c>
      <c r="E60" s="34">
        <f t="shared" si="1"/>
        <v>0</v>
      </c>
      <c r="F60" s="42">
        <v>4000</v>
      </c>
      <c r="G60" s="34">
        <f t="shared" si="2"/>
        <v>1488946.5089247178</v>
      </c>
      <c r="H60" s="34">
        <f t="shared" si="3"/>
        <v>1481501.7763800942</v>
      </c>
      <c r="I60" s="35">
        <f t="shared" si="21"/>
        <v>1</v>
      </c>
      <c r="J60" s="36">
        <f t="shared" si="4"/>
        <v>1481501.7763800942</v>
      </c>
      <c r="K60" s="34">
        <f t="shared" si="14"/>
        <v>444444263.00218862</v>
      </c>
      <c r="L60" s="37">
        <f t="shared" ref="L60:L184" si="22">(L59+J60+P59)*(1-$L$3)</f>
        <v>439392406.84784985</v>
      </c>
      <c r="M60" s="34">
        <f t="shared" si="5"/>
        <v>27681721.63141454</v>
      </c>
      <c r="N60" s="34">
        <f t="shared" si="6"/>
        <v>0</v>
      </c>
      <c r="O60" s="34">
        <f t="shared" si="7"/>
        <v>27681721.63141454</v>
      </c>
      <c r="P60" s="34">
        <f>O60*4.5%</f>
        <v>1245677.4734136544</v>
      </c>
      <c r="Q60" s="38">
        <f t="shared" si="8"/>
        <v>26303863.93721088</v>
      </c>
      <c r="R60" s="39">
        <f t="shared" si="16"/>
        <v>2629938.0246760179</v>
      </c>
      <c r="S60" s="34">
        <f t="shared" si="17"/>
        <v>23669442.222084161</v>
      </c>
      <c r="T60" s="40">
        <v>10259351432</v>
      </c>
      <c r="U60" s="272">
        <f t="shared" si="9"/>
        <v>2.145751974709861E-6</v>
      </c>
      <c r="V60" s="282">
        <f t="shared" si="10"/>
        <v>89.599863925089792</v>
      </c>
      <c r="W60" s="283">
        <f>((S60+'Malawi-only'!S60)/(T60*(U60+'Malawi-only'!U60))/12)</f>
        <v>5.9332265691709223</v>
      </c>
      <c r="X60" s="284">
        <f>(R60+'Malawi-only'!R60)</f>
        <v>1951930580.2798271</v>
      </c>
      <c r="Y60" s="284">
        <f>(L60+'Malawi-only'!L60)</f>
        <v>65516145684.465485</v>
      </c>
      <c r="Z60" s="284">
        <f>(Q60+'Malawi-only'!Q60)</f>
        <v>3924905148.4475131</v>
      </c>
    </row>
    <row r="61" spans="1:26" ht="15.75" customHeight="1">
      <c r="A61" s="31" t="s">
        <v>94</v>
      </c>
      <c r="B61" s="32">
        <v>2077</v>
      </c>
      <c r="C61" s="334">
        <f t="shared" si="11"/>
        <v>3.3501296450806152E-7</v>
      </c>
      <c r="D61" s="334">
        <f t="shared" si="20"/>
        <v>3.3501296450806152E-7</v>
      </c>
      <c r="E61" s="34">
        <f t="shared" si="1"/>
        <v>0</v>
      </c>
      <c r="F61" s="42">
        <v>4000</v>
      </c>
      <c r="G61" s="34">
        <f t="shared" si="2"/>
        <v>1340051.8580322461</v>
      </c>
      <c r="H61" s="34">
        <f t="shared" si="3"/>
        <v>1333351.5987420848</v>
      </c>
      <c r="I61" s="35">
        <f t="shared" si="21"/>
        <v>1</v>
      </c>
      <c r="J61" s="36">
        <f t="shared" si="4"/>
        <v>1333351.5987420848</v>
      </c>
      <c r="K61" s="34">
        <f t="shared" si="14"/>
        <v>445777614.60093069</v>
      </c>
      <c r="L61" s="37">
        <f t="shared" si="22"/>
        <v>441750450.20204556</v>
      </c>
      <c r="M61" s="34">
        <f t="shared" si="5"/>
        <v>27830278.362728871</v>
      </c>
      <c r="N61" s="34">
        <f t="shared" si="6"/>
        <v>0</v>
      </c>
      <c r="O61" s="34">
        <f t="shared" si="7"/>
        <v>27830278.362728871</v>
      </c>
      <c r="P61" s="34">
        <f>O61*5%</f>
        <v>1391513.9181364437</v>
      </c>
      <c r="Q61" s="38">
        <f t="shared" si="8"/>
        <v>26306570.622369464</v>
      </c>
      <c r="R61" s="39">
        <f t="shared" si="16"/>
        <v>2630386.3937210883</v>
      </c>
      <c r="S61" s="34">
        <f t="shared" si="17"/>
        <v>23673477.543489791</v>
      </c>
      <c r="T61" s="40">
        <v>10267045023</v>
      </c>
      <c r="U61" s="272">
        <f t="shared" si="9"/>
        <v>2.145751974709861E-6</v>
      </c>
      <c r="V61" s="282">
        <f t="shared" si="10"/>
        <v>89.54798655894318</v>
      </c>
      <c r="W61" s="283">
        <f>((S61+'Malawi-only'!S61)/(T61*(U61+'Malawi-only'!U61))/12)</f>
        <v>5.9308566309456729</v>
      </c>
      <c r="X61" s="284">
        <f>(R61+'Malawi-only'!R61)</f>
        <v>1952617879.2243989</v>
      </c>
      <c r="Y61" s="284">
        <f>(L61+'Malawi-only'!L61)</f>
        <v>65880027498.770912</v>
      </c>
      <c r="Z61" s="284">
        <f>(Q61+'Malawi-only'!Q61)</f>
        <v>3926281556.2837248</v>
      </c>
    </row>
    <row r="62" spans="1:26" ht="15.75" customHeight="1">
      <c r="A62" s="31" t="s">
        <v>95</v>
      </c>
      <c r="B62" s="32">
        <v>2078</v>
      </c>
      <c r="C62" s="334">
        <f t="shared" si="11"/>
        <v>3.0151166805725537E-7</v>
      </c>
      <c r="D62" s="334">
        <f t="shared" si="20"/>
        <v>3.0151166805725537E-7</v>
      </c>
      <c r="E62" s="34">
        <f t="shared" si="1"/>
        <v>0</v>
      </c>
      <c r="F62" s="42">
        <v>4000</v>
      </c>
      <c r="G62" s="34">
        <f t="shared" si="2"/>
        <v>1206046.6722290216</v>
      </c>
      <c r="H62" s="34">
        <f t="shared" si="3"/>
        <v>1200016.4388678765</v>
      </c>
      <c r="I62" s="35">
        <f t="shared" si="21"/>
        <v>1</v>
      </c>
      <c r="J62" s="36">
        <f t="shared" si="4"/>
        <v>1200016.4388678765</v>
      </c>
      <c r="K62" s="34">
        <f t="shared" si="14"/>
        <v>446977631.03979856</v>
      </c>
      <c r="L62" s="37">
        <f t="shared" si="22"/>
        <v>444119809.56877035</v>
      </c>
      <c r="M62" s="34">
        <f t="shared" si="5"/>
        <v>27979548.002832532</v>
      </c>
      <c r="N62" s="34">
        <f t="shared" si="6"/>
        <v>0</v>
      </c>
      <c r="O62" s="34">
        <f t="shared" si="7"/>
        <v>27979548.002832532</v>
      </c>
      <c r="P62" s="34">
        <f>O62*5.5%</f>
        <v>1538875.1401557892</v>
      </c>
      <c r="Q62" s="38">
        <f t="shared" si="8"/>
        <v>26308469.498363361</v>
      </c>
      <c r="R62" s="39">
        <f t="shared" si="16"/>
        <v>2630657.0622369465</v>
      </c>
      <c r="S62" s="34">
        <f t="shared" si="17"/>
        <v>23675913.560132518</v>
      </c>
      <c r="T62" s="40">
        <v>10273556322</v>
      </c>
      <c r="U62" s="272">
        <f t="shared" si="9"/>
        <v>2.145751974709861E-6</v>
      </c>
      <c r="V62" s="282">
        <f t="shared" si="10"/>
        <v>89.500440458547985</v>
      </c>
      <c r="W62" s="283">
        <f>((S62+'Malawi-only'!S62)/(T62*(U62+'Malawi-only'!U62))/12)</f>
        <v>5.9286448394816942</v>
      </c>
      <c r="X62" s="284">
        <f>(R62+'Malawi-only'!R62)</f>
        <v>1953130894.7356629</v>
      </c>
      <c r="Y62" s="284">
        <f>(L62+'Malawi-only'!L62)</f>
        <v>66244442721.995193</v>
      </c>
      <c r="Z62" s="284">
        <f>(Q62+'Malawi-only'!Q62)</f>
        <v>3927308944.8452153</v>
      </c>
    </row>
    <row r="63" spans="1:26" ht="15.75" customHeight="1">
      <c r="A63" s="31" t="s">
        <v>96</v>
      </c>
      <c r="B63" s="32">
        <v>2079</v>
      </c>
      <c r="C63" s="334">
        <f t="shared" si="11"/>
        <v>2.7136050125152986E-7</v>
      </c>
      <c r="D63" s="334">
        <f t="shared" si="20"/>
        <v>2.7136050125152986E-7</v>
      </c>
      <c r="E63" s="34">
        <f t="shared" si="1"/>
        <v>0</v>
      </c>
      <c r="F63" s="42">
        <v>4000</v>
      </c>
      <c r="G63" s="34">
        <f t="shared" si="2"/>
        <v>1085442.0050061194</v>
      </c>
      <c r="H63" s="34">
        <f t="shared" si="3"/>
        <v>1080014.7949810887</v>
      </c>
      <c r="I63" s="35">
        <f t="shared" si="21"/>
        <v>1</v>
      </c>
      <c r="J63" s="36">
        <f t="shared" si="4"/>
        <v>1080014.7949810887</v>
      </c>
      <c r="K63" s="34">
        <f t="shared" si="14"/>
        <v>448057645.83477962</v>
      </c>
      <c r="L63" s="37">
        <f t="shared" si="22"/>
        <v>446515330.15415525</v>
      </c>
      <c r="M63" s="34">
        <f t="shared" si="5"/>
        <v>28130465.799711782</v>
      </c>
      <c r="N63" s="34">
        <f t="shared" si="6"/>
        <v>0</v>
      </c>
      <c r="O63" s="34">
        <f t="shared" si="7"/>
        <v>28130465.799711782</v>
      </c>
      <c r="P63" s="34">
        <f>O63*6%</f>
        <v>1687827.9479827068</v>
      </c>
      <c r="Q63" s="38">
        <f t="shared" si="8"/>
        <v>26310424.66247043</v>
      </c>
      <c r="R63" s="39">
        <f t="shared" si="16"/>
        <v>2630846.9498363361</v>
      </c>
      <c r="S63" s="34">
        <f t="shared" si="17"/>
        <v>23677622.548527025</v>
      </c>
      <c r="T63" s="40">
        <v>10278887473</v>
      </c>
      <c r="U63" s="272">
        <f t="shared" si="9"/>
        <v>2.145751974709861E-6</v>
      </c>
      <c r="V63" s="282">
        <f t="shared" si="10"/>
        <v>89.460478024290992</v>
      </c>
      <c r="W63" s="283">
        <f>((S63+'Malawi-only'!S63)/(T63*(U63+'Malawi-only'!U63))/12)</f>
        <v>5.9268182951706914</v>
      </c>
      <c r="X63" s="284">
        <f>(R63+'Malawi-only'!R63)</f>
        <v>1953545278.9835966</v>
      </c>
      <c r="Y63" s="284">
        <f>(L63+'Malawi-only'!L63)</f>
        <v>66611724618.58786</v>
      </c>
      <c r="Z63" s="284">
        <f>(Q63+'Malawi-only'!Q63)</f>
        <v>3928139288.729991</v>
      </c>
    </row>
    <row r="64" spans="1:26" ht="15.75" customHeight="1">
      <c r="A64" s="31" t="s">
        <v>97</v>
      </c>
      <c r="B64" s="32">
        <v>2080</v>
      </c>
      <c r="C64" s="334">
        <f t="shared" si="11"/>
        <v>2.4422445112637689E-7</v>
      </c>
      <c r="D64" s="334">
        <f t="shared" si="20"/>
        <v>2.4422445112637689E-7</v>
      </c>
      <c r="E64" s="34">
        <f t="shared" si="1"/>
        <v>0</v>
      </c>
      <c r="F64" s="42">
        <v>4000</v>
      </c>
      <c r="G64" s="34">
        <f t="shared" si="2"/>
        <v>976897.80450550758</v>
      </c>
      <c r="H64" s="34">
        <f t="shared" si="3"/>
        <v>972013.31548297999</v>
      </c>
      <c r="I64" s="35">
        <f t="shared" si="21"/>
        <v>1</v>
      </c>
      <c r="J64" s="36">
        <f t="shared" si="4"/>
        <v>972013.31548297999</v>
      </c>
      <c r="K64" s="34">
        <f t="shared" si="14"/>
        <v>449029659.15026259</v>
      </c>
      <c r="L64" s="37">
        <f t="shared" si="22"/>
        <v>448950583.83191216</v>
      </c>
      <c r="M64" s="34">
        <f t="shared" si="5"/>
        <v>28283886.781410467</v>
      </c>
      <c r="N64" s="34">
        <f t="shared" si="6"/>
        <v>0</v>
      </c>
      <c r="O64" s="34">
        <f t="shared" si="7"/>
        <v>28283886.781410467</v>
      </c>
      <c r="P64" s="34">
        <f>O64*6.5%</f>
        <v>1838452.6407916804</v>
      </c>
      <c r="Q64" s="38">
        <f t="shared" si="8"/>
        <v>26313206.969915692</v>
      </c>
      <c r="R64" s="39">
        <f t="shared" si="16"/>
        <v>2631042.4662470431</v>
      </c>
      <c r="S64" s="34">
        <f t="shared" si="17"/>
        <v>23679382.196223386</v>
      </c>
      <c r="T64" s="40">
        <v>10283078029</v>
      </c>
      <c r="U64" s="272">
        <f t="shared" si="9"/>
        <v>2.145751974709861E-6</v>
      </c>
      <c r="V64" s="282">
        <f t="shared" si="10"/>
        <v>89.430666841473567</v>
      </c>
      <c r="W64" s="283">
        <f>((S64+'Malawi-only'!S64)/(T64*(U64+'Malawi-only'!U64))/12)</f>
        <v>5.9255597119922401</v>
      </c>
      <c r="X64" s="284">
        <f>(R64+'Malawi-only'!R64)</f>
        <v>1953929244.567255</v>
      </c>
      <c r="Y64" s="284">
        <f>(L64+'Malawi-only'!L64)</f>
        <v>66984002165.094147</v>
      </c>
      <c r="Z64" s="284">
        <f>(Q64+'Malawi-only'!Q64)</f>
        <v>3928909611.1719317</v>
      </c>
    </row>
    <row r="65" spans="1:26" ht="15.75" customHeight="1">
      <c r="A65" s="31" t="s">
        <v>98</v>
      </c>
      <c r="B65" s="32">
        <v>2081</v>
      </c>
      <c r="C65" s="334">
        <f t="shared" si="11"/>
        <v>2.1980200601373921E-7</v>
      </c>
      <c r="D65" s="334">
        <f t="shared" si="20"/>
        <v>2.1980200601373921E-7</v>
      </c>
      <c r="E65" s="34">
        <f t="shared" si="1"/>
        <v>0</v>
      </c>
      <c r="F65" s="42">
        <v>4000</v>
      </c>
      <c r="G65" s="34">
        <f t="shared" si="2"/>
        <v>879208.02405495686</v>
      </c>
      <c r="H65" s="34">
        <f t="shared" si="3"/>
        <v>874811.9839346821</v>
      </c>
      <c r="I65" s="35">
        <f t="shared" si="21"/>
        <v>1</v>
      </c>
      <c r="J65" s="36">
        <f t="shared" si="4"/>
        <v>874811.9839346821</v>
      </c>
      <c r="K65" s="34">
        <f t="shared" si="14"/>
        <v>449904471.13419729</v>
      </c>
      <c r="L65" s="37">
        <f t="shared" si="22"/>
        <v>451438016.5324102</v>
      </c>
      <c r="M65" s="34">
        <f t="shared" si="5"/>
        <v>28440595.041541845</v>
      </c>
      <c r="N65" s="34">
        <f t="shared" si="6"/>
        <v>0</v>
      </c>
      <c r="O65" s="34">
        <f t="shared" si="7"/>
        <v>28440595.041541845</v>
      </c>
      <c r="P65" s="34">
        <f>O65*7%</f>
        <v>1990841.6529079294</v>
      </c>
      <c r="Q65" s="38">
        <f t="shared" si="8"/>
        <v>26317504.621690746</v>
      </c>
      <c r="R65" s="39">
        <f t="shared" si="16"/>
        <v>2631320.6969915694</v>
      </c>
      <c r="S65" s="34">
        <f t="shared" si="17"/>
        <v>23681886.272924121</v>
      </c>
      <c r="T65" s="40">
        <v>10286161735</v>
      </c>
      <c r="U65" s="272">
        <f t="shared" si="9"/>
        <v>2.145751974709861E-6</v>
      </c>
      <c r="V65" s="282">
        <f t="shared" si="10"/>
        <v>89.413310659038814</v>
      </c>
      <c r="W65" s="283">
        <f>((S65+'Malawi-only'!S65)/(T65*(U65+'Malawi-only'!U65))/12)</f>
        <v>5.9250327109713625</v>
      </c>
      <c r="X65" s="284">
        <f>(R65+'Malawi-only'!R65)</f>
        <v>1954343577.0858476</v>
      </c>
      <c r="Y65" s="284">
        <f>(L65+'Malawi-only'!L65)</f>
        <v>67363223625.263168</v>
      </c>
      <c r="Z65" s="284">
        <f>(Q65+'Malawi-only'!Q65)</f>
        <v>3929742017.3994026</v>
      </c>
    </row>
    <row r="66" spans="1:26" ht="15.75" customHeight="1">
      <c r="A66" s="31" t="s">
        <v>99</v>
      </c>
      <c r="B66" s="32">
        <v>2082</v>
      </c>
      <c r="C66" s="334">
        <f t="shared" si="11"/>
        <v>1.978218054123653E-7</v>
      </c>
      <c r="D66" s="334">
        <f t="shared" si="20"/>
        <v>1.978218054123653E-7</v>
      </c>
      <c r="E66" s="34">
        <f t="shared" si="1"/>
        <v>0</v>
      </c>
      <c r="F66" s="42">
        <v>4000</v>
      </c>
      <c r="G66" s="34">
        <f t="shared" si="2"/>
        <v>791287.22164946119</v>
      </c>
      <c r="H66" s="34">
        <f t="shared" si="3"/>
        <v>787330.78554121393</v>
      </c>
      <c r="I66" s="35">
        <f t="shared" si="21"/>
        <v>1</v>
      </c>
      <c r="J66" s="36">
        <f t="shared" si="4"/>
        <v>787330.78554121393</v>
      </c>
      <c r="K66" s="34">
        <f t="shared" si="14"/>
        <v>450691801.91973853</v>
      </c>
      <c r="L66" s="37">
        <f t="shared" si="22"/>
        <v>453989080.87637395</v>
      </c>
      <c r="M66" s="34">
        <f t="shared" si="5"/>
        <v>28601312.095211558</v>
      </c>
      <c r="N66" s="34">
        <f t="shared" si="6"/>
        <v>0</v>
      </c>
      <c r="O66" s="34">
        <f t="shared" si="7"/>
        <v>28601312.095211558</v>
      </c>
      <c r="P66" s="34">
        <f>O66*7.5%</f>
        <v>2145098.4071408669</v>
      </c>
      <c r="Q66" s="38">
        <f t="shared" si="8"/>
        <v>26323932.619630337</v>
      </c>
      <c r="R66" s="39">
        <f t="shared" si="16"/>
        <v>2631750.4621690749</v>
      </c>
      <c r="S66" s="34">
        <f t="shared" si="17"/>
        <v>23685754.159521673</v>
      </c>
      <c r="T66" s="40">
        <v>10288205050</v>
      </c>
      <c r="U66" s="272">
        <f t="shared" si="9"/>
        <v>2.145751974709861E-6</v>
      </c>
      <c r="V66" s="282">
        <f t="shared" si="10"/>
        <v>89.410153191326515</v>
      </c>
      <c r="W66" s="283">
        <f>((S66+'Malawi-only'!S66)/(T66*(U66+'Malawi-only'!U66))/12)</f>
        <v>5.9253623857621767</v>
      </c>
      <c r="X66" s="284">
        <f>(R66+'Malawi-only'!R66)</f>
        <v>1954842479.8066168</v>
      </c>
      <c r="Y66" s="284">
        <f>(L66+'Malawi-only'!L66)</f>
        <v>67751177667.716675</v>
      </c>
      <c r="Z66" s="284">
        <f>(Q66+'Malawi-only'!Q66)</f>
        <v>3930745391.3085256</v>
      </c>
    </row>
    <row r="67" spans="1:26" ht="15.75" customHeight="1">
      <c r="A67" s="31" t="s">
        <v>100</v>
      </c>
      <c r="B67" s="32">
        <v>2083</v>
      </c>
      <c r="C67" s="334">
        <f t="shared" si="11"/>
        <v>1.7803962487112877E-7</v>
      </c>
      <c r="D67" s="334">
        <f t="shared" si="20"/>
        <v>1.7803962487112877E-7</v>
      </c>
      <c r="E67" s="34">
        <f t="shared" si="1"/>
        <v>0</v>
      </c>
      <c r="F67" s="42">
        <v>4000</v>
      </c>
      <c r="G67" s="34">
        <f t="shared" si="2"/>
        <v>712158.49948451517</v>
      </c>
      <c r="H67" s="34">
        <f t="shared" si="3"/>
        <v>708597.70698709262</v>
      </c>
      <c r="I67" s="35">
        <f t="shared" si="21"/>
        <v>1</v>
      </c>
      <c r="J67" s="36">
        <f t="shared" si="4"/>
        <v>708597.70698709262</v>
      </c>
      <c r="K67" s="34">
        <f t="shared" si="14"/>
        <v>451400399.62672561</v>
      </c>
      <c r="L67" s="37">
        <f t="shared" si="22"/>
        <v>456614355.60200667</v>
      </c>
      <c r="M67" s="34">
        <f t="shared" si="5"/>
        <v>28766704.402926419</v>
      </c>
      <c r="N67" s="34">
        <f t="shared" si="6"/>
        <v>0</v>
      </c>
      <c r="O67" s="34">
        <f t="shared" si="7"/>
        <v>28766704.402926419</v>
      </c>
      <c r="P67" s="34">
        <f>O67*8%</f>
        <v>2301336.3522341135</v>
      </c>
      <c r="Q67" s="38">
        <f t="shared" si="8"/>
        <v>26333041.210438844</v>
      </c>
      <c r="R67" s="39">
        <f t="shared" si="16"/>
        <v>2632393.261963034</v>
      </c>
      <c r="S67" s="34">
        <f t="shared" si="17"/>
        <v>23691539.357667305</v>
      </c>
      <c r="T67" s="40">
        <v>10289247323</v>
      </c>
      <c r="U67" s="272">
        <f t="shared" si="9"/>
        <v>2.145751974709861E-6</v>
      </c>
      <c r="V67" s="282">
        <f t="shared" si="10"/>
        <v>89.422932223160828</v>
      </c>
      <c r="W67" s="283">
        <f>((S67+'Malawi-only'!S67)/(T67*(U67+'Malawi-only'!U67))/12)</f>
        <v>5.9266721821205612</v>
      </c>
      <c r="X67" s="284">
        <f>(R67+'Malawi-only'!R67)</f>
        <v>1955474325.1688404</v>
      </c>
      <c r="Y67" s="284">
        <f>(L67+'Malawi-only'!L67)</f>
        <v>68149512363.896263</v>
      </c>
      <c r="Z67" s="284">
        <f>(Q67+'Malawi-only'!Q67)</f>
        <v>3932016905.0241933</v>
      </c>
    </row>
    <row r="68" spans="1:26" ht="15.75" customHeight="1">
      <c r="A68" s="31" t="s">
        <v>101</v>
      </c>
      <c r="B68" s="32">
        <v>2084</v>
      </c>
      <c r="C68" s="334">
        <f t="shared" si="11"/>
        <v>1.6023566238401588E-7</v>
      </c>
      <c r="D68" s="334">
        <f t="shared" si="20"/>
        <v>1.6023566238401588E-7</v>
      </c>
      <c r="E68" s="34">
        <f t="shared" si="1"/>
        <v>0</v>
      </c>
      <c r="F68" s="42">
        <v>4000</v>
      </c>
      <c r="G68" s="34">
        <f t="shared" si="2"/>
        <v>640942.64953606355</v>
      </c>
      <c r="H68" s="34">
        <f t="shared" si="3"/>
        <v>637737.93628838321</v>
      </c>
      <c r="I68" s="35">
        <f t="shared" si="21"/>
        <v>1</v>
      </c>
      <c r="J68" s="36">
        <f t="shared" si="4"/>
        <v>637737.93628838321</v>
      </c>
      <c r="K68" s="34">
        <f t="shared" si="14"/>
        <v>452038137.56301397</v>
      </c>
      <c r="L68" s="37">
        <f t="shared" si="22"/>
        <v>459323653.1755839</v>
      </c>
      <c r="M68" s="34">
        <f t="shared" si="5"/>
        <v>28937390.150061786</v>
      </c>
      <c r="N68" s="34">
        <f t="shared" si="6"/>
        <v>0</v>
      </c>
      <c r="O68" s="34">
        <f t="shared" si="7"/>
        <v>28937390.150061786</v>
      </c>
      <c r="P68" s="34">
        <f>O68*8.5%</f>
        <v>2459678.1627552519</v>
      </c>
      <c r="Q68" s="38">
        <f t="shared" si="8"/>
        <v>26345323.427370001</v>
      </c>
      <c r="R68" s="39">
        <f t="shared" si="16"/>
        <v>2633304.1210438847</v>
      </c>
      <c r="S68" s="34">
        <f t="shared" si="17"/>
        <v>23699737.089394961</v>
      </c>
      <c r="T68" s="40">
        <v>10289315244</v>
      </c>
      <c r="U68" s="272">
        <f t="shared" si="9"/>
        <v>2.145751974709861E-6</v>
      </c>
      <c r="V68" s="282">
        <f t="shared" si="10"/>
        <v>89.453283794886929</v>
      </c>
      <c r="W68" s="283">
        <f>((S68+'Malawi-only'!S68)/(T68*(U68+'Malawi-only'!U68))/12)</f>
        <v>5.9290776971801575</v>
      </c>
      <c r="X68" s="284">
        <f>(R68+'Malawi-only'!R68)</f>
        <v>1956282325.534725</v>
      </c>
      <c r="Y68" s="284">
        <f>(L68+'Malawi-only'!L68)</f>
        <v>68559752289.461227</v>
      </c>
      <c r="Z68" s="284">
        <f>(Q68+'Malawi-only'!Q68)</f>
        <v>3933643366.2547321</v>
      </c>
    </row>
    <row r="69" spans="1:26" ht="15.75" customHeight="1">
      <c r="A69" s="31" t="s">
        <v>102</v>
      </c>
      <c r="B69" s="32">
        <v>2085</v>
      </c>
      <c r="C69" s="334">
        <f t="shared" si="11"/>
        <v>1.4421209614561431E-7</v>
      </c>
      <c r="D69" s="334">
        <f t="shared" si="20"/>
        <v>1.4421209614561431E-7</v>
      </c>
      <c r="E69" s="34">
        <f t="shared" si="1"/>
        <v>0</v>
      </c>
      <c r="F69" s="42">
        <v>4000</v>
      </c>
      <c r="G69" s="34">
        <f t="shared" si="2"/>
        <v>576848.38458245725</v>
      </c>
      <c r="H69" s="34">
        <f t="shared" si="3"/>
        <v>573964.14265954494</v>
      </c>
      <c r="I69" s="35">
        <f t="shared" si="21"/>
        <v>1</v>
      </c>
      <c r="J69" s="36">
        <f t="shared" si="4"/>
        <v>573964.14265954494</v>
      </c>
      <c r="K69" s="34">
        <f t="shared" si="14"/>
        <v>452612101.70567352</v>
      </c>
      <c r="L69" s="37">
        <f t="shared" si="22"/>
        <v>462126116.83325821</v>
      </c>
      <c r="M69" s="34">
        <f t="shared" si="5"/>
        <v>29113945.360495269</v>
      </c>
      <c r="N69" s="34">
        <f t="shared" si="6"/>
        <v>0</v>
      </c>
      <c r="O69" s="34">
        <f t="shared" si="7"/>
        <v>29113945.360495269</v>
      </c>
      <c r="P69" s="34">
        <f>O69*9%</f>
        <v>2620255.0824445742</v>
      </c>
      <c r="Q69" s="38">
        <f t="shared" si="8"/>
        <v>26361221.826660439</v>
      </c>
      <c r="R69" s="39">
        <f t="shared" si="16"/>
        <v>2634532.3427370004</v>
      </c>
      <c r="S69" s="34">
        <f t="shared" si="17"/>
        <v>23710791.084633</v>
      </c>
      <c r="T69" s="40">
        <v>10288456599</v>
      </c>
      <c r="U69" s="272">
        <f t="shared" si="9"/>
        <v>2.145751974709861E-6</v>
      </c>
      <c r="V69" s="282">
        <f t="shared" si="10"/>
        <v>89.502475454991838</v>
      </c>
      <c r="W69" s="283">
        <f>((S69+'Malawi-only'!S69)/(T69*(U69+'Malawi-only'!U69))/12)</f>
        <v>5.932669125467755</v>
      </c>
      <c r="X69" s="284">
        <f>(R69+'Malawi-only'!R69)</f>
        <v>1957305131.8893144</v>
      </c>
      <c r="Y69" s="284">
        <f>(L69+'Malawi-only'!L69)</f>
        <v>68983313929.591782</v>
      </c>
      <c r="Z69" s="284">
        <f>(Q69+'Malawi-only'!Q69)</f>
        <v>3935702420.9198155</v>
      </c>
    </row>
    <row r="70" spans="1:26" ht="15.75" customHeight="1">
      <c r="A70" s="31" t="s">
        <v>103</v>
      </c>
      <c r="B70" s="32">
        <v>2086</v>
      </c>
      <c r="C70" s="334">
        <f t="shared" si="11"/>
        <v>1.2979088653105288E-7</v>
      </c>
      <c r="D70" s="334">
        <f t="shared" si="20"/>
        <v>1.2979088653105288E-7</v>
      </c>
      <c r="E70" s="34">
        <f t="shared" si="1"/>
        <v>0</v>
      </c>
      <c r="F70" s="42">
        <v>4000</v>
      </c>
      <c r="G70" s="34">
        <f t="shared" si="2"/>
        <v>519163.54612421151</v>
      </c>
      <c r="H70" s="34">
        <f t="shared" si="3"/>
        <v>516567.72839359043</v>
      </c>
      <c r="I70" s="35">
        <f t="shared" si="21"/>
        <v>1</v>
      </c>
      <c r="J70" s="36">
        <f t="shared" si="4"/>
        <v>516567.72839359043</v>
      </c>
      <c r="K70" s="34">
        <f t="shared" si="14"/>
        <v>453128669.43406713</v>
      </c>
      <c r="L70" s="37">
        <f t="shared" si="22"/>
        <v>465030308.17427433</v>
      </c>
      <c r="M70" s="34">
        <f t="shared" si="5"/>
        <v>29296909.414979283</v>
      </c>
      <c r="N70" s="34">
        <f t="shared" si="6"/>
        <v>0</v>
      </c>
      <c r="O70" s="34">
        <f t="shared" si="7"/>
        <v>29296909.414979283</v>
      </c>
      <c r="P70" s="34">
        <f>O70*9.5%</f>
        <v>2783206.3944230317</v>
      </c>
      <c r="Q70" s="38">
        <f t="shared" si="8"/>
        <v>26381134.505453471</v>
      </c>
      <c r="R70" s="39">
        <f t="shared" si="16"/>
        <v>2636122.1826660442</v>
      </c>
      <c r="S70" s="34">
        <f t="shared" si="17"/>
        <v>23725099.643994395</v>
      </c>
      <c r="T70" s="40">
        <v>10286708360</v>
      </c>
      <c r="U70" s="272">
        <f t="shared" si="9"/>
        <v>2.145751974709861E-6</v>
      </c>
      <c r="V70" s="282">
        <f t="shared" si="10"/>
        <v>89.571707027465379</v>
      </c>
      <c r="W70" s="283">
        <f>((S70+'Malawi-only'!S70)/(T70*(U70+'Malawi-only'!U70))/12)</f>
        <v>5.9375313026503527</v>
      </c>
      <c r="X70" s="284">
        <f>(R70+'Malawi-only'!R70)</f>
        <v>1958577368.2661569</v>
      </c>
      <c r="Y70" s="284">
        <f>(L70+'Malawi-only'!L70)</f>
        <v>69421519568.046371</v>
      </c>
      <c r="Z70" s="284">
        <f>(Q70+'Malawi-only'!Q70)</f>
        <v>3938263626.6724353</v>
      </c>
    </row>
    <row r="71" spans="1:26" ht="15.75" customHeight="1">
      <c r="A71" s="31" t="s">
        <v>104</v>
      </c>
      <c r="B71" s="32">
        <v>2087</v>
      </c>
      <c r="C71" s="334">
        <f t="shared" si="11"/>
        <v>1.1681179787794759E-7</v>
      </c>
      <c r="D71" s="334">
        <f t="shared" si="20"/>
        <v>1.1681179787794759E-7</v>
      </c>
      <c r="E71" s="34">
        <f t="shared" si="1"/>
        <v>0</v>
      </c>
      <c r="F71" s="42">
        <v>4000</v>
      </c>
      <c r="G71" s="34">
        <f t="shared" si="2"/>
        <v>467247.19151179038</v>
      </c>
      <c r="H71" s="34">
        <f t="shared" si="3"/>
        <v>464910.95555423142</v>
      </c>
      <c r="I71" s="35">
        <f t="shared" si="21"/>
        <v>1</v>
      </c>
      <c r="J71" s="36">
        <f t="shared" si="4"/>
        <v>464910.95555423142</v>
      </c>
      <c r="K71" s="34">
        <f t="shared" si="14"/>
        <v>453593580.38962138</v>
      </c>
      <c r="L71" s="37">
        <f t="shared" si="22"/>
        <v>468044286.31148946</v>
      </c>
      <c r="M71" s="34">
        <f t="shared" si="5"/>
        <v>29486790.037623838</v>
      </c>
      <c r="N71" s="34">
        <f t="shared" si="6"/>
        <v>0</v>
      </c>
      <c r="O71" s="34">
        <f t="shared" si="7"/>
        <v>29486790.037623838</v>
      </c>
      <c r="P71" s="34">
        <f t="shared" ref="P71:P86" si="23">O71*$P$5</f>
        <v>2948679.0037623839</v>
      </c>
      <c r="Q71" s="38">
        <f t="shared" si="8"/>
        <v>26405420.478692148</v>
      </c>
      <c r="R71" s="39">
        <f t="shared" si="16"/>
        <v>2638113.4505453473</v>
      </c>
      <c r="S71" s="34">
        <f t="shared" si="17"/>
        <v>23743021.054908123</v>
      </c>
      <c r="T71" s="40">
        <v>10284111374</v>
      </c>
      <c r="U71" s="272">
        <f t="shared" si="9"/>
        <v>2.145751974709861E-6</v>
      </c>
      <c r="V71" s="282">
        <f t="shared" si="10"/>
        <v>89.662003597290607</v>
      </c>
      <c r="W71" s="283">
        <f>((S71+'Malawi-only'!S71)/(T71*(U71+'Malawi-only'!U71))/12)</f>
        <v>5.9437367096401132</v>
      </c>
      <c r="X71" s="284">
        <f>(R71+'Malawi-only'!R71)</f>
        <v>1960130108.8417759</v>
      </c>
      <c r="Y71" s="284">
        <f>(L71+'Malawi-only'!L71)</f>
        <v>69875609821.362595</v>
      </c>
      <c r="Z71" s="284">
        <f>(Q71+'Malawi-only'!Q71)</f>
        <v>3941389411.2611532</v>
      </c>
    </row>
    <row r="72" spans="1:26" ht="15.75" customHeight="1">
      <c r="A72" s="31" t="s">
        <v>105</v>
      </c>
      <c r="B72" s="32">
        <v>2088</v>
      </c>
      <c r="C72" s="334">
        <f t="shared" si="11"/>
        <v>1.0513061809015283E-7</v>
      </c>
      <c r="D72" s="334">
        <f t="shared" si="20"/>
        <v>1.0513061809015283E-7</v>
      </c>
      <c r="E72" s="34">
        <f t="shared" si="1"/>
        <v>0</v>
      </c>
      <c r="F72" s="42">
        <v>4000</v>
      </c>
      <c r="G72" s="34">
        <f t="shared" si="2"/>
        <v>420522.47236061137</v>
      </c>
      <c r="H72" s="34">
        <f t="shared" si="3"/>
        <v>418419.8599988083</v>
      </c>
      <c r="I72" s="35">
        <f t="shared" si="21"/>
        <v>1</v>
      </c>
      <c r="J72" s="36">
        <f t="shared" si="4"/>
        <v>418419.8599988083</v>
      </c>
      <c r="K72" s="34">
        <f t="shared" si="14"/>
        <v>454012000.2496202</v>
      </c>
      <c r="L72" s="37">
        <f t="shared" si="22"/>
        <v>471175679.48266304</v>
      </c>
      <c r="M72" s="34">
        <f t="shared" si="5"/>
        <v>29684067.80740777</v>
      </c>
      <c r="N72" s="34">
        <f t="shared" si="6"/>
        <v>0</v>
      </c>
      <c r="O72" s="34">
        <f t="shared" si="7"/>
        <v>29684067.80740777</v>
      </c>
      <c r="P72" s="34">
        <f t="shared" si="23"/>
        <v>2968406.780740777</v>
      </c>
      <c r="Q72" s="38">
        <f t="shared" si="8"/>
        <v>26582082.721533656</v>
      </c>
      <c r="R72" s="39">
        <f t="shared" si="16"/>
        <v>2640542.0478692148</v>
      </c>
      <c r="S72" s="34">
        <f t="shared" si="17"/>
        <v>23764878.430822931</v>
      </c>
      <c r="T72" s="40">
        <v>10280704572</v>
      </c>
      <c r="U72" s="272">
        <f t="shared" si="9"/>
        <v>2.145751974709861E-6</v>
      </c>
      <c r="V72" s="282">
        <f t="shared" si="10"/>
        <v>89.774284132351951</v>
      </c>
      <c r="W72" s="283">
        <f>((S72+'Malawi-only'!S72)/(T72*(U72+'Malawi-only'!U72))/12)</f>
        <v>5.984199443727384</v>
      </c>
      <c r="X72" s="284">
        <f>(R72+'Malawi-only'!R72)</f>
        <v>1972937397.5393019</v>
      </c>
      <c r="Y72" s="284">
        <f>(L72+'Malawi-only'!L72)</f>
        <v>70346754963.055679</v>
      </c>
      <c r="Z72" s="284">
        <f>(Q72+'Malawi-only'!Q72)</f>
        <v>3967175793.7043991</v>
      </c>
    </row>
    <row r="73" spans="1:26" ht="15.75" customHeight="1">
      <c r="A73" s="31" t="s">
        <v>106</v>
      </c>
      <c r="B73" s="32">
        <v>2089</v>
      </c>
      <c r="C73" s="334">
        <f t="shared" si="11"/>
        <v>9.4617556281137552E-8</v>
      </c>
      <c r="D73" s="334">
        <f t="shared" si="20"/>
        <v>9.4617556281137552E-8</v>
      </c>
      <c r="E73" s="34">
        <f t="shared" si="1"/>
        <v>0</v>
      </c>
      <c r="F73" s="42">
        <v>4000</v>
      </c>
      <c r="G73" s="34">
        <f t="shared" si="2"/>
        <v>378470.22512455017</v>
      </c>
      <c r="H73" s="34">
        <f t="shared" si="3"/>
        <v>376577.87399892742</v>
      </c>
      <c r="I73" s="35">
        <f t="shared" si="21"/>
        <v>1</v>
      </c>
      <c r="J73" s="36">
        <f t="shared" si="4"/>
        <v>376577.87399892742</v>
      </c>
      <c r="K73" s="34">
        <f t="shared" si="14"/>
        <v>454388578.12361914</v>
      </c>
      <c r="L73" s="37">
        <f t="shared" si="22"/>
        <v>474283403.80533409</v>
      </c>
      <c r="M73" s="34">
        <f t="shared" si="5"/>
        <v>29879854.43973605</v>
      </c>
      <c r="N73" s="34">
        <f t="shared" si="6"/>
        <v>0</v>
      </c>
      <c r="O73" s="34">
        <f t="shared" si="7"/>
        <v>29879854.43973605</v>
      </c>
      <c r="P73" s="34">
        <f t="shared" si="23"/>
        <v>2987985.4439736051</v>
      </c>
      <c r="Q73" s="38">
        <f t="shared" si="8"/>
        <v>26757409.650783632</v>
      </c>
      <c r="R73" s="39">
        <f t="shared" si="16"/>
        <v>2658208.2721533659</v>
      </c>
      <c r="S73" s="34">
        <f t="shared" si="17"/>
        <v>23923874.44938029</v>
      </c>
      <c r="T73" s="40">
        <v>10276518280</v>
      </c>
      <c r="U73" s="272">
        <f t="shared" si="9"/>
        <v>2.145751974709861E-6</v>
      </c>
      <c r="V73" s="282">
        <f t="shared" si="10"/>
        <v>90.411723581052499</v>
      </c>
      <c r="W73" s="283">
        <f>((S73+'Malawi-only'!S73)/(T73*(U73+'Malawi-only'!U73))/12)</f>
        <v>6.0270012112658229</v>
      </c>
      <c r="X73" s="284">
        <f>(R73+'Malawi-only'!R73)</f>
        <v>1986240733.8476899</v>
      </c>
      <c r="Y73" s="284">
        <f>(L73+'Malawi-only'!L73)</f>
        <v>70813925624.553558</v>
      </c>
      <c r="Z73" s="284">
        <f>(Q73+'Malawi-only'!Q73)</f>
        <v>3993922460.8018565</v>
      </c>
    </row>
    <row r="74" spans="1:26" ht="15.75" customHeight="1">
      <c r="A74" s="31" t="s">
        <v>107</v>
      </c>
      <c r="B74" s="32">
        <v>2090</v>
      </c>
      <c r="C74" s="334">
        <f t="shared" si="11"/>
        <v>8.5155800653023797E-8</v>
      </c>
      <c r="D74" s="334">
        <f t="shared" si="20"/>
        <v>8.5155800653023797E-8</v>
      </c>
      <c r="E74" s="34">
        <f t="shared" si="1"/>
        <v>0</v>
      </c>
      <c r="F74" s="42">
        <v>4000</v>
      </c>
      <c r="G74" s="34">
        <f t="shared" si="2"/>
        <v>340623.20261209522</v>
      </c>
      <c r="H74" s="34">
        <f t="shared" si="3"/>
        <v>338920.08659903472</v>
      </c>
      <c r="I74" s="35">
        <f t="shared" si="21"/>
        <v>1</v>
      </c>
      <c r="J74" s="36">
        <f t="shared" si="4"/>
        <v>338920.08659903472</v>
      </c>
      <c r="K74" s="34">
        <f t="shared" si="14"/>
        <v>454727498.21021819</v>
      </c>
      <c r="L74" s="37">
        <f t="shared" si="22"/>
        <v>477371504.18123883</v>
      </c>
      <c r="M74" s="34">
        <f t="shared" si="5"/>
        <v>30074404.763418045</v>
      </c>
      <c r="N74" s="34">
        <f t="shared" si="6"/>
        <v>0</v>
      </c>
      <c r="O74" s="34">
        <f t="shared" si="7"/>
        <v>30074404.763418045</v>
      </c>
      <c r="P74" s="34">
        <f t="shared" si="23"/>
        <v>3007440.4763418045</v>
      </c>
      <c r="Q74" s="38">
        <f t="shared" si="8"/>
        <v>26931629.465640862</v>
      </c>
      <c r="R74" s="39">
        <f t="shared" si="16"/>
        <v>2675740.9650783632</v>
      </c>
      <c r="S74" s="34">
        <f t="shared" si="17"/>
        <v>24081668.685705267</v>
      </c>
      <c r="T74" s="40">
        <v>10271565070</v>
      </c>
      <c r="U74" s="272">
        <f t="shared" si="9"/>
        <v>2.145751974709861E-6</v>
      </c>
      <c r="V74" s="282">
        <f t="shared" si="10"/>
        <v>91.051936836169318</v>
      </c>
      <c r="W74" s="283">
        <f>((S74+'Malawi-only'!S74)/(T74*(U74+'Malawi-only'!U74))/12)</f>
        <v>6.0699505826319706</v>
      </c>
      <c r="X74" s="284">
        <f>(R74+'Malawi-only'!R74)</f>
        <v>1999431783.5602355</v>
      </c>
      <c r="Y74" s="284">
        <f>(L74+'Malawi-only'!L74)</f>
        <v>71277892675.867401</v>
      </c>
      <c r="Z74" s="284">
        <f>(Q74+'Malawi-only'!Q74)</f>
        <v>4020443714.6559553</v>
      </c>
    </row>
    <row r="75" spans="1:26" ht="15.75" customHeight="1">
      <c r="A75" s="31" t="s">
        <v>108</v>
      </c>
      <c r="B75" s="32">
        <v>2091</v>
      </c>
      <c r="C75" s="334">
        <f t="shared" si="11"/>
        <v>7.6640220587721415E-8</v>
      </c>
      <c r="D75" s="334">
        <f t="shared" si="20"/>
        <v>7.6640220587721415E-8</v>
      </c>
      <c r="E75" s="34">
        <f t="shared" si="1"/>
        <v>0</v>
      </c>
      <c r="F75" s="42">
        <v>4000</v>
      </c>
      <c r="G75" s="34">
        <f t="shared" si="2"/>
        <v>306560.88235088566</v>
      </c>
      <c r="H75" s="34">
        <f t="shared" si="3"/>
        <v>305028.07793913124</v>
      </c>
      <c r="I75" s="35">
        <f t="shared" si="21"/>
        <v>1</v>
      </c>
      <c r="J75" s="36">
        <f t="shared" si="4"/>
        <v>305028.07793913124</v>
      </c>
      <c r="K75" s="34">
        <f t="shared" si="14"/>
        <v>455032526.28815734</v>
      </c>
      <c r="L75" s="37">
        <f t="shared" si="22"/>
        <v>480443630.749152</v>
      </c>
      <c r="M75" s="34">
        <f t="shared" si="5"/>
        <v>30267948.737196576</v>
      </c>
      <c r="N75" s="34">
        <f t="shared" si="6"/>
        <v>0</v>
      </c>
      <c r="O75" s="34">
        <f t="shared" si="7"/>
        <v>30267948.737196576</v>
      </c>
      <c r="P75" s="34">
        <f t="shared" si="23"/>
        <v>3026794.8737196578</v>
      </c>
      <c r="Q75" s="38">
        <f t="shared" si="8"/>
        <v>27104948.094159532</v>
      </c>
      <c r="R75" s="39">
        <f t="shared" si="16"/>
        <v>2693162.9465640862</v>
      </c>
      <c r="S75" s="34">
        <f t="shared" si="17"/>
        <v>24238466.519076776</v>
      </c>
      <c r="T75" s="40">
        <v>10265861714</v>
      </c>
      <c r="U75" s="272">
        <f t="shared" si="9"/>
        <v>2.145751974709861E-6</v>
      </c>
      <c r="V75" s="282">
        <f t="shared" si="10"/>
        <v>91.695698550687609</v>
      </c>
      <c r="W75" s="283">
        <f>((S75+'Malawi-only'!S75)/(T75*(U75+'Malawi-only'!U75))/12)</f>
        <v>6.1131134479584022</v>
      </c>
      <c r="X75" s="284">
        <f>(R75+'Malawi-only'!R75)</f>
        <v>2012532337.6296294</v>
      </c>
      <c r="Y75" s="284">
        <f>(L75+'Malawi-only'!L75)</f>
        <v>71739228091.34227</v>
      </c>
      <c r="Z75" s="284">
        <f>(Q75+'Malawi-only'!Q75)</f>
        <v>4046783297.46029</v>
      </c>
    </row>
    <row r="76" spans="1:26" ht="15.75" customHeight="1">
      <c r="A76" s="31" t="s">
        <v>109</v>
      </c>
      <c r="B76" s="32">
        <v>2092</v>
      </c>
      <c r="C76" s="334">
        <f t="shared" si="11"/>
        <v>6.897619852894927E-8</v>
      </c>
      <c r="D76" s="334">
        <f t="shared" si="20"/>
        <v>6.897619852894927E-8</v>
      </c>
      <c r="E76" s="34">
        <f t="shared" si="1"/>
        <v>0</v>
      </c>
      <c r="F76" s="42">
        <v>4000</v>
      </c>
      <c r="G76" s="34">
        <f t="shared" si="2"/>
        <v>275904.79411579709</v>
      </c>
      <c r="H76" s="34">
        <f t="shared" si="3"/>
        <v>274525.27014521812</v>
      </c>
      <c r="I76" s="35">
        <f t="shared" si="21"/>
        <v>1</v>
      </c>
      <c r="J76" s="36">
        <f t="shared" si="4"/>
        <v>274525.27014521812</v>
      </c>
      <c r="K76" s="34">
        <f t="shared" si="14"/>
        <v>455307051.55830258</v>
      </c>
      <c r="L76" s="37">
        <f t="shared" si="22"/>
        <v>483503078.41757041</v>
      </c>
      <c r="M76" s="34">
        <f t="shared" si="5"/>
        <v>30460693.940306935</v>
      </c>
      <c r="N76" s="34">
        <f t="shared" si="6"/>
        <v>0</v>
      </c>
      <c r="O76" s="34">
        <f t="shared" si="7"/>
        <v>30460693.940306935</v>
      </c>
      <c r="P76" s="34">
        <f t="shared" si="23"/>
        <v>3046069.3940306939</v>
      </c>
      <c r="Q76" s="38">
        <f t="shared" si="8"/>
        <v>27277551.423544861</v>
      </c>
      <c r="R76" s="39">
        <f t="shared" si="16"/>
        <v>2710494.8094159532</v>
      </c>
      <c r="S76" s="34">
        <f t="shared" si="17"/>
        <v>24394453.284743577</v>
      </c>
      <c r="T76" s="40">
        <v>10259408375</v>
      </c>
      <c r="U76" s="272">
        <f t="shared" si="9"/>
        <v>2.145751974709861E-6</v>
      </c>
      <c r="V76" s="282">
        <f t="shared" si="10"/>
        <v>92.343855963187707</v>
      </c>
      <c r="W76" s="283">
        <f>((S76+'Malawi-only'!S76)/(T76*(U76+'Malawi-only'!U76))/12)</f>
        <v>6.1565486072131579</v>
      </c>
      <c r="X76" s="284">
        <f>(R76+'Malawi-only'!R76)</f>
        <v>2025558549.8668342</v>
      </c>
      <c r="Y76" s="284">
        <f>(L76+'Malawi-only'!L76)</f>
        <v>72198448888.387955</v>
      </c>
      <c r="Z76" s="284">
        <f>(Q76+'Malawi-only'!Q76)</f>
        <v>4072973661.5383811</v>
      </c>
    </row>
    <row r="77" spans="1:26" ht="15.75" customHeight="1">
      <c r="A77" s="31" t="s">
        <v>110</v>
      </c>
      <c r="B77" s="32">
        <v>2093</v>
      </c>
      <c r="C77" s="334">
        <f t="shared" si="11"/>
        <v>6.2078578676054345E-8</v>
      </c>
      <c r="D77" s="334">
        <f t="shared" si="20"/>
        <v>6.2078578676054345E-8</v>
      </c>
      <c r="E77" s="34">
        <f t="shared" si="1"/>
        <v>0</v>
      </c>
      <c r="F77" s="42">
        <v>4000</v>
      </c>
      <c r="G77" s="34">
        <f t="shared" si="2"/>
        <v>248314.3147042174</v>
      </c>
      <c r="H77" s="34">
        <f t="shared" si="3"/>
        <v>247072.7431306963</v>
      </c>
      <c r="I77" s="35">
        <f t="shared" si="21"/>
        <v>1</v>
      </c>
      <c r="J77" s="36">
        <f t="shared" si="4"/>
        <v>247072.7431306963</v>
      </c>
      <c r="K77" s="34">
        <f t="shared" si="14"/>
        <v>455554124.30143327</v>
      </c>
      <c r="L77" s="37">
        <f t="shared" si="22"/>
        <v>486552822.44445443</v>
      </c>
      <c r="M77" s="34">
        <f t="shared" si="5"/>
        <v>30652827.814000629</v>
      </c>
      <c r="N77" s="34">
        <f t="shared" si="6"/>
        <v>0</v>
      </c>
      <c r="O77" s="34">
        <f t="shared" si="7"/>
        <v>30652827.814000629</v>
      </c>
      <c r="P77" s="34">
        <f t="shared" si="23"/>
        <v>3065282.7814000631</v>
      </c>
      <c r="Q77" s="38">
        <f t="shared" si="8"/>
        <v>27449607.307437565</v>
      </c>
      <c r="R77" s="39">
        <f t="shared" si="16"/>
        <v>2727755.1423544865</v>
      </c>
      <c r="S77" s="34">
        <f t="shared" si="17"/>
        <v>24549796.281190373</v>
      </c>
      <c r="T77" s="40">
        <v>10252184759</v>
      </c>
      <c r="U77" s="272">
        <f t="shared" si="9"/>
        <v>2.145751974709861E-6</v>
      </c>
      <c r="V77" s="282">
        <f t="shared" si="10"/>
        <v>92.997377449302974</v>
      </c>
      <c r="W77" s="283">
        <f>((S77+'Malawi-only'!S77)/(T77*(U77+'Malawi-only'!U77))/12)</f>
        <v>6.2003227697741332</v>
      </c>
      <c r="X77" s="284">
        <f>(R77+'Malawi-only'!R77)</f>
        <v>2038525022.0810173</v>
      </c>
      <c r="Y77" s="284">
        <f>(L77+'Malawi-only'!L77)</f>
        <v>72656021850.171341</v>
      </c>
      <c r="Z77" s="284">
        <f>(Q77+'Malawi-only'!Q77)</f>
        <v>4099044141.184763</v>
      </c>
    </row>
    <row r="78" spans="1:26" ht="15.75" customHeight="1">
      <c r="A78" s="31" t="s">
        <v>111</v>
      </c>
      <c r="B78" s="32">
        <v>2094</v>
      </c>
      <c r="C78" s="334">
        <f t="shared" si="11"/>
        <v>5.587072080844891E-8</v>
      </c>
      <c r="D78" s="334">
        <f t="shared" si="20"/>
        <v>5.587072080844891E-8</v>
      </c>
      <c r="E78" s="34">
        <f t="shared" si="1"/>
        <v>0</v>
      </c>
      <c r="F78" s="42">
        <v>4000</v>
      </c>
      <c r="G78" s="34">
        <f t="shared" si="2"/>
        <v>223482.88323379564</v>
      </c>
      <c r="H78" s="34">
        <f t="shared" si="3"/>
        <v>222365.46881762665</v>
      </c>
      <c r="I78" s="35">
        <f t="shared" si="21"/>
        <v>1</v>
      </c>
      <c r="J78" s="36">
        <f t="shared" si="4"/>
        <v>222365.46881762665</v>
      </c>
      <c r="K78" s="34">
        <f t="shared" si="14"/>
        <v>455776489.77025092</v>
      </c>
      <c r="L78" s="37">
        <f t="shared" si="22"/>
        <v>489595550.45932484</v>
      </c>
      <c r="M78" s="34">
        <f t="shared" si="5"/>
        <v>30844519.678937465</v>
      </c>
      <c r="N78" s="34">
        <f t="shared" si="6"/>
        <v>0</v>
      </c>
      <c r="O78" s="34">
        <f t="shared" si="7"/>
        <v>30844519.678937465</v>
      </c>
      <c r="P78" s="34">
        <f t="shared" si="23"/>
        <v>3084451.9678937467</v>
      </c>
      <c r="Q78" s="38">
        <f t="shared" si="8"/>
        <v>27621267.372488499</v>
      </c>
      <c r="R78" s="39">
        <f t="shared" si="16"/>
        <v>2744960.7307437565</v>
      </c>
      <c r="S78" s="34">
        <f t="shared" si="17"/>
        <v>24704646.576693811</v>
      </c>
      <c r="T78" s="40">
        <v>10244185837</v>
      </c>
      <c r="U78" s="272">
        <f t="shared" si="9"/>
        <v>2.145751974709861E-6</v>
      </c>
      <c r="V78" s="282">
        <f t="shared" si="10"/>
        <v>93.657040461809132</v>
      </c>
      <c r="W78" s="283">
        <f>((S78+'Malawi-only'!S78)/(T78*(U78+'Malawi-only'!U78))/12)</f>
        <v>6.244489700561882</v>
      </c>
      <c r="X78" s="284">
        <f>(R78+'Malawi-only'!R78)</f>
        <v>2051444937.3349864</v>
      </c>
      <c r="Y78" s="284">
        <f>(L78+'Malawi-only'!L78)</f>
        <v>73112368562.504593</v>
      </c>
      <c r="Z78" s="284">
        <f>(Q78+'Malawi-only'!Q78)</f>
        <v>4125021220.5809741</v>
      </c>
    </row>
    <row r="79" spans="1:26" ht="15.75" customHeight="1">
      <c r="A79" s="31" t="s">
        <v>112</v>
      </c>
      <c r="B79" s="32">
        <v>2095</v>
      </c>
      <c r="C79" s="334">
        <f t="shared" si="11"/>
        <v>5.0283648727604017E-8</v>
      </c>
      <c r="D79" s="334">
        <f t="shared" si="20"/>
        <v>5.0283648727604017E-8</v>
      </c>
      <c r="E79" s="34">
        <f t="shared" si="1"/>
        <v>0</v>
      </c>
      <c r="F79" s="42">
        <v>4000</v>
      </c>
      <c r="G79" s="34">
        <f t="shared" si="2"/>
        <v>201134.59491041608</v>
      </c>
      <c r="H79" s="34">
        <f t="shared" si="3"/>
        <v>200128.921935864</v>
      </c>
      <c r="I79" s="35">
        <f t="shared" si="21"/>
        <v>1</v>
      </c>
      <c r="J79" s="36">
        <f t="shared" si="4"/>
        <v>200128.921935864</v>
      </c>
      <c r="K79" s="34">
        <f t="shared" si="14"/>
        <v>455976618.69218677</v>
      </c>
      <c r="L79" s="37">
        <f t="shared" si="22"/>
        <v>492633691.28347987</v>
      </c>
      <c r="M79" s="34">
        <f t="shared" si="5"/>
        <v>31035922.550859232</v>
      </c>
      <c r="N79" s="34">
        <f t="shared" si="6"/>
        <v>0</v>
      </c>
      <c r="O79" s="34">
        <f t="shared" si="7"/>
        <v>31035922.550859232</v>
      </c>
      <c r="P79" s="34">
        <f t="shared" si="23"/>
        <v>3103592.2550859232</v>
      </c>
      <c r="Q79" s="38">
        <f t="shared" si="8"/>
        <v>27792668.644294441</v>
      </c>
      <c r="R79" s="39">
        <f t="shared" si="16"/>
        <v>2762126.7372488501</v>
      </c>
      <c r="S79" s="34">
        <f t="shared" si="17"/>
        <v>24859140.63523965</v>
      </c>
      <c r="T79" s="40">
        <v>10235403601</v>
      </c>
      <c r="U79" s="272">
        <f t="shared" si="9"/>
        <v>2.145751974709861E-6</v>
      </c>
      <c r="V79" s="282">
        <f t="shared" si="10"/>
        <v>94.323600887791102</v>
      </c>
      <c r="W79" s="283">
        <f>((S79+'Malawi-only'!S79)/(T79*(U79+'Malawi-only'!U79))/12)</f>
        <v>6.2891015329848914</v>
      </c>
      <c r="X79" s="284">
        <f>(R79+'Malawi-only'!R79)</f>
        <v>2064330202.200732</v>
      </c>
      <c r="Y79" s="284">
        <f>(L79+'Malawi-only'!L79)</f>
        <v>73567869942.139435</v>
      </c>
      <c r="Z79" s="284">
        <f>(Q79+'Malawi-only'!Q79)</f>
        <v>4150928819.5712605</v>
      </c>
    </row>
    <row r="80" spans="1:26" ht="15.75" customHeight="1">
      <c r="A80" s="31" t="s">
        <v>113</v>
      </c>
      <c r="B80" s="32">
        <v>2096</v>
      </c>
      <c r="C80" s="334">
        <f t="shared" si="11"/>
        <v>4.5255283854843615E-8</v>
      </c>
      <c r="D80" s="334">
        <f t="shared" si="20"/>
        <v>4.5255283854843615E-8</v>
      </c>
      <c r="E80" s="34">
        <f t="shared" si="1"/>
        <v>0</v>
      </c>
      <c r="F80" s="42">
        <v>4000</v>
      </c>
      <c r="G80" s="34">
        <f t="shared" si="2"/>
        <v>181021.13541937445</v>
      </c>
      <c r="H80" s="34">
        <f t="shared" si="3"/>
        <v>180116.02974227758</v>
      </c>
      <c r="I80" s="35">
        <f t="shared" si="21"/>
        <v>1</v>
      </c>
      <c r="J80" s="36">
        <f t="shared" si="4"/>
        <v>180116.02974227758</v>
      </c>
      <c r="K80" s="34">
        <f t="shared" si="14"/>
        <v>456156734.72192907</v>
      </c>
      <c r="L80" s="37">
        <f t="shared" si="22"/>
        <v>495669440.86852401</v>
      </c>
      <c r="M80" s="34">
        <f t="shared" si="5"/>
        <v>31227174.774717014</v>
      </c>
      <c r="N80" s="34">
        <f t="shared" si="6"/>
        <v>0</v>
      </c>
      <c r="O80" s="34">
        <f t="shared" si="7"/>
        <v>31227174.774717014</v>
      </c>
      <c r="P80" s="34">
        <f t="shared" si="23"/>
        <v>3122717.4774717018</v>
      </c>
      <c r="Q80" s="38">
        <f t="shared" si="8"/>
        <v>27963935.010759085</v>
      </c>
      <c r="R80" s="39">
        <f t="shared" si="16"/>
        <v>2779266.8644294441</v>
      </c>
      <c r="S80" s="34">
        <f t="shared" si="17"/>
        <v>25013401.779864997</v>
      </c>
      <c r="T80" s="40">
        <v>10225850874</v>
      </c>
      <c r="U80" s="272">
        <f t="shared" si="9"/>
        <v>2.145751974709861E-6</v>
      </c>
      <c r="V80" s="282">
        <f t="shared" si="10"/>
        <v>94.997578916816494</v>
      </c>
      <c r="W80" s="283">
        <f>((S80+'Malawi-only'!S80)/(T80*(U80+'Malawi-only'!U80))/12)</f>
        <v>6.3341945111056646</v>
      </c>
      <c r="X80" s="284">
        <f>(R80+'Malawi-only'!R80)</f>
        <v>2077191574.6501656</v>
      </c>
      <c r="Y80" s="284">
        <f>(L80+'Malawi-only'!L80)</f>
        <v>74022870312.312943</v>
      </c>
      <c r="Z80" s="284">
        <f>(Q80+'Malawi-only'!Q80)</f>
        <v>4176788550.582231</v>
      </c>
    </row>
    <row r="81" spans="1:26" ht="15.75" customHeight="1">
      <c r="A81" s="31" t="s">
        <v>114</v>
      </c>
      <c r="B81" s="32">
        <v>2097</v>
      </c>
      <c r="C81" s="334">
        <f t="shared" si="11"/>
        <v>4.0729755469359253E-8</v>
      </c>
      <c r="D81" s="334">
        <f t="shared" si="20"/>
        <v>4.0729755469359253E-8</v>
      </c>
      <c r="E81" s="34">
        <f t="shared" si="1"/>
        <v>0</v>
      </c>
      <c r="F81" s="42">
        <v>4000</v>
      </c>
      <c r="G81" s="34">
        <f t="shared" si="2"/>
        <v>162919.02187743702</v>
      </c>
      <c r="H81" s="34">
        <f t="shared" si="3"/>
        <v>162104.42676804983</v>
      </c>
      <c r="I81" s="35">
        <f t="shared" si="21"/>
        <v>1</v>
      </c>
      <c r="J81" s="36">
        <f t="shared" si="4"/>
        <v>162104.42676804983</v>
      </c>
      <c r="K81" s="34">
        <f t="shared" si="14"/>
        <v>456318839.14869714</v>
      </c>
      <c r="L81" s="37">
        <f t="shared" si="22"/>
        <v>498704785.64137745</v>
      </c>
      <c r="M81" s="34">
        <f t="shared" si="5"/>
        <v>31418401.49540678</v>
      </c>
      <c r="N81" s="34">
        <f t="shared" si="6"/>
        <v>0</v>
      </c>
      <c r="O81" s="34">
        <f t="shared" si="7"/>
        <v>31418401.49540678</v>
      </c>
      <c r="P81" s="34">
        <f t="shared" si="23"/>
        <v>3141840.1495406781</v>
      </c>
      <c r="Q81" s="38">
        <f t="shared" si="8"/>
        <v>28135178.539136771</v>
      </c>
      <c r="R81" s="39">
        <f t="shared" si="16"/>
        <v>2796393.5010759085</v>
      </c>
      <c r="S81" s="34">
        <f t="shared" si="17"/>
        <v>25167541.509683177</v>
      </c>
      <c r="T81" s="40">
        <v>10215549310</v>
      </c>
      <c r="U81" s="272">
        <f t="shared" si="9"/>
        <v>2.145751974709861E-6</v>
      </c>
      <c r="V81" s="282">
        <f t="shared" si="10"/>
        <v>95.679368933095361</v>
      </c>
      <c r="W81" s="283">
        <f>((S81+'Malawi-only'!S81)/(T81*(U81+'Malawi-only'!U81))/12)</f>
        <v>6.3797963333492822</v>
      </c>
      <c r="X81" s="284">
        <f>(R81+'Malawi-only'!R81)</f>
        <v>2090038779.1590734</v>
      </c>
      <c r="Y81" s="284">
        <f>(L81+'Malawi-only'!L81)</f>
        <v>74477681070.788742</v>
      </c>
      <c r="Z81" s="284">
        <f>(Q81+'Malawi-only'!Q81)</f>
        <v>4202619949.8551316</v>
      </c>
    </row>
    <row r="82" spans="1:26" ht="15.75" customHeight="1">
      <c r="A82" s="31" t="s">
        <v>115</v>
      </c>
      <c r="B82" s="32">
        <v>2098</v>
      </c>
      <c r="C82" s="334">
        <f t="shared" si="11"/>
        <v>3.6656779922423327E-8</v>
      </c>
      <c r="D82" s="334">
        <f t="shared" si="20"/>
        <v>3.6656779922423327E-8</v>
      </c>
      <c r="E82" s="34">
        <f t="shared" si="1"/>
        <v>0</v>
      </c>
      <c r="F82" s="42">
        <v>4000</v>
      </c>
      <c r="G82" s="34">
        <f t="shared" si="2"/>
        <v>146627.1196896933</v>
      </c>
      <c r="H82" s="34">
        <f t="shared" si="3"/>
        <v>145893.98409124484</v>
      </c>
      <c r="I82" s="35">
        <f t="shared" si="21"/>
        <v>1</v>
      </c>
      <c r="J82" s="36">
        <f t="shared" si="4"/>
        <v>145893.98409124484</v>
      </c>
      <c r="K82" s="34">
        <f t="shared" si="14"/>
        <v>456464733.13278836</v>
      </c>
      <c r="L82" s="37">
        <f t="shared" si="22"/>
        <v>501741523.51512188</v>
      </c>
      <c r="M82" s="34">
        <f t="shared" si="5"/>
        <v>31609715.981452677</v>
      </c>
      <c r="N82" s="34">
        <f t="shared" si="6"/>
        <v>0</v>
      </c>
      <c r="O82" s="34">
        <f t="shared" si="7"/>
        <v>31609715.981452677</v>
      </c>
      <c r="P82" s="34">
        <f t="shared" si="23"/>
        <v>3160971.5981452679</v>
      </c>
      <c r="Q82" s="38">
        <f t="shared" si="8"/>
        <v>28306500.661390871</v>
      </c>
      <c r="R82" s="39">
        <f t="shared" si="16"/>
        <v>2813517.8539136774</v>
      </c>
      <c r="S82" s="34">
        <f t="shared" si="17"/>
        <v>25321660.685223095</v>
      </c>
      <c r="T82" s="40">
        <v>10204489862</v>
      </c>
      <c r="U82" s="272">
        <f t="shared" si="9"/>
        <v>2.145751974709861E-6</v>
      </c>
      <c r="V82" s="282">
        <f t="shared" si="10"/>
        <v>96.369613985742163</v>
      </c>
      <c r="W82" s="283">
        <f>((S82+'Malawi-only'!S82)/(T82*(U82+'Malawi-only'!U82))/12)</f>
        <v>6.4259511377860621</v>
      </c>
      <c r="X82" s="284">
        <f>(R82+'Malawi-only'!R82)</f>
        <v>2102880610.3020918</v>
      </c>
      <c r="Y82" s="284">
        <f>(L82+'Malawi-only'!L82)</f>
        <v>74932583991.144577</v>
      </c>
      <c r="Z82" s="284">
        <f>(Q82+'Malawi-only'!Q82)</f>
        <v>4228440685.5577469</v>
      </c>
    </row>
    <row r="83" spans="1:26" ht="15.75" customHeight="1">
      <c r="A83" s="31" t="s">
        <v>116</v>
      </c>
      <c r="B83" s="32">
        <v>2099</v>
      </c>
      <c r="C83" s="334">
        <f t="shared" si="11"/>
        <v>3.2991101930180993E-8</v>
      </c>
      <c r="D83" s="334">
        <f t="shared" si="20"/>
        <v>3.2991101930180993E-8</v>
      </c>
      <c r="E83" s="34">
        <f t="shared" si="1"/>
        <v>0</v>
      </c>
      <c r="F83" s="42">
        <v>4000</v>
      </c>
      <c r="G83" s="34">
        <f t="shared" si="2"/>
        <v>131964.40772072398</v>
      </c>
      <c r="H83" s="34">
        <f t="shared" si="3"/>
        <v>131304.58568212035</v>
      </c>
      <c r="I83" s="35">
        <f t="shared" si="21"/>
        <v>1</v>
      </c>
      <c r="J83" s="36">
        <f t="shared" si="4"/>
        <v>131304.58568212035</v>
      </c>
      <c r="K83" s="34">
        <f t="shared" si="14"/>
        <v>456596037.71847045</v>
      </c>
      <c r="L83" s="37">
        <f t="shared" si="22"/>
        <v>504781282.79909974</v>
      </c>
      <c r="M83" s="34">
        <f t="shared" si="5"/>
        <v>31801220.816343285</v>
      </c>
      <c r="N83" s="34">
        <f t="shared" si="6"/>
        <v>0</v>
      </c>
      <c r="O83" s="34">
        <f t="shared" si="7"/>
        <v>31801220.816343285</v>
      </c>
      <c r="P83" s="34">
        <f t="shared" si="23"/>
        <v>3180122.0816343287</v>
      </c>
      <c r="Q83" s="38">
        <f t="shared" si="8"/>
        <v>28477993.241035413</v>
      </c>
      <c r="R83" s="39">
        <f t="shared" si="16"/>
        <v>2830650.0661390871</v>
      </c>
      <c r="S83" s="34">
        <f t="shared" si="17"/>
        <v>25475850.595251784</v>
      </c>
      <c r="T83" s="40">
        <v>10192689066</v>
      </c>
      <c r="U83" s="272">
        <f t="shared" si="9"/>
        <v>2.145751974709861E-6</v>
      </c>
      <c r="V83" s="282">
        <f t="shared" si="10"/>
        <v>97.06868592057107</v>
      </c>
      <c r="W83" s="283">
        <f>((S83+'Malawi-only'!S83)/(T83*(U83+'Malawi-only'!U83))/12)</f>
        <v>6.4726848528112013</v>
      </c>
      <c r="X83" s="284">
        <f>(R83+'Malawi-only'!R83)</f>
        <v>2115725025.9895997</v>
      </c>
      <c r="Y83" s="284">
        <f>(L83+'Malawi-only'!L83)</f>
        <v>75387834193.981552</v>
      </c>
      <c r="Z83" s="284">
        <f>(Q83+'Malawi-only'!Q83)</f>
        <v>4254266745.0879569</v>
      </c>
    </row>
    <row r="84" spans="1:26" ht="15.75" customHeight="1">
      <c r="A84" s="31" t="s">
        <v>117</v>
      </c>
      <c r="B84" s="32">
        <v>2100</v>
      </c>
      <c r="C84" s="334">
        <f t="shared" si="11"/>
        <v>2.9691991737162893E-8</v>
      </c>
      <c r="D84" s="334">
        <f t="shared" si="20"/>
        <v>2.9691991737162893E-8</v>
      </c>
      <c r="E84" s="34">
        <f t="shared" si="1"/>
        <v>0</v>
      </c>
      <c r="F84" s="42">
        <v>4000</v>
      </c>
      <c r="G84" s="34">
        <f t="shared" si="2"/>
        <v>118767.96694865156</v>
      </c>
      <c r="H84" s="34">
        <f t="shared" si="3"/>
        <v>118174.12711390831</v>
      </c>
      <c r="I84" s="35">
        <f t="shared" si="21"/>
        <v>1</v>
      </c>
      <c r="J84" s="36">
        <f t="shared" si="4"/>
        <v>118174.12711390831</v>
      </c>
      <c r="K84" s="34">
        <f t="shared" si="14"/>
        <v>456714211.84558433</v>
      </c>
      <c r="L84" s="37">
        <f t="shared" si="22"/>
        <v>507825539.21834409</v>
      </c>
      <c r="M84" s="34">
        <f t="shared" si="5"/>
        <v>31993008.970755678</v>
      </c>
      <c r="N84" s="34">
        <f t="shared" si="6"/>
        <v>0</v>
      </c>
      <c r="O84" s="34">
        <f t="shared" si="7"/>
        <v>31993008.970755678</v>
      </c>
      <c r="P84" s="34">
        <f t="shared" si="23"/>
        <v>3199300.8970755679</v>
      </c>
      <c r="Q84" s="38">
        <f t="shared" si="8"/>
        <v>28649739.53331171</v>
      </c>
      <c r="R84" s="39">
        <f t="shared" si="16"/>
        <v>2847799.3241035417</v>
      </c>
      <c r="S84" s="34">
        <f t="shared" si="17"/>
        <v>25630193.916931871</v>
      </c>
      <c r="T84" s="40">
        <v>10180160751</v>
      </c>
      <c r="U84" s="272">
        <f t="shared" si="9"/>
        <v>2.145751974709861E-6</v>
      </c>
      <c r="V84" s="282">
        <f t="shared" si="10"/>
        <v>97.776950742843553</v>
      </c>
      <c r="W84" s="283">
        <f>((S84+'Malawi-only'!S84)/(T84*(U84+'Malawi-only'!U84))/12)</f>
        <v>6.5200229035828459</v>
      </c>
      <c r="X84" s="284">
        <f>(R84+'Malawi-only'!R84)</f>
        <v>2128579231.3823586</v>
      </c>
      <c r="Y84" s="284">
        <f>(L84+'Malawi-only'!L84)</f>
        <v>75843662821.063766</v>
      </c>
      <c r="Z84" s="284">
        <f>(Q84+'Malawi-only'!Q84)</f>
        <v>4280112603.6498218</v>
      </c>
    </row>
    <row r="85" spans="1:26" ht="15.75" customHeight="1">
      <c r="A85" s="31" t="s">
        <v>118</v>
      </c>
      <c r="B85" s="32">
        <v>2101</v>
      </c>
      <c r="C85" s="334">
        <f t="shared" si="11"/>
        <v>2.6722792563446605E-8</v>
      </c>
      <c r="D85" s="334">
        <f t="shared" si="20"/>
        <v>2.6722792563446605E-8</v>
      </c>
      <c r="E85" s="34">
        <f t="shared" si="1"/>
        <v>0</v>
      </c>
      <c r="F85" s="42">
        <v>4000</v>
      </c>
      <c r="G85" s="34">
        <f t="shared" si="2"/>
        <v>106891.17025378642</v>
      </c>
      <c r="H85" s="34">
        <f t="shared" si="3"/>
        <v>106356.71440251749</v>
      </c>
      <c r="I85" s="35">
        <f t="shared" si="21"/>
        <v>1</v>
      </c>
      <c r="J85" s="36">
        <f t="shared" si="4"/>
        <v>106356.71440251749</v>
      </c>
      <c r="K85" s="34">
        <f t="shared" si="14"/>
        <v>456820568.55998683</v>
      </c>
      <c r="L85" s="37">
        <f t="shared" si="22"/>
        <v>510875631.23140728</v>
      </c>
      <c r="M85" s="34">
        <f t="shared" si="5"/>
        <v>32185164.767578658</v>
      </c>
      <c r="N85" s="34">
        <f t="shared" si="6"/>
        <v>0</v>
      </c>
      <c r="O85" s="34">
        <f t="shared" si="7"/>
        <v>32185164.767578658</v>
      </c>
      <c r="P85" s="34">
        <f t="shared" si="23"/>
        <v>3218516.4767578659</v>
      </c>
      <c r="Q85" s="38">
        <f t="shared" si="8"/>
        <v>28821815.049366686</v>
      </c>
      <c r="R85" s="39">
        <f t="shared" si="16"/>
        <v>2864973.9533311711</v>
      </c>
      <c r="S85" s="34">
        <f t="shared" si="17"/>
        <v>25784765.579980537</v>
      </c>
      <c r="T85" s="40">
        <f t="shared" ref="T85:T184" si="24">T84*99.9%</f>
        <v>10169980590.249001</v>
      </c>
      <c r="U85" s="272">
        <f t="shared" si="9"/>
        <v>2.145751974709861E-6</v>
      </c>
      <c r="V85" s="282">
        <f t="shared" si="10"/>
        <v>98.465093227241994</v>
      </c>
      <c r="W85" s="283">
        <f>((S85+'Malawi-only'!S85)/(T85*(U85+'Malawi-only'!U85))/12)</f>
        <v>6.5660113605911796</v>
      </c>
      <c r="X85" s="284">
        <f>(R85+'Malawi-only'!R85)</f>
        <v>2141449754.4161255</v>
      </c>
      <c r="Y85" s="284">
        <f>(L85+'Malawi-only'!L85)</f>
        <v>76300279442.095062</v>
      </c>
      <c r="Z85" s="284">
        <f>(Q85+'Malawi-only'!Q85)</f>
        <v>4305991375.9749556</v>
      </c>
    </row>
    <row r="86" spans="1:26" ht="15.75" customHeight="1">
      <c r="A86" s="31" t="s">
        <v>119</v>
      </c>
      <c r="B86" s="32">
        <v>2102</v>
      </c>
      <c r="C86" s="334">
        <f t="shared" si="11"/>
        <v>2.4050513307101945E-8</v>
      </c>
      <c r="D86" s="334">
        <f t="shared" si="20"/>
        <v>2.4050513307101945E-8</v>
      </c>
      <c r="E86" s="34">
        <f t="shared" si="1"/>
        <v>0</v>
      </c>
      <c r="F86" s="42">
        <v>4000</v>
      </c>
      <c r="G86" s="34">
        <f t="shared" si="2"/>
        <v>96202.053228407778</v>
      </c>
      <c r="H86" s="34">
        <f t="shared" si="3"/>
        <v>95721.042962265739</v>
      </c>
      <c r="I86" s="35">
        <f t="shared" si="21"/>
        <v>1</v>
      </c>
      <c r="J86" s="36">
        <f t="shared" si="4"/>
        <v>95721.042962265739</v>
      </c>
      <c r="K86" s="34">
        <f t="shared" si="14"/>
        <v>456916289.60294908</v>
      </c>
      <c r="L86" s="37">
        <f t="shared" si="22"/>
        <v>513932773.8167519</v>
      </c>
      <c r="M86" s="34">
        <f t="shared" si="5"/>
        <v>32377764.750455368</v>
      </c>
      <c r="N86" s="34">
        <f t="shared" si="6"/>
        <v>0</v>
      </c>
      <c r="O86" s="34">
        <f t="shared" si="7"/>
        <v>32377764.750455368</v>
      </c>
      <c r="P86" s="34">
        <f t="shared" si="23"/>
        <v>3237776.4750455371</v>
      </c>
      <c r="Q86" s="38">
        <f t="shared" si="8"/>
        <v>28994288.334032785</v>
      </c>
      <c r="R86" s="39">
        <f t="shared" si="16"/>
        <v>2882181.504936669</v>
      </c>
      <c r="S86" s="34">
        <f t="shared" si="17"/>
        <v>25939633.544430017</v>
      </c>
      <c r="T86" s="40">
        <f t="shared" si="24"/>
        <v>10159810609.658752</v>
      </c>
      <c r="U86" s="272">
        <f t="shared" si="9"/>
        <v>2.145751974709861E-6</v>
      </c>
      <c r="V86" s="282">
        <f t="shared" si="10"/>
        <v>99.155648029556303</v>
      </c>
      <c r="W86" s="283">
        <f>((S86+'Malawi-only'!S86)/(T86*(U86+'Malawi-only'!U86))/12)</f>
        <v>6.6121536787987187</v>
      </c>
      <c r="X86" s="284">
        <f>(R86+'Malawi-only'!R86)</f>
        <v>2154342513.7752571</v>
      </c>
      <c r="Y86" s="284">
        <f>(L86+'Malawi-only'!L86)</f>
        <v>76757874220.869675</v>
      </c>
      <c r="Z86" s="284">
        <f>(Q86+'Malawi-only'!Q86)</f>
        <v>4331914952.8746738</v>
      </c>
    </row>
    <row r="87" spans="1:26" ht="15.75" customHeight="1">
      <c r="A87" s="31" t="s">
        <v>120</v>
      </c>
      <c r="B87" s="32">
        <v>2103</v>
      </c>
      <c r="C87" s="334">
        <f t="shared" si="11"/>
        <v>2.164546197639175E-8</v>
      </c>
      <c r="D87" s="334">
        <f t="shared" si="20"/>
        <v>2.164546197639175E-8</v>
      </c>
      <c r="E87" s="34">
        <f t="shared" si="1"/>
        <v>0</v>
      </c>
      <c r="F87" s="42">
        <v>4000</v>
      </c>
      <c r="G87" s="34">
        <f t="shared" si="2"/>
        <v>86581.847905567003</v>
      </c>
      <c r="H87" s="34">
        <f t="shared" si="3"/>
        <v>86148.938666039161</v>
      </c>
      <c r="I87" s="35">
        <f t="shared" si="21"/>
        <v>1</v>
      </c>
      <c r="J87" s="36">
        <f t="shared" si="4"/>
        <v>86148.938666039161</v>
      </c>
      <c r="K87" s="34">
        <f t="shared" si="14"/>
        <v>457002438.54161513</v>
      </c>
      <c r="L87" s="37">
        <f t="shared" si="22"/>
        <v>516998070.88084829</v>
      </c>
      <c r="M87" s="34">
        <f t="shared" si="5"/>
        <v>32570878.465493441</v>
      </c>
      <c r="N87" s="34">
        <f t="shared" si="6"/>
        <v>0</v>
      </c>
      <c r="O87" s="34">
        <f t="shared" si="7"/>
        <v>32570878.465493441</v>
      </c>
      <c r="P87" s="34">
        <f>O87*6%</f>
        <v>1954252.7079296063</v>
      </c>
      <c r="Q87" s="38">
        <f t="shared" si="8"/>
        <v>30463542.628776014</v>
      </c>
      <c r="R87" s="39">
        <f t="shared" si="16"/>
        <v>2899428.8334032786</v>
      </c>
      <c r="S87" s="34">
        <f t="shared" si="17"/>
        <v>26094859.500629507</v>
      </c>
      <c r="T87" s="40">
        <f t="shared" si="24"/>
        <v>10149650799.049095</v>
      </c>
      <c r="U87" s="272">
        <f t="shared" si="9"/>
        <v>2.145751974709861E-6</v>
      </c>
      <c r="V87" s="282">
        <f t="shared" si="10"/>
        <v>99.848856474229976</v>
      </c>
      <c r="W87" s="283">
        <f>((S87+'Malawi-only'!S87)/(T87*(U87+'Malawi-only'!U87))/12)</f>
        <v>6.6584666806021344</v>
      </c>
      <c r="X87" s="284">
        <f>(R87+'Malawi-only'!R87)</f>
        <v>2167262880.0704002</v>
      </c>
      <c r="Y87" s="284">
        <f>(L87+'Malawi-only'!L87)</f>
        <v>77216619864.859818</v>
      </c>
      <c r="Z87" s="284">
        <f>(Q87+'Malawi-only'!Q87)</f>
        <v>4359190445.1027699</v>
      </c>
    </row>
    <row r="88" spans="1:26" ht="15.75" customHeight="1">
      <c r="A88" s="31" t="s">
        <v>121</v>
      </c>
      <c r="B88" s="32">
        <v>2104</v>
      </c>
      <c r="C88" s="334">
        <f t="shared" si="11"/>
        <v>1.9480915778752576E-8</v>
      </c>
      <c r="D88" s="334">
        <f t="shared" si="20"/>
        <v>1.9480915778752576E-8</v>
      </c>
      <c r="E88" s="34">
        <f t="shared" si="1"/>
        <v>0</v>
      </c>
      <c r="F88" s="42">
        <v>4000</v>
      </c>
      <c r="G88" s="34">
        <f t="shared" si="2"/>
        <v>77923.663115010306</v>
      </c>
      <c r="H88" s="34">
        <f t="shared" si="3"/>
        <v>77534.044799435258</v>
      </c>
      <c r="I88" s="35">
        <f t="shared" si="21"/>
        <v>1</v>
      </c>
      <c r="J88" s="36">
        <f t="shared" si="4"/>
        <v>77534.044799435258</v>
      </c>
      <c r="K88" s="34">
        <f t="shared" si="14"/>
        <v>457079972.58641458</v>
      </c>
      <c r="L88" s="37">
        <f t="shared" si="22"/>
        <v>518770342.70476061</v>
      </c>
      <c r="M88" s="34">
        <f t="shared" si="5"/>
        <v>32682531.590399917</v>
      </c>
      <c r="N88" s="34">
        <f t="shared" si="6"/>
        <v>0</v>
      </c>
      <c r="O88" s="34">
        <f t="shared" si="7"/>
        <v>32682531.590399917</v>
      </c>
      <c r="P88" s="34">
        <f>O88*6.5%</f>
        <v>2124364.5533759948</v>
      </c>
      <c r="Q88" s="38">
        <f t="shared" si="8"/>
        <v>30405376.201838806</v>
      </c>
      <c r="R88" s="39">
        <f t="shared" si="16"/>
        <v>3046354.2628776017</v>
      </c>
      <c r="S88" s="34">
        <f t="shared" si="17"/>
        <v>27417188.365898412</v>
      </c>
      <c r="T88" s="40">
        <f t="shared" si="24"/>
        <v>10139501148.250048</v>
      </c>
      <c r="U88" s="272">
        <f t="shared" si="9"/>
        <v>2.145751974709861E-6</v>
      </c>
      <c r="V88" s="282">
        <f t="shared" si="10"/>
        <v>105.01360320521006</v>
      </c>
      <c r="W88" s="283">
        <f>((S88+'Malawi-only'!S88)/(T88*(U88+'Malawi-only'!U88))/12)</f>
        <v>6.7085157433026739</v>
      </c>
      <c r="X88" s="284">
        <f>(R88+'Malawi-only'!R88)</f>
        <v>2180345362.9961863</v>
      </c>
      <c r="Y88" s="284">
        <f>(L88+'Malawi-only'!L88)</f>
        <v>77675371196.175583</v>
      </c>
      <c r="Z88" s="284">
        <f>(Q88+'Malawi-only'!Q88)</f>
        <v>4385003393.6684561</v>
      </c>
    </row>
    <row r="89" spans="1:26" ht="15.75" customHeight="1">
      <c r="A89" s="31" t="s">
        <v>122</v>
      </c>
      <c r="B89" s="32">
        <v>2105</v>
      </c>
      <c r="C89" s="334">
        <f t="shared" si="11"/>
        <v>1.753282420087732E-8</v>
      </c>
      <c r="D89" s="334">
        <f t="shared" si="20"/>
        <v>1.753282420087732E-8</v>
      </c>
      <c r="E89" s="34">
        <f t="shared" si="1"/>
        <v>0</v>
      </c>
      <c r="F89" s="42">
        <v>4000</v>
      </c>
      <c r="G89" s="34">
        <f t="shared" si="2"/>
        <v>70131.296803509278</v>
      </c>
      <c r="H89" s="34">
        <f t="shared" si="3"/>
        <v>69780.640319491737</v>
      </c>
      <c r="I89" s="35">
        <f t="shared" si="21"/>
        <v>1</v>
      </c>
      <c r="J89" s="36">
        <f t="shared" si="4"/>
        <v>69780.640319491737</v>
      </c>
      <c r="K89" s="34">
        <f t="shared" si="14"/>
        <v>457149753.22673404</v>
      </c>
      <c r="L89" s="37">
        <f t="shared" si="22"/>
        <v>520704005.65450692</v>
      </c>
      <c r="M89" s="34">
        <f t="shared" si="5"/>
        <v>32804352.356233936</v>
      </c>
      <c r="N89" s="34">
        <f t="shared" si="6"/>
        <v>0</v>
      </c>
      <c r="O89" s="34">
        <f t="shared" si="7"/>
        <v>32804352.356233936</v>
      </c>
      <c r="P89" s="34">
        <f>O89*7%</f>
        <v>2296304.6649363758</v>
      </c>
      <c r="Q89" s="38">
        <f t="shared" si="8"/>
        <v>30355507.452841073</v>
      </c>
      <c r="R89" s="39">
        <f t="shared" si="16"/>
        <v>3040537.6201838809</v>
      </c>
      <c r="S89" s="34">
        <f t="shared" si="17"/>
        <v>27364838.581654925</v>
      </c>
      <c r="T89" s="40">
        <f t="shared" si="24"/>
        <v>10129361647.101799</v>
      </c>
      <c r="U89" s="272">
        <f t="shared" si="9"/>
        <v>2.145751974709861E-6</v>
      </c>
      <c r="V89" s="282">
        <f t="shared" si="10"/>
        <v>104.91801052159855</v>
      </c>
      <c r="W89" s="283">
        <f>((S89+'Malawi-only'!S89)/(T89*(U89+'Malawi-only'!U89))/12)</f>
        <v>6.7545835612744805</v>
      </c>
      <c r="X89" s="284">
        <f>(R89+'Malawi-only'!R89)</f>
        <v>2193311970.8579588</v>
      </c>
      <c r="Y89" s="284">
        <f>(L89+'Malawi-only'!L89)</f>
        <v>78135724600.489365</v>
      </c>
      <c r="Z89" s="284">
        <f>(Q89+'Malawi-only'!Q89)</f>
        <v>4410898373.9283905</v>
      </c>
    </row>
    <row r="90" spans="1:26" ht="15.75" customHeight="1">
      <c r="A90" s="31" t="s">
        <v>123</v>
      </c>
      <c r="B90" s="32">
        <v>2106</v>
      </c>
      <c r="C90" s="334">
        <f t="shared" si="11"/>
        <v>1.577954178078959E-8</v>
      </c>
      <c r="D90" s="334">
        <f t="shared" si="20"/>
        <v>1.577954178078959E-8</v>
      </c>
      <c r="E90" s="34">
        <f t="shared" si="1"/>
        <v>0</v>
      </c>
      <c r="F90" s="42">
        <v>4000</v>
      </c>
      <c r="G90" s="34">
        <f t="shared" si="2"/>
        <v>63118.16712315836</v>
      </c>
      <c r="H90" s="34">
        <f t="shared" si="3"/>
        <v>62802.576287542572</v>
      </c>
      <c r="I90" s="35">
        <f t="shared" si="21"/>
        <v>1</v>
      </c>
      <c r="J90" s="36">
        <f t="shared" si="4"/>
        <v>62802.576287542572</v>
      </c>
      <c r="K90" s="34">
        <f t="shared" si="14"/>
        <v>457212555.80302161</v>
      </c>
      <c r="L90" s="37">
        <f t="shared" si="22"/>
        <v>522801581.33928299</v>
      </c>
      <c r="M90" s="34">
        <f t="shared" si="5"/>
        <v>32936499.624374829</v>
      </c>
      <c r="N90" s="34">
        <f t="shared" si="6"/>
        <v>0</v>
      </c>
      <c r="O90" s="34">
        <f t="shared" si="7"/>
        <v>32936499.624374829</v>
      </c>
      <c r="P90" s="34">
        <f>O90*7.5%</f>
        <v>2470237.4718281119</v>
      </c>
      <c r="Q90" s="38">
        <f t="shared" si="8"/>
        <v>30313930.841783985</v>
      </c>
      <c r="R90" s="39">
        <f t="shared" si="16"/>
        <v>3035550.7452841075</v>
      </c>
      <c r="S90" s="34">
        <f t="shared" si="17"/>
        <v>27319956.707556967</v>
      </c>
      <c r="T90" s="40">
        <f t="shared" si="24"/>
        <v>10119232285.454699</v>
      </c>
      <c r="U90" s="272">
        <f t="shared" si="9"/>
        <v>2.145751974709861E-6</v>
      </c>
      <c r="V90" s="282">
        <f t="shared" si="10"/>
        <v>104.85078219853257</v>
      </c>
      <c r="W90" s="283">
        <f>((S90+'Malawi-only'!S90)/(T90*(U90+'Malawi-only'!U90))/12)</f>
        <v>6.8008843452223156</v>
      </c>
      <c r="X90" s="284">
        <f>(R90+'Malawi-only'!R90)</f>
        <v>2206320305.6280689</v>
      </c>
      <c r="Y90" s="284">
        <f>(L90+'Malawi-only'!L90)</f>
        <v>78597811948.539246</v>
      </c>
      <c r="Z90" s="284">
        <f>(Q90+'Malawi-only'!Q90)</f>
        <v>4436883440.6073532</v>
      </c>
    </row>
    <row r="91" spans="1:26" ht="15.75" customHeight="1">
      <c r="A91" s="31" t="s">
        <v>124</v>
      </c>
      <c r="B91" s="32">
        <v>2107</v>
      </c>
      <c r="C91" s="334">
        <f t="shared" si="11"/>
        <v>1.4201587602710631E-8</v>
      </c>
      <c r="D91" s="334">
        <f t="shared" si="20"/>
        <v>1.4201587602710631E-8</v>
      </c>
      <c r="E91" s="34">
        <f t="shared" si="1"/>
        <v>0</v>
      </c>
      <c r="F91" s="42">
        <v>4000</v>
      </c>
      <c r="G91" s="34">
        <f t="shared" si="2"/>
        <v>56806.350410842526</v>
      </c>
      <c r="H91" s="34">
        <f t="shared" si="3"/>
        <v>56522.31865878831</v>
      </c>
      <c r="I91" s="35">
        <f t="shared" si="21"/>
        <v>1</v>
      </c>
      <c r="J91" s="36">
        <f t="shared" si="4"/>
        <v>56522.31865878831</v>
      </c>
      <c r="K91" s="34">
        <f t="shared" si="14"/>
        <v>457269078.12168038</v>
      </c>
      <c r="L91" s="37">
        <f t="shared" si="22"/>
        <v>525065676.95920503</v>
      </c>
      <c r="M91" s="34">
        <f t="shared" si="5"/>
        <v>33079137.648429919</v>
      </c>
      <c r="N91" s="34">
        <f t="shared" si="6"/>
        <v>0</v>
      </c>
      <c r="O91" s="34">
        <f t="shared" si="7"/>
        <v>33079137.648429919</v>
      </c>
      <c r="P91" s="34">
        <f>O91*8%</f>
        <v>2646331.0118743936</v>
      </c>
      <c r="Q91" s="38">
        <f t="shared" si="8"/>
        <v>30280642.603372749</v>
      </c>
      <c r="R91" s="39">
        <f t="shared" si="16"/>
        <v>3031393.0841783988</v>
      </c>
      <c r="S91" s="34">
        <f t="shared" si="17"/>
        <v>27282537.757605586</v>
      </c>
      <c r="T91" s="40">
        <f t="shared" si="24"/>
        <v>10109113053.169245</v>
      </c>
      <c r="U91" s="272">
        <f t="shared" si="9"/>
        <v>2.145751974709861E-6</v>
      </c>
      <c r="V91" s="282">
        <f t="shared" si="10"/>
        <v>104.81198465212107</v>
      </c>
      <c r="W91" s="283">
        <f>((S91+'Malawi-only'!S91)/(T91*(U91+'Malawi-only'!U91))/12)</f>
        <v>6.8474298541628817</v>
      </c>
      <c r="X91" s="284">
        <f>(R91+'Malawi-only'!R91)</f>
        <v>2219374038.6315126</v>
      </c>
      <c r="Y91" s="284">
        <f>(L91+'Malawi-only'!L91)</f>
        <v>79061753847.640137</v>
      </c>
      <c r="Z91" s="284">
        <f>(Q91+'Malawi-only'!Q91)</f>
        <v>4462965933.698041</v>
      </c>
    </row>
    <row r="92" spans="1:26" ht="15.75" customHeight="1">
      <c r="A92" s="31" t="s">
        <v>125</v>
      </c>
      <c r="B92" s="32">
        <v>2108</v>
      </c>
      <c r="C92" s="334">
        <f t="shared" si="11"/>
        <v>1.2781428842439568E-8</v>
      </c>
      <c r="D92" s="334">
        <f t="shared" si="20"/>
        <v>1.2781428842439568E-8</v>
      </c>
      <c r="E92" s="34">
        <f t="shared" si="1"/>
        <v>0</v>
      </c>
      <c r="F92" s="42">
        <v>4000</v>
      </c>
      <c r="G92" s="34">
        <f t="shared" si="2"/>
        <v>51125.715369758269</v>
      </c>
      <c r="H92" s="34">
        <f t="shared" si="3"/>
        <v>50870.086792909475</v>
      </c>
      <c r="I92" s="35">
        <f t="shared" si="21"/>
        <v>1</v>
      </c>
      <c r="J92" s="36">
        <f t="shared" si="4"/>
        <v>50870.086792909475</v>
      </c>
      <c r="K92" s="34">
        <f t="shared" si="14"/>
        <v>457319948.20847327</v>
      </c>
      <c r="L92" s="37">
        <f t="shared" si="22"/>
        <v>527498996.61884338</v>
      </c>
      <c r="M92" s="34">
        <f t="shared" si="5"/>
        <v>33232436.786987133</v>
      </c>
      <c r="N92" s="34">
        <f t="shared" si="6"/>
        <v>0</v>
      </c>
      <c r="O92" s="34">
        <f t="shared" si="7"/>
        <v>33232436.786987133</v>
      </c>
      <c r="P92" s="34">
        <f>O92*8.5%</f>
        <v>2824757.1268939064</v>
      </c>
      <c r="Q92" s="38">
        <f t="shared" si="8"/>
        <v>30255641.26179276</v>
      </c>
      <c r="R92" s="39">
        <f t="shared" si="16"/>
        <v>3028064.260337275</v>
      </c>
      <c r="S92" s="34">
        <f t="shared" si="17"/>
        <v>27252578.343035474</v>
      </c>
      <c r="T92" s="40">
        <f t="shared" si="24"/>
        <v>10099003940.116077</v>
      </c>
      <c r="U92" s="272">
        <f t="shared" si="9"/>
        <v>2.145751974709861E-6</v>
      </c>
      <c r="V92" s="282">
        <f t="shared" si="10"/>
        <v>104.80169053566077</v>
      </c>
      <c r="W92" s="283">
        <f>((S92+'Malawi-only'!S92)/(T92*(U92+'Malawi-only'!U92))/12)</f>
        <v>6.8942309136271804</v>
      </c>
      <c r="X92" s="284">
        <f>(R92+'Malawi-only'!R92)</f>
        <v>2232476519.2023168</v>
      </c>
      <c r="Y92" s="284">
        <f>(L92+'Malawi-only'!L92)</f>
        <v>79527660797.097366</v>
      </c>
      <c r="Z92" s="284">
        <f>(Q92+'Malawi-only'!Q92)</f>
        <v>4489152551.145752</v>
      </c>
    </row>
    <row r="93" spans="1:26" ht="15.75" customHeight="1">
      <c r="A93" s="31" t="s">
        <v>126</v>
      </c>
      <c r="B93" s="32">
        <v>2109</v>
      </c>
      <c r="C93" s="334">
        <f t="shared" si="11"/>
        <v>1.1503285958195611E-8</v>
      </c>
      <c r="D93" s="334">
        <f t="shared" si="20"/>
        <v>1.1503285958195611E-8</v>
      </c>
      <c r="E93" s="34">
        <f t="shared" si="1"/>
        <v>0</v>
      </c>
      <c r="F93" s="42">
        <v>4000</v>
      </c>
      <c r="G93" s="34">
        <f t="shared" si="2"/>
        <v>46013.143832782443</v>
      </c>
      <c r="H93" s="34">
        <f t="shared" si="3"/>
        <v>45783.078113618532</v>
      </c>
      <c r="I93" s="35">
        <f t="shared" si="21"/>
        <v>1</v>
      </c>
      <c r="J93" s="36">
        <f t="shared" si="4"/>
        <v>45783.078113618532</v>
      </c>
      <c r="K93" s="34">
        <f t="shared" si="14"/>
        <v>457365731.28658688</v>
      </c>
      <c r="L93" s="37">
        <f t="shared" si="22"/>
        <v>530104352.055439</v>
      </c>
      <c r="M93" s="34">
        <f t="shared" si="5"/>
        <v>33396574.179492656</v>
      </c>
      <c r="N93" s="34">
        <f t="shared" si="6"/>
        <v>0</v>
      </c>
      <c r="O93" s="34">
        <f t="shared" si="7"/>
        <v>33396574.179492656</v>
      </c>
      <c r="P93" s="34">
        <f>O93*9%</f>
        <v>3005691.6761543388</v>
      </c>
      <c r="Q93" s="38">
        <f t="shared" si="8"/>
        <v>30238928.090821628</v>
      </c>
      <c r="R93" s="39">
        <f t="shared" si="16"/>
        <v>3025564.126179276</v>
      </c>
      <c r="S93" s="34">
        <f t="shared" si="17"/>
        <v>27230077.135613486</v>
      </c>
      <c r="T93" s="40">
        <f t="shared" si="24"/>
        <v>10088904936.175962</v>
      </c>
      <c r="U93" s="272">
        <f t="shared" si="9"/>
        <v>2.145751974709861E-6</v>
      </c>
      <c r="V93" s="282">
        <f t="shared" si="10"/>
        <v>104.81998055390302</v>
      </c>
      <c r="W93" s="283">
        <f>((S93+'Malawi-only'!S93)/(T93*(U93+'Malawi-only'!U93))/12)</f>
        <v>6.94129751160916</v>
      </c>
      <c r="X93" s="284">
        <f>(R93+'Malawi-only'!R93)</f>
        <v>2245630807.2129931</v>
      </c>
      <c r="Y93" s="284">
        <f>(L93+'Malawi-only'!L93)</f>
        <v>79995634228.678284</v>
      </c>
      <c r="Z93" s="284">
        <f>(Q93+'Malawi-only'!Q93)</f>
        <v>4515449414.2644491</v>
      </c>
    </row>
    <row r="94" spans="1:26" ht="15.75" customHeight="1">
      <c r="A94" s="31" t="s">
        <v>127</v>
      </c>
      <c r="B94" s="32">
        <v>2110</v>
      </c>
      <c r="C94" s="334">
        <f t="shared" si="11"/>
        <v>1.035295736237605E-8</v>
      </c>
      <c r="D94" s="334">
        <f t="shared" si="20"/>
        <v>1.035295736237605E-8</v>
      </c>
      <c r="E94" s="34">
        <f t="shared" si="1"/>
        <v>0</v>
      </c>
      <c r="F94" s="42">
        <v>4000</v>
      </c>
      <c r="G94" s="34">
        <f t="shared" si="2"/>
        <v>41411.829449504199</v>
      </c>
      <c r="H94" s="34">
        <f t="shared" si="3"/>
        <v>41204.770302256678</v>
      </c>
      <c r="I94" s="35">
        <f t="shared" si="21"/>
        <v>1</v>
      </c>
      <c r="J94" s="36">
        <f t="shared" si="4"/>
        <v>41204.770302256678</v>
      </c>
      <c r="K94" s="34">
        <f t="shared" si="14"/>
        <v>457406936.05688912</v>
      </c>
      <c r="L94" s="37">
        <f t="shared" si="22"/>
        <v>532884672.87764466</v>
      </c>
      <c r="M94" s="34">
        <f t="shared" si="5"/>
        <v>33571734.391291611</v>
      </c>
      <c r="N94" s="34">
        <f t="shared" si="6"/>
        <v>0</v>
      </c>
      <c r="O94" s="34">
        <f t="shared" si="7"/>
        <v>33571734.391291611</v>
      </c>
      <c r="P94" s="34">
        <f>O94*9.5%</f>
        <v>3189314.7671727031</v>
      </c>
      <c r="Q94" s="38">
        <f t="shared" si="8"/>
        <v>30230507.525998313</v>
      </c>
      <c r="R94" s="39">
        <f t="shared" si="16"/>
        <v>3023892.809082163</v>
      </c>
      <c r="S94" s="34">
        <f t="shared" si="17"/>
        <v>27215035.281739466</v>
      </c>
      <c r="T94" s="40">
        <f t="shared" si="24"/>
        <v>10078816031.239788</v>
      </c>
      <c r="U94" s="272">
        <f t="shared" si="9"/>
        <v>2.145751974709861E-6</v>
      </c>
      <c r="V94" s="282">
        <f t="shared" si="10"/>
        <v>104.86694509855234</v>
      </c>
      <c r="W94" s="283">
        <f>((S94+'Malawi-only'!S94)/(T94*(U94+'Malawi-only'!U94))/12)</f>
        <v>6.9886388850169903</v>
      </c>
      <c r="X94" s="284">
        <f>(R94+'Malawi-only'!R94)</f>
        <v>2258839702.352232</v>
      </c>
      <c r="Y94" s="284">
        <f>(L94+'Malawi-only'!L94)</f>
        <v>80465767443.673874</v>
      </c>
      <c r="Z94" s="284">
        <f>(Q94+'Malawi-only'!Q94)</f>
        <v>4541862126.612298</v>
      </c>
    </row>
    <row r="95" spans="1:26" ht="15.75" customHeight="1">
      <c r="A95" s="31" t="s">
        <v>128</v>
      </c>
      <c r="B95" s="32">
        <v>2111</v>
      </c>
      <c r="C95" s="334">
        <f t="shared" si="11"/>
        <v>9.3176616261384449E-9</v>
      </c>
      <c r="D95" s="334">
        <f t="shared" si="20"/>
        <v>9.3176616261384449E-9</v>
      </c>
      <c r="E95" s="34">
        <f t="shared" si="1"/>
        <v>0</v>
      </c>
      <c r="F95" s="42">
        <v>4000</v>
      </c>
      <c r="G95" s="34">
        <f t="shared" si="2"/>
        <v>37270.646504553777</v>
      </c>
      <c r="H95" s="34">
        <f t="shared" si="3"/>
        <v>37084.293272031005</v>
      </c>
      <c r="I95" s="35">
        <f t="shared" si="21"/>
        <v>1</v>
      </c>
      <c r="J95" s="36">
        <f t="shared" si="4"/>
        <v>37084.293272031005</v>
      </c>
      <c r="K95" s="34">
        <f t="shared" si="14"/>
        <v>457444020.35016114</v>
      </c>
      <c r="L95" s="37">
        <f t="shared" si="22"/>
        <v>535843016.40212035</v>
      </c>
      <c r="M95" s="34">
        <f t="shared" si="5"/>
        <v>33758110.033333585</v>
      </c>
      <c r="N95" s="34">
        <f t="shared" si="6"/>
        <v>0</v>
      </c>
      <c r="O95" s="34">
        <f t="shared" si="7"/>
        <v>33758110.033333585</v>
      </c>
      <c r="P95" s="34">
        <f t="shared" ref="P95:P184" si="25">O95*$P$5</f>
        <v>3375811.0033333586</v>
      </c>
      <c r="Q95" s="38">
        <f t="shared" si="8"/>
        <v>30230387.534850225</v>
      </c>
      <c r="R95" s="39">
        <f t="shared" si="16"/>
        <v>3023050.7525998317</v>
      </c>
      <c r="S95" s="34">
        <f t="shared" si="17"/>
        <v>27207456.773398481</v>
      </c>
      <c r="T95" s="40">
        <f t="shared" si="24"/>
        <v>10068737215.208549</v>
      </c>
      <c r="U95" s="272">
        <f t="shared" si="9"/>
        <v>2.145751974709861E-6</v>
      </c>
      <c r="V95" s="282">
        <f t="shared" si="10"/>
        <v>104.942685727038</v>
      </c>
      <c r="W95" s="283">
        <f>((S95+'Malawi-only'!S95)/(T95*(U95+'Malawi-only'!U95))/12)</f>
        <v>7.036263597571712</v>
      </c>
      <c r="X95" s="284">
        <f>(R95+'Malawi-only'!R95)</f>
        <v>2272105770.476162</v>
      </c>
      <c r="Y95" s="284">
        <f>(L95+'Malawi-only'!L95)</f>
        <v>80938146456.929626</v>
      </c>
      <c r="Z95" s="284">
        <f>(Q95+'Malawi-only'!Q95)</f>
        <v>4568395826.9819746</v>
      </c>
    </row>
    <row r="96" spans="1:26" ht="15.75" customHeight="1">
      <c r="A96" s="31" t="s">
        <v>129</v>
      </c>
      <c r="B96" s="32">
        <v>2112</v>
      </c>
      <c r="C96" s="334">
        <f t="shared" si="11"/>
        <v>8.3858954635246003E-9</v>
      </c>
      <c r="D96" s="334">
        <f t="shared" si="20"/>
        <v>8.3858954635246003E-9</v>
      </c>
      <c r="E96" s="34">
        <f t="shared" si="1"/>
        <v>0</v>
      </c>
      <c r="F96" s="42">
        <v>4000</v>
      </c>
      <c r="G96" s="34">
        <f t="shared" si="2"/>
        <v>33543.581854098396</v>
      </c>
      <c r="H96" s="34">
        <f t="shared" si="3"/>
        <v>33375.863944827906</v>
      </c>
      <c r="I96" s="35">
        <f t="shared" si="21"/>
        <v>1</v>
      </c>
      <c r="J96" s="36">
        <f t="shared" si="4"/>
        <v>33375.863944827906</v>
      </c>
      <c r="K96" s="34">
        <f t="shared" si="14"/>
        <v>457477396.21410596</v>
      </c>
      <c r="L96" s="37">
        <f t="shared" si="22"/>
        <v>538982577.16776395</v>
      </c>
      <c r="M96" s="34">
        <f t="shared" si="5"/>
        <v>33955902.361569129</v>
      </c>
      <c r="N96" s="34">
        <f t="shared" si="6"/>
        <v>0</v>
      </c>
      <c r="O96" s="34">
        <f t="shared" si="7"/>
        <v>33955902.361569129</v>
      </c>
      <c r="P96" s="34">
        <f t="shared" si="25"/>
        <v>3395590.236156913</v>
      </c>
      <c r="Q96" s="38">
        <f t="shared" si="8"/>
        <v>30407510.564785153</v>
      </c>
      <c r="R96" s="39">
        <f t="shared" si="16"/>
        <v>3023038.7534850226</v>
      </c>
      <c r="S96" s="34">
        <f t="shared" si="17"/>
        <v>27207348.781365201</v>
      </c>
      <c r="T96" s="40">
        <f t="shared" si="24"/>
        <v>10058668477.993341</v>
      </c>
      <c r="U96" s="272">
        <f t="shared" si="9"/>
        <v>2.145751974709861E-6</v>
      </c>
      <c r="V96" s="282">
        <f t="shared" si="10"/>
        <v>105.04731650427864</v>
      </c>
      <c r="W96" s="283">
        <f>((S96+'Malawi-only'!S96)/(T96*(U96+'Malawi-only'!U96))/12)</f>
        <v>7.084179610004167</v>
      </c>
      <c r="X96" s="284">
        <f>(R96+'Malawi-only'!R96)</f>
        <v>2285431367.3259439</v>
      </c>
      <c r="Y96" s="284">
        <f>(L96+'Malawi-only'!L96)</f>
        <v>81412850757.18924</v>
      </c>
      <c r="Z96" s="284">
        <f>(Q96+'Malawi-only'!Q96)</f>
        <v>4595224167.7097025</v>
      </c>
    </row>
    <row r="97" spans="1:26" ht="15.75" customHeight="1">
      <c r="A97" s="31" t="s">
        <v>130</v>
      </c>
      <c r="B97" s="32">
        <v>2113</v>
      </c>
      <c r="C97" s="334">
        <f t="shared" si="11"/>
        <v>7.5473059171721401E-9</v>
      </c>
      <c r="D97" s="334">
        <f t="shared" si="20"/>
        <v>7.5473059171721401E-9</v>
      </c>
      <c r="E97" s="34">
        <f t="shared" si="1"/>
        <v>0</v>
      </c>
      <c r="F97" s="42">
        <v>4000</v>
      </c>
      <c r="G97" s="34">
        <f t="shared" si="2"/>
        <v>30189.223668688559</v>
      </c>
      <c r="H97" s="34">
        <f t="shared" si="3"/>
        <v>30038.277550345116</v>
      </c>
      <c r="I97" s="35">
        <f t="shared" si="21"/>
        <v>1</v>
      </c>
      <c r="J97" s="36">
        <f t="shared" si="4"/>
        <v>30038.277550345116</v>
      </c>
      <c r="K97" s="34">
        <f t="shared" si="14"/>
        <v>457507434.4916563</v>
      </c>
      <c r="L97" s="37">
        <f t="shared" si="22"/>
        <v>542137001.57863057</v>
      </c>
      <c r="M97" s="34">
        <f t="shared" si="5"/>
        <v>34154631.099453725</v>
      </c>
      <c r="N97" s="34">
        <f t="shared" si="6"/>
        <v>0</v>
      </c>
      <c r="O97" s="34">
        <f t="shared" si="7"/>
        <v>34154631.099453725</v>
      </c>
      <c r="P97" s="34">
        <f t="shared" si="25"/>
        <v>3415463.1099453727</v>
      </c>
      <c r="Q97" s="38">
        <f t="shared" si="8"/>
        <v>30585472.149560813</v>
      </c>
      <c r="R97" s="39">
        <f t="shared" si="16"/>
        <v>3040751.0564785153</v>
      </c>
      <c r="S97" s="34">
        <f t="shared" si="17"/>
        <v>27366759.508306637</v>
      </c>
      <c r="T97" s="40">
        <f t="shared" si="24"/>
        <v>10048609809.515348</v>
      </c>
      <c r="U97" s="272">
        <f t="shared" si="9"/>
        <v>2.145751974709861E-6</v>
      </c>
      <c r="V97" s="282">
        <f t="shared" si="10"/>
        <v>105.76856838276858</v>
      </c>
      <c r="W97" s="283">
        <f>((S97+'Malawi-only'!S97)/(T97*(U97+'Malawi-only'!U97))/12)</f>
        <v>7.1328611480244604</v>
      </c>
      <c r="X97" s="284">
        <f>(R97+'Malawi-only'!R97)</f>
        <v>2298835552.9366112</v>
      </c>
      <c r="Y97" s="284">
        <f>(L97+'Malawi-only'!L97)</f>
        <v>81889784297.5383</v>
      </c>
      <c r="Z97" s="284">
        <f>(Q97+'Malawi-only'!Q97)</f>
        <v>4622175075.9098263</v>
      </c>
    </row>
    <row r="98" spans="1:26" ht="15.75" customHeight="1">
      <c r="A98" s="31" t="s">
        <v>131</v>
      </c>
      <c r="B98" s="32">
        <v>2114</v>
      </c>
      <c r="C98" s="334">
        <f t="shared" si="11"/>
        <v>6.7925753254549261E-9</v>
      </c>
      <c r="D98" s="334">
        <f t="shared" si="20"/>
        <v>6.7925753254549261E-9</v>
      </c>
      <c r="E98" s="34">
        <f t="shared" si="1"/>
        <v>0</v>
      </c>
      <c r="F98" s="42">
        <v>4000</v>
      </c>
      <c r="G98" s="34">
        <f t="shared" si="2"/>
        <v>27170.301301819705</v>
      </c>
      <c r="H98" s="34">
        <f t="shared" si="3"/>
        <v>27034.449795310607</v>
      </c>
      <c r="I98" s="35">
        <f t="shared" si="21"/>
        <v>1</v>
      </c>
      <c r="J98" s="36">
        <f t="shared" si="4"/>
        <v>27034.449795310607</v>
      </c>
      <c r="K98" s="34">
        <f t="shared" si="14"/>
        <v>457534468.94145161</v>
      </c>
      <c r="L98" s="37">
        <f t="shared" si="22"/>
        <v>545306709.38880217</v>
      </c>
      <c r="M98" s="34">
        <f t="shared" si="5"/>
        <v>34354322.691494539</v>
      </c>
      <c r="N98" s="34">
        <f t="shared" si="6"/>
        <v>0</v>
      </c>
      <c r="O98" s="34">
        <f t="shared" si="7"/>
        <v>34354322.691494539</v>
      </c>
      <c r="P98" s="34">
        <f t="shared" si="25"/>
        <v>3435432.2691494543</v>
      </c>
      <c r="Q98" s="38">
        <f t="shared" si="8"/>
        <v>30764295.970233362</v>
      </c>
      <c r="R98" s="39">
        <f t="shared" si="16"/>
        <v>3058547.2149560815</v>
      </c>
      <c r="S98" s="34">
        <f t="shared" si="17"/>
        <v>27526924.93460473</v>
      </c>
      <c r="T98" s="40">
        <f t="shared" si="24"/>
        <v>10038561199.705833</v>
      </c>
      <c r="U98" s="272">
        <f t="shared" si="9"/>
        <v>2.145751974709861E-6</v>
      </c>
      <c r="V98" s="282">
        <f t="shared" si="10"/>
        <v>106.49407867484723</v>
      </c>
      <c r="W98" s="283">
        <f>((S98+'Malawi-only'!S98)/(T98*(U98+'Malawi-only'!U98))/12)</f>
        <v>7.181828562388632</v>
      </c>
      <c r="X98" s="284">
        <f>(R98+'Malawi-only'!R98)</f>
        <v>2312302682.6819167</v>
      </c>
      <c r="Y98" s="284">
        <f>(L98+'Malawi-only'!L98)</f>
        <v>82369012425.165161</v>
      </c>
      <c r="Z98" s="284">
        <f>(Q98+'Malawi-only'!Q98)</f>
        <v>4649252566.9041538</v>
      </c>
    </row>
    <row r="99" spans="1:26" ht="15.75" customHeight="1">
      <c r="A99" s="31" t="s">
        <v>132</v>
      </c>
      <c r="B99" s="32">
        <v>2115</v>
      </c>
      <c r="C99" s="334">
        <f t="shared" si="11"/>
        <v>6.1133177929094337E-9</v>
      </c>
      <c r="D99" s="334">
        <f t="shared" si="20"/>
        <v>6.1133177929094337E-9</v>
      </c>
      <c r="E99" s="34">
        <f t="shared" si="1"/>
        <v>0</v>
      </c>
      <c r="F99" s="42">
        <v>4000</v>
      </c>
      <c r="G99" s="34">
        <f t="shared" si="2"/>
        <v>24453.271171637734</v>
      </c>
      <c r="H99" s="34">
        <f t="shared" si="3"/>
        <v>24331.004815779546</v>
      </c>
      <c r="I99" s="35">
        <f t="shared" si="21"/>
        <v>1</v>
      </c>
      <c r="J99" s="36">
        <f t="shared" si="4"/>
        <v>24331.004815779546</v>
      </c>
      <c r="K99" s="34">
        <f t="shared" si="14"/>
        <v>457558799.94626737</v>
      </c>
      <c r="L99" s="37">
        <f t="shared" si="22"/>
        <v>548492089.42643607</v>
      </c>
      <c r="M99" s="34">
        <f t="shared" si="5"/>
        <v>34555001.633865476</v>
      </c>
      <c r="N99" s="34">
        <f t="shared" si="6"/>
        <v>0</v>
      </c>
      <c r="O99" s="34">
        <f t="shared" si="7"/>
        <v>34555001.633865476</v>
      </c>
      <c r="P99" s="34">
        <f t="shared" si="25"/>
        <v>3455500.1633865479</v>
      </c>
      <c r="Q99" s="38">
        <f t="shared" si="8"/>
        <v>30944003.963126536</v>
      </c>
      <c r="R99" s="39">
        <f t="shared" si="16"/>
        <v>3076429.5970233362</v>
      </c>
      <c r="S99" s="34">
        <f t="shared" si="17"/>
        <v>27687866.373210028</v>
      </c>
      <c r="T99" s="40">
        <f t="shared" si="24"/>
        <v>10028522638.506128</v>
      </c>
      <c r="U99" s="272">
        <f t="shared" si="9"/>
        <v>2.145751974709861E-6</v>
      </c>
      <c r="V99" s="282">
        <f t="shared" si="10"/>
        <v>107.2239406422794</v>
      </c>
      <c r="W99" s="283">
        <f>((S99+'Malawi-only'!S99)/(T99*(U99+'Malawi-only'!U99))/12)</f>
        <v>7.2310883082269983</v>
      </c>
      <c r="X99" s="284">
        <f>(R99+'Malawi-only'!R99)</f>
        <v>2325834602.0477672</v>
      </c>
      <c r="Y99" s="284">
        <f>(L99+'Malawi-only'!L99)</f>
        <v>82850595624.588272</v>
      </c>
      <c r="Z99" s="284">
        <f>(Q99+'Malawi-only'!Q99)</f>
        <v>4676460348.8646135</v>
      </c>
    </row>
    <row r="100" spans="1:26" ht="15.75" customHeight="1">
      <c r="A100" s="31" t="s">
        <v>133</v>
      </c>
      <c r="B100" s="32">
        <v>2116</v>
      </c>
      <c r="C100" s="334">
        <f t="shared" si="11"/>
        <v>5.5019860136184906E-9</v>
      </c>
      <c r="D100" s="334">
        <f t="shared" si="20"/>
        <v>5.5019860136184906E-9</v>
      </c>
      <c r="E100" s="34">
        <f t="shared" si="1"/>
        <v>0</v>
      </c>
      <c r="F100" s="42">
        <v>4000</v>
      </c>
      <c r="G100" s="34">
        <f t="shared" si="2"/>
        <v>22007.944054473963</v>
      </c>
      <c r="H100" s="34">
        <f t="shared" si="3"/>
        <v>21897.904334201594</v>
      </c>
      <c r="I100" s="35">
        <f t="shared" si="21"/>
        <v>1</v>
      </c>
      <c r="J100" s="36">
        <f t="shared" si="4"/>
        <v>21897.904334201594</v>
      </c>
      <c r="K100" s="34">
        <f t="shared" si="14"/>
        <v>457580697.85060155</v>
      </c>
      <c r="L100" s="37">
        <f t="shared" si="22"/>
        <v>551693502.75040984</v>
      </c>
      <c r="M100" s="34">
        <f t="shared" si="5"/>
        <v>34756690.673275821</v>
      </c>
      <c r="N100" s="34">
        <f t="shared" si="6"/>
        <v>0</v>
      </c>
      <c r="O100" s="34">
        <f t="shared" si="7"/>
        <v>34756690.673275821</v>
      </c>
      <c r="P100" s="34">
        <f t="shared" si="25"/>
        <v>3475669.0673275823</v>
      </c>
      <c r="Q100" s="38">
        <f t="shared" si="8"/>
        <v>31124616.497918498</v>
      </c>
      <c r="R100" s="39">
        <f t="shared" si="16"/>
        <v>3094400.396312654</v>
      </c>
      <c r="S100" s="34">
        <f t="shared" si="17"/>
        <v>27849603.566813882</v>
      </c>
      <c r="T100" s="40">
        <f t="shared" si="24"/>
        <v>10018494115.867622</v>
      </c>
      <c r="U100" s="272">
        <f t="shared" si="9"/>
        <v>2.145751974709861E-6</v>
      </c>
      <c r="V100" s="282">
        <f t="shared" si="10"/>
        <v>107.95824181036913</v>
      </c>
      <c r="W100" s="283">
        <f>((S100+'Malawi-only'!S100)/(T100*(U100+'Malawi-only'!U100))/12)</f>
        <v>7.2806464377571016</v>
      </c>
      <c r="X100" s="284">
        <f>(R100+'Malawi-only'!R100)</f>
        <v>2339433019.1851892</v>
      </c>
      <c r="Y100" s="284">
        <f>(L100+'Malawi-only'!L100)</f>
        <v>83334590013.621597</v>
      </c>
      <c r="Z100" s="284">
        <f>(Q100+'Malawi-only'!Q100)</f>
        <v>4703801854.0756712</v>
      </c>
    </row>
    <row r="101" spans="1:26" ht="15.75" customHeight="1">
      <c r="A101" s="31" t="s">
        <v>134</v>
      </c>
      <c r="B101" s="32">
        <v>2117</v>
      </c>
      <c r="C101" s="334">
        <f t="shared" si="11"/>
        <v>4.9517874122566415E-9</v>
      </c>
      <c r="D101" s="334">
        <f t="shared" si="20"/>
        <v>4.9517874122566415E-9</v>
      </c>
      <c r="E101" s="34">
        <f t="shared" si="1"/>
        <v>0</v>
      </c>
      <c r="F101" s="42">
        <v>4000</v>
      </c>
      <c r="G101" s="34">
        <f t="shared" si="2"/>
        <v>19807.149649026567</v>
      </c>
      <c r="H101" s="34">
        <f t="shared" si="3"/>
        <v>19708.113900781434</v>
      </c>
      <c r="I101" s="35">
        <f t="shared" si="21"/>
        <v>1</v>
      </c>
      <c r="J101" s="36">
        <f t="shared" si="4"/>
        <v>19708.113900781434</v>
      </c>
      <c r="K101" s="34">
        <f t="shared" si="14"/>
        <v>457600405.96450233</v>
      </c>
      <c r="L101" s="37">
        <f t="shared" si="22"/>
        <v>554911285.4916724</v>
      </c>
      <c r="M101" s="34">
        <f t="shared" si="5"/>
        <v>34959410.985975362</v>
      </c>
      <c r="N101" s="34">
        <f t="shared" si="6"/>
        <v>0</v>
      </c>
      <c r="O101" s="34">
        <f t="shared" si="7"/>
        <v>34959410.985975362</v>
      </c>
      <c r="P101" s="34">
        <f t="shared" si="25"/>
        <v>3495941.0985975363</v>
      </c>
      <c r="Q101" s="38">
        <f t="shared" si="8"/>
        <v>31306152.537940934</v>
      </c>
      <c r="R101" s="39">
        <f t="shared" si="16"/>
        <v>3112461.6497918498</v>
      </c>
      <c r="S101" s="34">
        <f t="shared" si="17"/>
        <v>28012154.84812665</v>
      </c>
      <c r="T101" s="40">
        <f t="shared" si="24"/>
        <v>10008475621.751757</v>
      </c>
      <c r="U101" s="272">
        <f t="shared" si="9"/>
        <v>2.145751974709861E-6</v>
      </c>
      <c r="V101" s="282">
        <f t="shared" si="10"/>
        <v>108.69706456028962</v>
      </c>
      <c r="W101" s="283">
        <f>((S101+'Malawi-only'!S101)/(T101*(U101+'Malawi-only'!U101))/12)</f>
        <v>7.3305086418238128</v>
      </c>
      <c r="X101" s="284">
        <f>(R101+'Malawi-only'!R101)</f>
        <v>2353099518.9176707</v>
      </c>
      <c r="Y101" s="284">
        <f>(L101+'Malawi-only'!L101)</f>
        <v>83821047789.799561</v>
      </c>
      <c r="Z101" s="284">
        <f>(Q101+'Malawi-only'!Q101)</f>
        <v>4731280267.073699</v>
      </c>
    </row>
    <row r="102" spans="1:26" ht="15.75" customHeight="1">
      <c r="A102" s="31" t="s">
        <v>135</v>
      </c>
      <c r="B102" s="32">
        <v>2118</v>
      </c>
      <c r="C102" s="334">
        <f t="shared" si="11"/>
        <v>4.4566086710309777E-9</v>
      </c>
      <c r="D102" s="334">
        <f t="shared" si="20"/>
        <v>4.4566086710309777E-9</v>
      </c>
      <c r="E102" s="34">
        <f t="shared" si="1"/>
        <v>0</v>
      </c>
      <c r="F102" s="42">
        <v>4000</v>
      </c>
      <c r="G102" s="34">
        <f t="shared" si="2"/>
        <v>17826.434684123909</v>
      </c>
      <c r="H102" s="34">
        <f t="shared" si="3"/>
        <v>17737.302510703288</v>
      </c>
      <c r="I102" s="35">
        <f t="shared" si="21"/>
        <v>1</v>
      </c>
      <c r="J102" s="36">
        <f t="shared" si="4"/>
        <v>17737.302510703288</v>
      </c>
      <c r="K102" s="34">
        <f t="shared" si="14"/>
        <v>457618143.26701301</v>
      </c>
      <c r="L102" s="37">
        <f t="shared" si="22"/>
        <v>558145751.41083431</v>
      </c>
      <c r="M102" s="34">
        <f t="shared" si="5"/>
        <v>35163182.338882565</v>
      </c>
      <c r="N102" s="34">
        <f t="shared" si="6"/>
        <v>0</v>
      </c>
      <c r="O102" s="34">
        <f t="shared" si="7"/>
        <v>35163182.338882565</v>
      </c>
      <c r="P102" s="34">
        <f t="shared" si="25"/>
        <v>3516318.2338882568</v>
      </c>
      <c r="Q102" s="38">
        <f t="shared" si="8"/>
        <v>31488629.784469336</v>
      </c>
      <c r="R102" s="39">
        <f t="shared" si="16"/>
        <v>3130615.2537940936</v>
      </c>
      <c r="S102" s="34">
        <f t="shared" si="17"/>
        <v>28175537.284146842</v>
      </c>
      <c r="T102" s="40">
        <f t="shared" si="24"/>
        <v>9998467146.1300068</v>
      </c>
      <c r="U102" s="272">
        <f t="shared" si="9"/>
        <v>2.145751974709861E-6</v>
      </c>
      <c r="V102" s="282">
        <f t="shared" si="10"/>
        <v>109.44048666287559</v>
      </c>
      <c r="W102" s="283">
        <f>((S102+'Malawi-only'!S102)/(T102*(U102+'Malawi-only'!U102))/12)</f>
        <v>7.3806802873338242</v>
      </c>
      <c r="X102" s="284">
        <f>(R102+'Malawi-only'!R102)</f>
        <v>2366835575.3493586</v>
      </c>
      <c r="Y102" s="284">
        <f>(L102+'Malawi-only'!L102)</f>
        <v>84310017632.216232</v>
      </c>
      <c r="Z102" s="284">
        <f>(Q102+'Malawi-only'!Q102)</f>
        <v>4758898549.9755983</v>
      </c>
    </row>
    <row r="103" spans="1:26" ht="15.75" customHeight="1">
      <c r="A103" s="31" t="s">
        <v>136</v>
      </c>
      <c r="B103" s="32">
        <v>2119</v>
      </c>
      <c r="C103" s="334">
        <f t="shared" si="11"/>
        <v>4.0109478039278798E-9</v>
      </c>
      <c r="D103" s="334">
        <f t="shared" si="20"/>
        <v>4.0109478039278798E-9</v>
      </c>
      <c r="E103" s="34">
        <f t="shared" si="1"/>
        <v>0</v>
      </c>
      <c r="F103" s="42">
        <v>4000</v>
      </c>
      <c r="G103" s="34">
        <f t="shared" si="2"/>
        <v>16043.791215711519</v>
      </c>
      <c r="H103" s="34">
        <f t="shared" si="3"/>
        <v>15963.572259632962</v>
      </c>
      <c r="I103" s="35">
        <f t="shared" si="21"/>
        <v>1</v>
      </c>
      <c r="J103" s="36">
        <f t="shared" si="4"/>
        <v>15963.572259632962</v>
      </c>
      <c r="K103" s="34">
        <f t="shared" si="14"/>
        <v>457634106.83927262</v>
      </c>
      <c r="L103" s="37">
        <f t="shared" si="22"/>
        <v>561397194.20037377</v>
      </c>
      <c r="M103" s="34">
        <f t="shared" si="5"/>
        <v>35368023.234623551</v>
      </c>
      <c r="N103" s="34">
        <f t="shared" si="6"/>
        <v>0</v>
      </c>
      <c r="O103" s="34">
        <f t="shared" si="7"/>
        <v>35368023.234623551</v>
      </c>
      <c r="P103" s="34">
        <f t="shared" si="25"/>
        <v>3536802.3234623554</v>
      </c>
      <c r="Q103" s="38">
        <f t="shared" si="8"/>
        <v>31672064.806605391</v>
      </c>
      <c r="R103" s="39">
        <f t="shared" si="16"/>
        <v>3148862.9784469339</v>
      </c>
      <c r="S103" s="34">
        <f t="shared" si="17"/>
        <v>28339766.806022402</v>
      </c>
      <c r="T103" s="40">
        <f t="shared" si="24"/>
        <v>9988468678.9838772</v>
      </c>
      <c r="U103" s="272">
        <f t="shared" si="9"/>
        <v>2.145751974709861E-6</v>
      </c>
      <c r="V103" s="282">
        <f t="shared" si="10"/>
        <v>110.18858175968104</v>
      </c>
      <c r="W103" s="283">
        <f>((S103+'Malawi-only'!S103)/(T103*(U103+'Malawi-only'!U103))/12)</f>
        <v>7.4311664509914515</v>
      </c>
      <c r="X103" s="284">
        <f>(R103+'Malawi-only'!R103)</f>
        <v>2380642563.2140279</v>
      </c>
      <c r="Y103" s="284">
        <f>(L103+'Malawi-only'!L103)</f>
        <v>84801545063.237396</v>
      </c>
      <c r="Z103" s="284">
        <f>(Q103+'Malawi-only'!Q103)</f>
        <v>4786659465.2777672</v>
      </c>
    </row>
    <row r="104" spans="1:26" ht="15.75" customHeight="1">
      <c r="A104" s="31" t="s">
        <v>137</v>
      </c>
      <c r="B104" s="32">
        <v>2120</v>
      </c>
      <c r="C104" s="334">
        <f t="shared" si="11"/>
        <v>3.6098530235350917E-9</v>
      </c>
      <c r="D104" s="334">
        <f t="shared" si="20"/>
        <v>3.6098530235350917E-9</v>
      </c>
      <c r="E104" s="34">
        <f t="shared" si="1"/>
        <v>0</v>
      </c>
      <c r="F104" s="42">
        <v>4000</v>
      </c>
      <c r="G104" s="34">
        <f t="shared" si="2"/>
        <v>14439.412094140367</v>
      </c>
      <c r="H104" s="34">
        <f t="shared" si="3"/>
        <v>14367.215033669665</v>
      </c>
      <c r="I104" s="35">
        <f t="shared" si="21"/>
        <v>1</v>
      </c>
      <c r="J104" s="36">
        <f t="shared" si="4"/>
        <v>14367.215033669665</v>
      </c>
      <c r="K104" s="34">
        <f t="shared" si="14"/>
        <v>457648474.05430627</v>
      </c>
      <c r="L104" s="37">
        <f t="shared" si="22"/>
        <v>564665889.5570004</v>
      </c>
      <c r="M104" s="34">
        <f t="shared" si="5"/>
        <v>35573951.042091027</v>
      </c>
      <c r="N104" s="34">
        <f t="shared" si="6"/>
        <v>0</v>
      </c>
      <c r="O104" s="34">
        <f t="shared" si="7"/>
        <v>35573951.042091027</v>
      </c>
      <c r="P104" s="34">
        <f t="shared" si="25"/>
        <v>3557395.1042091027</v>
      </c>
      <c r="Q104" s="38">
        <f t="shared" si="8"/>
        <v>31856473.158192515</v>
      </c>
      <c r="R104" s="39">
        <f t="shared" si="16"/>
        <v>3167206.4806605391</v>
      </c>
      <c r="S104" s="34">
        <f t="shared" si="17"/>
        <v>28504858.325944852</v>
      </c>
      <c r="T104" s="40">
        <f t="shared" si="24"/>
        <v>9978480210.3048935</v>
      </c>
      <c r="U104" s="272">
        <f t="shared" si="9"/>
        <v>2.145751974709861E-6</v>
      </c>
      <c r="V104" s="282">
        <f t="shared" si="10"/>
        <v>110.94141979652876</v>
      </c>
      <c r="W104" s="283">
        <f>((S104+'Malawi-only'!S104)/(T104*(U104+'Malawi-only'!U104))/12)</f>
        <v>7.481971949702376</v>
      </c>
      <c r="X104" s="284">
        <f>(R104+'Malawi-only'!R104)</f>
        <v>2394521768.0907683</v>
      </c>
      <c r="Y104" s="284">
        <f>(L104+'Malawi-only'!L104)</f>
        <v>85295672774.098618</v>
      </c>
      <c r="Z104" s="284">
        <f>(Q104+'Malawi-only'!Q104)</f>
        <v>4814565596.3784084</v>
      </c>
    </row>
    <row r="105" spans="1:26" ht="15.75" customHeight="1">
      <c r="A105" s="31" t="s">
        <v>138</v>
      </c>
      <c r="B105" s="32">
        <v>2121</v>
      </c>
      <c r="C105" s="334">
        <f t="shared" si="11"/>
        <v>3.2488677211815828E-9</v>
      </c>
      <c r="D105" s="334">
        <f t="shared" si="20"/>
        <v>3.2488677211815828E-9</v>
      </c>
      <c r="E105" s="34">
        <f t="shared" si="1"/>
        <v>0</v>
      </c>
      <c r="F105" s="42">
        <v>4000</v>
      </c>
      <c r="G105" s="34">
        <f t="shared" si="2"/>
        <v>12995.47088472633</v>
      </c>
      <c r="H105" s="34">
        <f t="shared" si="3"/>
        <v>12930.493530302698</v>
      </c>
      <c r="I105" s="35">
        <f t="shared" si="21"/>
        <v>1</v>
      </c>
      <c r="J105" s="36">
        <f t="shared" si="4"/>
        <v>12930.493530302698</v>
      </c>
      <c r="K105" s="34">
        <f t="shared" si="14"/>
        <v>457661404.54783654</v>
      </c>
      <c r="L105" s="37">
        <f t="shared" si="22"/>
        <v>567952097.04716241</v>
      </c>
      <c r="M105" s="34">
        <f t="shared" si="5"/>
        <v>35780982.113971233</v>
      </c>
      <c r="N105" s="34">
        <f t="shared" si="6"/>
        <v>0</v>
      </c>
      <c r="O105" s="34">
        <f t="shared" si="7"/>
        <v>35780982.113971233</v>
      </c>
      <c r="P105" s="34">
        <f t="shared" si="25"/>
        <v>3578098.2113971235</v>
      </c>
      <c r="Q105" s="38">
        <f t="shared" si="8"/>
        <v>32041869.483061239</v>
      </c>
      <c r="R105" s="39">
        <f t="shared" si="16"/>
        <v>3185647.3158192518</v>
      </c>
      <c r="S105" s="34">
        <f t="shared" si="17"/>
        <v>28670825.842373263</v>
      </c>
      <c r="T105" s="40">
        <f t="shared" si="24"/>
        <v>9968501730.0945892</v>
      </c>
      <c r="U105" s="272">
        <f t="shared" si="9"/>
        <v>2.145751974709861E-6</v>
      </c>
      <c r="V105" s="282">
        <f t="shared" si="10"/>
        <v>111.69906741426128</v>
      </c>
      <c r="W105" s="283">
        <f>((S105+'Malawi-only'!S105)/(T105*(U105+'Malawi-only'!U105))/12)</f>
        <v>7.5331013679755836</v>
      </c>
      <c r="X105" s="284">
        <f>(R105+'Malawi-only'!R105)</f>
        <v>2408474395.5997109</v>
      </c>
      <c r="Y105" s="284">
        <f>(L105+'Malawi-only'!L105)</f>
        <v>85792440918.001266</v>
      </c>
      <c r="Z105" s="284">
        <f>(Q105+'Malawi-only'!Q105)</f>
        <v>4842619366.0508442</v>
      </c>
    </row>
    <row r="106" spans="1:26" ht="15.75" customHeight="1">
      <c r="A106" s="31" t="s">
        <v>139</v>
      </c>
      <c r="B106" s="32">
        <v>2122</v>
      </c>
      <c r="C106" s="334">
        <f t="shared" si="11"/>
        <v>2.9239809490634247E-9</v>
      </c>
      <c r="D106" s="334">
        <f t="shared" si="20"/>
        <v>2.9239809490634247E-9</v>
      </c>
      <c r="E106" s="34">
        <f t="shared" si="1"/>
        <v>0</v>
      </c>
      <c r="F106" s="42">
        <v>4000</v>
      </c>
      <c r="G106" s="34">
        <f t="shared" si="2"/>
        <v>11695.923796253699</v>
      </c>
      <c r="H106" s="34">
        <f t="shared" si="3"/>
        <v>11637.444177272431</v>
      </c>
      <c r="I106" s="35">
        <f t="shared" si="21"/>
        <v>1</v>
      </c>
      <c r="J106" s="36">
        <f t="shared" si="4"/>
        <v>11637.444177272431</v>
      </c>
      <c r="K106" s="34">
        <f t="shared" si="14"/>
        <v>457673041.99201381</v>
      </c>
      <c r="L106" s="37">
        <f t="shared" si="22"/>
        <v>571256061.78638554</v>
      </c>
      <c r="M106" s="34">
        <f t="shared" si="5"/>
        <v>35989131.892542288</v>
      </c>
      <c r="N106" s="34">
        <f t="shared" si="6"/>
        <v>0</v>
      </c>
      <c r="O106" s="34">
        <f t="shared" si="7"/>
        <v>35989131.892542288</v>
      </c>
      <c r="P106" s="34">
        <f t="shared" si="25"/>
        <v>3598913.189254229</v>
      </c>
      <c r="Q106" s="38">
        <f t="shared" si="8"/>
        <v>32228267.60977162</v>
      </c>
      <c r="R106" s="39">
        <f t="shared" si="16"/>
        <v>3204186.9483061242</v>
      </c>
      <c r="S106" s="34">
        <f t="shared" si="17"/>
        <v>28837682.534755114</v>
      </c>
      <c r="T106" s="40">
        <f t="shared" si="24"/>
        <v>9958533228.3644962</v>
      </c>
      <c r="U106" s="272">
        <f t="shared" si="9"/>
        <v>2.145751974709861E-6</v>
      </c>
      <c r="V106" s="282">
        <f t="shared" si="10"/>
        <v>112.46158830093567</v>
      </c>
      <c r="W106" s="283">
        <f>((S106+'Malawi-only'!S106)/(T106*(U106+'Malawi-only'!U106))/12)</f>
        <v>7.5845590826211193</v>
      </c>
      <c r="X106" s="284">
        <f>(R106+'Malawi-only'!R106)</f>
        <v>2422501579.6798177</v>
      </c>
      <c r="Y106" s="284">
        <f>(L106+'Malawi-only'!L106)</f>
        <v>86291887373.956619</v>
      </c>
      <c r="Z106" s="284">
        <f>(Q106+'Malawi-only'!Q106)</f>
        <v>4870823053.0727949</v>
      </c>
    </row>
    <row r="107" spans="1:26" ht="15.75" customHeight="1">
      <c r="A107" s="31" t="s">
        <v>140</v>
      </c>
      <c r="B107" s="32">
        <v>2123</v>
      </c>
      <c r="C107" s="334">
        <f t="shared" si="11"/>
        <v>2.6315828541570824E-9</v>
      </c>
      <c r="D107" s="334">
        <f t="shared" si="20"/>
        <v>2.6315828541570824E-9</v>
      </c>
      <c r="E107" s="34">
        <f t="shared" si="1"/>
        <v>0</v>
      </c>
      <c r="F107" s="42">
        <v>4000</v>
      </c>
      <c r="G107" s="34">
        <f t="shared" si="2"/>
        <v>10526.331416628329</v>
      </c>
      <c r="H107" s="34">
        <f t="shared" si="3"/>
        <v>10473.699759545187</v>
      </c>
      <c r="I107" s="35">
        <f t="shared" si="21"/>
        <v>1</v>
      </c>
      <c r="J107" s="36">
        <f t="shared" si="4"/>
        <v>10473.699759545187</v>
      </c>
      <c r="K107" s="34">
        <f t="shared" si="14"/>
        <v>457683515.69177336</v>
      </c>
      <c r="L107" s="37">
        <f t="shared" si="22"/>
        <v>574578015.95106173</v>
      </c>
      <c r="M107" s="34">
        <f t="shared" si="5"/>
        <v>36198415.004916891</v>
      </c>
      <c r="N107" s="34">
        <f t="shared" si="6"/>
        <v>0</v>
      </c>
      <c r="O107" s="34">
        <f t="shared" si="7"/>
        <v>36198415.004916891</v>
      </c>
      <c r="P107" s="34">
        <f t="shared" si="25"/>
        <v>3619841.5004916894</v>
      </c>
      <c r="Q107" s="38">
        <f t="shared" si="8"/>
        <v>32415680.636903074</v>
      </c>
      <c r="R107" s="39">
        <f t="shared" si="16"/>
        <v>3222826.760977162</v>
      </c>
      <c r="S107" s="34">
        <f t="shared" si="17"/>
        <v>29005440.84879446</v>
      </c>
      <c r="T107" s="40">
        <f t="shared" si="24"/>
        <v>9948574695.1361332</v>
      </c>
      <c r="U107" s="272">
        <f t="shared" si="9"/>
        <v>2.145751974709861E-6</v>
      </c>
      <c r="V107" s="282">
        <f t="shared" si="10"/>
        <v>113.22904350928376</v>
      </c>
      <c r="W107" s="283">
        <f>((S107+'Malawi-only'!S107)/(T107*(U107+'Malawi-only'!U107))/12)</f>
        <v>7.6363492850115895</v>
      </c>
      <c r="X107" s="284">
        <f>(R107+'Malawi-only'!R107)</f>
        <v>2436604390.0405126</v>
      </c>
      <c r="Y107" s="284">
        <f>(L107+'Malawi-only'!L107)</f>
        <v>86794047984.303879</v>
      </c>
      <c r="Z107" s="284">
        <f>(Q107+'Malawi-only'!Q107)</f>
        <v>4899178807.1959734</v>
      </c>
    </row>
    <row r="108" spans="1:26" ht="15.75" customHeight="1">
      <c r="A108" s="31" t="s">
        <v>141</v>
      </c>
      <c r="B108" s="32">
        <v>2124</v>
      </c>
      <c r="C108" s="334">
        <f t="shared" si="11"/>
        <v>2.3684245687413742E-9</v>
      </c>
      <c r="D108" s="334">
        <f t="shared" si="20"/>
        <v>2.3684245687413742E-9</v>
      </c>
      <c r="E108" s="34">
        <f t="shared" si="1"/>
        <v>0</v>
      </c>
      <c r="F108" s="42">
        <v>4000</v>
      </c>
      <c r="G108" s="34">
        <f t="shared" si="2"/>
        <v>9473.6982749654981</v>
      </c>
      <c r="H108" s="34">
        <f t="shared" si="3"/>
        <v>9426.3297835906706</v>
      </c>
      <c r="I108" s="35">
        <f t="shared" si="21"/>
        <v>1</v>
      </c>
      <c r="J108" s="36">
        <f t="shared" si="4"/>
        <v>9426.3297835906706</v>
      </c>
      <c r="K108" s="34">
        <f t="shared" si="14"/>
        <v>457692942.02155697</v>
      </c>
      <c r="L108" s="37">
        <f t="shared" si="22"/>
        <v>577918180.13944638</v>
      </c>
      <c r="M108" s="34">
        <f t="shared" si="5"/>
        <v>36408845.348785125</v>
      </c>
      <c r="N108" s="34">
        <f t="shared" si="6"/>
        <v>0</v>
      </c>
      <c r="O108" s="34">
        <f t="shared" si="7"/>
        <v>36408845.348785125</v>
      </c>
      <c r="P108" s="34">
        <f t="shared" si="25"/>
        <v>3640884.5348785128</v>
      </c>
      <c r="Q108" s="38">
        <f t="shared" si="8"/>
        <v>32604121.009837076</v>
      </c>
      <c r="R108" s="39">
        <f t="shared" si="16"/>
        <v>3241568.0636903076</v>
      </c>
      <c r="S108" s="34">
        <f t="shared" si="17"/>
        <v>29174112.573212765</v>
      </c>
      <c r="T108" s="40">
        <f t="shared" si="24"/>
        <v>9938626120.4409981</v>
      </c>
      <c r="U108" s="272">
        <f t="shared" si="9"/>
        <v>2.145751974709861E-6</v>
      </c>
      <c r="V108" s="282">
        <f t="shared" si="10"/>
        <v>114.00149174288127</v>
      </c>
      <c r="W108" s="283">
        <f>((S108+'Malawi-only'!S108)/(T108*(U108+'Malawi-only'!U108))/12)</f>
        <v>7.6884760011490769</v>
      </c>
      <c r="X108" s="284">
        <f>(R108+'Malawi-only'!R108)</f>
        <v>2450783838.8698106</v>
      </c>
      <c r="Y108" s="284">
        <f>(L108+'Malawi-only'!L108)</f>
        <v>87298956768.535034</v>
      </c>
      <c r="Z108" s="284">
        <f>(Q108+'Malawi-only'!Q108)</f>
        <v>4927688662.6220779</v>
      </c>
    </row>
    <row r="109" spans="1:26" ht="15.75" customHeight="1">
      <c r="A109" s="31" t="s">
        <v>142</v>
      </c>
      <c r="B109" s="32">
        <v>2125</v>
      </c>
      <c r="C109" s="334">
        <f t="shared" si="11"/>
        <v>2.1315821118672369E-9</v>
      </c>
      <c r="D109" s="334">
        <f t="shared" si="20"/>
        <v>2.1315821118672369E-9</v>
      </c>
      <c r="E109" s="34">
        <f t="shared" si="1"/>
        <v>0</v>
      </c>
      <c r="F109" s="42">
        <v>4000</v>
      </c>
      <c r="G109" s="34">
        <f t="shared" si="2"/>
        <v>8526.3284474689481</v>
      </c>
      <c r="H109" s="34">
        <f t="shared" si="3"/>
        <v>8483.6968052316024</v>
      </c>
      <c r="I109" s="35">
        <f t="shared" si="21"/>
        <v>1</v>
      </c>
      <c r="J109" s="36">
        <f t="shared" si="4"/>
        <v>8483.6968052316024</v>
      </c>
      <c r="K109" s="34">
        <f t="shared" si="14"/>
        <v>457701425.71836221</v>
      </c>
      <c r="L109" s="37">
        <f t="shared" si="22"/>
        <v>581276764.59694457</v>
      </c>
      <c r="M109" s="34">
        <f t="shared" si="5"/>
        <v>36620436.169607505</v>
      </c>
      <c r="N109" s="34">
        <f t="shared" si="6"/>
        <v>0</v>
      </c>
      <c r="O109" s="34">
        <f t="shared" si="7"/>
        <v>36620436.169607505</v>
      </c>
      <c r="P109" s="34">
        <f t="shared" si="25"/>
        <v>3662043.6169607509</v>
      </c>
      <c r="Q109" s="38">
        <f t="shared" si="8"/>
        <v>32793600.589883521</v>
      </c>
      <c r="R109" s="39">
        <f t="shared" si="16"/>
        <v>3260412.1009837077</v>
      </c>
      <c r="S109" s="34">
        <f t="shared" si="17"/>
        <v>29343708.908853367</v>
      </c>
      <c r="T109" s="40">
        <f t="shared" si="24"/>
        <v>9928687494.3205585</v>
      </c>
      <c r="U109" s="272">
        <f t="shared" si="9"/>
        <v>2.145751974709861E-6</v>
      </c>
      <c r="V109" s="282">
        <f t="shared" si="10"/>
        <v>114.77898961412836</v>
      </c>
      <c r="W109" s="283">
        <f>((S109+'Malawi-only'!S109)/(T109*(U109+'Malawi-only'!U109))/12)</f>
        <v>7.740943109754892</v>
      </c>
      <c r="X109" s="284">
        <f>(R109+'Malawi-only'!R109)</f>
        <v>2465040886.8732753</v>
      </c>
      <c r="Y109" s="284">
        <f>(L109+'Malawi-only'!L109)</f>
        <v>87806646115.796021</v>
      </c>
      <c r="Z109" s="284">
        <f>(Q109+'Malawi-only'!Q109)</f>
        <v>4956354550.1344671</v>
      </c>
    </row>
    <row r="110" spans="1:26" ht="15.75" customHeight="1">
      <c r="A110" s="31" t="s">
        <v>143</v>
      </c>
      <c r="B110" s="32">
        <v>2126</v>
      </c>
      <c r="C110" s="334">
        <f t="shared" si="11"/>
        <v>1.9184239006805133E-9</v>
      </c>
      <c r="D110" s="334">
        <f t="shared" si="20"/>
        <v>1.9184239006805133E-9</v>
      </c>
      <c r="E110" s="34">
        <f t="shared" si="1"/>
        <v>0</v>
      </c>
      <c r="F110" s="42">
        <v>4000</v>
      </c>
      <c r="G110" s="34">
        <f t="shared" si="2"/>
        <v>7673.695602722054</v>
      </c>
      <c r="H110" s="34">
        <f t="shared" si="3"/>
        <v>7635.327124708444</v>
      </c>
      <c r="I110" s="35">
        <f t="shared" si="21"/>
        <v>1</v>
      </c>
      <c r="J110" s="36">
        <f t="shared" si="4"/>
        <v>7635.327124708444</v>
      </c>
      <c r="K110" s="34">
        <f t="shared" si="14"/>
        <v>457709061.04548693</v>
      </c>
      <c r="L110" s="37">
        <f t="shared" si="22"/>
        <v>584653970.31925952</v>
      </c>
      <c r="M110" s="34">
        <f t="shared" si="5"/>
        <v>36833200.130113348</v>
      </c>
      <c r="N110" s="34">
        <f t="shared" si="6"/>
        <v>0</v>
      </c>
      <c r="O110" s="34">
        <f t="shared" si="7"/>
        <v>36833200.130113348</v>
      </c>
      <c r="P110" s="34">
        <f t="shared" si="25"/>
        <v>3683320.0130113349</v>
      </c>
      <c r="Q110" s="38">
        <f t="shared" si="8"/>
        <v>32984130.716516502</v>
      </c>
      <c r="R110" s="39">
        <f t="shared" si="16"/>
        <v>3279360.0589883523</v>
      </c>
      <c r="S110" s="34">
        <f t="shared" si="17"/>
        <v>29514240.53089517</v>
      </c>
      <c r="T110" s="40">
        <f t="shared" si="24"/>
        <v>9918758806.8262386</v>
      </c>
      <c r="U110" s="272">
        <f t="shared" si="9"/>
        <v>2.145751974709861E-6</v>
      </c>
      <c r="V110" s="282">
        <f t="shared" si="10"/>
        <v>115.56159187683569</v>
      </c>
      <c r="W110" s="283">
        <f>((S110+'Malawi-only'!S110)/(T110*(U110+'Malawi-only'!U110))/12)</f>
        <v>7.7937543585782469</v>
      </c>
      <c r="X110" s="284">
        <f>(R110+'Malawi-only'!R110)</f>
        <v>2479376448.7107491</v>
      </c>
      <c r="Y110" s="284">
        <f>(L110+'Malawi-only'!L110)</f>
        <v>88317146958.197159</v>
      </c>
      <c r="Z110" s="284">
        <f>(Q110+'Malawi-only'!Q110)</f>
        <v>4985178308.0200377</v>
      </c>
    </row>
    <row r="111" spans="1:26" ht="15.75" customHeight="1">
      <c r="A111" s="31" t="s">
        <v>144</v>
      </c>
      <c r="B111" s="32">
        <v>2127</v>
      </c>
      <c r="C111" s="334">
        <f t="shared" si="11"/>
        <v>1.7265815106124621E-9</v>
      </c>
      <c r="D111" s="334">
        <f t="shared" si="20"/>
        <v>1.7265815106124621E-9</v>
      </c>
      <c r="E111" s="34">
        <f t="shared" si="1"/>
        <v>0</v>
      </c>
      <c r="F111" s="42">
        <v>4000</v>
      </c>
      <c r="G111" s="34">
        <f t="shared" si="2"/>
        <v>6906.3260424498476</v>
      </c>
      <c r="H111" s="34">
        <f t="shared" si="3"/>
        <v>6871.7944122375984</v>
      </c>
      <c r="I111" s="35">
        <f t="shared" si="21"/>
        <v>1</v>
      </c>
      <c r="J111" s="36">
        <f t="shared" si="4"/>
        <v>6871.7944122375984</v>
      </c>
      <c r="K111" s="34">
        <f t="shared" si="14"/>
        <v>457715932.83989918</v>
      </c>
      <c r="L111" s="37">
        <f t="shared" si="22"/>
        <v>588049990.04561985</v>
      </c>
      <c r="M111" s="34">
        <f t="shared" si="5"/>
        <v>37047149.372874051</v>
      </c>
      <c r="N111" s="34">
        <f t="shared" si="6"/>
        <v>0</v>
      </c>
      <c r="O111" s="34">
        <f t="shared" si="7"/>
        <v>37047149.372874051</v>
      </c>
      <c r="P111" s="34">
        <f t="shared" si="25"/>
        <v>3704714.9372874051</v>
      </c>
      <c r="Q111" s="38">
        <f t="shared" si="8"/>
        <v>33175722.263408713</v>
      </c>
      <c r="R111" s="39">
        <f t="shared" si="16"/>
        <v>3298413.0716516506</v>
      </c>
      <c r="S111" s="34">
        <f t="shared" si="17"/>
        <v>29685717.64486485</v>
      </c>
      <c r="T111" s="40">
        <f t="shared" si="24"/>
        <v>9908840048.019413</v>
      </c>
      <c r="U111" s="272">
        <f t="shared" si="9"/>
        <v>2.145751974709861E-6</v>
      </c>
      <c r="V111" s="282">
        <f t="shared" si="10"/>
        <v>116.3493516359337</v>
      </c>
      <c r="W111" s="283">
        <f>((S111+'Malawi-only'!S111)/(T111*(U111+'Malawi-only'!U111))/12)</f>
        <v>7.8469133791004326</v>
      </c>
      <c r="X111" s="284">
        <f>(R111+'Malawi-only'!R111)</f>
        <v>2493791397.8910871</v>
      </c>
      <c r="Y111" s="284">
        <f>(L111+'Malawi-only'!L111)</f>
        <v>88830488926.852036</v>
      </c>
      <c r="Z111" s="284">
        <f>(Q111+'Malawi-only'!Q111)</f>
        <v>5014161691.9022799</v>
      </c>
    </row>
    <row r="112" spans="1:26" ht="15.75" customHeight="1">
      <c r="A112" s="31" t="s">
        <v>145</v>
      </c>
      <c r="B112" s="32">
        <v>2128</v>
      </c>
      <c r="C112" s="334">
        <f t="shared" si="11"/>
        <v>1.5539233595512159E-9</v>
      </c>
      <c r="D112" s="334">
        <f t="shared" si="20"/>
        <v>1.5539233595512159E-9</v>
      </c>
      <c r="E112" s="34">
        <f t="shared" si="1"/>
        <v>0</v>
      </c>
      <c r="F112" s="42">
        <v>4000</v>
      </c>
      <c r="G112" s="34">
        <f t="shared" si="2"/>
        <v>6215.693438204863</v>
      </c>
      <c r="H112" s="34">
        <f t="shared" si="3"/>
        <v>6184.6149710138388</v>
      </c>
      <c r="I112" s="35">
        <f t="shared" si="21"/>
        <v>1</v>
      </c>
      <c r="J112" s="36">
        <f t="shared" si="4"/>
        <v>6184.6149710138388</v>
      </c>
      <c r="K112" s="34">
        <f t="shared" si="14"/>
        <v>457722117.45487022</v>
      </c>
      <c r="L112" s="37">
        <f t="shared" si="22"/>
        <v>591465009.15307939</v>
      </c>
      <c r="M112" s="34">
        <f t="shared" si="5"/>
        <v>37262295.576644003</v>
      </c>
      <c r="N112" s="34">
        <f t="shared" si="6"/>
        <v>0</v>
      </c>
      <c r="O112" s="34">
        <f t="shared" si="7"/>
        <v>37262295.576644003</v>
      </c>
      <c r="P112" s="34">
        <f t="shared" si="25"/>
        <v>3726229.5576644004</v>
      </c>
      <c r="Q112" s="38">
        <f t="shared" si="8"/>
        <v>33368385.688884702</v>
      </c>
      <c r="R112" s="39">
        <f t="shared" si="16"/>
        <v>3317572.2263408713</v>
      </c>
      <c r="S112" s="34">
        <f t="shared" si="17"/>
        <v>29858150.037067842</v>
      </c>
      <c r="T112" s="40">
        <f t="shared" si="24"/>
        <v>9898931207.9713955</v>
      </c>
      <c r="U112" s="272">
        <f t="shared" si="9"/>
        <v>2.145751974709861E-6</v>
      </c>
      <c r="V112" s="282">
        <f t="shared" si="10"/>
        <v>117.14232053657388</v>
      </c>
      <c r="W112" s="283">
        <f>((S112+'Malawi-only'!S112)/(T112*(U112+'Malawi-only'!U112))/12)</f>
        <v>7.9004236997935342</v>
      </c>
      <c r="X112" s="284">
        <f>(R112+'Malawi-only'!R112)</f>
        <v>2508286571.1790919</v>
      </c>
      <c r="Y112" s="284">
        <f>(L112+'Malawi-only'!L112)</f>
        <v>89346700492.372482</v>
      </c>
      <c r="Z112" s="284">
        <f>(Q112+'Malawi-only'!Q112)</f>
        <v>5043306383.5943871</v>
      </c>
    </row>
    <row r="113" spans="1:26" ht="15.75" customHeight="1">
      <c r="A113" s="31" t="s">
        <v>146</v>
      </c>
      <c r="B113" s="32">
        <v>2129</v>
      </c>
      <c r="C113" s="334">
        <f t="shared" si="11"/>
        <v>1.3985310235960942E-9</v>
      </c>
      <c r="D113" s="334">
        <f t="shared" si="20"/>
        <v>1.3985310235960942E-9</v>
      </c>
      <c r="E113" s="34">
        <f t="shared" si="1"/>
        <v>0</v>
      </c>
      <c r="F113" s="42">
        <v>4000</v>
      </c>
      <c r="G113" s="34">
        <f t="shared" si="2"/>
        <v>5594.1240943843768</v>
      </c>
      <c r="H113" s="34">
        <f t="shared" si="3"/>
        <v>5566.1534739124545</v>
      </c>
      <c r="I113" s="35">
        <f t="shared" si="21"/>
        <v>1</v>
      </c>
      <c r="J113" s="36">
        <f t="shared" si="4"/>
        <v>5566.1534739124545</v>
      </c>
      <c r="K113" s="34">
        <f t="shared" si="14"/>
        <v>457727683.60834414</v>
      </c>
      <c r="L113" s="37">
        <f t="shared" si="22"/>
        <v>594899206.46178555</v>
      </c>
      <c r="M113" s="34">
        <f t="shared" si="5"/>
        <v>37478650.007092491</v>
      </c>
      <c r="N113" s="34">
        <f t="shared" si="6"/>
        <v>0</v>
      </c>
      <c r="O113" s="34">
        <f t="shared" si="7"/>
        <v>37478650.007092491</v>
      </c>
      <c r="P113" s="34">
        <f t="shared" si="25"/>
        <v>3747865.0007092492</v>
      </c>
      <c r="Q113" s="38">
        <f t="shared" si="8"/>
        <v>33562131.081351325</v>
      </c>
      <c r="R113" s="39">
        <f t="shared" si="16"/>
        <v>3336838.5688884705</v>
      </c>
      <c r="S113" s="34">
        <f t="shared" si="17"/>
        <v>30031547.119996231</v>
      </c>
      <c r="T113" s="40">
        <f t="shared" si="24"/>
        <v>9889032276.7634258</v>
      </c>
      <c r="U113" s="272">
        <f t="shared" si="9"/>
        <v>2.145751974709861E-6</v>
      </c>
      <c r="V113" s="282">
        <f t="shared" si="10"/>
        <v>117.94054893466489</v>
      </c>
      <c r="W113" s="283">
        <f>((S113+'Malawi-only'!S113)/(T113*(U113+'Malawi-only'!U113))/12)</f>
        <v>7.9542887580770767</v>
      </c>
      <c r="X113" s="284">
        <f>(R113+'Malawi-only'!R113)</f>
        <v>2522862772.563457</v>
      </c>
      <c r="Y113" s="284">
        <f>(L113+'Malawi-only'!L113)</f>
        <v>89865809091.374451</v>
      </c>
      <c r="Z113" s="284">
        <f>(Q113+'Malawi-only'!Q113)</f>
        <v>5072613999.070488</v>
      </c>
    </row>
    <row r="114" spans="1:26" ht="15.75" customHeight="1">
      <c r="A114" s="31" t="s">
        <v>147</v>
      </c>
      <c r="B114" s="32">
        <v>2130</v>
      </c>
      <c r="C114" s="334">
        <f t="shared" si="11"/>
        <v>1.2586779212364848E-9</v>
      </c>
      <c r="D114" s="334">
        <f t="shared" si="20"/>
        <v>1.2586779212364848E-9</v>
      </c>
      <c r="E114" s="34">
        <f t="shared" si="1"/>
        <v>0</v>
      </c>
      <c r="F114" s="42">
        <v>4000</v>
      </c>
      <c r="G114" s="34">
        <f t="shared" si="2"/>
        <v>5034.7116849459389</v>
      </c>
      <c r="H114" s="34">
        <f t="shared" si="3"/>
        <v>5009.5381265212091</v>
      </c>
      <c r="I114" s="35">
        <f t="shared" si="21"/>
        <v>1</v>
      </c>
      <c r="J114" s="36">
        <f t="shared" si="4"/>
        <v>5009.5381265212091</v>
      </c>
      <c r="K114" s="34">
        <f t="shared" si="14"/>
        <v>457732693.14647067</v>
      </c>
      <c r="L114" s="37">
        <f t="shared" si="22"/>
        <v>598352754.96012104</v>
      </c>
      <c r="M114" s="34">
        <f t="shared" si="5"/>
        <v>37696223.562487625</v>
      </c>
      <c r="N114" s="34">
        <f t="shared" si="6"/>
        <v>0</v>
      </c>
      <c r="O114" s="34">
        <f t="shared" si="7"/>
        <v>37696223.562487625</v>
      </c>
      <c r="P114" s="34">
        <f t="shared" si="25"/>
        <v>3769622.3562487625</v>
      </c>
      <c r="Q114" s="38">
        <f t="shared" si="8"/>
        <v>33756968.200207673</v>
      </c>
      <c r="R114" s="39">
        <f t="shared" si="16"/>
        <v>3356213.1081351326</v>
      </c>
      <c r="S114" s="34">
        <f t="shared" si="17"/>
        <v>30205917.973216191</v>
      </c>
      <c r="T114" s="40">
        <f t="shared" si="24"/>
        <v>9879143244.4866638</v>
      </c>
      <c r="U114" s="272">
        <f t="shared" si="9"/>
        <v>2.145751974709861E-6</v>
      </c>
      <c r="V114" s="282">
        <f t="shared" si="10"/>
        <v>118.74408605068483</v>
      </c>
      <c r="W114" s="283">
        <f>((S114+'Malawi-only'!S114)/(T114*(U114+'Malawi-only'!U114))/12)</f>
        <v>8.0085119111016549</v>
      </c>
      <c r="X114" s="284">
        <f>(R114+'Malawi-only'!R114)</f>
        <v>2537520776.8296108</v>
      </c>
      <c r="Y114" s="284">
        <f>(L114+'Malawi-only'!L114)</f>
        <v>90387841240.393677</v>
      </c>
      <c r="Z114" s="284">
        <f>(Q114+'Malawi-only'!Q114)</f>
        <v>5102086095.6431589</v>
      </c>
    </row>
    <row r="115" spans="1:26" ht="15.75" customHeight="1">
      <c r="A115" s="31" t="s">
        <v>148</v>
      </c>
      <c r="B115" s="32">
        <v>2131</v>
      </c>
      <c r="C115" s="334">
        <f t="shared" si="11"/>
        <v>1.1328101291128363E-9</v>
      </c>
      <c r="D115" s="334">
        <f t="shared" si="20"/>
        <v>1.1328101291128363E-9</v>
      </c>
      <c r="E115" s="34">
        <f t="shared" si="1"/>
        <v>0</v>
      </c>
      <c r="F115" s="42">
        <v>4000</v>
      </c>
      <c r="G115" s="34">
        <f t="shared" si="2"/>
        <v>4531.2405164513448</v>
      </c>
      <c r="H115" s="34">
        <f t="shared" si="3"/>
        <v>4508.584313869088</v>
      </c>
      <c r="I115" s="35">
        <f t="shared" si="21"/>
        <v>1</v>
      </c>
      <c r="J115" s="36">
        <f t="shared" si="4"/>
        <v>4508.584313869088</v>
      </c>
      <c r="K115" s="34">
        <f t="shared" si="14"/>
        <v>457737201.73078454</v>
      </c>
      <c r="L115" s="37">
        <f t="shared" si="22"/>
        <v>601825822.45773327</v>
      </c>
      <c r="M115" s="34">
        <f t="shared" si="5"/>
        <v>37915026.814837195</v>
      </c>
      <c r="N115" s="34">
        <f t="shared" si="6"/>
        <v>0</v>
      </c>
      <c r="O115" s="34">
        <f t="shared" si="7"/>
        <v>37915026.814837195</v>
      </c>
      <c r="P115" s="34">
        <f t="shared" si="25"/>
        <v>3791502.6814837195</v>
      </c>
      <c r="Q115" s="38">
        <f t="shared" si="8"/>
        <v>33952906.512686707</v>
      </c>
      <c r="R115" s="39">
        <f t="shared" si="16"/>
        <v>3375696.8200207674</v>
      </c>
      <c r="S115" s="34">
        <f t="shared" si="17"/>
        <v>30381271.380186904</v>
      </c>
      <c r="T115" s="40">
        <f t="shared" si="24"/>
        <v>9869264101.242178</v>
      </c>
      <c r="U115" s="272">
        <f t="shared" si="9"/>
        <v>2.145751974709861E-6</v>
      </c>
      <c r="V115" s="282">
        <f t="shared" si="10"/>
        <v>119.55298010842824</v>
      </c>
      <c r="W115" s="283">
        <f>((S115+'Malawi-only'!S115)/(T115*(U115+'Malawi-only'!U115))/12)</f>
        <v>8.0630964454759066</v>
      </c>
      <c r="X115" s="284">
        <f>(R115+'Malawi-only'!R115)</f>
        <v>2552261332.7769928</v>
      </c>
      <c r="Y115" s="284">
        <f>(L115+'Malawi-only'!L115)</f>
        <v>90912822638.471207</v>
      </c>
      <c r="Z115" s="284">
        <f>(Q115+'Malawi-only'!Q115)</f>
        <v>5131724178.426631</v>
      </c>
    </row>
    <row r="116" spans="1:26" ht="15.75" customHeight="1">
      <c r="A116" s="31" t="s">
        <v>149</v>
      </c>
      <c r="B116" s="32">
        <v>2132</v>
      </c>
      <c r="C116" s="334">
        <f t="shared" si="11"/>
        <v>1.0195291162015526E-9</v>
      </c>
      <c r="D116" s="334">
        <f t="shared" si="20"/>
        <v>1.0195291162015526E-9</v>
      </c>
      <c r="E116" s="34">
        <f t="shared" si="1"/>
        <v>0</v>
      </c>
      <c r="F116" s="42">
        <v>4000</v>
      </c>
      <c r="G116" s="34">
        <f t="shared" si="2"/>
        <v>4078.1164648062104</v>
      </c>
      <c r="H116" s="34">
        <f t="shared" si="3"/>
        <v>4057.7258824821793</v>
      </c>
      <c r="I116" s="35">
        <f t="shared" si="21"/>
        <v>1</v>
      </c>
      <c r="J116" s="36">
        <f t="shared" si="4"/>
        <v>4057.7258824821793</v>
      </c>
      <c r="K116" s="34">
        <f t="shared" si="14"/>
        <v>457741259.45666701</v>
      </c>
      <c r="L116" s="37">
        <f t="shared" si="22"/>
        <v>605318572.17366707</v>
      </c>
      <c r="M116" s="34">
        <f t="shared" si="5"/>
        <v>38135070.046941027</v>
      </c>
      <c r="N116" s="34">
        <f t="shared" si="6"/>
        <v>0</v>
      </c>
      <c r="O116" s="34">
        <f t="shared" si="7"/>
        <v>38135070.046941027</v>
      </c>
      <c r="P116" s="34">
        <f t="shared" si="25"/>
        <v>3813507.0046941028</v>
      </c>
      <c r="Q116" s="38">
        <f t="shared" si="8"/>
        <v>34149955.227035686</v>
      </c>
      <c r="R116" s="39">
        <f t="shared" si="16"/>
        <v>3395290.6512686708</v>
      </c>
      <c r="S116" s="34">
        <f t="shared" si="17"/>
        <v>30557615.861418035</v>
      </c>
      <c r="T116" s="40">
        <f t="shared" si="24"/>
        <v>9859394837.1409378</v>
      </c>
      <c r="U116" s="272">
        <f t="shared" si="9"/>
        <v>2.145751974709861E-6</v>
      </c>
      <c r="V116" s="282">
        <f t="shared" si="10"/>
        <v>120.36727846018131</v>
      </c>
      <c r="W116" s="283">
        <f>((S116+'Malawi-only'!S116)/(T116*(U116+'Malawi-only'!U116))/12)</f>
        <v>8.1180455860416192</v>
      </c>
      <c r="X116" s="284">
        <f>(R116+'Malawi-only'!R116)</f>
        <v>2567085166.1163287</v>
      </c>
      <c r="Y116" s="284">
        <f>(L116+'Malawi-only'!L116)</f>
        <v>91440778259.541229</v>
      </c>
      <c r="Z116" s="284">
        <f>(Q116+'Malawi-only'!Q116)</f>
        <v>5161529706.157156</v>
      </c>
    </row>
    <row r="117" spans="1:26" ht="15.75" customHeight="1">
      <c r="A117" s="31" t="s">
        <v>150</v>
      </c>
      <c r="B117" s="32">
        <v>2133</v>
      </c>
      <c r="C117" s="334">
        <f t="shared" si="11"/>
        <v>9.1757620458139739E-10</v>
      </c>
      <c r="D117" s="334">
        <f t="shared" si="20"/>
        <v>9.1757620458139739E-10</v>
      </c>
      <c r="E117" s="34">
        <f t="shared" si="1"/>
        <v>0</v>
      </c>
      <c r="F117" s="42">
        <v>4000</v>
      </c>
      <c r="G117" s="34">
        <f t="shared" si="2"/>
        <v>3670.3048183255896</v>
      </c>
      <c r="H117" s="34">
        <f t="shared" si="3"/>
        <v>3651.9532942339615</v>
      </c>
      <c r="I117" s="35">
        <f t="shared" si="21"/>
        <v>1</v>
      </c>
      <c r="J117" s="36">
        <f t="shared" si="4"/>
        <v>3651.9532942339615</v>
      </c>
      <c r="K117" s="34">
        <f t="shared" si="14"/>
        <v>457744911.40996122</v>
      </c>
      <c r="L117" s="37">
        <f t="shared" si="22"/>
        <v>608831163.26608968</v>
      </c>
      <c r="M117" s="34">
        <f t="shared" si="5"/>
        <v>38356363.285763651</v>
      </c>
      <c r="N117" s="34">
        <f t="shared" si="6"/>
        <v>0</v>
      </c>
      <c r="O117" s="34">
        <f t="shared" si="7"/>
        <v>38356363.285763651</v>
      </c>
      <c r="P117" s="34">
        <f t="shared" si="25"/>
        <v>3835636.3285763655</v>
      </c>
      <c r="Q117" s="38">
        <f t="shared" si="8"/>
        <v>34348123.322401352</v>
      </c>
      <c r="R117" s="39">
        <f t="shared" si="16"/>
        <v>3414995.5227035689</v>
      </c>
      <c r="S117" s="34">
        <f t="shared" si="17"/>
        <v>30734959.704332117</v>
      </c>
      <c r="T117" s="40">
        <f t="shared" si="24"/>
        <v>9849535442.3037987</v>
      </c>
      <c r="U117" s="272">
        <f t="shared" si="9"/>
        <v>2.145751974709861E-6</v>
      </c>
      <c r="V117" s="282">
        <f t="shared" si="10"/>
        <v>121.18702769967284</v>
      </c>
      <c r="W117" s="283">
        <f>((S117+'Malawi-only'!S117)/(T117*(U117+'Malawi-only'!U117))/12)</f>
        <v>8.1733625037913722</v>
      </c>
      <c r="X117" s="284">
        <f>(R117+'Malawi-only'!R117)</f>
        <v>2581992982.0788975</v>
      </c>
      <c r="Y117" s="284">
        <f>(L117+'Malawi-only'!L117)</f>
        <v>91971732435.642227</v>
      </c>
      <c r="Z117" s="284">
        <f>(Q117+'Malawi-only'!Q117)</f>
        <v>5191504096.4347887</v>
      </c>
    </row>
    <row r="118" spans="1:26" ht="15.75" customHeight="1">
      <c r="A118" s="31" t="s">
        <v>151</v>
      </c>
      <c r="B118" s="32">
        <v>2134</v>
      </c>
      <c r="C118" s="334">
        <f t="shared" si="11"/>
        <v>8.2581858412325767E-10</v>
      </c>
      <c r="D118" s="334">
        <f t="shared" si="20"/>
        <v>8.2581858412325767E-10</v>
      </c>
      <c r="E118" s="34">
        <f t="shared" si="1"/>
        <v>0</v>
      </c>
      <c r="F118" s="42">
        <v>4000</v>
      </c>
      <c r="G118" s="34">
        <f t="shared" si="2"/>
        <v>3303.2743364930307</v>
      </c>
      <c r="H118" s="34">
        <f t="shared" si="3"/>
        <v>3286.7579648105657</v>
      </c>
      <c r="I118" s="35">
        <f t="shared" si="21"/>
        <v>1</v>
      </c>
      <c r="J118" s="36">
        <f t="shared" si="4"/>
        <v>3286.7579648105657</v>
      </c>
      <c r="K118" s="34">
        <f t="shared" si="14"/>
        <v>457748198.16792601</v>
      </c>
      <c r="L118" s="37">
        <f t="shared" si="22"/>
        <v>612363751.30945456</v>
      </c>
      <c r="M118" s="34">
        <f t="shared" si="5"/>
        <v>38578916.332495637</v>
      </c>
      <c r="N118" s="34">
        <f t="shared" si="6"/>
        <v>0</v>
      </c>
      <c r="O118" s="34">
        <f t="shared" si="7"/>
        <v>38578916.332495637</v>
      </c>
      <c r="P118" s="34">
        <f t="shared" si="25"/>
        <v>3857891.6332495641</v>
      </c>
      <c r="Q118" s="38">
        <f t="shared" si="8"/>
        <v>34547419.575749844</v>
      </c>
      <c r="R118" s="39">
        <f t="shared" si="16"/>
        <v>3434812.3322401354</v>
      </c>
      <c r="S118" s="34">
        <f t="shared" si="17"/>
        <v>30913310.990161218</v>
      </c>
      <c r="T118" s="40">
        <f t="shared" si="24"/>
        <v>9839685906.861496</v>
      </c>
      <c r="U118" s="272">
        <f t="shared" si="9"/>
        <v>2.145751974709861E-6</v>
      </c>
      <c r="V118" s="282">
        <f t="shared" si="10"/>
        <v>122.01227376401171</v>
      </c>
      <c r="W118" s="283">
        <f>((S118+'Malawi-only'!S118)/(T118*(U118+'Malawi-only'!U118))/12)</f>
        <v>8.2290503230137908</v>
      </c>
      <c r="X118" s="284">
        <f>(R118+'Malawi-only'!R118)</f>
        <v>2596985467.7666268</v>
      </c>
      <c r="Y118" s="284">
        <f>(L118+'Malawi-only'!L118)</f>
        <v>92505708931.868881</v>
      </c>
      <c r="Z118" s="284">
        <f>(Q118+'Malawi-only'!Q118)</f>
        <v>5221648730.4445229</v>
      </c>
    </row>
    <row r="119" spans="1:26" ht="15.75" customHeight="1">
      <c r="A119" s="31" t="s">
        <v>152</v>
      </c>
      <c r="B119" s="32">
        <v>2135</v>
      </c>
      <c r="C119" s="334">
        <f t="shared" si="11"/>
        <v>7.4323672571093196E-10</v>
      </c>
      <c r="D119" s="334">
        <f t="shared" si="20"/>
        <v>7.4323672571093196E-10</v>
      </c>
      <c r="E119" s="34">
        <f t="shared" si="1"/>
        <v>0</v>
      </c>
      <c r="F119" s="42">
        <v>4000</v>
      </c>
      <c r="G119" s="34">
        <f t="shared" si="2"/>
        <v>2972.9469028437279</v>
      </c>
      <c r="H119" s="34">
        <f t="shared" si="3"/>
        <v>2958.0821683295094</v>
      </c>
      <c r="I119" s="35">
        <f t="shared" si="21"/>
        <v>1</v>
      </c>
      <c r="J119" s="36">
        <f t="shared" si="4"/>
        <v>2958.0821683295094</v>
      </c>
      <c r="K119" s="34">
        <f t="shared" si="14"/>
        <v>457751156.25009435</v>
      </c>
      <c r="L119" s="37">
        <f t="shared" si="22"/>
        <v>615916488.72435999</v>
      </c>
      <c r="M119" s="34">
        <f t="shared" si="5"/>
        <v>38802738.789634682</v>
      </c>
      <c r="N119" s="34">
        <f t="shared" si="6"/>
        <v>0</v>
      </c>
      <c r="O119" s="34">
        <f t="shared" si="7"/>
        <v>38802738.789634682</v>
      </c>
      <c r="P119" s="34">
        <f t="shared" si="25"/>
        <v>3880273.8789634686</v>
      </c>
      <c r="Q119" s="38">
        <f t="shared" si="8"/>
        <v>34747852.586117856</v>
      </c>
      <c r="R119" s="39">
        <f t="shared" si="16"/>
        <v>3454741.9575749845</v>
      </c>
      <c r="S119" s="34">
        <f t="shared" si="17"/>
        <v>31092677.618174858</v>
      </c>
      <c r="T119" s="40">
        <f t="shared" si="24"/>
        <v>9829846220.9546356</v>
      </c>
      <c r="U119" s="272">
        <f t="shared" si="9"/>
        <v>2.145751974709861E-6</v>
      </c>
      <c r="V119" s="282">
        <f t="shared" si="10"/>
        <v>122.84306202570538</v>
      </c>
      <c r="W119" s="283">
        <f>((S119+'Malawi-only'!S119)/(T119*(U119+'Malawi-only'!U119))/12)</f>
        <v>8.2851121277430071</v>
      </c>
      <c r="X119" s="284">
        <f>(R119+'Malawi-only'!R119)</f>
        <v>2612063294.2689285</v>
      </c>
      <c r="Y119" s="284">
        <f>(L119+'Malawi-only'!L119)</f>
        <v>93042731013.891251</v>
      </c>
      <c r="Z119" s="284">
        <f>(Q119+'Malawi-only'!Q119)</f>
        <v>5251964957.2088251</v>
      </c>
    </row>
    <row r="120" spans="1:26" ht="15.75" customHeight="1">
      <c r="A120" s="31" t="s">
        <v>153</v>
      </c>
      <c r="B120" s="32">
        <v>2136</v>
      </c>
      <c r="C120" s="334">
        <f t="shared" si="11"/>
        <v>6.689130531398388E-10</v>
      </c>
      <c r="D120" s="334">
        <f t="shared" si="20"/>
        <v>6.689130531398388E-10</v>
      </c>
      <c r="E120" s="34">
        <f t="shared" si="1"/>
        <v>0</v>
      </c>
      <c r="F120" s="42">
        <v>4000</v>
      </c>
      <c r="G120" s="34">
        <f t="shared" si="2"/>
        <v>2675.6522125593551</v>
      </c>
      <c r="H120" s="34">
        <f t="shared" si="3"/>
        <v>2662.2739514965583</v>
      </c>
      <c r="I120" s="35">
        <f t="shared" si="21"/>
        <v>1</v>
      </c>
      <c r="J120" s="36">
        <f t="shared" si="4"/>
        <v>2662.2739514965583</v>
      </c>
      <c r="K120" s="34">
        <f t="shared" si="14"/>
        <v>457753818.52404583</v>
      </c>
      <c r="L120" s="37">
        <f t="shared" si="22"/>
        <v>619489525.16483641</v>
      </c>
      <c r="M120" s="34">
        <f t="shared" si="5"/>
        <v>39027840.085384697</v>
      </c>
      <c r="N120" s="34">
        <f t="shared" si="6"/>
        <v>0</v>
      </c>
      <c r="O120" s="34">
        <f t="shared" si="7"/>
        <v>39027840.085384697</v>
      </c>
      <c r="P120" s="34">
        <f t="shared" si="25"/>
        <v>3902784.0085384697</v>
      </c>
      <c r="Q120" s="38">
        <f t="shared" si="8"/>
        <v>34949430.796461999</v>
      </c>
      <c r="R120" s="39">
        <f t="shared" si="16"/>
        <v>3474785.2586117857</v>
      </c>
      <c r="S120" s="34">
        <f t="shared" si="17"/>
        <v>31273067.327506069</v>
      </c>
      <c r="T120" s="40">
        <f t="shared" si="24"/>
        <v>9820016374.7336826</v>
      </c>
      <c r="U120" s="272">
        <f t="shared" si="9"/>
        <v>2.145751974709861E-6</v>
      </c>
      <c r="V120" s="282">
        <f t="shared" si="10"/>
        <v>123.67943737574252</v>
      </c>
      <c r="W120" s="283">
        <f>((S120+'Malawi-only'!S120)/(T120*(U120+'Malawi-only'!U120))/12)</f>
        <v>8.3415509675813837</v>
      </c>
      <c r="X120" s="284">
        <f>(R120+'Malawi-only'!R120)</f>
        <v>2627227118.5696077</v>
      </c>
      <c r="Y120" s="284">
        <f>(L120+'Malawi-only'!L120)</f>
        <v>93582821508.78479</v>
      </c>
      <c r="Z120" s="284">
        <f>(Q120+'Malawi-only'!Q120)</f>
        <v>5282454097.4184542</v>
      </c>
    </row>
    <row r="121" spans="1:26" ht="15.75" customHeight="1">
      <c r="A121" s="31" t="s">
        <v>154</v>
      </c>
      <c r="B121" s="32">
        <v>2137</v>
      </c>
      <c r="C121" s="334">
        <f t="shared" si="11"/>
        <v>6.0202174782585491E-10</v>
      </c>
      <c r="D121" s="334">
        <f t="shared" si="20"/>
        <v>6.0202174782585491E-10</v>
      </c>
      <c r="E121" s="34">
        <f t="shared" si="1"/>
        <v>0</v>
      </c>
      <c r="F121" s="42">
        <v>4000</v>
      </c>
      <c r="G121" s="34">
        <f t="shared" si="2"/>
        <v>2408.0869913034198</v>
      </c>
      <c r="H121" s="34">
        <f t="shared" si="3"/>
        <v>2396.0465563469029</v>
      </c>
      <c r="I121" s="35">
        <f t="shared" si="21"/>
        <v>1</v>
      </c>
      <c r="J121" s="36">
        <f t="shared" si="4"/>
        <v>2396.0465563469029</v>
      </c>
      <c r="K121" s="34">
        <f t="shared" si="14"/>
        <v>457756214.57060218</v>
      </c>
      <c r="L121" s="37">
        <f t="shared" si="22"/>
        <v>623083007.86732137</v>
      </c>
      <c r="M121" s="34">
        <f t="shared" si="5"/>
        <v>39254229.495641246</v>
      </c>
      <c r="N121" s="34">
        <f t="shared" si="6"/>
        <v>0</v>
      </c>
      <c r="O121" s="34">
        <f t="shared" si="7"/>
        <v>39254229.495641246</v>
      </c>
      <c r="P121" s="34">
        <f t="shared" si="25"/>
        <v>3925422.9495641249</v>
      </c>
      <c r="Q121" s="38">
        <f t="shared" si="8"/>
        <v>35152162.513346739</v>
      </c>
      <c r="R121" s="39">
        <f t="shared" si="16"/>
        <v>3494943.0796461999</v>
      </c>
      <c r="S121" s="34">
        <f t="shared" si="17"/>
        <v>31454487.716815799</v>
      </c>
      <c r="T121" s="40">
        <f t="shared" si="24"/>
        <v>9810196358.3589497</v>
      </c>
      <c r="U121" s="272">
        <f t="shared" si="9"/>
        <v>2.145751974709861E-6</v>
      </c>
      <c r="V121" s="282">
        <f t="shared" si="10"/>
        <v>124.52144429862676</v>
      </c>
      <c r="W121" s="283">
        <f>((S121+'Malawi-only'!S121)/(T121*(U121+'Malawi-only'!U121))/12)</f>
        <v>8.3983698629577166</v>
      </c>
      <c r="X121" s="284">
        <f>(R121+'Malawi-only'!R121)</f>
        <v>2642477585.2648597</v>
      </c>
      <c r="Y121" s="284">
        <f>(L121+'Malawi-only'!L121)</f>
        <v>94126002859.840576</v>
      </c>
      <c r="Z121" s="284">
        <f>(Q121+'Malawi-only'!Q121)</f>
        <v>5313117446.8837738</v>
      </c>
    </row>
    <row r="122" spans="1:26" ht="15.75" customHeight="1">
      <c r="A122" s="31" t="s">
        <v>155</v>
      </c>
      <c r="B122" s="32">
        <v>2138</v>
      </c>
      <c r="C122" s="334">
        <f t="shared" si="11"/>
        <v>5.4181957304326948E-10</v>
      </c>
      <c r="D122" s="334">
        <f t="shared" si="20"/>
        <v>5.4181957304326948E-10</v>
      </c>
      <c r="E122" s="34">
        <f t="shared" si="1"/>
        <v>0</v>
      </c>
      <c r="F122" s="42">
        <v>4000</v>
      </c>
      <c r="G122" s="34">
        <f t="shared" si="2"/>
        <v>2167.2782921730782</v>
      </c>
      <c r="H122" s="34">
        <f t="shared" si="3"/>
        <v>2156.4419007122128</v>
      </c>
      <c r="I122" s="35">
        <f t="shared" si="21"/>
        <v>1</v>
      </c>
      <c r="J122" s="36">
        <f t="shared" si="4"/>
        <v>2156.4419007122128</v>
      </c>
      <c r="K122" s="34">
        <f t="shared" si="14"/>
        <v>457758371.01250291</v>
      </c>
      <c r="L122" s="37">
        <f t="shared" si="22"/>
        <v>626697081.96515679</v>
      </c>
      <c r="M122" s="34">
        <f t="shared" si="5"/>
        <v>39481916.163804881</v>
      </c>
      <c r="N122" s="34">
        <f t="shared" si="6"/>
        <v>0</v>
      </c>
      <c r="O122" s="34">
        <f t="shared" si="7"/>
        <v>39481916.163804881</v>
      </c>
      <c r="P122" s="34">
        <f t="shared" si="25"/>
        <v>3948191.6163804885</v>
      </c>
      <c r="Q122" s="38">
        <f t="shared" si="8"/>
        <v>35356055.924687266</v>
      </c>
      <c r="R122" s="39">
        <f t="shared" si="16"/>
        <v>3515216.2513346742</v>
      </c>
      <c r="S122" s="34">
        <f t="shared" si="17"/>
        <v>31636946.262012064</v>
      </c>
      <c r="T122" s="40">
        <f t="shared" si="24"/>
        <v>9800386162.0005913</v>
      </c>
      <c r="U122" s="272">
        <f t="shared" si="9"/>
        <v>2.145751974709861E-6</v>
      </c>
      <c r="V122" s="282">
        <f t="shared" si="10"/>
        <v>125.3691269401602</v>
      </c>
      <c r="W122" s="283">
        <f>((S122+'Malawi-only'!S122)/(T122*(U122+'Malawi-only'!U122))/12)</f>
        <v>8.4555718098768811</v>
      </c>
      <c r="X122" s="284">
        <f>(R122+'Malawi-only'!R122)</f>
        <v>2657815328.1112475</v>
      </c>
      <c r="Y122" s="284">
        <f>(L122+'Malawi-only'!L122)</f>
        <v>94672297175.958038</v>
      </c>
      <c r="Z122" s="284">
        <f>(Q122+'Malawi-only'!Q122)</f>
        <v>5343956279.6445131</v>
      </c>
    </row>
    <row r="123" spans="1:26" ht="15.75" customHeight="1">
      <c r="A123" s="31" t="s">
        <v>156</v>
      </c>
      <c r="B123" s="32">
        <v>2139</v>
      </c>
      <c r="C123" s="334">
        <f t="shared" si="11"/>
        <v>4.8763761573894258E-10</v>
      </c>
      <c r="D123" s="334">
        <f t="shared" si="20"/>
        <v>4.8763761573894258E-10</v>
      </c>
      <c r="E123" s="34">
        <f t="shared" si="1"/>
        <v>0</v>
      </c>
      <c r="F123" s="42">
        <v>4000</v>
      </c>
      <c r="G123" s="34">
        <f t="shared" si="2"/>
        <v>1950.5504629557704</v>
      </c>
      <c r="H123" s="34">
        <f t="shared" si="3"/>
        <v>1940.7977106409915</v>
      </c>
      <c r="I123" s="35">
        <f t="shared" si="21"/>
        <v>1</v>
      </c>
      <c r="J123" s="36">
        <f t="shared" si="4"/>
        <v>1940.7977106409915</v>
      </c>
      <c r="K123" s="34">
        <f t="shared" si="14"/>
        <v>457760311.81021357</v>
      </c>
      <c r="L123" s="37">
        <f t="shared" si="22"/>
        <v>630331890.77205837</v>
      </c>
      <c r="M123" s="34">
        <f t="shared" si="5"/>
        <v>39710909.118639678</v>
      </c>
      <c r="N123" s="34">
        <f t="shared" si="6"/>
        <v>0</v>
      </c>
      <c r="O123" s="34">
        <f t="shared" si="7"/>
        <v>39710909.118639678</v>
      </c>
      <c r="P123" s="34">
        <f t="shared" si="25"/>
        <v>3971090.9118639678</v>
      </c>
      <c r="Q123" s="38">
        <f t="shared" si="8"/>
        <v>35561119.115741834</v>
      </c>
      <c r="R123" s="39">
        <f t="shared" si="16"/>
        <v>3535605.5924687269</v>
      </c>
      <c r="S123" s="34">
        <f t="shared" si="17"/>
        <v>31820450.332218539</v>
      </c>
      <c r="T123" s="40">
        <f t="shared" si="24"/>
        <v>9790585775.8385925</v>
      </c>
      <c r="U123" s="272">
        <f t="shared" si="9"/>
        <v>2.145751974709861E-6</v>
      </c>
      <c r="V123" s="282">
        <f t="shared" si="10"/>
        <v>126.22252916869752</v>
      </c>
      <c r="W123" s="283">
        <f>((S123+'Malawi-only'!S123)/(T123*(U123+'Malawi-only'!U123))/12)</f>
        <v>8.5131597842114832</v>
      </c>
      <c r="X123" s="284">
        <f>(R123+'Malawi-only'!R123)</f>
        <v>2673240971.4206777</v>
      </c>
      <c r="Y123" s="284">
        <f>(L123+'Malawi-only'!L123)</f>
        <v>95221726276.162186</v>
      </c>
      <c r="Z123" s="284">
        <f>(Q123+'Malawi-only'!Q123)</f>
        <v>5374971850.7721596</v>
      </c>
    </row>
    <row r="124" spans="1:26" ht="15.75" customHeight="1">
      <c r="A124" s="31" t="s">
        <v>157</v>
      </c>
      <c r="B124" s="32">
        <v>2140</v>
      </c>
      <c r="C124" s="334">
        <f t="shared" si="11"/>
        <v>4.3887385416504835E-10</v>
      </c>
      <c r="D124" s="334">
        <f t="shared" si="20"/>
        <v>4.3887385416504835E-10</v>
      </c>
      <c r="E124" s="34">
        <f t="shared" si="1"/>
        <v>0</v>
      </c>
      <c r="F124" s="42">
        <v>4000</v>
      </c>
      <c r="G124" s="34">
        <f t="shared" si="2"/>
        <v>1755.4954166601933</v>
      </c>
      <c r="H124" s="34">
        <f t="shared" si="3"/>
        <v>1746.7179395768924</v>
      </c>
      <c r="I124" s="35">
        <f t="shared" si="21"/>
        <v>1</v>
      </c>
      <c r="J124" s="36">
        <f t="shared" si="4"/>
        <v>1746.7179395768924</v>
      </c>
      <c r="K124" s="34">
        <f t="shared" si="14"/>
        <v>457762058.52815312</v>
      </c>
      <c r="L124" s="37">
        <f t="shared" si="22"/>
        <v>633987576.03766096</v>
      </c>
      <c r="M124" s="34">
        <f t="shared" si="5"/>
        <v>39941217.29037264</v>
      </c>
      <c r="N124" s="34">
        <f t="shared" si="6"/>
        <v>0</v>
      </c>
      <c r="O124" s="34">
        <f t="shared" si="7"/>
        <v>39941217.29037264</v>
      </c>
      <c r="P124" s="34">
        <f t="shared" si="25"/>
        <v>3994121.7290372644</v>
      </c>
      <c r="Q124" s="38">
        <f t="shared" si="8"/>
        <v>35767360.083528697</v>
      </c>
      <c r="R124" s="39">
        <f t="shared" si="16"/>
        <v>3556111.9115741835</v>
      </c>
      <c r="S124" s="34">
        <f t="shared" si="17"/>
        <v>32005007.204167649</v>
      </c>
      <c r="T124" s="40">
        <f t="shared" si="24"/>
        <v>9780795190.0627556</v>
      </c>
      <c r="U124" s="272">
        <f t="shared" si="9"/>
        <v>2.145751974709861E-6</v>
      </c>
      <c r="V124" s="282">
        <f t="shared" si="10"/>
        <v>127.08169463051762</v>
      </c>
      <c r="W124" s="283">
        <f>((S124+'Malawi-only'!S124)/(T124*(U124+'Malawi-only'!U124))/12)</f>
        <v>8.57113674558091</v>
      </c>
      <c r="X124" s="284">
        <f>(R124+'Malawi-only'!R124)</f>
        <v>2688755131.3176785</v>
      </c>
      <c r="Y124" s="284">
        <f>(L124+'Malawi-only'!L124)</f>
        <v>95774311729.733505</v>
      </c>
      <c r="Z124" s="284">
        <f>(Q124+'Malawi-only'!Q124)</f>
        <v>5406165398.8957367</v>
      </c>
    </row>
    <row r="125" spans="1:26" ht="15.75" customHeight="1">
      <c r="A125" s="31" t="s">
        <v>158</v>
      </c>
      <c r="B125" s="32">
        <v>2141</v>
      </c>
      <c r="C125" s="334">
        <f t="shared" si="11"/>
        <v>3.949864687485435E-10</v>
      </c>
      <c r="D125" s="334">
        <f t="shared" si="20"/>
        <v>3.949864687485435E-10</v>
      </c>
      <c r="E125" s="34">
        <f t="shared" si="1"/>
        <v>0</v>
      </c>
      <c r="F125" s="42">
        <v>4000</v>
      </c>
      <c r="G125" s="34">
        <f t="shared" si="2"/>
        <v>1579.9458749941741</v>
      </c>
      <c r="H125" s="34">
        <f t="shared" si="3"/>
        <v>1572.0461456192033</v>
      </c>
      <c r="I125" s="35">
        <f t="shared" si="21"/>
        <v>1</v>
      </c>
      <c r="J125" s="36">
        <f t="shared" si="4"/>
        <v>1572.0461456192033</v>
      </c>
      <c r="K125" s="34">
        <f t="shared" si="14"/>
        <v>457763630.57429874</v>
      </c>
      <c r="L125" s="37">
        <f t="shared" si="22"/>
        <v>637664278.17793751</v>
      </c>
      <c r="M125" s="34">
        <f t="shared" si="5"/>
        <v>40172849.52521006</v>
      </c>
      <c r="N125" s="34">
        <f t="shared" si="6"/>
        <v>0</v>
      </c>
      <c r="O125" s="34">
        <f t="shared" si="7"/>
        <v>40172849.52521006</v>
      </c>
      <c r="P125" s="34">
        <f t="shared" si="25"/>
        <v>4017284.9525210061</v>
      </c>
      <c r="Q125" s="38">
        <f t="shared" si="8"/>
        <v>35974786.749825612</v>
      </c>
      <c r="R125" s="39">
        <f t="shared" si="16"/>
        <v>3576736.0083528701</v>
      </c>
      <c r="S125" s="34">
        <f t="shared" si="17"/>
        <v>32190624.075175829</v>
      </c>
      <c r="T125" s="40">
        <f t="shared" si="24"/>
        <v>9771014394.872694</v>
      </c>
      <c r="U125" s="272">
        <f t="shared" si="9"/>
        <v>2.145751974709861E-6</v>
      </c>
      <c r="V125" s="282">
        <f t="shared" si="10"/>
        <v>127.94666679989767</v>
      </c>
      <c r="W125" s="283">
        <f>((S125+'Malawi-only'!S125)/(T125*(U125+'Malawi-only'!U125))/12)</f>
        <v>8.6295056408588415</v>
      </c>
      <c r="X125" s="284">
        <f>(R125+'Malawi-only'!R125)</f>
        <v>2704358416.8727703</v>
      </c>
      <c r="Y125" s="284">
        <f>(L125+'Malawi-only'!L125)</f>
        <v>96330074892.38942</v>
      </c>
      <c r="Z125" s="284">
        <f>(Q125+'Malawi-only'!Q125)</f>
        <v>5437538148.4786606</v>
      </c>
    </row>
    <row r="126" spans="1:26" ht="15.75" customHeight="1">
      <c r="A126" s="31" t="s">
        <v>159</v>
      </c>
      <c r="B126" s="32">
        <v>2142</v>
      </c>
      <c r="C126" s="334">
        <f t="shared" si="11"/>
        <v>3.5548782187368913E-10</v>
      </c>
      <c r="D126" s="334">
        <f t="shared" si="20"/>
        <v>3.5548782187368913E-10</v>
      </c>
      <c r="E126" s="34">
        <f t="shared" si="1"/>
        <v>0</v>
      </c>
      <c r="F126" s="42">
        <v>4000</v>
      </c>
      <c r="G126" s="34">
        <f t="shared" si="2"/>
        <v>1421.9512874947566</v>
      </c>
      <c r="H126" s="34">
        <f t="shared" si="3"/>
        <v>1414.8415310572827</v>
      </c>
      <c r="I126" s="35">
        <f t="shared" si="21"/>
        <v>1</v>
      </c>
      <c r="J126" s="36">
        <f t="shared" si="4"/>
        <v>1414.8415310572827</v>
      </c>
      <c r="K126" s="34">
        <f t="shared" si="14"/>
        <v>457765045.41582978</v>
      </c>
      <c r="L126" s="37">
        <f t="shared" si="22"/>
        <v>641362136.4830035</v>
      </c>
      <c r="M126" s="34">
        <f t="shared" si="5"/>
        <v>40405814.598429218</v>
      </c>
      <c r="N126" s="34">
        <f t="shared" si="6"/>
        <v>0</v>
      </c>
      <c r="O126" s="34">
        <f t="shared" si="7"/>
        <v>40405814.598429218</v>
      </c>
      <c r="P126" s="34">
        <f t="shared" si="25"/>
        <v>4040581.4598429222</v>
      </c>
      <c r="Q126" s="38">
        <f t="shared" si="8"/>
        <v>36183406.972893365</v>
      </c>
      <c r="R126" s="39">
        <f t="shared" si="16"/>
        <v>3597478.6749825613</v>
      </c>
      <c r="S126" s="34">
        <f t="shared" si="17"/>
        <v>32377308.074843049</v>
      </c>
      <c r="T126" s="40">
        <f t="shared" si="24"/>
        <v>9761243380.4778233</v>
      </c>
      <c r="U126" s="272">
        <f t="shared" si="9"/>
        <v>2.145751974709861E-6</v>
      </c>
      <c r="V126" s="282">
        <f t="shared" si="10"/>
        <v>128.81748902441623</v>
      </c>
      <c r="W126" s="283">
        <f>((S126+'Malawi-only'!S126)/(T126*(U126+'Malawi-only'!U126))/12)</f>
        <v>8.6882694073460343</v>
      </c>
      <c r="X126" s="284">
        <f>(R126+'Malawi-only'!R126)</f>
        <v>2720051431.1243186</v>
      </c>
      <c r="Y126" s="284">
        <f>(L126+'Malawi-only'!L126)</f>
        <v>96889036938.912628</v>
      </c>
      <c r="Z126" s="284">
        <f>(Q126+'Malawi-only'!Q126)</f>
        <v>5469091311.8715658</v>
      </c>
    </row>
    <row r="127" spans="1:26" ht="15.75" customHeight="1">
      <c r="A127" s="31" t="s">
        <v>160</v>
      </c>
      <c r="B127" s="32">
        <v>2143</v>
      </c>
      <c r="C127" s="334">
        <f t="shared" si="11"/>
        <v>3.1993903968632024E-10</v>
      </c>
      <c r="D127" s="334">
        <f t="shared" si="20"/>
        <v>3.1993903968632024E-10</v>
      </c>
      <c r="E127" s="34">
        <f t="shared" si="1"/>
        <v>0</v>
      </c>
      <c r="F127" s="42">
        <v>4000</v>
      </c>
      <c r="G127" s="34">
        <f t="shared" si="2"/>
        <v>1279.756158745281</v>
      </c>
      <c r="H127" s="34">
        <f t="shared" si="3"/>
        <v>1273.3573779515546</v>
      </c>
      <c r="I127" s="35">
        <f t="shared" si="21"/>
        <v>1</v>
      </c>
      <c r="J127" s="36">
        <f t="shared" si="4"/>
        <v>1273.3573779515546</v>
      </c>
      <c r="K127" s="34">
        <f t="shared" si="14"/>
        <v>457766318.77320772</v>
      </c>
      <c r="L127" s="37">
        <f t="shared" si="22"/>
        <v>645081289.30457437</v>
      </c>
      <c r="M127" s="34">
        <f t="shared" si="5"/>
        <v>40640121.226188183</v>
      </c>
      <c r="N127" s="34">
        <f t="shared" si="6"/>
        <v>0</v>
      </c>
      <c r="O127" s="34">
        <f t="shared" si="7"/>
        <v>40640121.226188183</v>
      </c>
      <c r="P127" s="34">
        <f t="shared" si="25"/>
        <v>4064012.1226188187</v>
      </c>
      <c r="Q127" s="38">
        <f t="shared" si="8"/>
        <v>36393228.558051519</v>
      </c>
      <c r="R127" s="39">
        <f t="shared" si="16"/>
        <v>3618340.6972893365</v>
      </c>
      <c r="S127" s="34">
        <f t="shared" si="17"/>
        <v>32565066.275604028</v>
      </c>
      <c r="T127" s="40">
        <f t="shared" si="24"/>
        <v>9751482137.0973473</v>
      </c>
      <c r="U127" s="272">
        <f t="shared" si="9"/>
        <v>2.145751974709861E-6</v>
      </c>
      <c r="V127" s="282">
        <f t="shared" si="10"/>
        <v>129.69420456595876</v>
      </c>
      <c r="W127" s="283">
        <f>((S127+'Malawi-only'!S127)/(T127*(U127+'Malawi-only'!U127))/12)</f>
        <v>8.7474309756417252</v>
      </c>
      <c r="X127" s="284">
        <f>(R127+'Malawi-only'!R127)</f>
        <v>2735834772.0000401</v>
      </c>
      <c r="Y127" s="284">
        <f>(L127+'Malawi-only'!L127)</f>
        <v>97451218892.581985</v>
      </c>
      <c r="Z127" s="284">
        <f>(Q127+'Malawi-only'!Q127)</f>
        <v>5500826091.1635523</v>
      </c>
    </row>
    <row r="128" spans="1:26" ht="15.75" customHeight="1">
      <c r="A128" s="31" t="s">
        <v>161</v>
      </c>
      <c r="B128" s="32">
        <v>2144</v>
      </c>
      <c r="C128" s="334">
        <f t="shared" si="11"/>
        <v>2.8794513571768823E-10</v>
      </c>
      <c r="D128" s="334">
        <f t="shared" si="20"/>
        <v>2.8794513571768823E-10</v>
      </c>
      <c r="E128" s="34">
        <f t="shared" si="1"/>
        <v>0</v>
      </c>
      <c r="F128" s="42">
        <v>4000</v>
      </c>
      <c r="G128" s="34">
        <f t="shared" si="2"/>
        <v>1151.7805428707529</v>
      </c>
      <c r="H128" s="34">
        <f t="shared" si="3"/>
        <v>1146.0216401563991</v>
      </c>
      <c r="I128" s="35">
        <f t="shared" si="21"/>
        <v>1</v>
      </c>
      <c r="J128" s="36">
        <f t="shared" si="4"/>
        <v>1146.0216401563991</v>
      </c>
      <c r="K128" s="34">
        <f t="shared" si="14"/>
        <v>457767464.79484791</v>
      </c>
      <c r="L128" s="37">
        <f t="shared" si="22"/>
        <v>648821874.22510898</v>
      </c>
      <c r="M128" s="34">
        <f t="shared" si="5"/>
        <v>40875778.076181866</v>
      </c>
      <c r="N128" s="34">
        <f t="shared" si="6"/>
        <v>0</v>
      </c>
      <c r="O128" s="34">
        <f t="shared" si="7"/>
        <v>40875778.076181866</v>
      </c>
      <c r="P128" s="34">
        <f t="shared" si="25"/>
        <v>4087577.8076181868</v>
      </c>
      <c r="Q128" s="38">
        <f t="shared" si="8"/>
        <v>36604259.267220862</v>
      </c>
      <c r="R128" s="39">
        <f t="shared" si="16"/>
        <v>3639322.8558051521</v>
      </c>
      <c r="S128" s="34">
        <f t="shared" si="17"/>
        <v>32753905.702246368</v>
      </c>
      <c r="T128" s="40">
        <f t="shared" si="24"/>
        <v>9741730654.9602509</v>
      </c>
      <c r="U128" s="272">
        <f t="shared" si="9"/>
        <v>2.145751974709861E-6</v>
      </c>
      <c r="V128" s="282">
        <f t="shared" si="10"/>
        <v>130.57685663785318</v>
      </c>
      <c r="W128" s="283">
        <f>((S128+'Malawi-only'!S128)/(T128*(U128+'Malawi-only'!U128))/12)</f>
        <v>8.8069932722435311</v>
      </c>
      <c r="X128" s="284">
        <f>(R128+'Malawi-only'!R128)</f>
        <v>2751709033.1482019</v>
      </c>
      <c r="Y128" s="284">
        <f>(L128+'Malawi-only'!L128)</f>
        <v>98016641651.726059</v>
      </c>
      <c r="Z128" s="284">
        <f>(Q128+'Malawi-only'!Q128)</f>
        <v>5532743679.8520145</v>
      </c>
    </row>
    <row r="129" spans="1:26" ht="15.75" customHeight="1">
      <c r="A129" s="31" t="s">
        <v>162</v>
      </c>
      <c r="B129" s="32">
        <v>2145</v>
      </c>
      <c r="C129" s="334">
        <f t="shared" si="11"/>
        <v>2.5915062214591941E-10</v>
      </c>
      <c r="D129" s="334">
        <f t="shared" si="20"/>
        <v>2.5915062214591941E-10</v>
      </c>
      <c r="E129" s="34">
        <f t="shared" si="1"/>
        <v>0</v>
      </c>
      <c r="F129" s="42">
        <v>4000</v>
      </c>
      <c r="G129" s="34">
        <f t="shared" si="2"/>
        <v>1036.6024885836775</v>
      </c>
      <c r="H129" s="34">
        <f t="shared" si="3"/>
        <v>1031.4194761407591</v>
      </c>
      <c r="I129" s="35">
        <f t="shared" si="21"/>
        <v>1</v>
      </c>
      <c r="J129" s="36">
        <f t="shared" si="4"/>
        <v>1031.4194761407591</v>
      </c>
      <c r="K129" s="34">
        <f t="shared" si="14"/>
        <v>457768496.21432406</v>
      </c>
      <c r="L129" s="37">
        <f t="shared" si="22"/>
        <v>652584028.21047723</v>
      </c>
      <c r="M129" s="34">
        <f t="shared" si="5"/>
        <v>41112793.777260065</v>
      </c>
      <c r="N129" s="34">
        <f t="shared" si="6"/>
        <v>0</v>
      </c>
      <c r="O129" s="34">
        <f t="shared" si="7"/>
        <v>41112793.777260065</v>
      </c>
      <c r="P129" s="34">
        <f t="shared" si="25"/>
        <v>4111279.3777260068</v>
      </c>
      <c r="Q129" s="38">
        <f t="shared" si="8"/>
        <v>36816506.827536389</v>
      </c>
      <c r="R129" s="39">
        <f t="shared" si="16"/>
        <v>3660425.9267220865</v>
      </c>
      <c r="S129" s="34">
        <f t="shared" si="17"/>
        <v>32943833.340498775</v>
      </c>
      <c r="T129" s="40">
        <f t="shared" si="24"/>
        <v>9731988924.3052921</v>
      </c>
      <c r="U129" s="272">
        <f t="shared" si="9"/>
        <v>2.145751974709861E-6</v>
      </c>
      <c r="V129" s="282">
        <f t="shared" si="10"/>
        <v>131.46548843852023</v>
      </c>
      <c r="W129" s="283">
        <f>((S129+'Malawi-only'!S129)/(T129*(U129+'Malawi-only'!U129))/12)</f>
        <v>8.8669592219029187</v>
      </c>
      <c r="X129" s="284">
        <f>(R129+'Malawi-only'!R129)</f>
        <v>2767674804.6875634</v>
      </c>
      <c r="Y129" s="284">
        <f>(L129+'Malawi-only'!L129)</f>
        <v>98585326013.687454</v>
      </c>
      <c r="Z129" s="284">
        <f>(Q129+'Malawi-only'!Q129)</f>
        <v>5564845264.3492193</v>
      </c>
    </row>
    <row r="130" spans="1:26" ht="15.75" customHeight="1">
      <c r="A130" s="31" t="s">
        <v>163</v>
      </c>
      <c r="B130" s="32">
        <v>2146</v>
      </c>
      <c r="C130" s="334">
        <f t="shared" si="11"/>
        <v>2.3323555993132745E-10</v>
      </c>
      <c r="D130" s="334">
        <f t="shared" si="20"/>
        <v>2.3323555993132745E-10</v>
      </c>
      <c r="E130" s="34">
        <f t="shared" si="1"/>
        <v>0</v>
      </c>
      <c r="F130" s="42">
        <v>4000</v>
      </c>
      <c r="G130" s="34">
        <f t="shared" si="2"/>
        <v>932.94223972530972</v>
      </c>
      <c r="H130" s="34">
        <f t="shared" si="3"/>
        <v>928.27752852668311</v>
      </c>
      <c r="I130" s="35">
        <f t="shared" si="21"/>
        <v>1</v>
      </c>
      <c r="J130" s="36">
        <f t="shared" si="4"/>
        <v>928.27752852668311</v>
      </c>
      <c r="K130" s="34">
        <f t="shared" si="14"/>
        <v>457769424.49185258</v>
      </c>
      <c r="L130" s="37">
        <f t="shared" si="22"/>
        <v>656367887.74779892</v>
      </c>
      <c r="M130" s="34">
        <f t="shared" si="5"/>
        <v>41351176.92811133</v>
      </c>
      <c r="N130" s="34">
        <f t="shared" si="6"/>
        <v>0</v>
      </c>
      <c r="O130" s="34">
        <f t="shared" si="7"/>
        <v>41351176.92811133</v>
      </c>
      <c r="P130" s="34">
        <f t="shared" si="25"/>
        <v>4135117.6928111333</v>
      </c>
      <c r="Q130" s="38">
        <f t="shared" si="8"/>
        <v>37029978.939123698</v>
      </c>
      <c r="R130" s="39">
        <f t="shared" si="16"/>
        <v>3681650.6827536393</v>
      </c>
      <c r="S130" s="34">
        <f t="shared" si="17"/>
        <v>33134856.144782752</v>
      </c>
      <c r="T130" s="40">
        <f t="shared" si="24"/>
        <v>9722256935.3809872</v>
      </c>
      <c r="U130" s="272">
        <f t="shared" si="9"/>
        <v>2.145751974709861E-6</v>
      </c>
      <c r="V130" s="282">
        <f t="shared" si="10"/>
        <v>132.36014318198531</v>
      </c>
      <c r="W130" s="283">
        <f>((S130+'Malawi-only'!S130)/(T130*(U130+'Malawi-only'!U130))/12)</f>
        <v>8.9273317497604836</v>
      </c>
      <c r="X130" s="284">
        <f>(R130+'Malawi-only'!R130)</f>
        <v>2783732673.8841829</v>
      </c>
      <c r="Y130" s="284">
        <f>(L130+'Malawi-only'!L130)</f>
        <v>99157292696.457291</v>
      </c>
      <c r="Z130" s="284">
        <f>(Q130+'Malawi-only'!Q130)</f>
        <v>5597132025.3419828</v>
      </c>
    </row>
    <row r="131" spans="1:26" ht="15.75" customHeight="1">
      <c r="A131" s="31" t="s">
        <v>164</v>
      </c>
      <c r="B131" s="32">
        <v>2147</v>
      </c>
      <c r="C131" s="334">
        <f t="shared" si="11"/>
        <v>2.0991200393819471E-10</v>
      </c>
      <c r="D131" s="334">
        <f t="shared" si="20"/>
        <v>2.0991200393819471E-10</v>
      </c>
      <c r="E131" s="34">
        <f t="shared" si="1"/>
        <v>0</v>
      </c>
      <c r="F131" s="42">
        <v>4000</v>
      </c>
      <c r="G131" s="34">
        <f t="shared" si="2"/>
        <v>839.64801575277886</v>
      </c>
      <c r="H131" s="34">
        <f t="shared" si="3"/>
        <v>835.44977567401497</v>
      </c>
      <c r="I131" s="35">
        <f t="shared" si="21"/>
        <v>1</v>
      </c>
      <c r="J131" s="36">
        <f t="shared" si="4"/>
        <v>835.44977567401497</v>
      </c>
      <c r="K131" s="34">
        <f t="shared" si="14"/>
        <v>457770259.94162828</v>
      </c>
      <c r="L131" s="37">
        <f t="shared" si="22"/>
        <v>660173588.96994054</v>
      </c>
      <c r="M131" s="34">
        <f t="shared" si="5"/>
        <v>41590936.105106257</v>
      </c>
      <c r="N131" s="34">
        <f t="shared" si="6"/>
        <v>0</v>
      </c>
      <c r="O131" s="34">
        <f t="shared" si="7"/>
        <v>41590936.105106257</v>
      </c>
      <c r="P131" s="34">
        <f t="shared" si="25"/>
        <v>4159093.6105106259</v>
      </c>
      <c r="Q131" s="38">
        <f t="shared" si="8"/>
        <v>37244683.282122657</v>
      </c>
      <c r="R131" s="39">
        <f t="shared" si="16"/>
        <v>3702997.8939123699</v>
      </c>
      <c r="S131" s="34">
        <f t="shared" si="17"/>
        <v>33326981.045211326</v>
      </c>
      <c r="T131" s="40">
        <f t="shared" si="24"/>
        <v>9712534678.4456081</v>
      </c>
      <c r="U131" s="272">
        <f t="shared" si="9"/>
        <v>2.145751974709861E-6</v>
      </c>
      <c r="V131" s="282">
        <f t="shared" si="10"/>
        <v>133.26086412556421</v>
      </c>
      <c r="W131" s="283">
        <f>((S131+'Malawi-only'!S131)/(T131*(U131+'Malawi-only'!U131))/12)</f>
        <v>8.9881137832829996</v>
      </c>
      <c r="X131" s="284">
        <f>(R131+'Malawi-only'!R131)</f>
        <v>2799883225.7624311</v>
      </c>
      <c r="Y131" s="284">
        <f>(L131+'Malawi-only'!L131)</f>
        <v>99732562358.213028</v>
      </c>
      <c r="Z131" s="284">
        <f>(Q131+'Malawi-only'!Q131)</f>
        <v>5629605139.0191603</v>
      </c>
    </row>
    <row r="132" spans="1:26" ht="15.75" customHeight="1">
      <c r="A132" s="31" t="s">
        <v>165</v>
      </c>
      <c r="B132" s="32">
        <v>2148</v>
      </c>
      <c r="C132" s="334">
        <f t="shared" si="11"/>
        <v>1.8892080354437525E-10</v>
      </c>
      <c r="D132" s="334">
        <f t="shared" si="20"/>
        <v>1.8892080354437525E-10</v>
      </c>
      <c r="E132" s="34">
        <f t="shared" si="1"/>
        <v>0</v>
      </c>
      <c r="F132" s="42">
        <v>4000</v>
      </c>
      <c r="G132" s="34">
        <f t="shared" si="2"/>
        <v>755.68321417750099</v>
      </c>
      <c r="H132" s="34">
        <f t="shared" si="3"/>
        <v>751.9047981066135</v>
      </c>
      <c r="I132" s="35">
        <f t="shared" si="21"/>
        <v>1</v>
      </c>
      <c r="J132" s="36">
        <f t="shared" si="4"/>
        <v>751.9047981066135</v>
      </c>
      <c r="K132" s="34">
        <f t="shared" si="14"/>
        <v>457771011.84642637</v>
      </c>
      <c r="L132" s="37">
        <f t="shared" si="22"/>
        <v>664001267.76800668</v>
      </c>
      <c r="M132" s="34">
        <f t="shared" si="5"/>
        <v>41832079.869384423</v>
      </c>
      <c r="N132" s="34">
        <f t="shared" si="6"/>
        <v>0</v>
      </c>
      <c r="O132" s="34">
        <f t="shared" si="7"/>
        <v>41832079.869384423</v>
      </c>
      <c r="P132" s="34">
        <f t="shared" si="25"/>
        <v>4183207.9869384426</v>
      </c>
      <c r="Q132" s="38">
        <f t="shared" si="8"/>
        <v>37460627.523033753</v>
      </c>
      <c r="R132" s="39">
        <f t="shared" si="16"/>
        <v>3724468.3282122659</v>
      </c>
      <c r="S132" s="34">
        <f t="shared" si="17"/>
        <v>33520214.953910392</v>
      </c>
      <c r="T132" s="40">
        <f t="shared" si="24"/>
        <v>9702822143.7671642</v>
      </c>
      <c r="U132" s="272">
        <f t="shared" si="9"/>
        <v>2.145751974709861E-6</v>
      </c>
      <c r="V132" s="282">
        <f t="shared" si="10"/>
        <v>134.16769459500412</v>
      </c>
      <c r="W132" s="283">
        <f>((S132+'Malawi-only'!S132)/(T132*(U132+'Malawi-only'!U132))/12)</f>
        <v>9.0493082540219536</v>
      </c>
      <c r="X132" s="284">
        <f>(R132+'Malawi-only'!R132)</f>
        <v>2816127043.656785</v>
      </c>
      <c r="Y132" s="284">
        <f>(L132+'Malawi-only'!L132)</f>
        <v>100311155614.96997</v>
      </c>
      <c r="Z132" s="284">
        <f>(Q132+'Malawi-only'!Q132)</f>
        <v>5662265778.1801796</v>
      </c>
    </row>
    <row r="133" spans="1:26" ht="15.75" customHeight="1">
      <c r="A133" s="31" t="s">
        <v>166</v>
      </c>
      <c r="B133" s="32">
        <v>2149</v>
      </c>
      <c r="C133" s="334">
        <f t="shared" si="11"/>
        <v>1.7002872318993773E-10</v>
      </c>
      <c r="D133" s="334">
        <f t="shared" si="20"/>
        <v>1.7002872318993773E-10</v>
      </c>
      <c r="E133" s="34">
        <f t="shared" si="1"/>
        <v>0</v>
      </c>
      <c r="F133" s="42">
        <v>4000</v>
      </c>
      <c r="G133" s="34">
        <f t="shared" si="2"/>
        <v>680.114892759751</v>
      </c>
      <c r="H133" s="34">
        <f t="shared" si="3"/>
        <v>676.71431829595224</v>
      </c>
      <c r="I133" s="35">
        <f t="shared" si="21"/>
        <v>1</v>
      </c>
      <c r="J133" s="36">
        <f t="shared" si="4"/>
        <v>676.71431829595224</v>
      </c>
      <c r="K133" s="34">
        <f t="shared" si="14"/>
        <v>457771688.56074464</v>
      </c>
      <c r="L133" s="37">
        <f t="shared" si="22"/>
        <v>667851059.89302886</v>
      </c>
      <c r="M133" s="34">
        <f t="shared" si="5"/>
        <v>42074616.773260817</v>
      </c>
      <c r="N133" s="34">
        <f t="shared" si="6"/>
        <v>0</v>
      </c>
      <c r="O133" s="34">
        <f t="shared" si="7"/>
        <v>42074616.773260817</v>
      </c>
      <c r="P133" s="34">
        <f t="shared" si="25"/>
        <v>4207461.6773260823</v>
      </c>
      <c r="Q133" s="38">
        <f t="shared" si="8"/>
        <v>37677819.320455059</v>
      </c>
      <c r="R133" s="39">
        <f t="shared" si="16"/>
        <v>3746062.7523033754</v>
      </c>
      <c r="S133" s="34">
        <f t="shared" si="17"/>
        <v>33714564.770730376</v>
      </c>
      <c r="T133" s="40">
        <f t="shared" si="24"/>
        <v>9693119321.6233978</v>
      </c>
      <c r="U133" s="272">
        <f t="shared" si="9"/>
        <v>2.145751974709861E-6</v>
      </c>
      <c r="V133" s="282">
        <f t="shared" si="10"/>
        <v>135.08067800733318</v>
      </c>
      <c r="W133" s="283">
        <f>((S133+'Malawi-only'!S133)/(T133*(U133+'Malawi-only'!U133))/12)</f>
        <v>9.1109180992113377</v>
      </c>
      <c r="X133" s="284">
        <f>(R133+'Malawi-only'!R133)</f>
        <v>2832464709.7103472</v>
      </c>
      <c r="Y133" s="284">
        <f>(L133+'Malawi-only'!L133)</f>
        <v>100893093056.53513</v>
      </c>
      <c r="Z133" s="284">
        <f>(Q133+'Malawi-only'!Q133)</f>
        <v>5695115113.2365417</v>
      </c>
    </row>
    <row r="134" spans="1:26" ht="15.75" customHeight="1">
      <c r="A134" s="31" t="s">
        <v>167</v>
      </c>
      <c r="B134" s="32">
        <v>2150</v>
      </c>
      <c r="C134" s="334">
        <f t="shared" si="11"/>
        <v>1.5302585087094396E-10</v>
      </c>
      <c r="D134" s="334">
        <f t="shared" si="20"/>
        <v>1.5302585087094396E-10</v>
      </c>
      <c r="E134" s="34">
        <f t="shared" si="1"/>
        <v>0</v>
      </c>
      <c r="F134" s="42">
        <v>4000</v>
      </c>
      <c r="G134" s="34">
        <f t="shared" si="2"/>
        <v>612.10340348377588</v>
      </c>
      <c r="H134" s="34">
        <f t="shared" si="3"/>
        <v>609.042886466357</v>
      </c>
      <c r="I134" s="35">
        <f t="shared" si="21"/>
        <v>1</v>
      </c>
      <c r="J134" s="36">
        <f t="shared" si="4"/>
        <v>609.042886466357</v>
      </c>
      <c r="K134" s="34">
        <f t="shared" si="14"/>
        <v>457772297.60363114</v>
      </c>
      <c r="L134" s="37">
        <f t="shared" si="22"/>
        <v>671723101.04793489</v>
      </c>
      <c r="M134" s="34">
        <f t="shared" si="5"/>
        <v>42318555.366019897</v>
      </c>
      <c r="N134" s="34">
        <f t="shared" si="6"/>
        <v>0</v>
      </c>
      <c r="O134" s="34">
        <f t="shared" si="7"/>
        <v>42318555.366019897</v>
      </c>
      <c r="P134" s="34">
        <f t="shared" si="25"/>
        <v>4231855.5366019895</v>
      </c>
      <c r="Q134" s="38">
        <f t="shared" si="8"/>
        <v>37896266.330270819</v>
      </c>
      <c r="R134" s="39">
        <f t="shared" si="16"/>
        <v>3767781.9320455063</v>
      </c>
      <c r="S134" s="34">
        <f t="shared" si="17"/>
        <v>33910037.388409555</v>
      </c>
      <c r="T134" s="40">
        <f t="shared" si="24"/>
        <v>9683426202.301775</v>
      </c>
      <c r="U134" s="272">
        <f t="shared" si="9"/>
        <v>2.145751974709861E-6</v>
      </c>
      <c r="V134" s="282">
        <f t="shared" si="10"/>
        <v>135.99985789164754</v>
      </c>
      <c r="W134" s="283">
        <f>((S134+'Malawi-only'!S134)/(T134*(U134+'Malawi-only'!U134))/12)</f>
        <v>9.1729462632207532</v>
      </c>
      <c r="X134" s="284">
        <f>(R134+'Malawi-only'!R134)</f>
        <v>2848896805.3254232</v>
      </c>
      <c r="Y134" s="284">
        <f>(L134+'Malawi-only'!L134)</f>
        <v>101478395260.93388</v>
      </c>
      <c r="Z134" s="284">
        <f>(Q134+'Malawi-only'!Q134)</f>
        <v>5728154313.1170263</v>
      </c>
    </row>
    <row r="135" spans="1:26" ht="15.75" customHeight="1">
      <c r="A135" s="31" t="s">
        <v>168</v>
      </c>
      <c r="B135" s="32">
        <v>2151</v>
      </c>
      <c r="C135" s="334">
        <f t="shared" si="11"/>
        <v>1.3772326578384957E-10</v>
      </c>
      <c r="D135" s="334">
        <f t="shared" si="20"/>
        <v>1.3772326578384957E-10</v>
      </c>
      <c r="E135" s="34">
        <f t="shared" si="1"/>
        <v>0</v>
      </c>
      <c r="F135" s="42">
        <v>4000</v>
      </c>
      <c r="G135" s="34">
        <f t="shared" si="2"/>
        <v>550.89306313539828</v>
      </c>
      <c r="H135" s="34">
        <f t="shared" si="3"/>
        <v>548.13859781972133</v>
      </c>
      <c r="I135" s="35">
        <f t="shared" si="21"/>
        <v>1</v>
      </c>
      <c r="J135" s="36">
        <f t="shared" si="4"/>
        <v>548.13859781972133</v>
      </c>
      <c r="K135" s="34">
        <f t="shared" si="14"/>
        <v>457772845.74222898</v>
      </c>
      <c r="L135" s="37">
        <f t="shared" si="22"/>
        <v>675617526.97077322</v>
      </c>
      <c r="M135" s="34">
        <f t="shared" si="5"/>
        <v>42563904.199158713</v>
      </c>
      <c r="N135" s="34">
        <f t="shared" si="6"/>
        <v>0</v>
      </c>
      <c r="O135" s="34">
        <f t="shared" si="7"/>
        <v>42563904.199158713</v>
      </c>
      <c r="P135" s="34">
        <f t="shared" si="25"/>
        <v>4256390.4199158717</v>
      </c>
      <c r="Q135" s="38">
        <f t="shared" si="8"/>
        <v>38115976.210346632</v>
      </c>
      <c r="R135" s="39">
        <f t="shared" si="16"/>
        <v>3789626.6330270823</v>
      </c>
      <c r="S135" s="34">
        <f t="shared" si="17"/>
        <v>34106639.697243735</v>
      </c>
      <c r="T135" s="40">
        <f t="shared" si="24"/>
        <v>9673742776.099474</v>
      </c>
      <c r="U135" s="272">
        <f t="shared" si="9"/>
        <v>2.145751974709861E-6</v>
      </c>
      <c r="V135" s="282">
        <f t="shared" si="10"/>
        <v>136.92527790804138</v>
      </c>
      <c r="W135" s="283">
        <f>((S135+'Malawi-only'!S135)/(T135*(U135+'Malawi-only'!U135))/12)</f>
        <v>9.235395698878234</v>
      </c>
      <c r="X135" s="284">
        <f>(R135+'Malawi-only'!R135)</f>
        <v>2865423911.5709653</v>
      </c>
      <c r="Y135" s="284">
        <f>(L135+'Malawi-only'!L135)</f>
        <v>102067082807.46257</v>
      </c>
      <c r="Z135" s="284">
        <f>(Q135+'Malawi-only'!Q135)</f>
        <v>5761384546.0862226</v>
      </c>
    </row>
    <row r="136" spans="1:26" ht="15.75" customHeight="1">
      <c r="A136" s="31" t="s">
        <v>169</v>
      </c>
      <c r="B136" s="32">
        <v>2152</v>
      </c>
      <c r="C136" s="334">
        <f t="shared" si="11"/>
        <v>1.2395093920546461E-10</v>
      </c>
      <c r="D136" s="334">
        <f t="shared" si="20"/>
        <v>1.2395093920546461E-10</v>
      </c>
      <c r="E136" s="34">
        <f t="shared" si="1"/>
        <v>0</v>
      </c>
      <c r="F136" s="42">
        <v>4000</v>
      </c>
      <c r="G136" s="34">
        <f t="shared" si="2"/>
        <v>495.80375682185843</v>
      </c>
      <c r="H136" s="34">
        <f t="shared" si="3"/>
        <v>493.32473803774911</v>
      </c>
      <c r="I136" s="35">
        <f t="shared" si="21"/>
        <v>1</v>
      </c>
      <c r="J136" s="36">
        <f t="shared" si="4"/>
        <v>493.32473803774911</v>
      </c>
      <c r="K136" s="34">
        <f t="shared" si="14"/>
        <v>457773339.06696701</v>
      </c>
      <c r="L136" s="37">
        <f t="shared" si="22"/>
        <v>679534473.51006949</v>
      </c>
      <c r="M136" s="34">
        <f t="shared" si="5"/>
        <v>42810671.831134379</v>
      </c>
      <c r="N136" s="34">
        <f t="shared" si="6"/>
        <v>0</v>
      </c>
      <c r="O136" s="34">
        <f t="shared" si="7"/>
        <v>42810671.831134379</v>
      </c>
      <c r="P136" s="34">
        <f t="shared" si="25"/>
        <v>4281067.1831134381</v>
      </c>
      <c r="Q136" s="38">
        <f t="shared" si="8"/>
        <v>38336956.624780834</v>
      </c>
      <c r="R136" s="39">
        <f t="shared" si="16"/>
        <v>3811597.6210346632</v>
      </c>
      <c r="S136" s="34">
        <f t="shared" si="17"/>
        <v>34304378.589311972</v>
      </c>
      <c r="T136" s="40">
        <f t="shared" si="24"/>
        <v>9664069033.3233757</v>
      </c>
      <c r="U136" s="272">
        <f t="shared" si="9"/>
        <v>2.145751974709861E-6</v>
      </c>
      <c r="V136" s="282">
        <f t="shared" si="10"/>
        <v>137.85698186486519</v>
      </c>
      <c r="W136" s="283">
        <f>((S136+'Malawi-only'!S136)/(T136*(U136+'Malawi-only'!U136))/12)</f>
        <v>9.2982693686757809</v>
      </c>
      <c r="X136" s="284">
        <f>(R136+'Malawi-only'!R136)</f>
        <v>2882046609.5512033</v>
      </c>
      <c r="Y136" s="284">
        <f>(L136+'Malawi-only'!L136)</f>
        <v>102659176288.50432</v>
      </c>
      <c r="Z136" s="284">
        <f>(Q136+'Malawi-only'!Q136)</f>
        <v>5794806980.4851179</v>
      </c>
    </row>
    <row r="137" spans="1:26" ht="15.75" customHeight="1">
      <c r="A137" s="31" t="s">
        <v>170</v>
      </c>
      <c r="B137" s="32">
        <v>2153</v>
      </c>
      <c r="C137" s="334">
        <f t="shared" si="11"/>
        <v>1.1155584528491815E-10</v>
      </c>
      <c r="D137" s="334">
        <f t="shared" si="20"/>
        <v>1.1155584528491815E-10</v>
      </c>
      <c r="E137" s="34">
        <f t="shared" si="1"/>
        <v>0</v>
      </c>
      <c r="F137" s="42">
        <v>4000</v>
      </c>
      <c r="G137" s="34">
        <f t="shared" si="2"/>
        <v>446.2233811396726</v>
      </c>
      <c r="H137" s="34">
        <f t="shared" si="3"/>
        <v>443.99226423397425</v>
      </c>
      <c r="I137" s="35">
        <f t="shared" si="21"/>
        <v>1</v>
      </c>
      <c r="J137" s="36">
        <f t="shared" si="4"/>
        <v>443.99226423397425</v>
      </c>
      <c r="K137" s="34">
        <f t="shared" si="14"/>
        <v>457773783.05923122</v>
      </c>
      <c r="L137" s="37">
        <f t="shared" si="22"/>
        <v>683474076.69310451</v>
      </c>
      <c r="M137" s="34">
        <f t="shared" si="5"/>
        <v>43058866.831665583</v>
      </c>
      <c r="N137" s="34">
        <f t="shared" si="6"/>
        <v>0</v>
      </c>
      <c r="O137" s="34">
        <f t="shared" si="7"/>
        <v>43058866.831665583</v>
      </c>
      <c r="P137" s="34">
        <f t="shared" si="25"/>
        <v>4305886.6831665589</v>
      </c>
      <c r="Q137" s="38">
        <f t="shared" si="8"/>
        <v>38559215.247756533</v>
      </c>
      <c r="R137" s="39">
        <f t="shared" si="16"/>
        <v>3833695.6624780837</v>
      </c>
      <c r="S137" s="34">
        <f t="shared" si="17"/>
        <v>34503260.962302752</v>
      </c>
      <c r="T137" s="40">
        <f t="shared" si="24"/>
        <v>9654404964.2900543</v>
      </c>
      <c r="U137" s="272">
        <f t="shared" si="9"/>
        <v>2.145751974709861E-6</v>
      </c>
      <c r="V137" s="282">
        <f t="shared" si="10"/>
        <v>138.7950137344794</v>
      </c>
      <c r="W137" s="283">
        <f>((S137+'Malawi-only'!S137)/(T137*(U137+'Malawi-only'!U137))/12)</f>
        <v>9.3615702458693537</v>
      </c>
      <c r="X137" s="284">
        <f>(R137+'Malawi-only'!R137)</f>
        <v>2898765480.7393546</v>
      </c>
      <c r="Y137" s="284">
        <f>(L137+'Malawi-only'!L137)</f>
        <v>103254696320.23302</v>
      </c>
      <c r="Z137" s="284">
        <f>(Q137+'Malawi-only'!Q137)</f>
        <v>5828422785.4015102</v>
      </c>
    </row>
    <row r="138" spans="1:26" ht="15.75" customHeight="1">
      <c r="A138" s="31" t="s">
        <v>171</v>
      </c>
      <c r="B138" s="32">
        <v>2154</v>
      </c>
      <c r="C138" s="334">
        <f t="shared" si="11"/>
        <v>1.0040026075642634E-10</v>
      </c>
      <c r="D138" s="334">
        <f t="shared" si="20"/>
        <v>1.0040026075642634E-10</v>
      </c>
      <c r="E138" s="34">
        <f t="shared" si="1"/>
        <v>0</v>
      </c>
      <c r="F138" s="42">
        <v>4000</v>
      </c>
      <c r="G138" s="34">
        <f t="shared" si="2"/>
        <v>401.60104302570534</v>
      </c>
      <c r="H138" s="34">
        <f t="shared" si="3"/>
        <v>399.59303781057679</v>
      </c>
      <c r="I138" s="35">
        <f t="shared" si="21"/>
        <v>1</v>
      </c>
      <c r="J138" s="36">
        <f t="shared" si="4"/>
        <v>399.59303781057679</v>
      </c>
      <c r="K138" s="34">
        <f t="shared" si="14"/>
        <v>457774182.65226901</v>
      </c>
      <c r="L138" s="37">
        <f t="shared" si="22"/>
        <v>687436472.78782427</v>
      </c>
      <c r="M138" s="34">
        <f t="shared" si="5"/>
        <v>43308497.785632931</v>
      </c>
      <c r="N138" s="34">
        <f t="shared" si="6"/>
        <v>0</v>
      </c>
      <c r="O138" s="34">
        <f t="shared" si="7"/>
        <v>43308497.785632931</v>
      </c>
      <c r="P138" s="34">
        <f t="shared" si="25"/>
        <v>4330849.7785632936</v>
      </c>
      <c r="Q138" s="38">
        <f t="shared" si="8"/>
        <v>38782759.767034292</v>
      </c>
      <c r="R138" s="39">
        <f t="shared" si="16"/>
        <v>3855921.5247756536</v>
      </c>
      <c r="S138" s="34">
        <f t="shared" si="17"/>
        <v>34703293.722980879</v>
      </c>
      <c r="T138" s="40">
        <f t="shared" si="24"/>
        <v>9644750559.3257656</v>
      </c>
      <c r="U138" s="272">
        <f t="shared" si="9"/>
        <v>2.145751974709861E-6</v>
      </c>
      <c r="V138" s="282">
        <f t="shared" si="10"/>
        <v>139.73941766765475</v>
      </c>
      <c r="W138" s="283">
        <f>((S138+'Malawi-only'!S138)/(T138*(U138+'Malawi-only'!U138))/12)</f>
        <v>9.4253013154838712</v>
      </c>
      <c r="X138" s="284">
        <f>(R138+'Malawi-only'!R138)</f>
        <v>2915581107.2799282</v>
      </c>
      <c r="Y138" s="284">
        <f>(L138+'Malawi-only'!L138)</f>
        <v>103853663552.3163</v>
      </c>
      <c r="Z138" s="284">
        <f>(Q138+'Malawi-only'!Q138)</f>
        <v>5862233131.2773399</v>
      </c>
    </row>
    <row r="139" spans="1:26" ht="15.75" customHeight="1">
      <c r="A139" s="31" t="s">
        <v>172</v>
      </c>
      <c r="B139" s="32">
        <v>2155</v>
      </c>
      <c r="C139" s="334">
        <f t="shared" si="11"/>
        <v>9.0360234680783711E-11</v>
      </c>
      <c r="D139" s="334">
        <f t="shared" si="20"/>
        <v>9.0360234680783711E-11</v>
      </c>
      <c r="E139" s="34">
        <f t="shared" si="1"/>
        <v>0</v>
      </c>
      <c r="F139" s="42">
        <v>4000</v>
      </c>
      <c r="G139" s="34">
        <f t="shared" si="2"/>
        <v>361.44093872313482</v>
      </c>
      <c r="H139" s="34">
        <f t="shared" si="3"/>
        <v>359.63373402951913</v>
      </c>
      <c r="I139" s="35">
        <f t="shared" si="21"/>
        <v>1</v>
      </c>
      <c r="J139" s="36">
        <f t="shared" si="4"/>
        <v>359.63373402951913</v>
      </c>
      <c r="K139" s="34">
        <f t="shared" si="14"/>
        <v>457774542.28600305</v>
      </c>
      <c r="L139" s="37">
        <f t="shared" si="22"/>
        <v>691421798.35902154</v>
      </c>
      <c r="M139" s="34">
        <f t="shared" si="5"/>
        <v>43559573.296618357</v>
      </c>
      <c r="N139" s="34">
        <f t="shared" si="6"/>
        <v>0</v>
      </c>
      <c r="O139" s="34">
        <f t="shared" si="7"/>
        <v>43559573.296618357</v>
      </c>
      <c r="P139" s="34">
        <f t="shared" si="25"/>
        <v>4355957.3296618359</v>
      </c>
      <c r="Q139" s="38">
        <f t="shared" si="8"/>
        <v>39007597.887121737</v>
      </c>
      <c r="R139" s="39">
        <f t="shared" si="16"/>
        <v>3878275.9767034296</v>
      </c>
      <c r="S139" s="34">
        <f t="shared" si="17"/>
        <v>34904483.790330864</v>
      </c>
      <c r="T139" s="40">
        <f t="shared" si="24"/>
        <v>9635105808.7664413</v>
      </c>
      <c r="U139" s="272">
        <f t="shared" si="9"/>
        <v>2.145751974709861E-6</v>
      </c>
      <c r="V139" s="282">
        <f t="shared" si="10"/>
        <v>140.69023800675285</v>
      </c>
      <c r="W139" s="283">
        <f>((S139+'Malawi-only'!S139)/(T139*(U139+'Malawi-only'!U139))/12)</f>
        <v>9.4894655752326909</v>
      </c>
      <c r="X139" s="284">
        <f>(R139+'Malawi-only'!R139)</f>
        <v>2932494072.2627559</v>
      </c>
      <c r="Y139" s="284">
        <f>(L139+'Malawi-only'!L139)</f>
        <v>104456098676.71831</v>
      </c>
      <c r="Z139" s="284">
        <f>(Q139+'Malawi-only'!Q139)</f>
        <v>5896239190.4592266</v>
      </c>
    </row>
    <row r="140" spans="1:26" ht="15.75" customHeight="1">
      <c r="A140" s="31" t="s">
        <v>173</v>
      </c>
      <c r="B140" s="32">
        <v>2156</v>
      </c>
      <c r="C140" s="334">
        <f t="shared" si="11"/>
        <v>8.1324211212705337E-11</v>
      </c>
      <c r="D140" s="334">
        <f t="shared" si="20"/>
        <v>8.1324211212705337E-11</v>
      </c>
      <c r="E140" s="34">
        <f t="shared" si="1"/>
        <v>0</v>
      </c>
      <c r="F140" s="42">
        <v>4000</v>
      </c>
      <c r="G140" s="34">
        <f t="shared" si="2"/>
        <v>325.29684485082134</v>
      </c>
      <c r="H140" s="34">
        <f t="shared" si="3"/>
        <v>323.67036062656723</v>
      </c>
      <c r="I140" s="35">
        <f t="shared" si="21"/>
        <v>1</v>
      </c>
      <c r="J140" s="36">
        <f t="shared" si="4"/>
        <v>323.67036062656723</v>
      </c>
      <c r="K140" s="34">
        <f t="shared" si="14"/>
        <v>457774865.95636368</v>
      </c>
      <c r="L140" s="37">
        <f t="shared" si="22"/>
        <v>695430190.31936455</v>
      </c>
      <c r="M140" s="34">
        <f t="shared" si="5"/>
        <v>43812101.990119964</v>
      </c>
      <c r="N140" s="34">
        <f t="shared" si="6"/>
        <v>0</v>
      </c>
      <c r="O140" s="34">
        <f t="shared" si="7"/>
        <v>43812101.990119964</v>
      </c>
      <c r="P140" s="34">
        <f t="shared" si="25"/>
        <v>4381210.1990119964</v>
      </c>
      <c r="Q140" s="38">
        <f t="shared" si="8"/>
        <v>39233737.332152426</v>
      </c>
      <c r="R140" s="39">
        <f t="shared" si="16"/>
        <v>3900759.7887121737</v>
      </c>
      <c r="S140" s="34">
        <f t="shared" si="17"/>
        <v>35106838.098409563</v>
      </c>
      <c r="T140" s="40">
        <f t="shared" si="24"/>
        <v>9625470702.9576759</v>
      </c>
      <c r="U140" s="272">
        <f t="shared" si="9"/>
        <v>2.145751974709861E-6</v>
      </c>
      <c r="V140" s="282">
        <f t="shared" si="10"/>
        <v>141.64751929781184</v>
      </c>
      <c r="W140" s="283">
        <f>((S140+'Malawi-only'!S140)/(T140*(U140+'Malawi-only'!U140))/12)</f>
        <v>9.5540660363602026</v>
      </c>
      <c r="X140" s="284">
        <f>(R140+'Malawi-only'!R140)</f>
        <v>2949504959.9716043</v>
      </c>
      <c r="Y140" s="284">
        <f>(L140+'Malawi-only'!L140)</f>
        <v>105062022435.69276</v>
      </c>
      <c r="Z140" s="284">
        <f>(Q140+'Malawi-only'!Q140)</f>
        <v>5930442137.697937</v>
      </c>
    </row>
    <row r="141" spans="1:26" ht="15.75" customHeight="1">
      <c r="A141" s="31" t="s">
        <v>174</v>
      </c>
      <c r="B141" s="32">
        <v>2157</v>
      </c>
      <c r="C141" s="334">
        <f t="shared" si="11"/>
        <v>7.3191790091434807E-11</v>
      </c>
      <c r="D141" s="334">
        <f t="shared" si="20"/>
        <v>7.3191790091434807E-11</v>
      </c>
      <c r="E141" s="34">
        <f t="shared" si="1"/>
        <v>0</v>
      </c>
      <c r="F141" s="42">
        <v>4000</v>
      </c>
      <c r="G141" s="34">
        <f t="shared" si="2"/>
        <v>292.76716036573919</v>
      </c>
      <c r="H141" s="34">
        <f t="shared" si="3"/>
        <v>291.30332456391051</v>
      </c>
      <c r="I141" s="35">
        <f t="shared" si="21"/>
        <v>1</v>
      </c>
      <c r="J141" s="36">
        <f t="shared" si="4"/>
        <v>291.30332456391051</v>
      </c>
      <c r="K141" s="34">
        <f t="shared" si="14"/>
        <v>457775157.25968826</v>
      </c>
      <c r="L141" s="37">
        <f t="shared" si="22"/>
        <v>699461785.97579038</v>
      </c>
      <c r="M141" s="34">
        <f t="shared" si="5"/>
        <v>44066092.516474791</v>
      </c>
      <c r="N141" s="34">
        <f t="shared" si="6"/>
        <v>0</v>
      </c>
      <c r="O141" s="34">
        <f t="shared" si="7"/>
        <v>44066092.516474791</v>
      </c>
      <c r="P141" s="34">
        <f t="shared" si="25"/>
        <v>4406609.2516474789</v>
      </c>
      <c r="Q141" s="38">
        <f t="shared" si="8"/>
        <v>39461185.848503172</v>
      </c>
      <c r="R141" s="39">
        <f t="shared" si="16"/>
        <v>3923373.7332152426</v>
      </c>
      <c r="S141" s="34">
        <f t="shared" si="17"/>
        <v>35310363.598937184</v>
      </c>
      <c r="T141" s="40">
        <f t="shared" si="24"/>
        <v>9615845232.2547188</v>
      </c>
      <c r="U141" s="272">
        <f t="shared" si="9"/>
        <v>2.145751974709861E-6</v>
      </c>
      <c r="V141" s="282">
        <f t="shared" si="10"/>
        <v>142.61130630164485</v>
      </c>
      <c r="W141" s="283">
        <f>((S141+'Malawi-only'!S141)/(T141*(U141+'Malawi-only'!U141))/12)</f>
        <v>9.6191057244151725</v>
      </c>
      <c r="X141" s="284">
        <f>(R141+'Malawi-only'!R141)</f>
        <v>2966614356.1099157</v>
      </c>
      <c r="Y141" s="284">
        <f>(L141+'Malawi-only'!L141)</f>
        <v>105671455629.04764</v>
      </c>
      <c r="Z141" s="284">
        <f>(Q141+'Malawi-only'!Q141)</f>
        <v>5964843150.6019039</v>
      </c>
    </row>
    <row r="142" spans="1:26" ht="15.75" customHeight="1">
      <c r="A142" s="31" t="s">
        <v>175</v>
      </c>
      <c r="B142" s="32">
        <v>2158</v>
      </c>
      <c r="C142" s="334">
        <f t="shared" si="11"/>
        <v>6.5872611082291329E-11</v>
      </c>
      <c r="D142" s="334">
        <f t="shared" si="20"/>
        <v>6.5872611082291329E-11</v>
      </c>
      <c r="E142" s="34">
        <f t="shared" si="1"/>
        <v>0</v>
      </c>
      <c r="F142" s="42">
        <v>4000</v>
      </c>
      <c r="G142" s="34">
        <f t="shared" si="2"/>
        <v>263.49044432916531</v>
      </c>
      <c r="H142" s="34">
        <f t="shared" si="3"/>
        <v>262.17299210751946</v>
      </c>
      <c r="I142" s="35">
        <f t="shared" si="21"/>
        <v>1</v>
      </c>
      <c r="J142" s="36">
        <f t="shared" si="4"/>
        <v>262.17299210751946</v>
      </c>
      <c r="K142" s="34">
        <f t="shared" si="14"/>
        <v>457775419.43268037</v>
      </c>
      <c r="L142" s="37">
        <f t="shared" si="22"/>
        <v>703516723.07172978</v>
      </c>
      <c r="M142" s="34">
        <f t="shared" si="5"/>
        <v>44321553.553518973</v>
      </c>
      <c r="N142" s="34">
        <f t="shared" si="6"/>
        <v>0</v>
      </c>
      <c r="O142" s="34">
        <f t="shared" si="7"/>
        <v>44321553.553518973</v>
      </c>
      <c r="P142" s="34">
        <f t="shared" si="25"/>
        <v>4432155.3553518979</v>
      </c>
      <c r="Q142" s="38">
        <f t="shared" si="8"/>
        <v>39689951.207176246</v>
      </c>
      <c r="R142" s="39">
        <f t="shared" si="16"/>
        <v>3946118.5848503173</v>
      </c>
      <c r="S142" s="34">
        <f t="shared" si="17"/>
        <v>35515067.263652854</v>
      </c>
      <c r="T142" s="40">
        <f t="shared" si="24"/>
        <v>9606229387.0224648</v>
      </c>
      <c r="U142" s="272">
        <f t="shared" si="9"/>
        <v>2.145751974709861E-6</v>
      </c>
      <c r="V142" s="282">
        <f t="shared" si="10"/>
        <v>143.58164400405192</v>
      </c>
      <c r="W142" s="283">
        <f>((S142+'Malawi-only'!S142)/(T142*(U142+'Malawi-only'!U142))/12)</f>
        <v>9.6845876799618988</v>
      </c>
      <c r="X142" s="284">
        <f>(R142+'Malawi-only'!R142)</f>
        <v>2983822848.0059757</v>
      </c>
      <c r="Y142" s="284">
        <f>(L142+'Malawi-only'!L142)</f>
        <v>106284419120.75453</v>
      </c>
      <c r="Z142" s="284">
        <f>(Q142+'Malawi-only'!Q142)</f>
        <v>5999443410.049427</v>
      </c>
    </row>
    <row r="143" spans="1:26" ht="15.75" customHeight="1">
      <c r="A143" s="31" t="s">
        <v>176</v>
      </c>
      <c r="B143" s="32">
        <v>2159</v>
      </c>
      <c r="C143" s="334">
        <f t="shared" si="11"/>
        <v>5.9285349974062201E-11</v>
      </c>
      <c r="D143" s="334">
        <f t="shared" si="20"/>
        <v>5.9285349974062201E-11</v>
      </c>
      <c r="E143" s="34">
        <f t="shared" si="1"/>
        <v>0</v>
      </c>
      <c r="F143" s="42">
        <v>4000</v>
      </c>
      <c r="G143" s="34">
        <f t="shared" si="2"/>
        <v>237.1413998962488</v>
      </c>
      <c r="H143" s="34">
        <f t="shared" si="3"/>
        <v>235.95569289676754</v>
      </c>
      <c r="I143" s="35">
        <f t="shared" si="21"/>
        <v>1</v>
      </c>
      <c r="J143" s="36">
        <f t="shared" si="4"/>
        <v>235.95569289676754</v>
      </c>
      <c r="K143" s="34">
        <f t="shared" si="14"/>
        <v>457775655.38837326</v>
      </c>
      <c r="L143" s="37">
        <f t="shared" si="22"/>
        <v>707595139.82558322</v>
      </c>
      <c r="M143" s="34">
        <f t="shared" si="5"/>
        <v>44578493.809011742</v>
      </c>
      <c r="N143" s="34">
        <f t="shared" si="6"/>
        <v>0</v>
      </c>
      <c r="O143" s="34">
        <f t="shared" si="7"/>
        <v>44578493.809011742</v>
      </c>
      <c r="P143" s="34">
        <f t="shared" si="25"/>
        <v>4457849.3809011746</v>
      </c>
      <c r="Q143" s="38">
        <f t="shared" si="8"/>
        <v>39920041.205970019</v>
      </c>
      <c r="R143" s="39">
        <f t="shared" si="16"/>
        <v>3968995.1207176247</v>
      </c>
      <c r="S143" s="34">
        <f t="shared" si="17"/>
        <v>35720956.086458623</v>
      </c>
      <c r="T143" s="40">
        <f t="shared" si="24"/>
        <v>9596623157.6354427</v>
      </c>
      <c r="U143" s="272">
        <f t="shared" si="9"/>
        <v>2.145751974709861E-6</v>
      </c>
      <c r="V143" s="282">
        <f t="shared" si="10"/>
        <v>144.55857762523411</v>
      </c>
      <c r="W143" s="283">
        <f>((S143+'Malawi-only'!S143)/(T143*(U143+'Malawi-only'!U143))/12)</f>
        <v>9.7505149592353195</v>
      </c>
      <c r="X143" s="284">
        <f>(R143+'Malawi-only'!R143)</f>
        <v>3001131024.7995782</v>
      </c>
      <c r="Y143" s="284">
        <f>(L143+'Malawi-only'!L143)</f>
        <v>106900933844.96895</v>
      </c>
      <c r="Z143" s="284">
        <f>(Q143+'Malawi-only'!Q143)</f>
        <v>6034244100.5636911</v>
      </c>
    </row>
    <row r="144" spans="1:26" ht="15.75" customHeight="1">
      <c r="A144" s="31" t="s">
        <v>177</v>
      </c>
      <c r="B144" s="32">
        <v>2160</v>
      </c>
      <c r="C144" s="334">
        <f t="shared" si="11"/>
        <v>5.3356814976655981E-11</v>
      </c>
      <c r="D144" s="334">
        <f t="shared" si="20"/>
        <v>5.3356814976655981E-11</v>
      </c>
      <c r="E144" s="34">
        <f t="shared" si="1"/>
        <v>0</v>
      </c>
      <c r="F144" s="42">
        <v>4000</v>
      </c>
      <c r="G144" s="34">
        <f t="shared" si="2"/>
        <v>213.42725990662393</v>
      </c>
      <c r="H144" s="34">
        <f t="shared" si="3"/>
        <v>212.3601236070908</v>
      </c>
      <c r="I144" s="35">
        <f t="shared" si="21"/>
        <v>1</v>
      </c>
      <c r="J144" s="36">
        <f t="shared" si="4"/>
        <v>212.3601236070908</v>
      </c>
      <c r="K144" s="34">
        <f t="shared" si="14"/>
        <v>457775867.74849689</v>
      </c>
      <c r="L144" s="37">
        <f t="shared" si="22"/>
        <v>711697174.96582484</v>
      </c>
      <c r="M144" s="34">
        <f t="shared" si="5"/>
        <v>44836922.022846967</v>
      </c>
      <c r="N144" s="34">
        <f t="shared" si="6"/>
        <v>0</v>
      </c>
      <c r="O144" s="34">
        <f t="shared" si="7"/>
        <v>44836922.022846967</v>
      </c>
      <c r="P144" s="34">
        <f t="shared" si="25"/>
        <v>4483692.2022846965</v>
      </c>
      <c r="Q144" s="38">
        <f t="shared" si="8"/>
        <v>40151463.671459459</v>
      </c>
      <c r="R144" s="39">
        <f t="shared" si="16"/>
        <v>3992004.1205970021</v>
      </c>
      <c r="S144" s="34">
        <f t="shared" si="17"/>
        <v>35928037.085373014</v>
      </c>
      <c r="T144" s="40">
        <f t="shared" si="24"/>
        <v>9587026534.477808</v>
      </c>
      <c r="U144" s="272">
        <f t="shared" si="9"/>
        <v>2.145751974709861E-6</v>
      </c>
      <c r="V144" s="282">
        <f t="shared" si="10"/>
        <v>145.54215262849019</v>
      </c>
      <c r="W144" s="283">
        <f>((S144+'Malawi-only'!S144)/(T144*(U144+'Malawi-only'!U144))/12)</f>
        <v>9.8168906347458407</v>
      </c>
      <c r="X144" s="284">
        <f>(R144+'Malawi-only'!R144)</f>
        <v>3018539477.6120486</v>
      </c>
      <c r="Y144" s="284">
        <f>(L144+'Malawi-only'!L144)</f>
        <v>107521020811.52068</v>
      </c>
      <c r="Z144" s="284">
        <f>(Q144+'Malawi-only'!Q144)</f>
        <v>6069246410.6543627</v>
      </c>
    </row>
    <row r="145" spans="1:26" ht="15.75" customHeight="1">
      <c r="A145" s="31" t="s">
        <v>178</v>
      </c>
      <c r="B145" s="32">
        <v>2161</v>
      </c>
      <c r="C145" s="334">
        <f t="shared" si="11"/>
        <v>4.8021133478990386E-11</v>
      </c>
      <c r="D145" s="334">
        <f t="shared" si="20"/>
        <v>4.8021133478990386E-11</v>
      </c>
      <c r="E145" s="34">
        <f t="shared" si="1"/>
        <v>0</v>
      </c>
      <c r="F145" s="42">
        <v>4000</v>
      </c>
      <c r="G145" s="34">
        <f t="shared" si="2"/>
        <v>192.08453391596154</v>
      </c>
      <c r="H145" s="34">
        <f t="shared" si="3"/>
        <v>191.12411124638174</v>
      </c>
      <c r="I145" s="35">
        <f t="shared" si="21"/>
        <v>1</v>
      </c>
      <c r="J145" s="36">
        <f t="shared" si="4"/>
        <v>191.12411124638174</v>
      </c>
      <c r="K145" s="34">
        <f t="shared" si="14"/>
        <v>457776058.87260813</v>
      </c>
      <c r="L145" s="37">
        <f t="shared" si="22"/>
        <v>715822967.76307476</v>
      </c>
      <c r="M145" s="34">
        <f t="shared" si="5"/>
        <v>45096846.969073713</v>
      </c>
      <c r="N145" s="34">
        <f t="shared" si="6"/>
        <v>0</v>
      </c>
      <c r="O145" s="34">
        <f t="shared" si="7"/>
        <v>45096846.969073713</v>
      </c>
      <c r="P145" s="34">
        <f t="shared" si="25"/>
        <v>4509684.6969073713</v>
      </c>
      <c r="Q145" s="38">
        <f t="shared" si="8"/>
        <v>40384226.460805513</v>
      </c>
      <c r="R145" s="39">
        <f t="shared" si="16"/>
        <v>4015146.3671459462</v>
      </c>
      <c r="S145" s="34">
        <f t="shared" si="17"/>
        <v>36136317.304313511</v>
      </c>
      <c r="T145" s="40">
        <f t="shared" si="24"/>
        <v>9577439507.9433308</v>
      </c>
      <c r="U145" s="272">
        <f t="shared" si="9"/>
        <v>2.145751974709861E-6</v>
      </c>
      <c r="V145" s="282">
        <f t="shared" si="10"/>
        <v>146.53241472826917</v>
      </c>
      <c r="W145" s="283">
        <f>((S145+'Malawi-only'!S145)/(T145*(U145+'Malawi-only'!U145))/12)</f>
        <v>9.8837177958388853</v>
      </c>
      <c r="X145" s="284">
        <f>(R145+'Malawi-only'!R145)</f>
        <v>3036048799.7013016</v>
      </c>
      <c r="Y145" s="284">
        <f>(L145+'Malawi-only'!L145)</f>
        <v>108144701110.92757</v>
      </c>
      <c r="Z145" s="284">
        <f>(Q145+'Malawi-only'!Q145)</f>
        <v>6104451533.129117</v>
      </c>
    </row>
    <row r="146" spans="1:26" ht="15.75" customHeight="1">
      <c r="A146" s="31" t="s">
        <v>179</v>
      </c>
      <c r="B146" s="32">
        <v>2162</v>
      </c>
      <c r="C146" s="334">
        <f t="shared" si="11"/>
        <v>4.3219020131091348E-11</v>
      </c>
      <c r="D146" s="334">
        <f t="shared" si="20"/>
        <v>4.3219020131091348E-11</v>
      </c>
      <c r="E146" s="34">
        <f t="shared" si="1"/>
        <v>0</v>
      </c>
      <c r="F146" s="42">
        <v>4000</v>
      </c>
      <c r="G146" s="34">
        <f t="shared" si="2"/>
        <v>172.87608052436539</v>
      </c>
      <c r="H146" s="34">
        <f t="shared" si="3"/>
        <v>172.01170012174356</v>
      </c>
      <c r="I146" s="35">
        <f t="shared" si="21"/>
        <v>1</v>
      </c>
      <c r="J146" s="36">
        <f t="shared" si="4"/>
        <v>172.01170012174356</v>
      </c>
      <c r="K146" s="34">
        <f t="shared" si="14"/>
        <v>457776230.88430822</v>
      </c>
      <c r="L146" s="37">
        <f t="shared" si="22"/>
        <v>719972658.05944645</v>
      </c>
      <c r="M146" s="34">
        <f t="shared" si="5"/>
        <v>45358277.457745127</v>
      </c>
      <c r="N146" s="34">
        <f t="shared" si="6"/>
        <v>0</v>
      </c>
      <c r="O146" s="34">
        <f t="shared" si="7"/>
        <v>45358277.457745127</v>
      </c>
      <c r="P146" s="34">
        <f t="shared" si="25"/>
        <v>4535827.7457745131</v>
      </c>
      <c r="Q146" s="38">
        <f t="shared" si="8"/>
        <v>40618337.463410757</v>
      </c>
      <c r="R146" s="39">
        <f t="shared" si="16"/>
        <v>4038422.6460805517</v>
      </c>
      <c r="S146" s="34">
        <f t="shared" si="17"/>
        <v>36345803.814724959</v>
      </c>
      <c r="T146" s="40">
        <f t="shared" si="24"/>
        <v>9567862068.4353886</v>
      </c>
      <c r="U146" s="272">
        <f t="shared" si="9"/>
        <v>2.145751974709861E-6</v>
      </c>
      <c r="V146" s="282">
        <f t="shared" si="10"/>
        <v>147.52940989764318</v>
      </c>
      <c r="W146" s="283">
        <f>((S146+'Malawi-only'!S146)/(T146*(U146+'Malawi-only'!U146))/12)</f>
        <v>9.9509995492137762</v>
      </c>
      <c r="X146" s="284">
        <f>(R146+'Malawi-only'!R146)</f>
        <v>3053659586.6034408</v>
      </c>
      <c r="Y146" s="284">
        <f>(L146+'Malawi-only'!L146)</f>
        <v>108771995918.98108</v>
      </c>
      <c r="Z146" s="284">
        <f>(Q146+'Malawi-only'!Q146)</f>
        <v>6139860665.3781309</v>
      </c>
    </row>
    <row r="147" spans="1:26" ht="15.75" customHeight="1">
      <c r="A147" s="31" t="s">
        <v>180</v>
      </c>
      <c r="B147" s="32">
        <v>2163</v>
      </c>
      <c r="C147" s="334">
        <f t="shared" si="11"/>
        <v>3.8897118117982212E-11</v>
      </c>
      <c r="D147" s="334">
        <f t="shared" si="20"/>
        <v>3.8897118117982212E-11</v>
      </c>
      <c r="E147" s="34">
        <f t="shared" si="1"/>
        <v>0</v>
      </c>
      <c r="F147" s="42">
        <v>4000</v>
      </c>
      <c r="G147" s="34">
        <f t="shared" si="2"/>
        <v>155.58847247192884</v>
      </c>
      <c r="H147" s="34">
        <f t="shared" si="3"/>
        <v>154.81053010956919</v>
      </c>
      <c r="I147" s="35">
        <f t="shared" si="21"/>
        <v>1</v>
      </c>
      <c r="J147" s="36">
        <f t="shared" si="4"/>
        <v>154.81053010956919</v>
      </c>
      <c r="K147" s="34">
        <f t="shared" si="14"/>
        <v>457776385.69483835</v>
      </c>
      <c r="L147" s="37">
        <f t="shared" si="22"/>
        <v>724146386.29544318</v>
      </c>
      <c r="M147" s="34">
        <f t="shared" si="5"/>
        <v>45621222.336612917</v>
      </c>
      <c r="N147" s="34">
        <f t="shared" si="6"/>
        <v>0</v>
      </c>
      <c r="O147" s="34">
        <f t="shared" si="7"/>
        <v>45621222.336612917</v>
      </c>
      <c r="P147" s="34">
        <f t="shared" si="25"/>
        <v>4562122.2336612921</v>
      </c>
      <c r="Q147" s="38">
        <f t="shared" si="8"/>
        <v>40853804.602436863</v>
      </c>
      <c r="R147" s="39">
        <f t="shared" si="16"/>
        <v>4061833.7463410757</v>
      </c>
      <c r="S147" s="34">
        <f t="shared" si="17"/>
        <v>36556503.717069685</v>
      </c>
      <c r="T147" s="40">
        <f t="shared" si="24"/>
        <v>9558294206.3669548</v>
      </c>
      <c r="U147" s="272">
        <f t="shared" si="9"/>
        <v>2.145751974709861E-6</v>
      </c>
      <c r="V147" s="282">
        <f t="shared" si="10"/>
        <v>148.53318437525996</v>
      </c>
      <c r="W147" s="283">
        <f>((S147+'Malawi-only'!S147)/(T147*(U147+'Malawi-only'!U147))/12)</f>
        <v>10.018739019406125</v>
      </c>
      <c r="X147" s="284">
        <f>(R147+'Malawi-only'!R147)</f>
        <v>3071372436.2622652</v>
      </c>
      <c r="Y147" s="284">
        <f>(L147+'Malawi-only'!L147)</f>
        <v>109402926500.94656</v>
      </c>
      <c r="Z147" s="284">
        <f>(Q147+'Malawi-only'!Q147)</f>
        <v>6175475009.634285</v>
      </c>
    </row>
    <row r="148" spans="1:26" ht="15.75" customHeight="1">
      <c r="A148" s="31" t="s">
        <v>181</v>
      </c>
      <c r="B148" s="32">
        <v>2164</v>
      </c>
      <c r="C148" s="334">
        <f t="shared" si="11"/>
        <v>3.5007406306183992E-11</v>
      </c>
      <c r="D148" s="334">
        <f t="shared" si="20"/>
        <v>3.5007406306183992E-11</v>
      </c>
      <c r="E148" s="34">
        <f t="shared" si="1"/>
        <v>0</v>
      </c>
      <c r="F148" s="42">
        <v>4000</v>
      </c>
      <c r="G148" s="34">
        <f t="shared" si="2"/>
        <v>140.02962522473598</v>
      </c>
      <c r="H148" s="34">
        <f t="shared" si="3"/>
        <v>139.3294770986123</v>
      </c>
      <c r="I148" s="35">
        <f t="shared" si="21"/>
        <v>1</v>
      </c>
      <c r="J148" s="36">
        <f t="shared" si="4"/>
        <v>139.3294770986123</v>
      </c>
      <c r="K148" s="34">
        <f t="shared" si="14"/>
        <v>457776525.02431542</v>
      </c>
      <c r="L148" s="37">
        <f t="shared" si="22"/>
        <v>728344293.53465223</v>
      </c>
      <c r="M148" s="34">
        <f t="shared" si="5"/>
        <v>45885690.49268309</v>
      </c>
      <c r="N148" s="34">
        <f t="shared" si="6"/>
        <v>0</v>
      </c>
      <c r="O148" s="34">
        <f t="shared" si="7"/>
        <v>45885690.49268309</v>
      </c>
      <c r="P148" s="34">
        <f t="shared" si="25"/>
        <v>4588569.049268309</v>
      </c>
      <c r="Q148" s="38">
        <f t="shared" si="8"/>
        <v>41090635.836197704</v>
      </c>
      <c r="R148" s="39">
        <f t="shared" si="16"/>
        <v>4085380.4602436866</v>
      </c>
      <c r="S148" s="34">
        <f t="shared" si="17"/>
        <v>36768424.142193176</v>
      </c>
      <c r="T148" s="40">
        <f t="shared" si="24"/>
        <v>9548735912.1605892</v>
      </c>
      <c r="U148" s="272">
        <f t="shared" si="9"/>
        <v>2.145751974709861E-6</v>
      </c>
      <c r="V148" s="282">
        <f t="shared" si="10"/>
        <v>149.54378467182826</v>
      </c>
      <c r="W148" s="283">
        <f>((S148+'Malawi-only'!S148)/(T148*(U148+'Malawi-only'!U148))/12)</f>
        <v>10.086939349237355</v>
      </c>
      <c r="X148" s="284">
        <f>(R148+'Malawi-only'!R148)</f>
        <v>3089187949.1478848</v>
      </c>
      <c r="Y148" s="284">
        <f>(L148+'Malawi-only'!L148)</f>
        <v>110037514215.41736</v>
      </c>
      <c r="Z148" s="284">
        <f>(Q148+'Malawi-only'!Q148)</f>
        <v>6211295773.2114801</v>
      </c>
    </row>
    <row r="149" spans="1:26" ht="15.75" customHeight="1">
      <c r="A149" s="31" t="s">
        <v>182</v>
      </c>
      <c r="B149" s="32">
        <v>2165</v>
      </c>
      <c r="C149" s="334">
        <f t="shared" si="11"/>
        <v>3.1506665675565596E-11</v>
      </c>
      <c r="D149" s="334">
        <f t="shared" si="20"/>
        <v>3.1506665675565596E-11</v>
      </c>
      <c r="E149" s="34">
        <f t="shared" si="1"/>
        <v>0</v>
      </c>
      <c r="F149" s="42">
        <v>4000</v>
      </c>
      <c r="G149" s="34">
        <f t="shared" si="2"/>
        <v>126.02666270226237</v>
      </c>
      <c r="H149" s="34">
        <f t="shared" si="3"/>
        <v>125.39652938875106</v>
      </c>
      <c r="I149" s="35">
        <f t="shared" si="21"/>
        <v>1</v>
      </c>
      <c r="J149" s="36">
        <f t="shared" si="4"/>
        <v>125.39652938875106</v>
      </c>
      <c r="K149" s="34">
        <f t="shared" si="14"/>
        <v>457776650.42084479</v>
      </c>
      <c r="L149" s="37">
        <f t="shared" si="22"/>
        <v>732566521.48645985</v>
      </c>
      <c r="M149" s="34">
        <f t="shared" si="5"/>
        <v>46151690.853646971</v>
      </c>
      <c r="N149" s="34">
        <f t="shared" si="6"/>
        <v>0</v>
      </c>
      <c r="O149" s="34">
        <f t="shared" si="7"/>
        <v>46151690.853646971</v>
      </c>
      <c r="P149" s="34">
        <f t="shared" si="25"/>
        <v>4615169.0853646975</v>
      </c>
      <c r="Q149" s="38">
        <f t="shared" si="8"/>
        <v>41328839.15944086</v>
      </c>
      <c r="R149" s="39">
        <f t="shared" si="16"/>
        <v>4109063.5836197706</v>
      </c>
      <c r="S149" s="34">
        <f t="shared" si="17"/>
        <v>36981572.252577931</v>
      </c>
      <c r="T149" s="40">
        <f t="shared" si="24"/>
        <v>9539187176.2484303</v>
      </c>
      <c r="U149" s="272">
        <f t="shared" si="9"/>
        <v>2.145751974709861E-6</v>
      </c>
      <c r="V149" s="282">
        <f t="shared" si="10"/>
        <v>150.56125757618358</v>
      </c>
      <c r="W149" s="283">
        <f>((S149+'Malawi-only'!S149)/(T149*(U149+'Malawi-only'!U149))/12)</f>
        <v>10.155603700234805</v>
      </c>
      <c r="X149" s="284">
        <f>(R149+'Malawi-only'!R149)</f>
        <v>3107106728.3655767</v>
      </c>
      <c r="Y149" s="284">
        <f>(L149+'Malawi-only'!L149)</f>
        <v>110675780517.85774</v>
      </c>
      <c r="Z149" s="284">
        <f>(Q149+'Malawi-only'!Q149)</f>
        <v>6247324168.7233553</v>
      </c>
    </row>
    <row r="150" spans="1:26" ht="15.75" customHeight="1">
      <c r="A150" s="31" t="s">
        <v>183</v>
      </c>
      <c r="B150" s="32">
        <v>2166</v>
      </c>
      <c r="C150" s="334">
        <f t="shared" si="11"/>
        <v>2.8355999108009038E-11</v>
      </c>
      <c r="D150" s="334">
        <f t="shared" si="20"/>
        <v>2.8355999108009038E-11</v>
      </c>
      <c r="E150" s="34">
        <f t="shared" si="1"/>
        <v>0</v>
      </c>
      <c r="F150" s="42">
        <v>4000</v>
      </c>
      <c r="G150" s="34">
        <f t="shared" si="2"/>
        <v>113.42399643203615</v>
      </c>
      <c r="H150" s="34">
        <f t="shared" si="3"/>
        <v>112.85687644987597</v>
      </c>
      <c r="I150" s="35">
        <f t="shared" si="21"/>
        <v>1</v>
      </c>
      <c r="J150" s="36">
        <f t="shared" si="4"/>
        <v>112.85687644987597</v>
      </c>
      <c r="K150" s="34">
        <f t="shared" si="14"/>
        <v>457776763.27772123</v>
      </c>
      <c r="L150" s="37">
        <f t="shared" si="22"/>
        <v>736813212.52698672</v>
      </c>
      <c r="M150" s="34">
        <f t="shared" si="5"/>
        <v>46419232.389200166</v>
      </c>
      <c r="N150" s="34">
        <f t="shared" si="6"/>
        <v>0</v>
      </c>
      <c r="O150" s="34">
        <f t="shared" si="7"/>
        <v>46419232.389200166</v>
      </c>
      <c r="P150" s="34">
        <f t="shared" si="25"/>
        <v>4641923.2389200171</v>
      </c>
      <c r="Q150" s="38">
        <f t="shared" si="8"/>
        <v>41568422.604528747</v>
      </c>
      <c r="R150" s="39">
        <f t="shared" si="16"/>
        <v>4132883.9159440864</v>
      </c>
      <c r="S150" s="34">
        <f t="shared" si="17"/>
        <v>37195955.243496776</v>
      </c>
      <c r="T150" s="40">
        <f t="shared" si="24"/>
        <v>9529647989.0721836</v>
      </c>
      <c r="U150" s="272">
        <f t="shared" si="9"/>
        <v>2.145751974709861E-6</v>
      </c>
      <c r="V150" s="282">
        <f t="shared" si="10"/>
        <v>151.58565016097765</v>
      </c>
      <c r="W150" s="283">
        <f>((S150+'Malawi-only'!S150)/(T150*(U150+'Malawi-only'!U150))/12)</f>
        <v>10.224735253025377</v>
      </c>
      <c r="X150" s="284">
        <f>(R150+'Malawi-only'!R150)</f>
        <v>3125129379.7558341</v>
      </c>
      <c r="Y150" s="284">
        <f>(L150+'Malawi-only'!L150)</f>
        <v>111317746963.86618</v>
      </c>
      <c r="Z150" s="284">
        <f>(Q150+'Malawi-only'!Q150)</f>
        <v>6283561414.2843084</v>
      </c>
    </row>
    <row r="151" spans="1:26" ht="15.75" customHeight="1">
      <c r="A151" s="31" t="s">
        <v>184</v>
      </c>
      <c r="B151" s="32">
        <v>2167</v>
      </c>
      <c r="C151" s="334">
        <f t="shared" si="11"/>
        <v>2.5520399197208133E-11</v>
      </c>
      <c r="D151" s="334">
        <f t="shared" si="20"/>
        <v>2.5520399197208133E-11</v>
      </c>
      <c r="E151" s="34">
        <f t="shared" si="1"/>
        <v>0</v>
      </c>
      <c r="F151" s="42">
        <v>4000</v>
      </c>
      <c r="G151" s="34">
        <f t="shared" si="2"/>
        <v>102.08159678883254</v>
      </c>
      <c r="H151" s="34">
        <f t="shared" si="3"/>
        <v>101.57118880488838</v>
      </c>
      <c r="I151" s="35">
        <f t="shared" si="21"/>
        <v>1</v>
      </c>
      <c r="J151" s="36">
        <f t="shared" si="4"/>
        <v>101.57118880488838</v>
      </c>
      <c r="K151" s="34">
        <f t="shared" si="14"/>
        <v>457776864.84891003</v>
      </c>
      <c r="L151" s="37">
        <f t="shared" si="22"/>
        <v>741084509.71842694</v>
      </c>
      <c r="M151" s="34">
        <f t="shared" si="5"/>
        <v>46688324.1122609</v>
      </c>
      <c r="N151" s="34">
        <f t="shared" si="6"/>
        <v>0</v>
      </c>
      <c r="O151" s="34">
        <f t="shared" si="7"/>
        <v>46688324.1122609</v>
      </c>
      <c r="P151" s="34">
        <f t="shared" si="25"/>
        <v>4668832.41122609</v>
      </c>
      <c r="Q151" s="38">
        <f t="shared" si="8"/>
        <v>41809394.242529638</v>
      </c>
      <c r="R151" s="39">
        <f t="shared" si="16"/>
        <v>4156842.2604528749</v>
      </c>
      <c r="S151" s="34">
        <f t="shared" si="17"/>
        <v>37411580.344075873</v>
      </c>
      <c r="T151" s="40">
        <f t="shared" si="24"/>
        <v>9520118341.0831127</v>
      </c>
      <c r="U151" s="272">
        <f t="shared" si="9"/>
        <v>2.145751974709861E-6</v>
      </c>
      <c r="V151" s="282">
        <f t="shared" si="10"/>
        <v>152.61700978802975</v>
      </c>
      <c r="W151" s="283">
        <f>((S151+'Malawi-only'!S151)/(T151*(U151+'Malawi-only'!U151))/12)</f>
        <v>10.294337207705487</v>
      </c>
      <c r="X151" s="284">
        <f>(R151+'Malawi-only'!R151)</f>
        <v>3143256511.9865313</v>
      </c>
      <c r="Y151" s="284">
        <f>(L151+'Malawi-only'!L151)</f>
        <v>111963435212.18759</v>
      </c>
      <c r="Z151" s="284">
        <f>(Q151+'Malawi-only'!Q151)</f>
        <v>6320008733.6946869</v>
      </c>
    </row>
    <row r="152" spans="1:26" ht="15.75" customHeight="1">
      <c r="A152" s="31" t="s">
        <v>185</v>
      </c>
      <c r="B152" s="32">
        <v>2168</v>
      </c>
      <c r="C152" s="334">
        <f t="shared" si="11"/>
        <v>2.2968359277487322E-11</v>
      </c>
      <c r="D152" s="334">
        <f t="shared" si="20"/>
        <v>2.2968359277487322E-11</v>
      </c>
      <c r="E152" s="34">
        <f t="shared" si="1"/>
        <v>0</v>
      </c>
      <c r="F152" s="42">
        <v>4000</v>
      </c>
      <c r="G152" s="34">
        <f t="shared" si="2"/>
        <v>91.873437109949279</v>
      </c>
      <c r="H152" s="34">
        <f t="shared" si="3"/>
        <v>91.414069924399527</v>
      </c>
      <c r="I152" s="35">
        <f t="shared" si="21"/>
        <v>1</v>
      </c>
      <c r="J152" s="36">
        <f t="shared" si="4"/>
        <v>91.414069924399527</v>
      </c>
      <c r="K152" s="34">
        <f t="shared" si="14"/>
        <v>457776956.26297998</v>
      </c>
      <c r="L152" s="37">
        <f t="shared" si="22"/>
        <v>745380556.82695103</v>
      </c>
      <c r="M152" s="34">
        <f t="shared" si="5"/>
        <v>46958975.080097914</v>
      </c>
      <c r="N152" s="34">
        <f t="shared" si="6"/>
        <v>0</v>
      </c>
      <c r="O152" s="34">
        <f t="shared" si="7"/>
        <v>46958975.080097914</v>
      </c>
      <c r="P152" s="34">
        <f t="shared" si="25"/>
        <v>4695897.5080097914</v>
      </c>
      <c r="Q152" s="38">
        <f t="shared" si="8"/>
        <v>42051762.184227683</v>
      </c>
      <c r="R152" s="39">
        <f t="shared" si="16"/>
        <v>4180939.4242529641</v>
      </c>
      <c r="S152" s="34">
        <f t="shared" si="17"/>
        <v>37628454.818276674</v>
      </c>
      <c r="T152" s="40">
        <f t="shared" si="24"/>
        <v>9510598222.7420311</v>
      </c>
      <c r="U152" s="272">
        <f t="shared" si="9"/>
        <v>2.145751974709861E-6</v>
      </c>
      <c r="V152" s="282">
        <f t="shared" si="10"/>
        <v>153.65538411337647</v>
      </c>
      <c r="W152" s="283">
        <f>((S152+'Malawi-only'!S152)/(T152*(U152+'Malawi-only'!U152))/12)</f>
        <v>10.364412784189737</v>
      </c>
      <c r="X152" s="284">
        <f>(R152+'Malawi-only'!R152)</f>
        <v>3161488736.637991</v>
      </c>
      <c r="Y152" s="284">
        <f>(L152+'Malawi-only'!L152)</f>
        <v>112612867027.49968</v>
      </c>
      <c r="Z152" s="284">
        <f>(Q152+'Malawi-only'!Q152)</f>
        <v>6356667356.6117039</v>
      </c>
    </row>
    <row r="153" spans="1:26" ht="15.75" customHeight="1">
      <c r="A153" s="31" t="s">
        <v>186</v>
      </c>
      <c r="B153" s="32">
        <v>2169</v>
      </c>
      <c r="C153" s="334">
        <f t="shared" si="11"/>
        <v>2.0671523349738592E-11</v>
      </c>
      <c r="D153" s="334">
        <f t="shared" si="20"/>
        <v>2.0671523349738592E-11</v>
      </c>
      <c r="E153" s="34">
        <f t="shared" si="1"/>
        <v>0</v>
      </c>
      <c r="F153" s="42">
        <v>4000</v>
      </c>
      <c r="G153" s="34">
        <f t="shared" si="2"/>
        <v>82.68609339895437</v>
      </c>
      <c r="H153" s="34">
        <f t="shared" si="3"/>
        <v>82.272662931959601</v>
      </c>
      <c r="I153" s="35">
        <f t="shared" si="21"/>
        <v>1</v>
      </c>
      <c r="J153" s="36">
        <f t="shared" si="4"/>
        <v>82.272662931959601</v>
      </c>
      <c r="K153" s="34">
        <f t="shared" si="14"/>
        <v>457777038.53564292</v>
      </c>
      <c r="L153" s="37">
        <f t="shared" si="22"/>
        <v>749701498.33931994</v>
      </c>
      <c r="M153" s="34">
        <f t="shared" si="5"/>
        <v>47231194.395377159</v>
      </c>
      <c r="N153" s="34">
        <f t="shared" si="6"/>
        <v>0</v>
      </c>
      <c r="O153" s="34">
        <f t="shared" si="7"/>
        <v>47231194.395377159</v>
      </c>
      <c r="P153" s="34">
        <f t="shared" si="25"/>
        <v>4723119.4395377161</v>
      </c>
      <c r="Q153" s="38">
        <f t="shared" si="8"/>
        <v>42295534.581060246</v>
      </c>
      <c r="R153" s="39">
        <f t="shared" si="16"/>
        <v>4205176.2184227686</v>
      </c>
      <c r="S153" s="34">
        <f t="shared" si="17"/>
        <v>37846585.965804912</v>
      </c>
      <c r="T153" s="40">
        <f t="shared" si="24"/>
        <v>9501087624.5192909</v>
      </c>
      <c r="U153" s="272">
        <f t="shared" si="9"/>
        <v>2.145751974709861E-6</v>
      </c>
      <c r="V153" s="282">
        <f t="shared" si="10"/>
        <v>154.70082109204949</v>
      </c>
      <c r="W153" s="283">
        <f>((S153+'Malawi-only'!S153)/(T153*(U153+'Malawi-only'!U153))/12)</f>
        <v>10.43496522254056</v>
      </c>
      <c r="X153" s="284">
        <f>(R153+'Malawi-only'!R153)</f>
        <v>3179826668.2816744</v>
      </c>
      <c r="Y153" s="284">
        <f>(L153+'Malawi-only'!L153)</f>
        <v>113266064282.99684</v>
      </c>
      <c r="Z153" s="284">
        <f>(Q153+'Malawi-only'!Q153)</f>
        <v>6393538518.7075634</v>
      </c>
    </row>
    <row r="154" spans="1:26" ht="15.75" customHeight="1">
      <c r="A154" s="31" t="s">
        <v>187</v>
      </c>
      <c r="B154" s="32">
        <v>2170</v>
      </c>
      <c r="C154" s="334">
        <f t="shared" si="11"/>
        <v>1.8604371014764733E-11</v>
      </c>
      <c r="D154" s="334">
        <f t="shared" si="20"/>
        <v>1.8604371014764733E-11</v>
      </c>
      <c r="E154" s="34">
        <f t="shared" si="1"/>
        <v>0</v>
      </c>
      <c r="F154" s="42">
        <v>4000</v>
      </c>
      <c r="G154" s="34">
        <f t="shared" si="2"/>
        <v>74.417484059058921</v>
      </c>
      <c r="H154" s="34">
        <f t="shared" si="3"/>
        <v>74.04539663876362</v>
      </c>
      <c r="I154" s="35">
        <f t="shared" si="21"/>
        <v>1</v>
      </c>
      <c r="J154" s="36">
        <f t="shared" si="4"/>
        <v>74.04539663876362</v>
      </c>
      <c r="K154" s="34">
        <f t="shared" si="14"/>
        <v>457777112.58103955</v>
      </c>
      <c r="L154" s="37">
        <f t="shared" si="22"/>
        <v>754047479.47834229</v>
      </c>
      <c r="M154" s="34">
        <f t="shared" si="5"/>
        <v>47504991.207135566</v>
      </c>
      <c r="N154" s="34">
        <f t="shared" si="6"/>
        <v>0</v>
      </c>
      <c r="O154" s="34">
        <f t="shared" si="7"/>
        <v>47504991.207135566</v>
      </c>
      <c r="P154" s="34">
        <f t="shared" si="25"/>
        <v>4750499.1207135571</v>
      </c>
      <c r="Q154" s="38">
        <f t="shared" si="8"/>
        <v>42540719.625989899</v>
      </c>
      <c r="R154" s="39">
        <f t="shared" si="16"/>
        <v>4229553.4581060251</v>
      </c>
      <c r="S154" s="34">
        <f t="shared" si="17"/>
        <v>38065981.12295422</v>
      </c>
      <c r="T154" s="40">
        <f t="shared" si="24"/>
        <v>9491586536.8947735</v>
      </c>
      <c r="U154" s="272">
        <f t="shared" si="9"/>
        <v>2.145751974709861E-6</v>
      </c>
      <c r="V154" s="282">
        <f t="shared" si="10"/>
        <v>155.75336898261148</v>
      </c>
      <c r="W154" s="283">
        <f>((S154+'Malawi-only'!S154)/(T154*(U154+'Malawi-only'!U154))/12)</f>
        <v>10.50599778328081</v>
      </c>
      <c r="X154" s="284">
        <f>(R154+'Malawi-only'!R154)</f>
        <v>3198270924.5531535</v>
      </c>
      <c r="Y154" s="284">
        <f>(L154+'Malawi-only'!L154)</f>
        <v>113923048962.79185</v>
      </c>
      <c r="Z154" s="284">
        <f>(Q154+'Malawi-only'!Q154)</f>
        <v>6430623461.8160849</v>
      </c>
    </row>
    <row r="155" spans="1:26" ht="15.75" customHeight="1">
      <c r="A155" s="31" t="s">
        <v>188</v>
      </c>
      <c r="B155" s="32">
        <v>2171</v>
      </c>
      <c r="C155" s="334">
        <f t="shared" si="11"/>
        <v>1.674393391328826E-11</v>
      </c>
      <c r="D155" s="334">
        <f t="shared" si="20"/>
        <v>1.674393391328826E-11</v>
      </c>
      <c r="E155" s="34">
        <f t="shared" si="1"/>
        <v>0</v>
      </c>
      <c r="F155" s="42">
        <v>4000</v>
      </c>
      <c r="G155" s="34">
        <f t="shared" si="2"/>
        <v>66.975735653153038</v>
      </c>
      <c r="H155" s="34">
        <f t="shared" si="3"/>
        <v>66.640856974887271</v>
      </c>
      <c r="I155" s="35">
        <f t="shared" si="21"/>
        <v>1</v>
      </c>
      <c r="J155" s="36">
        <f t="shared" si="4"/>
        <v>66.640856974887271</v>
      </c>
      <c r="K155" s="34">
        <f t="shared" si="14"/>
        <v>457777179.22189653</v>
      </c>
      <c r="L155" s="37">
        <f t="shared" si="22"/>
        <v>758418646.2172929</v>
      </c>
      <c r="M155" s="34">
        <f t="shared" si="5"/>
        <v>47780374.71168945</v>
      </c>
      <c r="N155" s="34">
        <f t="shared" si="6"/>
        <v>0</v>
      </c>
      <c r="O155" s="34">
        <f t="shared" si="7"/>
        <v>47780374.71168945</v>
      </c>
      <c r="P155" s="34">
        <f t="shared" si="25"/>
        <v>4778037.4711689455</v>
      </c>
      <c r="Q155" s="38">
        <f t="shared" si="8"/>
        <v>42787325.554317906</v>
      </c>
      <c r="R155" s="39">
        <f t="shared" si="16"/>
        <v>4254071.9625989897</v>
      </c>
      <c r="S155" s="34">
        <f t="shared" si="17"/>
        <v>38286647.663390912</v>
      </c>
      <c r="T155" s="40">
        <f t="shared" si="24"/>
        <v>9482094950.3578796</v>
      </c>
      <c r="U155" s="272">
        <f t="shared" si="9"/>
        <v>2.145751974709861E-6</v>
      </c>
      <c r="V155" s="282">
        <f t="shared" si="10"/>
        <v>156.81307635147408</v>
      </c>
      <c r="W155" s="283">
        <f>((S155+'Malawi-only'!S155)/(T155*(U155+'Malawi-only'!U155))/12)</f>
        <v>10.57751374769107</v>
      </c>
      <c r="X155" s="284">
        <f>(R155+'Malawi-only'!R155)</f>
        <v>3216822126.2199388</v>
      </c>
      <c r="Y155" s="284">
        <f>(L155+'Malawi-only'!L155)</f>
        <v>114583843164.15459</v>
      </c>
      <c r="Z155" s="284">
        <f>(Q155+'Malawi-only'!Q155)</f>
        <v>6467923434.0689974</v>
      </c>
    </row>
    <row r="156" spans="1:26" ht="15.75" customHeight="1">
      <c r="A156" s="31" t="s">
        <v>189</v>
      </c>
      <c r="B156" s="32">
        <v>2172</v>
      </c>
      <c r="C156" s="334">
        <f t="shared" si="11"/>
        <v>1.5069540521959434E-11</v>
      </c>
      <c r="D156" s="334">
        <f t="shared" si="20"/>
        <v>1.5069540521959434E-11</v>
      </c>
      <c r="E156" s="34">
        <f t="shared" si="1"/>
        <v>0</v>
      </c>
      <c r="F156" s="42">
        <v>4000</v>
      </c>
      <c r="G156" s="34">
        <f t="shared" si="2"/>
        <v>60.278162087837735</v>
      </c>
      <c r="H156" s="34">
        <f t="shared" si="3"/>
        <v>59.976771277398548</v>
      </c>
      <c r="I156" s="35">
        <f t="shared" si="21"/>
        <v>1</v>
      </c>
      <c r="J156" s="36">
        <f t="shared" si="4"/>
        <v>59.976771277398548</v>
      </c>
      <c r="K156" s="34">
        <f t="shared" si="14"/>
        <v>457777239.19866782</v>
      </c>
      <c r="L156" s="37">
        <f t="shared" si="22"/>
        <v>762815145.29340053</v>
      </c>
      <c r="M156" s="34">
        <f t="shared" si="5"/>
        <v>48057354.153484233</v>
      </c>
      <c r="N156" s="34">
        <f t="shared" si="6"/>
        <v>0</v>
      </c>
      <c r="O156" s="34">
        <f t="shared" si="7"/>
        <v>48057354.153484233</v>
      </c>
      <c r="P156" s="34">
        <f t="shared" si="25"/>
        <v>4805735.4153484236</v>
      </c>
      <c r="Q156" s="38">
        <f t="shared" si="8"/>
        <v>43035360.644445129</v>
      </c>
      <c r="R156" s="39">
        <f t="shared" si="16"/>
        <v>4278732.5554317906</v>
      </c>
      <c r="S156" s="34">
        <f t="shared" si="17"/>
        <v>38508592.998886116</v>
      </c>
      <c r="T156" s="40">
        <f t="shared" si="24"/>
        <v>9472612855.4075222</v>
      </c>
      <c r="U156" s="272">
        <f t="shared" si="9"/>
        <v>2.145751974709861E-6</v>
      </c>
      <c r="V156" s="282">
        <f t="shared" si="10"/>
        <v>157.87999207702279</v>
      </c>
      <c r="W156" s="283">
        <f>((S156+'Malawi-only'!S156)/(T156*(U156+'Malawi-only'!U156))/12)</f>
        <v>10.64951641809334</v>
      </c>
      <c r="X156" s="284">
        <f>(R156+'Malawi-only'!R156)</f>
        <v>3235480897.2446985</v>
      </c>
      <c r="Y156" s="284">
        <f>(L156+'Malawi-only'!L156)</f>
        <v>115248469099.60388</v>
      </c>
      <c r="Z156" s="284">
        <f>(Q156+'Malawi-only'!Q156)</f>
        <v>6505439690.0229788</v>
      </c>
    </row>
    <row r="157" spans="1:26" ht="15.75" customHeight="1">
      <c r="A157" s="31" t="s">
        <v>190</v>
      </c>
      <c r="B157" s="32">
        <v>2173</v>
      </c>
      <c r="C157" s="334">
        <f t="shared" si="11"/>
        <v>1.3562586469763492E-11</v>
      </c>
      <c r="D157" s="334">
        <f t="shared" si="20"/>
        <v>1.3562586469763492E-11</v>
      </c>
      <c r="E157" s="34">
        <f t="shared" si="1"/>
        <v>0</v>
      </c>
      <c r="F157" s="42">
        <v>4000</v>
      </c>
      <c r="G157" s="34">
        <f t="shared" si="2"/>
        <v>54.250345879053967</v>
      </c>
      <c r="H157" s="34">
        <f t="shared" si="3"/>
        <v>53.9790941496587</v>
      </c>
      <c r="I157" s="35">
        <f t="shared" si="21"/>
        <v>1</v>
      </c>
      <c r="J157" s="36">
        <f t="shared" si="4"/>
        <v>53.9790941496587</v>
      </c>
      <c r="K157" s="34">
        <f t="shared" si="14"/>
        <v>457777293.17776197</v>
      </c>
      <c r="L157" s="37">
        <f t="shared" si="22"/>
        <v>767237124.22049916</v>
      </c>
      <c r="M157" s="34">
        <f t="shared" si="5"/>
        <v>48335938.82589145</v>
      </c>
      <c r="N157" s="34">
        <f t="shared" si="6"/>
        <v>0</v>
      </c>
      <c r="O157" s="34">
        <f t="shared" si="7"/>
        <v>48335938.82589145</v>
      </c>
      <c r="P157" s="34">
        <f t="shared" si="25"/>
        <v>4833593.8825891456</v>
      </c>
      <c r="Q157" s="38">
        <f t="shared" si="8"/>
        <v>43284833.218585789</v>
      </c>
      <c r="R157" s="39">
        <f t="shared" si="16"/>
        <v>4303536.0644445131</v>
      </c>
      <c r="S157" s="34">
        <f t="shared" si="17"/>
        <v>38731824.580000617</v>
      </c>
      <c r="T157" s="40">
        <f t="shared" si="24"/>
        <v>9463140242.5521164</v>
      </c>
      <c r="U157" s="272">
        <f t="shared" si="9"/>
        <v>2.145751974709861E-6</v>
      </c>
      <c r="V157" s="282">
        <f t="shared" si="10"/>
        <v>158.95416535356841</v>
      </c>
      <c r="W157" s="283">
        <f>((S157+'Malawi-only'!S157)/(T157*(U157+'Malawi-only'!U157))/12)</f>
        <v>10.722009118122564</v>
      </c>
      <c r="X157" s="284">
        <f>(R157+'Malawi-only'!R157)</f>
        <v>3254247864.8443398</v>
      </c>
      <c r="Y157" s="284">
        <f>(L157+'Malawi-only'!L157)</f>
        <v>115916949098.86824</v>
      </c>
      <c r="Z157" s="284">
        <f>(Q157+'Malawi-only'!Q157)</f>
        <v>6543173490.7783766</v>
      </c>
    </row>
    <row r="158" spans="1:26" ht="15.75" customHeight="1">
      <c r="A158" s="31" t="s">
        <v>191</v>
      </c>
      <c r="B158" s="32">
        <v>2174</v>
      </c>
      <c r="C158" s="334">
        <f t="shared" si="11"/>
        <v>1.2206327822787143E-11</v>
      </c>
      <c r="D158" s="334">
        <f t="shared" si="20"/>
        <v>1.2206327822787143E-11</v>
      </c>
      <c r="E158" s="34">
        <f t="shared" si="1"/>
        <v>0</v>
      </c>
      <c r="F158" s="42">
        <v>4000</v>
      </c>
      <c r="G158" s="34">
        <f t="shared" si="2"/>
        <v>48.825311291148566</v>
      </c>
      <c r="H158" s="34">
        <f t="shared" si="3"/>
        <v>48.581184734692826</v>
      </c>
      <c r="I158" s="35">
        <f t="shared" si="21"/>
        <v>1</v>
      </c>
      <c r="J158" s="36">
        <f t="shared" si="4"/>
        <v>48.581184734692826</v>
      </c>
      <c r="K158" s="34">
        <f t="shared" si="14"/>
        <v>457777341.75894672</v>
      </c>
      <c r="L158" s="37">
        <f t="shared" si="22"/>
        <v>771684731.30093086</v>
      </c>
      <c r="M158" s="34">
        <f t="shared" si="5"/>
        <v>48616138.071958646</v>
      </c>
      <c r="N158" s="34">
        <f t="shared" si="6"/>
        <v>0</v>
      </c>
      <c r="O158" s="34">
        <f t="shared" si="7"/>
        <v>48616138.071958646</v>
      </c>
      <c r="P158" s="34">
        <f t="shared" si="25"/>
        <v>4861613.8071958646</v>
      </c>
      <c r="Q158" s="38">
        <f t="shared" si="8"/>
        <v>43535751.643438965</v>
      </c>
      <c r="R158" s="39">
        <f t="shared" si="16"/>
        <v>4328483.3218585793</v>
      </c>
      <c r="S158" s="34">
        <f t="shared" si="17"/>
        <v>38956349.896727212</v>
      </c>
      <c r="T158" s="40">
        <f t="shared" si="24"/>
        <v>9453677102.3095646</v>
      </c>
      <c r="U158" s="272">
        <f t="shared" si="9"/>
        <v>2.145751974709861E-6</v>
      </c>
      <c r="V158" s="282">
        <f t="shared" si="10"/>
        <v>160.03564569514421</v>
      </c>
      <c r="W158" s="283">
        <f>((S158+'Malawi-only'!S158)/(T158*(U158+'Malawi-only'!U158))/12)</f>
        <v>10.794995192987253</v>
      </c>
      <c r="X158" s="284">
        <f>(R158+'Malawi-only'!R158)</f>
        <v>3273123659.5453744</v>
      </c>
      <c r="Y158" s="284">
        <f>(L158+'Malawi-only'!L158)</f>
        <v>116589305610.72839</v>
      </c>
      <c r="Z158" s="284">
        <f>(Q158+'Malawi-only'!Q158)</f>
        <v>6581126104.0904713</v>
      </c>
    </row>
    <row r="159" spans="1:26" ht="15.75" customHeight="1">
      <c r="A159" s="31" t="s">
        <v>192</v>
      </c>
      <c r="B159" s="32">
        <v>2175</v>
      </c>
      <c r="C159" s="334">
        <f t="shared" si="11"/>
        <v>1.0985695040508429E-11</v>
      </c>
      <c r="D159" s="334">
        <f t="shared" si="20"/>
        <v>1.0985695040508429E-11</v>
      </c>
      <c r="E159" s="34">
        <f t="shared" si="1"/>
        <v>0</v>
      </c>
      <c r="F159" s="42">
        <v>4000</v>
      </c>
      <c r="G159" s="34">
        <f t="shared" si="2"/>
        <v>43.942780162033721</v>
      </c>
      <c r="H159" s="34">
        <f t="shared" si="3"/>
        <v>43.723066261223551</v>
      </c>
      <c r="I159" s="35">
        <f t="shared" si="21"/>
        <v>1</v>
      </c>
      <c r="J159" s="36">
        <f t="shared" si="4"/>
        <v>43.723066261223551</v>
      </c>
      <c r="K159" s="34">
        <f t="shared" si="14"/>
        <v>457777385.48201299</v>
      </c>
      <c r="L159" s="37">
        <f t="shared" si="22"/>
        <v>776158115.6367774</v>
      </c>
      <c r="M159" s="34">
        <f t="shared" si="5"/>
        <v>48897961.285116978</v>
      </c>
      <c r="N159" s="34">
        <f t="shared" si="6"/>
        <v>0</v>
      </c>
      <c r="O159" s="34">
        <f t="shared" si="7"/>
        <v>48897961.285116978</v>
      </c>
      <c r="P159" s="34">
        <f t="shared" si="25"/>
        <v>4889796.128511698</v>
      </c>
      <c r="Q159" s="38">
        <f t="shared" si="8"/>
        <v>43788124.330822252</v>
      </c>
      <c r="R159" s="39">
        <f t="shared" si="16"/>
        <v>4353575.1643438963</v>
      </c>
      <c r="S159" s="34">
        <f t="shared" si="17"/>
        <v>39182176.479095072</v>
      </c>
      <c r="T159" s="40">
        <f t="shared" si="24"/>
        <v>9444223425.2072563</v>
      </c>
      <c r="U159" s="272">
        <f t="shared" si="9"/>
        <v>2.145751974709861E-6</v>
      </c>
      <c r="V159" s="282">
        <f t="shared" si="10"/>
        <v>161.12448293916535</v>
      </c>
      <c r="W159" s="283">
        <f>((S159+'Malawi-only'!S159)/(T159*(U159+'Malawi-only'!U159))/12)</f>
        <v>10.868478009720448</v>
      </c>
      <c r="X159" s="284">
        <f>(R159+'Malawi-only'!R159)</f>
        <v>3292108915.2359591</v>
      </c>
      <c r="Y159" s="284">
        <f>(L159+'Malawi-only'!L159)</f>
        <v>117265561204.75461</v>
      </c>
      <c r="Z159" s="284">
        <f>(Q159+'Malawi-only'!Q159)</f>
        <v>6619298804.4740524</v>
      </c>
    </row>
    <row r="160" spans="1:26" ht="15.75" customHeight="1">
      <c r="A160" s="31" t="s">
        <v>193</v>
      </c>
      <c r="B160" s="32">
        <v>2176</v>
      </c>
      <c r="C160" s="334">
        <f t="shared" si="11"/>
        <v>9.8871255364575872E-12</v>
      </c>
      <c r="D160" s="334">
        <f t="shared" si="20"/>
        <v>9.8871255364575872E-12</v>
      </c>
      <c r="E160" s="34">
        <f t="shared" si="1"/>
        <v>0</v>
      </c>
      <c r="F160" s="42">
        <v>4000</v>
      </c>
      <c r="G160" s="34">
        <f t="shared" si="2"/>
        <v>39.548502145830348</v>
      </c>
      <c r="H160" s="34">
        <f t="shared" si="3"/>
        <v>39.350759635101198</v>
      </c>
      <c r="I160" s="35">
        <f t="shared" si="21"/>
        <v>1</v>
      </c>
      <c r="J160" s="36">
        <f t="shared" si="4"/>
        <v>39.350759635101198</v>
      </c>
      <c r="K160" s="34">
        <f t="shared" si="14"/>
        <v>457777424.83277261</v>
      </c>
      <c r="L160" s="37">
        <f t="shared" si="22"/>
        <v>780657427.14049077</v>
      </c>
      <c r="M160" s="34">
        <f t="shared" si="5"/>
        <v>49181417.909850918</v>
      </c>
      <c r="N160" s="34">
        <f t="shared" si="6"/>
        <v>0</v>
      </c>
      <c r="O160" s="34">
        <f t="shared" si="7"/>
        <v>49181417.909850918</v>
      </c>
      <c r="P160" s="34">
        <f t="shared" si="25"/>
        <v>4918141.7909850916</v>
      </c>
      <c r="Q160" s="38">
        <f t="shared" si="8"/>
        <v>44041959.738271497</v>
      </c>
      <c r="R160" s="39">
        <f t="shared" si="16"/>
        <v>4378812.4330822257</v>
      </c>
      <c r="S160" s="34">
        <f t="shared" si="17"/>
        <v>39409311.897740029</v>
      </c>
      <c r="T160" s="40">
        <f t="shared" si="24"/>
        <v>9434779201.7820492</v>
      </c>
      <c r="U160" s="272">
        <f t="shared" si="9"/>
        <v>2.145751974709861E-6</v>
      </c>
      <c r="V160" s="282">
        <f t="shared" si="10"/>
        <v>162.2207272499665</v>
      </c>
      <c r="W160" s="283">
        <f>((S160+'Malawi-only'!S160)/(T160*(U160+'Malawi-only'!U160))/12)</f>
        <v>10.942460957422092</v>
      </c>
      <c r="X160" s="284">
        <f>(R160+'Malawi-only'!R160)</f>
        <v>3311204269.214951</v>
      </c>
      <c r="Y160" s="284">
        <f>(L160+'Malawi-only'!L160)</f>
        <v>117945738572.94914</v>
      </c>
      <c r="Z160" s="284">
        <f>(Q160+'Malawi-only'!Q160)</f>
        <v>6657692873.3020096</v>
      </c>
    </row>
    <row r="161" spans="1:26" ht="15.75" customHeight="1">
      <c r="A161" s="31" t="s">
        <v>194</v>
      </c>
      <c r="B161" s="32">
        <v>2177</v>
      </c>
      <c r="C161" s="334">
        <f t="shared" si="11"/>
        <v>8.8984129828118294E-12</v>
      </c>
      <c r="D161" s="334">
        <f t="shared" si="20"/>
        <v>8.8984129828118294E-12</v>
      </c>
      <c r="E161" s="34">
        <f t="shared" si="1"/>
        <v>0</v>
      </c>
      <c r="F161" s="42">
        <v>4000</v>
      </c>
      <c r="G161" s="34">
        <f t="shared" si="2"/>
        <v>35.593651931247315</v>
      </c>
      <c r="H161" s="34">
        <f t="shared" si="3"/>
        <v>35.415683671591076</v>
      </c>
      <c r="I161" s="35">
        <f t="shared" si="21"/>
        <v>1</v>
      </c>
      <c r="J161" s="36">
        <f t="shared" si="4"/>
        <v>35.415683671591076</v>
      </c>
      <c r="K161" s="34">
        <f t="shared" si="14"/>
        <v>457777460.2484563</v>
      </c>
      <c r="L161" s="37">
        <f t="shared" si="22"/>
        <v>785182816.54498601</v>
      </c>
      <c r="M161" s="34">
        <f t="shared" si="5"/>
        <v>49466517.442334116</v>
      </c>
      <c r="N161" s="34">
        <f t="shared" si="6"/>
        <v>0</v>
      </c>
      <c r="O161" s="34">
        <f t="shared" si="7"/>
        <v>49466517.442334116</v>
      </c>
      <c r="P161" s="34">
        <f t="shared" si="25"/>
        <v>4946651.7442334117</v>
      </c>
      <c r="Q161" s="38">
        <f t="shared" si="8"/>
        <v>44297266.369610198</v>
      </c>
      <c r="R161" s="39">
        <f t="shared" si="16"/>
        <v>4404195.9738271497</v>
      </c>
      <c r="S161" s="34">
        <f t="shared" si="17"/>
        <v>39637763.764444351</v>
      </c>
      <c r="T161" s="40">
        <f t="shared" si="24"/>
        <v>9425344422.5802689</v>
      </c>
      <c r="U161" s="272">
        <f t="shared" si="9"/>
        <v>2.145751974709861E-6</v>
      </c>
      <c r="V161" s="282">
        <f t="shared" si="10"/>
        <v>163.32442912223084</v>
      </c>
      <c r="W161" s="283">
        <f>((S161+'Malawi-only'!S161)/(T161*(U161+'Malawi-only'!U161))/12)</f>
        <v>11.016947447493726</v>
      </c>
      <c r="X161" s="284">
        <f>(R161+'Malawi-only'!R161)</f>
        <v>3330410362.2382984</v>
      </c>
      <c r="Y161" s="284">
        <f>(L161+'Malawi-only'!L161)</f>
        <v>118629860531.30415</v>
      </c>
      <c r="Z161" s="284">
        <f>(Q161+'Malawi-only'!Q161)</f>
        <v>6696309598.8985519</v>
      </c>
    </row>
    <row r="162" spans="1:26" ht="15.75" customHeight="1">
      <c r="A162" s="31" t="s">
        <v>195</v>
      </c>
      <c r="B162" s="32">
        <v>2178</v>
      </c>
      <c r="C162" s="334">
        <f t="shared" si="11"/>
        <v>8.008571684530646E-12</v>
      </c>
      <c r="D162" s="334">
        <f t="shared" si="20"/>
        <v>8.008571684530646E-12</v>
      </c>
      <c r="E162" s="34">
        <f t="shared" si="1"/>
        <v>0</v>
      </c>
      <c r="F162" s="42">
        <v>4000</v>
      </c>
      <c r="G162" s="34">
        <f t="shared" si="2"/>
        <v>32.034286738122582</v>
      </c>
      <c r="H162" s="34">
        <f t="shared" si="3"/>
        <v>31.874115304431967</v>
      </c>
      <c r="I162" s="35">
        <f t="shared" si="21"/>
        <v>1</v>
      </c>
      <c r="J162" s="36">
        <f t="shared" si="4"/>
        <v>31.874115304431967</v>
      </c>
      <c r="K162" s="34">
        <f t="shared" si="14"/>
        <v>457777492.12257159</v>
      </c>
      <c r="L162" s="37">
        <f t="shared" si="22"/>
        <v>789734435.41325307</v>
      </c>
      <c r="M162" s="34">
        <f t="shared" si="5"/>
        <v>49753269.431034945</v>
      </c>
      <c r="N162" s="34">
        <f t="shared" si="6"/>
        <v>0</v>
      </c>
      <c r="O162" s="34">
        <f t="shared" si="7"/>
        <v>49753269.431034945</v>
      </c>
      <c r="P162" s="34">
        <f t="shared" si="25"/>
        <v>4975326.9431034951</v>
      </c>
      <c r="Q162" s="38">
        <f t="shared" si="8"/>
        <v>44554052.775491796</v>
      </c>
      <c r="R162" s="39">
        <f t="shared" si="16"/>
        <v>4429726.6369610196</v>
      </c>
      <c r="S162" s="34">
        <f t="shared" si="17"/>
        <v>39867539.732649177</v>
      </c>
      <c r="T162" s="40">
        <f t="shared" si="24"/>
        <v>9415919078.15769</v>
      </c>
      <c r="U162" s="272">
        <f t="shared" si="9"/>
        <v>2.145751974709861E-6</v>
      </c>
      <c r="V162" s="282">
        <f t="shared" si="10"/>
        <v>164.43563938432288</v>
      </c>
      <c r="W162" s="283">
        <f>((S162+'Malawi-only'!S162)/(T162*(U162+'Malawi-only'!U162))/12)</f>
        <v>11.091940913866431</v>
      </c>
      <c r="X162" s="284">
        <f>(R162+'Malawi-only'!R162)</f>
        <v>3349727838.5630293</v>
      </c>
      <c r="Y162" s="284">
        <f>(L162+'Malawi-only'!L162)</f>
        <v>119317950021.28383</v>
      </c>
      <c r="Z162" s="284">
        <f>(Q162+'Malawi-only'!Q162)</f>
        <v>6735150276.6276283</v>
      </c>
    </row>
    <row r="163" spans="1:26" ht="15.75" customHeight="1">
      <c r="A163" s="31" t="s">
        <v>196</v>
      </c>
      <c r="B163" s="32">
        <v>2179</v>
      </c>
      <c r="C163" s="334">
        <f t="shared" si="11"/>
        <v>7.2077145160775816E-12</v>
      </c>
      <c r="D163" s="334">
        <f t="shared" si="20"/>
        <v>7.2077145160775816E-12</v>
      </c>
      <c r="E163" s="34">
        <f t="shared" si="1"/>
        <v>0</v>
      </c>
      <c r="F163" s="42">
        <v>4000</v>
      </c>
      <c r="G163" s="34">
        <f t="shared" si="2"/>
        <v>28.830858064310327</v>
      </c>
      <c r="H163" s="34">
        <f t="shared" si="3"/>
        <v>28.686703773988775</v>
      </c>
      <c r="I163" s="35">
        <f t="shared" si="21"/>
        <v>1</v>
      </c>
      <c r="J163" s="36">
        <f t="shared" si="4"/>
        <v>28.686703773988775</v>
      </c>
      <c r="K163" s="34">
        <f t="shared" si="14"/>
        <v>457777520.80927539</v>
      </c>
      <c r="L163" s="37">
        <f t="shared" si="22"/>
        <v>794312436.1475389</v>
      </c>
      <c r="M163" s="34">
        <f t="shared" si="5"/>
        <v>50041683.477294952</v>
      </c>
      <c r="N163" s="34">
        <f t="shared" si="6"/>
        <v>0</v>
      </c>
      <c r="O163" s="34">
        <f t="shared" si="7"/>
        <v>50041683.477294952</v>
      </c>
      <c r="P163" s="34">
        <f t="shared" si="25"/>
        <v>5004168.3477294957</v>
      </c>
      <c r="Q163" s="38">
        <f t="shared" si="8"/>
        <v>44812327.553917624</v>
      </c>
      <c r="R163" s="39">
        <f t="shared" si="16"/>
        <v>4455405.2775491802</v>
      </c>
      <c r="S163" s="34">
        <f t="shared" si="17"/>
        <v>40098647.497942619</v>
      </c>
      <c r="T163" s="40">
        <f t="shared" si="24"/>
        <v>9406503159.0795326</v>
      </c>
      <c r="U163" s="272">
        <f t="shared" si="9"/>
        <v>2.145751974709861E-6</v>
      </c>
      <c r="V163" s="282">
        <f t="shared" si="10"/>
        <v>165.55440920153683</v>
      </c>
      <c r="W163" s="283">
        <f>((S163+'Malawi-only'!S163)/(T163*(U163+'Malawi-only'!U163))/12)</f>
        <v>11.167444813222767</v>
      </c>
      <c r="X163" s="284">
        <f>(R163+'Malawi-only'!R163)</f>
        <v>3369157345.9891124</v>
      </c>
      <c r="Y163" s="284">
        <f>(L163+'Malawi-only'!L163)</f>
        <v>120010030111.23883</v>
      </c>
      <c r="Z163" s="284">
        <f>(Q163+'Malawi-only'!Q163)</f>
        <v>6774216208.9770441</v>
      </c>
    </row>
    <row r="164" spans="1:26" ht="15.75" customHeight="1">
      <c r="A164" s="31" t="s">
        <v>197</v>
      </c>
      <c r="B164" s="32">
        <v>2180</v>
      </c>
      <c r="C164" s="334">
        <f t="shared" si="11"/>
        <v>6.4869430644698232E-12</v>
      </c>
      <c r="D164" s="334">
        <f t="shared" si="20"/>
        <v>6.4869430644698232E-12</v>
      </c>
      <c r="E164" s="34">
        <f t="shared" si="1"/>
        <v>0</v>
      </c>
      <c r="F164" s="42">
        <v>4000</v>
      </c>
      <c r="G164" s="34">
        <f t="shared" si="2"/>
        <v>25.947772257879294</v>
      </c>
      <c r="H164" s="34">
        <f t="shared" si="3"/>
        <v>25.818033396589897</v>
      </c>
      <c r="I164" s="35">
        <f t="shared" si="21"/>
        <v>1</v>
      </c>
      <c r="J164" s="36">
        <f t="shared" si="4"/>
        <v>25.818033396589897</v>
      </c>
      <c r="K164" s="34">
        <f t="shared" si="14"/>
        <v>457777546.62730879</v>
      </c>
      <c r="L164" s="37">
        <f t="shared" si="22"/>
        <v>798916971.9981451</v>
      </c>
      <c r="M164" s="34">
        <f t="shared" si="5"/>
        <v>50331769.235883139</v>
      </c>
      <c r="N164" s="34">
        <f t="shared" si="6"/>
        <v>0</v>
      </c>
      <c r="O164" s="34">
        <f t="shared" si="7"/>
        <v>50331769.235883139</v>
      </c>
      <c r="P164" s="34">
        <f t="shared" si="25"/>
        <v>5033176.9235883141</v>
      </c>
      <c r="Q164" s="38">
        <f t="shared" si="8"/>
        <v>45072099.350733355</v>
      </c>
      <c r="R164" s="39">
        <f t="shared" si="16"/>
        <v>4481232.7553917626</v>
      </c>
      <c r="S164" s="34">
        <f t="shared" si="17"/>
        <v>40331094.798525862</v>
      </c>
      <c r="T164" s="40">
        <f t="shared" si="24"/>
        <v>9397096655.920454</v>
      </c>
      <c r="U164" s="272">
        <f t="shared" si="9"/>
        <v>2.145751974709861E-6</v>
      </c>
      <c r="V164" s="282">
        <f t="shared" si="10"/>
        <v>166.68079007926931</v>
      </c>
      <c r="W164" s="283">
        <f>((S164+'Malawi-only'!S164)/(T164*(U164+'Malawi-only'!U164))/12)</f>
        <v>11.243462625213427</v>
      </c>
      <c r="X164" s="284">
        <f>(R164+'Malawi-only'!R164)</f>
        <v>3388699535.8993945</v>
      </c>
      <c r="Y164" s="284">
        <f>(L164+'Malawi-only'!L164)</f>
        <v>120706123997.76028</v>
      </c>
      <c r="Z164" s="284">
        <f>(Q164+'Malawi-only'!Q164)</f>
        <v>6813508705.6387396</v>
      </c>
    </row>
    <row r="165" spans="1:26" ht="15.75" customHeight="1">
      <c r="A165" s="31" t="s">
        <v>198</v>
      </c>
      <c r="B165" s="32">
        <v>2181</v>
      </c>
      <c r="C165" s="334">
        <f t="shared" si="11"/>
        <v>5.8382487580228407E-12</v>
      </c>
      <c r="D165" s="334">
        <f t="shared" si="20"/>
        <v>5.8382487580228407E-12</v>
      </c>
      <c r="E165" s="34">
        <f t="shared" si="1"/>
        <v>0</v>
      </c>
      <c r="F165" s="42">
        <v>4000</v>
      </c>
      <c r="G165" s="34">
        <f t="shared" si="2"/>
        <v>23.352995032091364</v>
      </c>
      <c r="H165" s="34">
        <f t="shared" si="3"/>
        <v>23.236230056930907</v>
      </c>
      <c r="I165" s="35">
        <f t="shared" si="21"/>
        <v>1</v>
      </c>
      <c r="J165" s="36">
        <f t="shared" si="4"/>
        <v>23.236230056930907</v>
      </c>
      <c r="K165" s="34">
        <f t="shared" si="14"/>
        <v>457777569.86353886</v>
      </c>
      <c r="L165" s="37">
        <f t="shared" si="22"/>
        <v>803548197.07188451</v>
      </c>
      <c r="M165" s="34">
        <f t="shared" si="5"/>
        <v>50623536.415528722</v>
      </c>
      <c r="N165" s="34">
        <f t="shared" si="6"/>
        <v>0</v>
      </c>
      <c r="O165" s="34">
        <f t="shared" si="7"/>
        <v>50623536.415528722</v>
      </c>
      <c r="P165" s="34">
        <f t="shared" si="25"/>
        <v>5062353.641552873</v>
      </c>
      <c r="Q165" s="38">
        <f t="shared" si="8"/>
        <v>45333376.860105969</v>
      </c>
      <c r="R165" s="39">
        <f t="shared" si="16"/>
        <v>4507209.9350733357</v>
      </c>
      <c r="S165" s="34">
        <f t="shared" si="17"/>
        <v>40564889.415660016</v>
      </c>
      <c r="T165" s="40">
        <f t="shared" si="24"/>
        <v>9387699559.264534</v>
      </c>
      <c r="U165" s="272">
        <f t="shared" si="9"/>
        <v>2.145751974709861E-6</v>
      </c>
      <c r="V165" s="282">
        <f t="shared" si="10"/>
        <v>167.81483386612746</v>
      </c>
      <c r="W165" s="283">
        <f>((S165+'Malawi-only'!S165)/(T165*(U165+'Malawi-only'!U165))/12)</f>
        <v>11.319997852669253</v>
      </c>
      <c r="X165" s="284">
        <f>(R165+'Malawi-only'!R165)</f>
        <v>3408355063.2978425</v>
      </c>
      <c r="Y165" s="284">
        <f>(L165+'Malawi-only'!L165)</f>
        <v>121406255006.97983</v>
      </c>
      <c r="Z165" s="284">
        <f>(Q165+'Malawi-only'!Q165)</f>
        <v>6853029083.5856438</v>
      </c>
    </row>
    <row r="166" spans="1:26" ht="15.75" customHeight="1">
      <c r="A166" s="31" t="s">
        <v>199</v>
      </c>
      <c r="B166" s="32">
        <v>2182</v>
      </c>
      <c r="C166" s="334">
        <f t="shared" si="11"/>
        <v>5.2544238822205565E-12</v>
      </c>
      <c r="D166" s="334">
        <f t="shared" si="20"/>
        <v>5.2544238822205565E-12</v>
      </c>
      <c r="E166" s="34">
        <f t="shared" si="1"/>
        <v>0</v>
      </c>
      <c r="F166" s="42">
        <v>4000</v>
      </c>
      <c r="G166" s="34">
        <f t="shared" si="2"/>
        <v>21.017695528882225</v>
      </c>
      <c r="H166" s="34">
        <f t="shared" si="3"/>
        <v>20.912607051237813</v>
      </c>
      <c r="I166" s="35">
        <f t="shared" si="21"/>
        <v>1</v>
      </c>
      <c r="J166" s="36">
        <f t="shared" si="4"/>
        <v>20.912607051237813</v>
      </c>
      <c r="K166" s="34">
        <f t="shared" si="14"/>
        <v>457777590.77614594</v>
      </c>
      <c r="L166" s="37">
        <f t="shared" si="22"/>
        <v>808206266.34023154</v>
      </c>
      <c r="M166" s="34">
        <f t="shared" si="5"/>
        <v>50916994.779434584</v>
      </c>
      <c r="N166" s="34">
        <f t="shared" si="6"/>
        <v>0</v>
      </c>
      <c r="O166" s="34">
        <f t="shared" si="7"/>
        <v>50916994.779434584</v>
      </c>
      <c r="P166" s="34">
        <f t="shared" si="25"/>
        <v>5091699.4779434586</v>
      </c>
      <c r="Q166" s="38">
        <f t="shared" si="8"/>
        <v>45596168.824983671</v>
      </c>
      <c r="R166" s="39">
        <f t="shared" si="16"/>
        <v>4533337.6860105973</v>
      </c>
      <c r="S166" s="34">
        <f t="shared" si="17"/>
        <v>40800039.17409537</v>
      </c>
      <c r="T166" s="40">
        <f t="shared" si="24"/>
        <v>9378311859.7052708</v>
      </c>
      <c r="U166" s="272">
        <f t="shared" si="9"/>
        <v>2.145751974709861E-6</v>
      </c>
      <c r="V166" s="282">
        <f t="shared" si="10"/>
        <v>168.95659275697855</v>
      </c>
      <c r="W166" s="283">
        <f>((S166+'Malawi-only'!S166)/(T166*(U166+'Malawi-only'!U166))/12)</f>
        <v>11.397054021809154</v>
      </c>
      <c r="X166" s="284">
        <f>(R166+'Malawi-only'!R166)</f>
        <v>3428124586.8462505</v>
      </c>
      <c r="Y166" s="284">
        <f>(L166+'Malawi-only'!L166)</f>
        <v>122110446595.82155</v>
      </c>
      <c r="Z166" s="284">
        <f>(Q166+'Malawi-only'!Q166)</f>
        <v>6892778667.1454639</v>
      </c>
    </row>
    <row r="167" spans="1:26" ht="15.75" customHeight="1">
      <c r="A167" s="31" t="s">
        <v>200</v>
      </c>
      <c r="B167" s="32">
        <v>2183</v>
      </c>
      <c r="C167" s="334">
        <f t="shared" si="11"/>
        <v>4.7289814939985013E-12</v>
      </c>
      <c r="D167" s="334">
        <f t="shared" si="20"/>
        <v>4.7289814939985013E-12</v>
      </c>
      <c r="E167" s="34">
        <f t="shared" si="1"/>
        <v>0</v>
      </c>
      <c r="F167" s="42">
        <v>4000</v>
      </c>
      <c r="G167" s="34">
        <f t="shared" si="2"/>
        <v>18.915925975994007</v>
      </c>
      <c r="H167" s="34">
        <f t="shared" si="3"/>
        <v>18.821346346114037</v>
      </c>
      <c r="I167" s="35">
        <f t="shared" si="21"/>
        <v>1</v>
      </c>
      <c r="J167" s="36">
        <f t="shared" si="4"/>
        <v>18.821346346114037</v>
      </c>
      <c r="K167" s="34">
        <f t="shared" si="14"/>
        <v>457777609.59749228</v>
      </c>
      <c r="L167" s="37">
        <f t="shared" si="22"/>
        <v>812891335.64720166</v>
      </c>
      <c r="M167" s="34">
        <f t="shared" si="5"/>
        <v>51212154.145773701</v>
      </c>
      <c r="N167" s="34">
        <f t="shared" si="6"/>
        <v>0</v>
      </c>
      <c r="O167" s="34">
        <f t="shared" si="7"/>
        <v>51212154.145773701</v>
      </c>
      <c r="P167" s="34">
        <f t="shared" si="25"/>
        <v>5121215.4145773705</v>
      </c>
      <c r="Q167" s="38">
        <f t="shared" si="8"/>
        <v>45860484.037540346</v>
      </c>
      <c r="R167" s="39">
        <f t="shared" si="16"/>
        <v>4559616.8824983677</v>
      </c>
      <c r="S167" s="34">
        <f t="shared" si="17"/>
        <v>41036551.942485303</v>
      </c>
      <c r="T167" s="40">
        <f t="shared" si="24"/>
        <v>9368933547.8455658</v>
      </c>
      <c r="U167" s="272">
        <f t="shared" si="9"/>
        <v>2.145751974709861E-6</v>
      </c>
      <c r="V167" s="282">
        <f t="shared" si="10"/>
        <v>170.10611929595032</v>
      </c>
      <c r="W167" s="283">
        <f>((S167+'Malawi-only'!S167)/(T167*(U167+'Malawi-only'!U167))/12)</f>
        <v>11.474634682444512</v>
      </c>
      <c r="X167" s="284">
        <f>(R167+'Malawi-only'!R167)</f>
        <v>3448008768.8995996</v>
      </c>
      <c r="Y167" s="284">
        <f>(L167+'Malawi-only'!L167)</f>
        <v>122818722353.21118</v>
      </c>
      <c r="Z167" s="284">
        <f>(Q167+'Malawi-only'!Q167)</f>
        <v>6932758788.071743</v>
      </c>
    </row>
    <row r="168" spans="1:26" ht="15.75" customHeight="1">
      <c r="A168" s="31" t="s">
        <v>201</v>
      </c>
      <c r="B168" s="32">
        <v>2184</v>
      </c>
      <c r="C168" s="334">
        <f t="shared" si="11"/>
        <v>4.2560833445986512E-12</v>
      </c>
      <c r="D168" s="334">
        <f t="shared" si="20"/>
        <v>4.2560833445986512E-12</v>
      </c>
      <c r="E168" s="34">
        <f t="shared" si="1"/>
        <v>0</v>
      </c>
      <c r="F168" s="42">
        <v>4000</v>
      </c>
      <c r="G168" s="34">
        <f t="shared" si="2"/>
        <v>17.024333378394605</v>
      </c>
      <c r="H168" s="34">
        <f t="shared" si="3"/>
        <v>16.939211711502633</v>
      </c>
      <c r="I168" s="35">
        <f t="shared" si="21"/>
        <v>1</v>
      </c>
      <c r="J168" s="36">
        <f t="shared" si="4"/>
        <v>16.939211711502633</v>
      </c>
      <c r="K168" s="34">
        <f t="shared" si="14"/>
        <v>457777626.536704</v>
      </c>
      <c r="L168" s="37">
        <f t="shared" si="22"/>
        <v>817603561.71699035</v>
      </c>
      <c r="M168" s="34">
        <f t="shared" si="5"/>
        <v>51509024.388170391</v>
      </c>
      <c r="N168" s="34">
        <f t="shared" si="6"/>
        <v>0</v>
      </c>
      <c r="O168" s="34">
        <f t="shared" si="7"/>
        <v>51509024.388170391</v>
      </c>
      <c r="P168" s="34">
        <f t="shared" si="25"/>
        <v>5150902.4388170391</v>
      </c>
      <c r="Q168" s="38">
        <f t="shared" si="8"/>
        <v>46126331.339606583</v>
      </c>
      <c r="R168" s="39">
        <f t="shared" si="16"/>
        <v>4586048.403754035</v>
      </c>
      <c r="S168" s="34">
        <f t="shared" si="17"/>
        <v>41274435.633786313</v>
      </c>
      <c r="T168" s="40">
        <f t="shared" si="24"/>
        <v>9359564614.2977219</v>
      </c>
      <c r="U168" s="272">
        <f t="shared" si="9"/>
        <v>2.145751974709861E-6</v>
      </c>
      <c r="V168" s="282">
        <f t="shared" si="10"/>
        <v>171.2634663793871</v>
      </c>
      <c r="W168" s="283">
        <f>((S168+'Malawi-only'!S168)/(T168*(U168+'Malawi-only'!U168))/12)</f>
        <v>11.552743408180453</v>
      </c>
      <c r="X168" s="284">
        <f>(R168+'Malawi-only'!R168)</f>
        <v>3468008275.5401993</v>
      </c>
      <c r="Y168" s="284">
        <f>(L168+'Malawi-only'!L168)</f>
        <v>123531106001.2471</v>
      </c>
      <c r="Z168" s="284">
        <f>(Q168+'Malawi-only'!Q168)</f>
        <v>6972970785.6124964</v>
      </c>
    </row>
    <row r="169" spans="1:26" ht="15.75" customHeight="1">
      <c r="A169" s="31" t="s">
        <v>202</v>
      </c>
      <c r="B169" s="32">
        <v>2185</v>
      </c>
      <c r="C169" s="334">
        <f t="shared" si="11"/>
        <v>3.8304750101387859E-12</v>
      </c>
      <c r="D169" s="334">
        <f t="shared" si="20"/>
        <v>3.8304750101387859E-12</v>
      </c>
      <c r="E169" s="34">
        <f t="shared" si="1"/>
        <v>0</v>
      </c>
      <c r="F169" s="42">
        <v>4000</v>
      </c>
      <c r="G169" s="34">
        <f t="shared" si="2"/>
        <v>15.321900040555144</v>
      </c>
      <c r="H169" s="34">
        <f t="shared" si="3"/>
        <v>15.245290540352368</v>
      </c>
      <c r="I169" s="35">
        <f t="shared" si="21"/>
        <v>1</v>
      </c>
      <c r="J169" s="36">
        <f t="shared" si="4"/>
        <v>15.245290540352368</v>
      </c>
      <c r="K169" s="34">
        <f t="shared" si="14"/>
        <v>457777641.78199452</v>
      </c>
      <c r="L169" s="37">
        <f t="shared" si="22"/>
        <v>822343102.16139734</v>
      </c>
      <c r="M169" s="34">
        <f t="shared" si="5"/>
        <v>51807615.43616803</v>
      </c>
      <c r="N169" s="34">
        <f t="shared" si="6"/>
        <v>0</v>
      </c>
      <c r="O169" s="34">
        <f t="shared" si="7"/>
        <v>51807615.43616803</v>
      </c>
      <c r="P169" s="34">
        <f t="shared" si="25"/>
        <v>5180761.5436168034</v>
      </c>
      <c r="Q169" s="38">
        <f t="shared" si="8"/>
        <v>46393719.623088472</v>
      </c>
      <c r="R169" s="39">
        <f t="shared" si="16"/>
        <v>4612633.1339606587</v>
      </c>
      <c r="S169" s="34">
        <f t="shared" si="17"/>
        <v>41513698.205645926</v>
      </c>
      <c r="T169" s="40">
        <f t="shared" si="24"/>
        <v>9350205049.6834259</v>
      </c>
      <c r="U169" s="272">
        <f t="shared" si="9"/>
        <v>2.145751974709861E-6</v>
      </c>
      <c r="V169" s="282">
        <f t="shared" si="10"/>
        <v>172.42868725876929</v>
      </c>
      <c r="W169" s="283">
        <f>((S169+'Malawi-only'!S169)/(T169*(U169+'Malawi-only'!U169))/12)</f>
        <v>11.631383796614488</v>
      </c>
      <c r="X169" s="284">
        <f>(R169+'Malawi-only'!R169)</f>
        <v>3488123776.610755</v>
      </c>
      <c r="Y169" s="284">
        <f>(L169+'Malawi-only'!L169)</f>
        <v>124247621396.33781</v>
      </c>
      <c r="Z169" s="284">
        <f>(Q169+'Malawi-only'!Q169)</f>
        <v>7013416006.5766773</v>
      </c>
    </row>
    <row r="170" spans="1:26" ht="15.75" customHeight="1">
      <c r="A170" s="31" t="s">
        <v>203</v>
      </c>
      <c r="B170" s="32">
        <v>2186</v>
      </c>
      <c r="C170" s="334">
        <f t="shared" si="11"/>
        <v>3.4474275091249074E-12</v>
      </c>
      <c r="D170" s="334">
        <f t="shared" si="20"/>
        <v>3.4474275091249074E-12</v>
      </c>
      <c r="E170" s="34">
        <f t="shared" si="1"/>
        <v>0</v>
      </c>
      <c r="F170" s="42">
        <v>4000</v>
      </c>
      <c r="G170" s="34">
        <f t="shared" si="2"/>
        <v>13.789710036499629</v>
      </c>
      <c r="H170" s="34">
        <f t="shared" si="3"/>
        <v>13.720761486317132</v>
      </c>
      <c r="I170" s="35">
        <f t="shared" si="21"/>
        <v>1</v>
      </c>
      <c r="J170" s="36">
        <f t="shared" si="4"/>
        <v>13.720761486317132</v>
      </c>
      <c r="K170" s="34">
        <f t="shared" si="14"/>
        <v>457777655.502756</v>
      </c>
      <c r="L170" s="37">
        <f t="shared" si="22"/>
        <v>827110115.48706281</v>
      </c>
      <c r="M170" s="34">
        <f t="shared" si="5"/>
        <v>52107937.27568496</v>
      </c>
      <c r="N170" s="34">
        <f t="shared" si="6"/>
        <v>0</v>
      </c>
      <c r="O170" s="34">
        <f t="shared" si="7"/>
        <v>52107937.27568496</v>
      </c>
      <c r="P170" s="34">
        <f t="shared" si="25"/>
        <v>5210793.727568496</v>
      </c>
      <c r="Q170" s="38">
        <f t="shared" si="8"/>
        <v>46662657.83037588</v>
      </c>
      <c r="R170" s="39">
        <f t="shared" si="16"/>
        <v>4639371.9623088473</v>
      </c>
      <c r="S170" s="34">
        <f t="shared" si="17"/>
        <v>41754347.660779625</v>
      </c>
      <c r="T170" s="40">
        <f t="shared" si="24"/>
        <v>9340854844.6337433</v>
      </c>
      <c r="U170" s="272">
        <f t="shared" si="9"/>
        <v>2.145751974709861E-6</v>
      </c>
      <c r="V170" s="282">
        <f t="shared" si="10"/>
        <v>173.60183554360026</v>
      </c>
      <c r="W170" s="283">
        <f>((S170+'Malawi-only'!S170)/(T170*(U170+'Malawi-only'!U170))/12)</f>
        <v>11.710559469532884</v>
      </c>
      <c r="X170" s="284">
        <f>(R170+'Malawi-only'!R170)</f>
        <v>3508355945.7464981</v>
      </c>
      <c r="Y170" s="284">
        <f>(L170+'Malawi-only'!L170)</f>
        <v>124968292530.30943</v>
      </c>
      <c r="Z170" s="284">
        <f>(Q170+'Malawi-only'!Q170)</f>
        <v>7054095805.3987541</v>
      </c>
    </row>
    <row r="171" spans="1:26" ht="15.75" customHeight="1">
      <c r="A171" s="31" t="s">
        <v>204</v>
      </c>
      <c r="B171" s="32">
        <v>2187</v>
      </c>
      <c r="C171" s="334">
        <f t="shared" si="11"/>
        <v>3.1026847582124165E-12</v>
      </c>
      <c r="D171" s="334">
        <f t="shared" si="20"/>
        <v>3.1026847582124165E-12</v>
      </c>
      <c r="E171" s="34">
        <f t="shared" si="1"/>
        <v>0</v>
      </c>
      <c r="F171" s="42">
        <v>4000</v>
      </c>
      <c r="G171" s="34">
        <f t="shared" si="2"/>
        <v>12.410739032849666</v>
      </c>
      <c r="H171" s="34">
        <f t="shared" si="3"/>
        <v>12.348685337685417</v>
      </c>
      <c r="I171" s="35">
        <f t="shared" si="21"/>
        <v>1</v>
      </c>
      <c r="J171" s="36">
        <f t="shared" si="4"/>
        <v>12.348685337685417</v>
      </c>
      <c r="K171" s="34">
        <f t="shared" si="14"/>
        <v>457777667.85144132</v>
      </c>
      <c r="L171" s="37">
        <f t="shared" si="22"/>
        <v>831904761.10253513</v>
      </c>
      <c r="M171" s="34">
        <f t="shared" si="5"/>
        <v>52409999.949459717</v>
      </c>
      <c r="N171" s="34">
        <f t="shared" si="6"/>
        <v>0</v>
      </c>
      <c r="O171" s="34">
        <f t="shared" si="7"/>
        <v>52409999.949459717</v>
      </c>
      <c r="P171" s="34">
        <f t="shared" si="25"/>
        <v>5240999.9949459722</v>
      </c>
      <c r="Q171" s="38">
        <f t="shared" si="8"/>
        <v>46933154.954741172</v>
      </c>
      <c r="R171" s="39">
        <f t="shared" si="16"/>
        <v>4666265.783037588</v>
      </c>
      <c r="S171" s="34">
        <f t="shared" si="17"/>
        <v>41996392.047338292</v>
      </c>
      <c r="T171" s="40">
        <f t="shared" si="24"/>
        <v>9331513989.7891102</v>
      </c>
      <c r="U171" s="272">
        <f t="shared" si="9"/>
        <v>2.145751974709861E-6</v>
      </c>
      <c r="V171" s="282">
        <f t="shared" si="10"/>
        <v>174.78296520426679</v>
      </c>
      <c r="W171" s="283">
        <f>((S171+'Malawi-only'!S171)/(T171*(U171+'Malawi-only'!U171))/12)</f>
        <v>11.790274073105032</v>
      </c>
      <c r="X171" s="284">
        <f>(R171+'Malawi-only'!R171)</f>
        <v>3528705460.4064455</v>
      </c>
      <c r="Y171" s="284">
        <f>(L171+'Malawi-only'!L171)</f>
        <v>125693143531.48663</v>
      </c>
      <c r="Z171" s="284">
        <f>(Q171+'Malawi-only'!Q171)</f>
        <v>7095011544.2015572</v>
      </c>
    </row>
    <row r="172" spans="1:26" ht="15.75" customHeight="1">
      <c r="A172" s="31" t="s">
        <v>205</v>
      </c>
      <c r="B172" s="32">
        <v>2188</v>
      </c>
      <c r="C172" s="334">
        <f t="shared" si="11"/>
        <v>2.7924162823911748E-12</v>
      </c>
      <c r="D172" s="334">
        <f t="shared" si="20"/>
        <v>2.7924162823911748E-12</v>
      </c>
      <c r="E172" s="34">
        <f t="shared" si="1"/>
        <v>0</v>
      </c>
      <c r="F172" s="42">
        <v>4000</v>
      </c>
      <c r="G172" s="34">
        <f t="shared" si="2"/>
        <v>11.1696651295647</v>
      </c>
      <c r="H172" s="34">
        <f t="shared" si="3"/>
        <v>11.113816803916876</v>
      </c>
      <c r="I172" s="35">
        <f t="shared" si="21"/>
        <v>1</v>
      </c>
      <c r="J172" s="36">
        <f t="shared" si="4"/>
        <v>11.113816803916876</v>
      </c>
      <c r="K172" s="34">
        <f t="shared" si="14"/>
        <v>457777678.96525812</v>
      </c>
      <c r="L172" s="37">
        <f t="shared" si="22"/>
        <v>836727199.32519233</v>
      </c>
      <c r="M172" s="34">
        <f t="shared" si="5"/>
        <v>52713813.557487115</v>
      </c>
      <c r="N172" s="34">
        <f t="shared" si="6"/>
        <v>0</v>
      </c>
      <c r="O172" s="34">
        <f t="shared" si="7"/>
        <v>52713813.557487115</v>
      </c>
      <c r="P172" s="34">
        <f t="shared" si="25"/>
        <v>5271381.3557487121</v>
      </c>
      <c r="Q172" s="38">
        <f t="shared" si="8"/>
        <v>47205220.040729709</v>
      </c>
      <c r="R172" s="39">
        <f t="shared" si="16"/>
        <v>4693315.4954741178</v>
      </c>
      <c r="S172" s="34">
        <f t="shared" si="17"/>
        <v>42239839.459267057</v>
      </c>
      <c r="T172" s="40">
        <f t="shared" si="24"/>
        <v>9322182475.7993221</v>
      </c>
      <c r="U172" s="272">
        <f t="shared" si="9"/>
        <v>2.145751974709861E-6</v>
      </c>
      <c r="V172" s="282">
        <f t="shared" si="10"/>
        <v>175.97213057487645</v>
      </c>
      <c r="W172" s="283">
        <f>((S172+'Malawi-only'!S172)/(T172*(U172+'Malawi-only'!U172))/12)</f>
        <v>11.870531278076273</v>
      </c>
      <c r="X172" s="284">
        <f>(R172+'Malawi-only'!R172)</f>
        <v>3549173001.9039373</v>
      </c>
      <c r="Y172" s="284">
        <f>(L172+'Malawi-only'!L172)</f>
        <v>126422198665.75043</v>
      </c>
      <c r="Z172" s="284">
        <f>(Q172+'Malawi-only'!Q172)</f>
        <v>7136164592.8576555</v>
      </c>
    </row>
    <row r="173" spans="1:26" ht="15.75" customHeight="1">
      <c r="A173" s="31" t="s">
        <v>206</v>
      </c>
      <c r="B173" s="32">
        <v>2189</v>
      </c>
      <c r="C173" s="334">
        <f t="shared" si="11"/>
        <v>2.5131746541520575E-12</v>
      </c>
      <c r="D173" s="334">
        <f t="shared" si="20"/>
        <v>2.5131746541520575E-12</v>
      </c>
      <c r="E173" s="34">
        <f t="shared" si="1"/>
        <v>0</v>
      </c>
      <c r="F173" s="42">
        <v>4000</v>
      </c>
      <c r="G173" s="34">
        <f t="shared" si="2"/>
        <v>10.052698616608231</v>
      </c>
      <c r="H173" s="34">
        <f t="shared" si="3"/>
        <v>10.00243512352519</v>
      </c>
      <c r="I173" s="35">
        <f t="shared" si="21"/>
        <v>1</v>
      </c>
      <c r="J173" s="36">
        <f t="shared" si="4"/>
        <v>10.00243512352519</v>
      </c>
      <c r="K173" s="34">
        <f t="shared" si="14"/>
        <v>457777688.96769327</v>
      </c>
      <c r="L173" s="37">
        <f t="shared" si="22"/>
        <v>841577591.38803446</v>
      </c>
      <c r="M173" s="34">
        <f t="shared" si="5"/>
        <v>53019388.25744617</v>
      </c>
      <c r="N173" s="34">
        <f t="shared" si="6"/>
        <v>0</v>
      </c>
      <c r="O173" s="34">
        <f t="shared" si="7"/>
        <v>53019388.25744617</v>
      </c>
      <c r="P173" s="34">
        <f t="shared" si="25"/>
        <v>5301938.8257446177</v>
      </c>
      <c r="Q173" s="38">
        <f t="shared" si="8"/>
        <v>47478862.184543051</v>
      </c>
      <c r="R173" s="39">
        <f t="shared" si="16"/>
        <v>4720522.0040729707</v>
      </c>
      <c r="S173" s="34">
        <f t="shared" si="17"/>
        <v>42484698.036656737</v>
      </c>
      <c r="T173" s="40">
        <f t="shared" si="24"/>
        <v>9312860293.3235245</v>
      </c>
      <c r="U173" s="272">
        <f t="shared" si="9"/>
        <v>2.145751974709861E-6</v>
      </c>
      <c r="V173" s="282">
        <f t="shared" si="10"/>
        <v>177.16938635607653</v>
      </c>
      <c r="W173" s="283">
        <f>((S173+'Malawi-only'!S173)/(T173*(U173+'Malawi-only'!U173))/12)</f>
        <v>11.951334779959334</v>
      </c>
      <c r="X173" s="284">
        <f>(R173+'Malawi-only'!R173)</f>
        <v>3569759255.4364996</v>
      </c>
      <c r="Y173" s="284">
        <f>(L173+'Malawi-only'!L173)</f>
        <v>127155482337.57553</v>
      </c>
      <c r="Z173" s="284">
        <f>(Q173+'Malawi-only'!Q173)</f>
        <v>7177556329.0493956</v>
      </c>
    </row>
    <row r="174" spans="1:26" ht="15.75" customHeight="1">
      <c r="A174" s="31" t="s">
        <v>207</v>
      </c>
      <c r="B174" s="32">
        <v>2190</v>
      </c>
      <c r="C174" s="334">
        <f t="shared" si="11"/>
        <v>2.2618571887368517E-12</v>
      </c>
      <c r="D174" s="334">
        <f t="shared" si="20"/>
        <v>2.2618571887368517E-12</v>
      </c>
      <c r="E174" s="34">
        <f t="shared" si="1"/>
        <v>0</v>
      </c>
      <c r="F174" s="42">
        <v>4000</v>
      </c>
      <c r="G174" s="34">
        <f t="shared" si="2"/>
        <v>9.0474287549474077</v>
      </c>
      <c r="H174" s="34">
        <f t="shared" si="3"/>
        <v>9.0021916111726714</v>
      </c>
      <c r="I174" s="35">
        <f t="shared" si="21"/>
        <v>1</v>
      </c>
      <c r="J174" s="36">
        <f t="shared" si="4"/>
        <v>9.0021916111726714</v>
      </c>
      <c r="K174" s="34">
        <f t="shared" si="14"/>
        <v>457777697.96988487</v>
      </c>
      <c r="L174" s="37">
        <f t="shared" si="22"/>
        <v>846456099.44636285</v>
      </c>
      <c r="M174" s="34">
        <f t="shared" si="5"/>
        <v>53326734.265120856</v>
      </c>
      <c r="N174" s="34">
        <f t="shared" si="6"/>
        <v>0</v>
      </c>
      <c r="O174" s="34">
        <f t="shared" si="7"/>
        <v>53326734.265120856</v>
      </c>
      <c r="P174" s="34">
        <f t="shared" si="25"/>
        <v>5332673.4265120858</v>
      </c>
      <c r="Q174" s="38">
        <f t="shared" si="8"/>
        <v>47754090.534415729</v>
      </c>
      <c r="R174" s="39">
        <f t="shared" si="16"/>
        <v>4747886.2184543051</v>
      </c>
      <c r="S174" s="34">
        <f t="shared" si="17"/>
        <v>42730975.966088742</v>
      </c>
      <c r="T174" s="40">
        <f t="shared" si="24"/>
        <v>9303547433.0302029</v>
      </c>
      <c r="U174" s="272">
        <f t="shared" si="9"/>
        <v>2.145751974709861E-6</v>
      </c>
      <c r="V174" s="282">
        <f t="shared" si="10"/>
        <v>178.37478761785849</v>
      </c>
      <c r="W174" s="283">
        <f>((S174+'Malawi-only'!S174)/(T174*(U174+'Malawi-only'!U174))/12)</f>
        <v>12.032688299224668</v>
      </c>
      <c r="X174" s="284">
        <f>(R174+'Malawi-only'!R174)</f>
        <v>3590464910.11514</v>
      </c>
      <c r="Y174" s="284">
        <f>(L174+'Malawi-only'!L174)</f>
        <v>127893019091.0497</v>
      </c>
      <c r="Z174" s="284">
        <f>(Q174+'Malawi-only'!Q174)</f>
        <v>7219188138.3277874</v>
      </c>
    </row>
    <row r="175" spans="1:26" ht="15.75" customHeight="1">
      <c r="A175" s="31" t="s">
        <v>208</v>
      </c>
      <c r="B175" s="32">
        <v>2191</v>
      </c>
      <c r="C175" s="334">
        <f t="shared" si="11"/>
        <v>2.0356714698631668E-12</v>
      </c>
      <c r="D175" s="334">
        <f t="shared" si="20"/>
        <v>2.0356714698631668E-12</v>
      </c>
      <c r="E175" s="34">
        <f t="shared" si="1"/>
        <v>0</v>
      </c>
      <c r="F175" s="42">
        <v>4000</v>
      </c>
      <c r="G175" s="34">
        <f t="shared" si="2"/>
        <v>8.1426858794526673</v>
      </c>
      <c r="H175" s="34">
        <f t="shared" si="3"/>
        <v>8.1019724500554045</v>
      </c>
      <c r="I175" s="35">
        <f t="shared" si="21"/>
        <v>1</v>
      </c>
      <c r="J175" s="36">
        <f t="shared" si="4"/>
        <v>8.1019724500554045</v>
      </c>
      <c r="K175" s="34">
        <f t="shared" si="14"/>
        <v>457777706.07185733</v>
      </c>
      <c r="L175" s="37">
        <f t="shared" si="22"/>
        <v>851362886.58436</v>
      </c>
      <c r="M175" s="34">
        <f t="shared" si="5"/>
        <v>53635861.854814678</v>
      </c>
      <c r="N175" s="34">
        <f t="shared" si="6"/>
        <v>0</v>
      </c>
      <c r="O175" s="34">
        <f t="shared" si="7"/>
        <v>53635861.854814678</v>
      </c>
      <c r="P175" s="34">
        <f t="shared" si="25"/>
        <v>5363586.1854814682</v>
      </c>
      <c r="Q175" s="38">
        <f t="shared" si="8"/>
        <v>48030914.290986545</v>
      </c>
      <c r="R175" s="39">
        <f t="shared" si="16"/>
        <v>4775409.0534415729</v>
      </c>
      <c r="S175" s="34">
        <f t="shared" si="17"/>
        <v>42978681.480974153</v>
      </c>
      <c r="T175" s="40">
        <f t="shared" si="24"/>
        <v>9294243885.5971737</v>
      </c>
      <c r="U175" s="272">
        <f t="shared" si="9"/>
        <v>2.145751974709861E-6</v>
      </c>
      <c r="V175" s="282">
        <f t="shared" si="10"/>
        <v>179.58838980234972</v>
      </c>
      <c r="W175" s="283">
        <f>((S175+'Malawi-only'!S175)/(T175*(U175+'Malawi-only'!U175))/12)</f>
        <v>12.114595581489967</v>
      </c>
      <c r="X175" s="284">
        <f>(R175+'Malawi-only'!R175)</f>
        <v>3611290658.9931326</v>
      </c>
      <c r="Y175" s="284">
        <f>(L175+'Malawi-only'!L175)</f>
        <v>128634833610.8774</v>
      </c>
      <c r="Z175" s="284">
        <f>(Q175+'Malawi-only'!Q175)</f>
        <v>7261061414.1703691</v>
      </c>
    </row>
    <row r="176" spans="1:26" ht="15.75" customHeight="1">
      <c r="A176" s="31" t="s">
        <v>209</v>
      </c>
      <c r="B176" s="32">
        <v>2192</v>
      </c>
      <c r="C176" s="334">
        <f t="shared" si="11"/>
        <v>1.8321043228768502E-12</v>
      </c>
      <c r="D176" s="334">
        <f t="shared" si="20"/>
        <v>1.8321043228768502E-12</v>
      </c>
      <c r="E176" s="34">
        <f t="shared" si="1"/>
        <v>0</v>
      </c>
      <c r="F176" s="42">
        <v>4000</v>
      </c>
      <c r="G176" s="34">
        <f t="shared" si="2"/>
        <v>7.3284172915074004</v>
      </c>
      <c r="H176" s="34">
        <f t="shared" si="3"/>
        <v>7.2917752050498637</v>
      </c>
      <c r="I176" s="35">
        <f t="shared" si="21"/>
        <v>1</v>
      </c>
      <c r="J176" s="36">
        <f t="shared" si="4"/>
        <v>7.2917752050498637</v>
      </c>
      <c r="K176" s="34">
        <f t="shared" si="14"/>
        <v>457777713.36363256</v>
      </c>
      <c r="L176" s="37">
        <f t="shared" si="22"/>
        <v>856298116.82158589</v>
      </c>
      <c r="M176" s="34">
        <f t="shared" si="5"/>
        <v>53946781.359759912</v>
      </c>
      <c r="N176" s="34">
        <f t="shared" si="6"/>
        <v>0</v>
      </c>
      <c r="O176" s="34">
        <f t="shared" si="7"/>
        <v>53946781.359759912</v>
      </c>
      <c r="P176" s="34">
        <f t="shared" si="25"/>
        <v>5394678.1359759914</v>
      </c>
      <c r="Q176" s="38">
        <f t="shared" si="8"/>
        <v>48309342.707664996</v>
      </c>
      <c r="R176" s="39">
        <f t="shared" si="16"/>
        <v>4803091.4290986545</v>
      </c>
      <c r="S176" s="34">
        <f t="shared" si="17"/>
        <v>43227822.861887887</v>
      </c>
      <c r="T176" s="40">
        <f t="shared" si="24"/>
        <v>9284949641.7115784</v>
      </c>
      <c r="U176" s="272">
        <f t="shared" si="9"/>
        <v>2.145751974709861E-6</v>
      </c>
      <c r="V176" s="282">
        <f t="shared" si="10"/>
        <v>180.81024872659785</v>
      </c>
      <c r="W176" s="283">
        <f>((S176+'Malawi-only'!S176)/(T176*(U176+'Malawi-only'!U176))/12)</f>
        <v>12.197060397708972</v>
      </c>
      <c r="X176" s="284">
        <f>(R176+'Malawi-only'!R176)</f>
        <v>3632237199.0943584</v>
      </c>
      <c r="Y176" s="284">
        <f>(L176+'Malawi-only'!L176)</f>
        <v>129380950723.36998</v>
      </c>
      <c r="Z176" s="284">
        <f>(Q176+'Malawi-only'!Q176)</f>
        <v>7303177558.0381851</v>
      </c>
    </row>
    <row r="177" spans="1:26" ht="15.75" customHeight="1">
      <c r="A177" s="31" t="s">
        <v>210</v>
      </c>
      <c r="B177" s="32">
        <v>2193</v>
      </c>
      <c r="C177" s="334">
        <f t="shared" si="11"/>
        <v>1.6488938905891652E-12</v>
      </c>
      <c r="D177" s="334">
        <f t="shared" si="20"/>
        <v>1.6488938905891652E-12</v>
      </c>
      <c r="E177" s="34">
        <f t="shared" si="1"/>
        <v>0</v>
      </c>
      <c r="F177" s="42">
        <v>4000</v>
      </c>
      <c r="G177" s="34">
        <f t="shared" si="2"/>
        <v>6.595575562356661</v>
      </c>
      <c r="H177" s="34">
        <f t="shared" si="3"/>
        <v>6.5625976845448779</v>
      </c>
      <c r="I177" s="35">
        <f t="shared" si="21"/>
        <v>1</v>
      </c>
      <c r="J177" s="36">
        <f t="shared" si="4"/>
        <v>6.5625976845448779</v>
      </c>
      <c r="K177" s="34">
        <f t="shared" si="14"/>
        <v>457777719.92623025</v>
      </c>
      <c r="L177" s="37">
        <f t="shared" si="22"/>
        <v>861261955.11939943</v>
      </c>
      <c r="M177" s="34">
        <f t="shared" si="5"/>
        <v>54259503.172522165</v>
      </c>
      <c r="N177" s="34">
        <f t="shared" si="6"/>
        <v>0</v>
      </c>
      <c r="O177" s="34">
        <f t="shared" si="7"/>
        <v>54259503.172522165</v>
      </c>
      <c r="P177" s="34">
        <f t="shared" si="25"/>
        <v>5425950.3172522169</v>
      </c>
      <c r="Q177" s="38">
        <f t="shared" si="8"/>
        <v>48589385.090993598</v>
      </c>
      <c r="R177" s="39">
        <f t="shared" si="16"/>
        <v>4830934.2707664995</v>
      </c>
      <c r="S177" s="34">
        <f t="shared" si="17"/>
        <v>43478408.4368985</v>
      </c>
      <c r="T177" s="40">
        <f t="shared" si="24"/>
        <v>9275664692.0698681</v>
      </c>
      <c r="U177" s="272">
        <f t="shared" si="9"/>
        <v>2.145751974709861E-6</v>
      </c>
      <c r="V177" s="282">
        <f t="shared" si="10"/>
        <v>182.04042058534807</v>
      </c>
      <c r="W177" s="283">
        <f>((S177+'Malawi-only'!S177)/(T177*(U177+'Malawi-only'!U177))/12)</f>
        <v>12.280086544359875</v>
      </c>
      <c r="X177" s="284">
        <f>(R177+'Malawi-only'!R177)</f>
        <v>3653305231.4412684</v>
      </c>
      <c r="Y177" s="284">
        <f>(L177+'Malawi-only'!L177)</f>
        <v>130131395397.42424</v>
      </c>
      <c r="Z177" s="284">
        <f>(Q177+'Malawi-only'!Q177)</f>
        <v>7345537979.4319973</v>
      </c>
    </row>
    <row r="178" spans="1:26" ht="15.75" customHeight="1">
      <c r="A178" s="31" t="s">
        <v>211</v>
      </c>
      <c r="B178" s="32">
        <v>2194</v>
      </c>
      <c r="C178" s="334">
        <f t="shared" si="11"/>
        <v>1.4840045015302487E-12</v>
      </c>
      <c r="D178" s="334">
        <f t="shared" si="20"/>
        <v>1.4840045015302487E-12</v>
      </c>
      <c r="E178" s="34">
        <f t="shared" si="1"/>
        <v>0</v>
      </c>
      <c r="F178" s="42">
        <v>4000</v>
      </c>
      <c r="G178" s="34">
        <f t="shared" si="2"/>
        <v>5.9360180061209951</v>
      </c>
      <c r="H178" s="34">
        <f t="shared" si="3"/>
        <v>5.9063379160903899</v>
      </c>
      <c r="I178" s="35">
        <f t="shared" si="21"/>
        <v>1</v>
      </c>
      <c r="J178" s="36">
        <f t="shared" si="4"/>
        <v>5.9063379160903899</v>
      </c>
      <c r="K178" s="34">
        <f t="shared" si="14"/>
        <v>457777725.83256817</v>
      </c>
      <c r="L178" s="37">
        <f t="shared" si="22"/>
        <v>866254567.38731802</v>
      </c>
      <c r="M178" s="34">
        <f t="shared" si="5"/>
        <v>54574037.745401032</v>
      </c>
      <c r="N178" s="34">
        <f t="shared" si="6"/>
        <v>0</v>
      </c>
      <c r="O178" s="34">
        <f t="shared" si="7"/>
        <v>54574037.745401032</v>
      </c>
      <c r="P178" s="34">
        <f t="shared" si="25"/>
        <v>5457403.774540104</v>
      </c>
      <c r="Q178" s="38">
        <f t="shared" si="8"/>
        <v>48871050.801006623</v>
      </c>
      <c r="R178" s="39">
        <f t="shared" si="16"/>
        <v>4858938.5090993596</v>
      </c>
      <c r="S178" s="34">
        <f t="shared" si="17"/>
        <v>43730446.581894241</v>
      </c>
      <c r="T178" s="40">
        <f t="shared" si="24"/>
        <v>9266389027.3778</v>
      </c>
      <c r="U178" s="272">
        <f t="shared" si="9"/>
        <v>2.145751974709861E-6</v>
      </c>
      <c r="V178" s="282">
        <f t="shared" si="10"/>
        <v>183.27896195381709</v>
      </c>
      <c r="W178" s="283">
        <f>((S178+'Malawi-only'!S178)/(T178*(U178+'Malawi-only'!U178))/12)</f>
        <v>12.363677843633383</v>
      </c>
      <c r="X178" s="284">
        <f>(R178+'Malawi-only'!R178)</f>
        <v>3674495461.0825114</v>
      </c>
      <c r="Y178" s="284">
        <f>(L178+'Malawi-only'!L178)</f>
        <v>130886192745.49066</v>
      </c>
      <c r="Z178" s="284">
        <f>(Q178+'Malawi-only'!Q178)</f>
        <v>7388144095.9478302</v>
      </c>
    </row>
    <row r="179" spans="1:26" ht="15.75" customHeight="1">
      <c r="A179" s="31" t="s">
        <v>212</v>
      </c>
      <c r="B179" s="32">
        <v>2195</v>
      </c>
      <c r="C179" s="334">
        <f t="shared" si="11"/>
        <v>1.3356040513772238E-12</v>
      </c>
      <c r="D179" s="334">
        <f t="shared" si="20"/>
        <v>1.3356040513772238E-12</v>
      </c>
      <c r="E179" s="34">
        <f t="shared" si="1"/>
        <v>0</v>
      </c>
      <c r="F179" s="42">
        <v>4000</v>
      </c>
      <c r="G179" s="34">
        <f t="shared" si="2"/>
        <v>5.3424162055088953</v>
      </c>
      <c r="H179" s="34">
        <f t="shared" si="3"/>
        <v>5.3157041244813508</v>
      </c>
      <c r="I179" s="35">
        <f t="shared" si="21"/>
        <v>1</v>
      </c>
      <c r="J179" s="36">
        <f t="shared" si="4"/>
        <v>5.3157041244813508</v>
      </c>
      <c r="K179" s="34">
        <f t="shared" si="14"/>
        <v>457777731.14827228</v>
      </c>
      <c r="L179" s="37">
        <f t="shared" si="22"/>
        <v>871276120.4893235</v>
      </c>
      <c r="M179" s="34">
        <f t="shared" si="5"/>
        <v>54890395.590827383</v>
      </c>
      <c r="N179" s="34">
        <f t="shared" si="6"/>
        <v>0</v>
      </c>
      <c r="O179" s="34">
        <f t="shared" si="7"/>
        <v>54890395.590827383</v>
      </c>
      <c r="P179" s="34">
        <f t="shared" si="25"/>
        <v>5489039.5590827391</v>
      </c>
      <c r="Q179" s="38">
        <f t="shared" si="8"/>
        <v>49154349.251585923</v>
      </c>
      <c r="R179" s="39">
        <f t="shared" si="16"/>
        <v>4887105.0801006621</v>
      </c>
      <c r="S179" s="34">
        <f t="shared" si="17"/>
        <v>43983945.72090596</v>
      </c>
      <c r="T179" s="40">
        <f t="shared" si="24"/>
        <v>9257122638.3504238</v>
      </c>
      <c r="U179" s="272">
        <f t="shared" si="9"/>
        <v>2.145751974709861E-6</v>
      </c>
      <c r="V179" s="282">
        <f t="shared" si="10"/>
        <v>184.52592979046634</v>
      </c>
      <c r="W179" s="283">
        <f>((S179+'Malawi-only'!S179)/(T179*(U179+'Malawi-only'!U179))/12)</f>
        <v>12.44783814362067</v>
      </c>
      <c r="X179" s="284">
        <f>(R179+'Malawi-only'!R179)</f>
        <v>3695808597.1202822</v>
      </c>
      <c r="Y179" s="284">
        <f>(L179+'Malawi-only'!L179)</f>
        <v>131645368024.53343</v>
      </c>
      <c r="Z179" s="284">
        <f>(Q179+'Malawi-only'!Q179)</f>
        <v>7430997333.3319492</v>
      </c>
    </row>
    <row r="180" spans="1:26" ht="15.75" customHeight="1">
      <c r="A180" s="31" t="s">
        <v>213</v>
      </c>
      <c r="B180" s="32">
        <v>2196</v>
      </c>
      <c r="C180" s="334">
        <f t="shared" si="11"/>
        <v>1.2020436462395015E-12</v>
      </c>
      <c r="D180" s="334">
        <f t="shared" si="20"/>
        <v>1.2020436462395015E-12</v>
      </c>
      <c r="E180" s="34">
        <f t="shared" si="1"/>
        <v>0</v>
      </c>
      <c r="F180" s="42">
        <v>4000</v>
      </c>
      <c r="G180" s="34">
        <f t="shared" si="2"/>
        <v>4.8081745849580058</v>
      </c>
      <c r="H180" s="34">
        <f t="shared" si="3"/>
        <v>4.7841337120332161</v>
      </c>
      <c r="I180" s="35">
        <f t="shared" si="21"/>
        <v>1</v>
      </c>
      <c r="J180" s="36">
        <f t="shared" si="4"/>
        <v>4.7841337120332161</v>
      </c>
      <c r="K180" s="34">
        <f t="shared" si="14"/>
        <v>457777735.93240601</v>
      </c>
      <c r="L180" s="37">
        <f t="shared" si="22"/>
        <v>876326782.25012374</v>
      </c>
      <c r="M180" s="34">
        <f t="shared" si="5"/>
        <v>55208587.281757794</v>
      </c>
      <c r="N180" s="34">
        <f t="shared" si="6"/>
        <v>0</v>
      </c>
      <c r="O180" s="34">
        <f t="shared" si="7"/>
        <v>55208587.281757794</v>
      </c>
      <c r="P180" s="34">
        <f t="shared" si="25"/>
        <v>5520858.7281757798</v>
      </c>
      <c r="Q180" s="38">
        <f t="shared" si="8"/>
        <v>49439289.910814099</v>
      </c>
      <c r="R180" s="39">
        <f t="shared" si="16"/>
        <v>4915434.9251585929</v>
      </c>
      <c r="S180" s="34">
        <f t="shared" si="17"/>
        <v>44238914.326427333</v>
      </c>
      <c r="T180" s="40">
        <f t="shared" si="24"/>
        <v>9247865515.7120743</v>
      </c>
      <c r="U180" s="272">
        <f t="shared" si="9"/>
        <v>2.145751974709861E-6</v>
      </c>
      <c r="V180" s="282">
        <f t="shared" si="10"/>
        <v>185.78138143977492</v>
      </c>
      <c r="W180" s="283">
        <f>((S180+'Malawi-only'!S180)/(T180*(U180+'Malawi-only'!U180))/12)</f>
        <v>12.53257131850131</v>
      </c>
      <c r="X180" s="284">
        <f>(R180+'Malawi-only'!R180)</f>
        <v>3717245352.7374249</v>
      </c>
      <c r="Y180" s="284">
        <f>(L180+'Malawi-only'!L180)</f>
        <v>132408946636.98312</v>
      </c>
      <c r="Z180" s="284">
        <f>(Q180+'Malawi-only'!Q180)</f>
        <v>7474099125.535347</v>
      </c>
    </row>
    <row r="181" spans="1:26" ht="15.75" customHeight="1">
      <c r="A181" s="31" t="s">
        <v>214</v>
      </c>
      <c r="B181" s="32">
        <v>2197</v>
      </c>
      <c r="C181" s="334">
        <f t="shared" si="11"/>
        <v>1.0818392816155514E-12</v>
      </c>
      <c r="D181" s="334">
        <f t="shared" si="20"/>
        <v>1.0818392816155514E-12</v>
      </c>
      <c r="E181" s="34">
        <f t="shared" si="1"/>
        <v>0</v>
      </c>
      <c r="F181" s="42">
        <v>4000</v>
      </c>
      <c r="G181" s="34">
        <f t="shared" si="2"/>
        <v>4.3273571264622053</v>
      </c>
      <c r="H181" s="34">
        <f t="shared" si="3"/>
        <v>4.3057203408298941</v>
      </c>
      <c r="I181" s="35">
        <f t="shared" si="21"/>
        <v>1</v>
      </c>
      <c r="J181" s="36">
        <f t="shared" si="4"/>
        <v>4.3057203408298941</v>
      </c>
      <c r="K181" s="34">
        <f t="shared" si="14"/>
        <v>457777740.23812634</v>
      </c>
      <c r="L181" s="37">
        <f t="shared" si="22"/>
        <v>881406721.46137786</v>
      </c>
      <c r="M181" s="34">
        <f t="shared" si="5"/>
        <v>55528623.452066809</v>
      </c>
      <c r="N181" s="34">
        <f t="shared" si="6"/>
        <v>0</v>
      </c>
      <c r="O181" s="34">
        <f t="shared" si="7"/>
        <v>55528623.452066809</v>
      </c>
      <c r="P181" s="34">
        <f t="shared" si="25"/>
        <v>5552862.3452066816</v>
      </c>
      <c r="Q181" s="38">
        <f t="shared" si="8"/>
        <v>49725882.301325828</v>
      </c>
      <c r="R181" s="39">
        <f t="shared" si="16"/>
        <v>4943928.9910814101</v>
      </c>
      <c r="S181" s="34">
        <f t="shared" si="17"/>
        <v>44495360.91973269</v>
      </c>
      <c r="T181" s="40">
        <f t="shared" si="24"/>
        <v>9238617650.1963634</v>
      </c>
      <c r="U181" s="272">
        <f t="shared" si="9"/>
        <v>2.145751974709861E-6</v>
      </c>
      <c r="V181" s="282">
        <f t="shared" si="10"/>
        <v>187.04537463501529</v>
      </c>
      <c r="W181" s="283">
        <f>((S181+'Malawi-only'!S181)/(T181*(U181+'Malawi-only'!U181))/12)</f>
        <v>12.617881268731333</v>
      </c>
      <c r="X181" s="284">
        <f>(R181+'Malawi-only'!R181)</f>
        <v>3738806445.2243361</v>
      </c>
      <c r="Y181" s="284">
        <f>(L181+'Malawi-only'!L181)</f>
        <v>133176954131.6835</v>
      </c>
      <c r="Z181" s="284">
        <f>(Q181+'Malawi-only'!Q181)</f>
        <v>7517450914.7678356</v>
      </c>
    </row>
    <row r="182" spans="1:26" ht="15.75" customHeight="1">
      <c r="A182" s="31" t="s">
        <v>215</v>
      </c>
      <c r="B182" s="32">
        <v>2198</v>
      </c>
      <c r="C182" s="334">
        <f t="shared" si="11"/>
        <v>9.736553534539963E-13</v>
      </c>
      <c r="D182" s="334">
        <f t="shared" si="20"/>
        <v>9.736553534539963E-13</v>
      </c>
      <c r="E182" s="34">
        <f t="shared" si="1"/>
        <v>0</v>
      </c>
      <c r="F182" s="42">
        <v>4000</v>
      </c>
      <c r="G182" s="34">
        <f t="shared" si="2"/>
        <v>3.8946214138159854</v>
      </c>
      <c r="H182" s="34">
        <f t="shared" si="3"/>
        <v>3.8751483067469055</v>
      </c>
      <c r="I182" s="35">
        <f t="shared" si="21"/>
        <v>1</v>
      </c>
      <c r="J182" s="36">
        <f t="shared" si="4"/>
        <v>3.8751483067469055</v>
      </c>
      <c r="K182" s="34">
        <f t="shared" si="14"/>
        <v>457777744.11327463</v>
      </c>
      <c r="L182" s="37">
        <f t="shared" si="22"/>
        <v>886516107.88789213</v>
      </c>
      <c r="M182" s="34">
        <f t="shared" si="5"/>
        <v>55850514.796937205</v>
      </c>
      <c r="N182" s="34">
        <f t="shared" si="6"/>
        <v>0</v>
      </c>
      <c r="O182" s="34">
        <f t="shared" si="7"/>
        <v>55850514.796937205</v>
      </c>
      <c r="P182" s="34">
        <f t="shared" si="25"/>
        <v>5585051.479693721</v>
      </c>
      <c r="Q182" s="38">
        <f t="shared" si="8"/>
        <v>50014136.000657268</v>
      </c>
      <c r="R182" s="39">
        <f t="shared" si="16"/>
        <v>4972588.2301325826</v>
      </c>
      <c r="S182" s="34">
        <f t="shared" si="17"/>
        <v>44753294.071193248</v>
      </c>
      <c r="T182" s="40">
        <f t="shared" si="24"/>
        <v>9229379032.5461674</v>
      </c>
      <c r="U182" s="272">
        <f t="shared" si="9"/>
        <v>2.145751974709861E-6</v>
      </c>
      <c r="V182" s="282">
        <f t="shared" si="10"/>
        <v>188.31796750103351</v>
      </c>
      <c r="W182" s="283">
        <f>((S182+'Malawi-only'!S182)/(T182*(U182+'Malawi-only'!U182))/12)</f>
        <v>12.703771921231549</v>
      </c>
      <c r="X182" s="284">
        <f>(R182+'Malawi-only'!R182)</f>
        <v>3760492596.0057015</v>
      </c>
      <c r="Y182" s="284">
        <f>(L182+'Malawi-only'!L182)</f>
        <v>133949416204.83354</v>
      </c>
      <c r="Z182" s="284">
        <f>(Q182+'Malawi-only'!Q182)</f>
        <v>7561054151.551795</v>
      </c>
    </row>
    <row r="183" spans="1:26" ht="15.75" customHeight="1">
      <c r="A183" s="31" t="s">
        <v>216</v>
      </c>
      <c r="B183" s="32">
        <v>2199</v>
      </c>
      <c r="C183" s="334">
        <f t="shared" si="11"/>
        <v>8.7628981810859665E-13</v>
      </c>
      <c r="D183" s="334">
        <f t="shared" si="20"/>
        <v>8.7628981810859665E-13</v>
      </c>
      <c r="E183" s="34">
        <f t="shared" si="1"/>
        <v>0</v>
      </c>
      <c r="F183" s="42">
        <v>4000</v>
      </c>
      <c r="G183" s="34">
        <f t="shared" si="2"/>
        <v>3.5051592724343865</v>
      </c>
      <c r="H183" s="34">
        <f t="shared" si="3"/>
        <v>3.4876334760722147</v>
      </c>
      <c r="I183" s="35">
        <f t="shared" si="21"/>
        <v>1</v>
      </c>
      <c r="J183" s="36">
        <f t="shared" si="4"/>
        <v>3.4876334760722147</v>
      </c>
      <c r="K183" s="34">
        <f t="shared" si="14"/>
        <v>457777747.6009081</v>
      </c>
      <c r="L183" s="37">
        <f t="shared" si="22"/>
        <v>891655112.27379179</v>
      </c>
      <c r="M183" s="34">
        <f t="shared" si="5"/>
        <v>56174272.073248886</v>
      </c>
      <c r="N183" s="34">
        <f t="shared" si="6"/>
        <v>0</v>
      </c>
      <c r="O183" s="34">
        <f t="shared" si="7"/>
        <v>56174272.073248886</v>
      </c>
      <c r="P183" s="34">
        <f t="shared" si="25"/>
        <v>5617427.2073248886</v>
      </c>
      <c r="Q183" s="38">
        <f t="shared" si="8"/>
        <v>50304060.64159438</v>
      </c>
      <c r="R183" s="39">
        <f t="shared" si="16"/>
        <v>5001413.6000657268</v>
      </c>
      <c r="S183" s="34">
        <f t="shared" si="17"/>
        <v>45012722.400591537</v>
      </c>
      <c r="T183" s="40">
        <f t="shared" si="24"/>
        <v>9220149653.5136223</v>
      </c>
      <c r="U183" s="272">
        <f t="shared" si="9"/>
        <v>2.145751974709861E-6</v>
      </c>
      <c r="V183" s="282">
        <f t="shared" si="10"/>
        <v>189.59921855703422</v>
      </c>
      <c r="W183" s="283">
        <f>((S183+'Malawi-only'!S183)/(T183*(U183+'Malawi-only'!U183))/12)</f>
        <v>12.790247229576197</v>
      </c>
      <c r="X183" s="284">
        <f>(R183+'Malawi-only'!R183)</f>
        <v>3782304530.6670957</v>
      </c>
      <c r="Y183" s="284">
        <f>(L183+'Malawi-only'!L183)</f>
        <v>134726358700.9256</v>
      </c>
      <c r="Z183" s="284">
        <f>(Q183+'Malawi-only'!Q183)</f>
        <v>7604910294.7756538</v>
      </c>
    </row>
    <row r="184" spans="1:26" ht="15.75" customHeight="1">
      <c r="A184" s="47" t="s">
        <v>217</v>
      </c>
      <c r="B184" s="48">
        <v>2200</v>
      </c>
      <c r="C184" s="335">
        <f t="shared" si="11"/>
        <v>7.8866083629773698E-13</v>
      </c>
      <c r="D184" s="334">
        <f t="shared" si="20"/>
        <v>7.8866083629773698E-13</v>
      </c>
      <c r="E184" s="34">
        <f t="shared" si="1"/>
        <v>0</v>
      </c>
      <c r="F184" s="42">
        <v>4000</v>
      </c>
      <c r="G184" s="34">
        <f t="shared" si="2"/>
        <v>3.1546433451909479</v>
      </c>
      <c r="H184" s="50">
        <f t="shared" si="3"/>
        <v>3.1388701284649931</v>
      </c>
      <c r="I184" s="51">
        <f t="shared" si="21"/>
        <v>1</v>
      </c>
      <c r="J184" s="36">
        <f t="shared" si="4"/>
        <v>3.1388701284649931</v>
      </c>
      <c r="K184" s="50">
        <f t="shared" si="14"/>
        <v>457777750.73977822</v>
      </c>
      <c r="L184" s="37">
        <f t="shared" si="22"/>
        <v>896823906.3486768</v>
      </c>
      <c r="M184" s="34">
        <f t="shared" si="5"/>
        <v>56499906.099966638</v>
      </c>
      <c r="N184" s="34">
        <f t="shared" si="6"/>
        <v>0</v>
      </c>
      <c r="O184" s="50">
        <f t="shared" si="7"/>
        <v>56499906.099966638</v>
      </c>
      <c r="P184" s="34">
        <f t="shared" si="25"/>
        <v>5649990.6099966643</v>
      </c>
      <c r="Q184" s="38">
        <f t="shared" si="8"/>
        <v>50595665.912520126</v>
      </c>
      <c r="R184" s="39">
        <f t="shared" si="16"/>
        <v>5030406.064159438</v>
      </c>
      <c r="S184" s="34">
        <f t="shared" si="17"/>
        <v>45273654.577434942</v>
      </c>
      <c r="T184" s="40">
        <f t="shared" si="24"/>
        <v>9210929503.8601093</v>
      </c>
      <c r="U184" s="285">
        <f t="shared" si="9"/>
        <v>2.145751974709861E-6</v>
      </c>
      <c r="V184" s="282">
        <f t="shared" si="10"/>
        <v>190.88918671937324</v>
      </c>
      <c r="W184" s="283">
        <f>((S184+'Malawi-only'!S184)/(T184*(U184+'Malawi-only'!U184))/12)</f>
        <v>12.87731117418204</v>
      </c>
      <c r="X184" s="284">
        <f>(R184+'Malawi-only'!R184)</f>
        <v>3804242978.9814739</v>
      </c>
      <c r="Y184" s="284">
        <f>(L184+'Malawi-only'!L184)</f>
        <v>135507807613.68069</v>
      </c>
      <c r="Z184" s="284">
        <f>(Q184+'Malawi-only'!Q184)</f>
        <v>7649020811.7471495</v>
      </c>
    </row>
    <row r="185" spans="1:26" ht="15.75" customHeight="1">
      <c r="A185" s="4"/>
      <c r="B185" s="4"/>
      <c r="C185" s="336"/>
      <c r="D185" s="336"/>
      <c r="E185" s="4"/>
      <c r="F185" s="4"/>
      <c r="G185" s="4"/>
      <c r="H185" s="4"/>
      <c r="I185" s="4"/>
      <c r="J185" s="4"/>
      <c r="K185" s="4"/>
      <c r="L185" s="4"/>
      <c r="M185" s="4"/>
      <c r="N185" s="4"/>
      <c r="O185" s="4"/>
      <c r="P185" s="4"/>
      <c r="Q185" s="4"/>
      <c r="R185" s="4"/>
      <c r="S185" s="4"/>
      <c r="T185" s="53"/>
      <c r="U185" s="286"/>
      <c r="V185" s="4"/>
      <c r="W185" s="4"/>
      <c r="X185" s="4"/>
      <c r="Y185" s="4"/>
      <c r="Z185" s="4"/>
    </row>
    <row r="186" spans="1:26" ht="15.75" customHeight="1">
      <c r="A186" s="54" t="s">
        <v>218</v>
      </c>
      <c r="B186" s="55"/>
      <c r="C186" s="337">
        <f>SUM(C9:C184)</f>
        <v>8.0251123144354055E-4</v>
      </c>
      <c r="D186" s="338"/>
      <c r="E186" s="57"/>
      <c r="F186" s="57" t="s">
        <v>219</v>
      </c>
      <c r="G186" s="58">
        <f>SUM(G8:G184)</f>
        <v>872386882.45162344</v>
      </c>
      <c r="H186" s="59"/>
      <c r="I186" s="59"/>
      <c r="J186" s="59"/>
      <c r="K186" s="59"/>
      <c r="L186" s="59"/>
      <c r="M186" s="59"/>
      <c r="P186" s="64" t="s">
        <v>221</v>
      </c>
      <c r="Q186" s="65">
        <f>SUM(Q8:Q184)</f>
        <v>5676564783.9079618</v>
      </c>
      <c r="R186" s="59"/>
      <c r="S186" s="59"/>
      <c r="T186" s="66"/>
      <c r="U186" s="287"/>
      <c r="V186" s="59"/>
      <c r="W186" s="59"/>
      <c r="X186" s="59"/>
      <c r="Y186" s="59"/>
      <c r="Z186" s="59"/>
    </row>
    <row r="187" spans="1:26" ht="15.75" customHeight="1">
      <c r="A187" s="4"/>
      <c r="B187" s="4"/>
      <c r="C187" s="336"/>
      <c r="D187" s="336"/>
      <c r="E187" s="4"/>
      <c r="F187" s="4"/>
      <c r="G187" s="4"/>
      <c r="H187" s="4"/>
      <c r="I187" s="4"/>
      <c r="J187" s="4"/>
      <c r="K187" s="4"/>
      <c r="L187" s="4"/>
      <c r="M187" s="4"/>
      <c r="N187" s="4"/>
      <c r="O187" s="4"/>
      <c r="P187" s="4"/>
      <c r="Q187" s="4"/>
      <c r="R187" s="4"/>
      <c r="S187" s="4"/>
      <c r="T187" s="53"/>
      <c r="U187" s="286"/>
      <c r="V187" s="4"/>
      <c r="W187" s="4"/>
      <c r="X187" s="4"/>
      <c r="Y187" s="4"/>
      <c r="Z187" s="4"/>
    </row>
    <row r="188" spans="1:26" ht="15.75" customHeight="1">
      <c r="A188" s="4"/>
      <c r="B188" s="4"/>
      <c r="C188" s="336"/>
      <c r="D188" s="336"/>
      <c r="E188" s="4"/>
      <c r="F188" s="4"/>
      <c r="G188" s="4"/>
      <c r="H188" s="4"/>
      <c r="I188" s="4"/>
      <c r="J188" s="4"/>
      <c r="K188" s="4"/>
      <c r="L188" s="4"/>
      <c r="M188" s="4"/>
      <c r="N188" s="4"/>
      <c r="O188" s="4"/>
      <c r="P188" s="4"/>
      <c r="Q188" s="4"/>
      <c r="R188" s="4"/>
      <c r="S188" s="4"/>
      <c r="T188" s="53"/>
      <c r="U188" s="286"/>
      <c r="V188" s="4"/>
      <c r="W188" s="4"/>
      <c r="X188" s="4"/>
      <c r="Y188" s="4"/>
      <c r="Z188" s="4"/>
    </row>
    <row r="189" spans="1:26" ht="15.75" customHeight="1">
      <c r="A189" s="4"/>
      <c r="B189" s="4"/>
      <c r="C189" s="336"/>
      <c r="D189" s="336"/>
      <c r="E189" s="4"/>
      <c r="F189" s="4"/>
      <c r="G189" s="4"/>
      <c r="H189" s="4"/>
      <c r="I189" s="4"/>
      <c r="J189" s="4"/>
      <c r="K189" s="4"/>
      <c r="L189" s="4"/>
      <c r="M189" s="4"/>
      <c r="N189" s="4"/>
      <c r="O189" s="4"/>
      <c r="P189" s="4"/>
      <c r="Q189" s="4"/>
      <c r="R189" s="4"/>
      <c r="S189" s="4"/>
      <c r="T189" s="53"/>
      <c r="U189" s="286"/>
      <c r="V189" s="4"/>
      <c r="W189" s="4"/>
      <c r="X189" s="4"/>
      <c r="Y189" s="4"/>
      <c r="Z189" s="4"/>
    </row>
    <row r="190" spans="1:26" ht="15.75" customHeight="1">
      <c r="A190" s="4"/>
      <c r="B190" s="4"/>
      <c r="C190" s="336"/>
      <c r="D190" s="336"/>
      <c r="E190" s="4"/>
      <c r="F190" s="4"/>
      <c r="G190" s="4"/>
      <c r="H190" s="4"/>
      <c r="I190" s="4"/>
      <c r="J190" s="4"/>
      <c r="K190" s="4"/>
      <c r="L190" s="4"/>
      <c r="M190" s="4"/>
      <c r="N190" s="4"/>
      <c r="O190" s="4"/>
      <c r="P190" s="4"/>
      <c r="Q190" s="4"/>
      <c r="R190" s="4"/>
      <c r="S190" s="4"/>
      <c r="T190" s="53"/>
      <c r="U190" s="286"/>
      <c r="V190" s="4"/>
      <c r="W190" s="4"/>
      <c r="X190" s="4"/>
      <c r="Y190" s="4"/>
      <c r="Z190" s="4"/>
    </row>
    <row r="191" spans="1:26" ht="15.75" customHeight="1">
      <c r="A191" s="4"/>
      <c r="B191" s="4"/>
      <c r="C191" s="336"/>
      <c r="D191" s="336"/>
      <c r="E191" s="4"/>
      <c r="F191" s="4"/>
      <c r="G191" s="4"/>
      <c r="H191" s="4"/>
      <c r="I191" s="4"/>
      <c r="J191" s="4"/>
      <c r="K191" s="4"/>
      <c r="L191" s="4"/>
      <c r="M191" s="4"/>
      <c r="N191" s="4"/>
      <c r="O191" s="4"/>
      <c r="P191" s="4"/>
      <c r="Q191" s="4"/>
      <c r="R191" s="4"/>
      <c r="S191" s="4"/>
      <c r="T191" s="53"/>
      <c r="U191" s="286"/>
      <c r="V191" s="4"/>
      <c r="W191" s="4"/>
      <c r="X191" s="4"/>
      <c r="Y191" s="4"/>
      <c r="Z191" s="4"/>
    </row>
    <row r="192" spans="1:26" ht="15.75" customHeight="1">
      <c r="A192" s="4"/>
      <c r="B192" s="4"/>
      <c r="C192" s="336"/>
      <c r="D192" s="336"/>
      <c r="E192" s="4"/>
      <c r="F192" s="4"/>
      <c r="G192" s="4"/>
      <c r="H192" s="4"/>
      <c r="I192" s="4"/>
      <c r="J192" s="4"/>
      <c r="K192" s="4"/>
      <c r="L192" s="4"/>
      <c r="M192" s="4"/>
      <c r="N192" s="4"/>
      <c r="O192" s="4"/>
      <c r="P192" s="4"/>
      <c r="Q192" s="4"/>
      <c r="R192" s="4"/>
      <c r="S192" s="4"/>
      <c r="T192" s="53"/>
      <c r="U192" s="286"/>
      <c r="V192" s="4"/>
      <c r="W192" s="4"/>
      <c r="X192" s="4"/>
      <c r="Y192" s="4"/>
      <c r="Z192" s="4"/>
    </row>
    <row r="193" spans="1:26" ht="15.75" customHeight="1">
      <c r="A193" s="4"/>
      <c r="B193" s="4"/>
      <c r="C193" s="336"/>
      <c r="D193" s="336"/>
      <c r="E193" s="4"/>
      <c r="F193" s="4"/>
      <c r="G193" s="4"/>
      <c r="H193" s="4"/>
      <c r="I193" s="4"/>
      <c r="J193" s="4"/>
      <c r="K193" s="4"/>
      <c r="L193" s="4"/>
      <c r="M193" s="4"/>
      <c r="N193" s="4"/>
      <c r="O193" s="4"/>
      <c r="P193" s="4"/>
      <c r="Q193" s="4"/>
      <c r="R193" s="4"/>
      <c r="S193" s="4"/>
      <c r="T193" s="53"/>
      <c r="U193" s="286"/>
      <c r="V193" s="4"/>
      <c r="W193" s="4"/>
      <c r="X193" s="4"/>
      <c r="Y193" s="4"/>
      <c r="Z193" s="4"/>
    </row>
    <row r="194" spans="1:26" ht="15.75" customHeight="1">
      <c r="A194" s="4"/>
      <c r="B194" s="4"/>
      <c r="C194" s="336"/>
      <c r="D194" s="336"/>
      <c r="E194" s="4"/>
      <c r="F194" s="4"/>
      <c r="G194" s="4"/>
      <c r="H194" s="4"/>
      <c r="I194" s="4"/>
      <c r="J194" s="4"/>
      <c r="K194" s="4"/>
      <c r="L194" s="4"/>
      <c r="M194" s="4"/>
      <c r="N194" s="4"/>
      <c r="O194" s="4"/>
      <c r="P194" s="4"/>
      <c r="Q194" s="4"/>
      <c r="R194" s="4"/>
      <c r="S194" s="4"/>
      <c r="T194" s="53"/>
      <c r="U194" s="286"/>
      <c r="V194" s="4"/>
      <c r="W194" s="4"/>
      <c r="X194" s="4"/>
      <c r="Y194" s="4"/>
      <c r="Z194" s="4"/>
    </row>
    <row r="195" spans="1:26" ht="15.75" customHeight="1">
      <c r="A195" s="4"/>
      <c r="B195" s="4"/>
      <c r="C195" s="336"/>
      <c r="D195" s="336"/>
      <c r="E195" s="4"/>
      <c r="F195" s="4"/>
      <c r="G195" s="4"/>
      <c r="H195" s="4"/>
      <c r="I195" s="4"/>
      <c r="J195" s="4"/>
      <c r="K195" s="4"/>
      <c r="L195" s="4"/>
      <c r="M195" s="4"/>
      <c r="N195" s="4"/>
      <c r="O195" s="4"/>
      <c r="P195" s="4"/>
      <c r="Q195" s="4"/>
      <c r="R195" s="4"/>
      <c r="S195" s="4"/>
      <c r="T195" s="53"/>
      <c r="U195" s="286"/>
      <c r="V195" s="4"/>
      <c r="W195" s="4"/>
      <c r="X195" s="4"/>
      <c r="Y195" s="4"/>
      <c r="Z195" s="4"/>
    </row>
    <row r="196" spans="1:26" ht="15.75" customHeight="1">
      <c r="A196" s="4"/>
      <c r="B196" s="4"/>
      <c r="C196" s="336"/>
      <c r="D196" s="336"/>
      <c r="E196" s="4"/>
      <c r="F196" s="4"/>
      <c r="G196" s="4"/>
      <c r="H196" s="4"/>
      <c r="I196" s="4"/>
      <c r="J196" s="4"/>
      <c r="K196" s="4"/>
      <c r="L196" s="4"/>
      <c r="M196" s="4"/>
      <c r="N196" s="4"/>
      <c r="O196" s="4"/>
      <c r="P196" s="4"/>
      <c r="Q196" s="4"/>
      <c r="R196" s="4"/>
      <c r="S196" s="4"/>
      <c r="T196" s="53"/>
      <c r="U196" s="4"/>
      <c r="V196" s="4"/>
      <c r="W196" s="4"/>
      <c r="X196" s="4"/>
      <c r="Y196" s="4"/>
      <c r="Z196" s="4"/>
    </row>
    <row r="197" spans="1:26" ht="15.75" customHeight="1">
      <c r="A197" s="4"/>
      <c r="B197" s="4"/>
      <c r="C197" s="336"/>
      <c r="D197" s="336"/>
      <c r="E197" s="4"/>
      <c r="F197" s="4"/>
      <c r="G197" s="4"/>
      <c r="H197" s="4"/>
      <c r="I197" s="4"/>
      <c r="J197" s="4"/>
      <c r="K197" s="4"/>
      <c r="L197" s="4"/>
      <c r="M197" s="4"/>
      <c r="N197" s="4"/>
      <c r="O197" s="4"/>
      <c r="P197" s="4"/>
      <c r="Q197" s="4"/>
      <c r="R197" s="4"/>
      <c r="S197" s="4"/>
      <c r="T197" s="53"/>
      <c r="U197" s="4"/>
      <c r="V197" s="4"/>
      <c r="W197" s="4"/>
      <c r="X197" s="4"/>
      <c r="Y197" s="4"/>
      <c r="Z197" s="4"/>
    </row>
    <row r="198" spans="1:26" ht="15.75" customHeight="1">
      <c r="A198" s="4"/>
      <c r="B198" s="4"/>
      <c r="C198" s="336"/>
      <c r="D198" s="336"/>
      <c r="E198" s="4"/>
      <c r="F198" s="4"/>
      <c r="G198" s="4"/>
      <c r="H198" s="4"/>
      <c r="I198" s="4"/>
      <c r="J198" s="4"/>
      <c r="K198" s="4"/>
      <c r="L198" s="4"/>
      <c r="M198" s="4"/>
      <c r="N198" s="4"/>
      <c r="O198" s="4"/>
      <c r="P198" s="4"/>
      <c r="Q198" s="4"/>
      <c r="R198" s="4"/>
      <c r="S198" s="4"/>
      <c r="T198" s="53"/>
      <c r="U198" s="4"/>
      <c r="V198" s="4"/>
      <c r="W198" s="4"/>
      <c r="X198" s="4"/>
      <c r="Y198" s="4"/>
      <c r="Z198" s="4"/>
    </row>
    <row r="199" spans="1:26" ht="15.75" customHeight="1">
      <c r="A199" s="4"/>
      <c r="B199" s="4"/>
      <c r="C199" s="336"/>
      <c r="D199" s="336"/>
      <c r="E199" s="4"/>
      <c r="F199" s="4"/>
      <c r="G199" s="4"/>
      <c r="H199" s="4"/>
      <c r="I199" s="4"/>
      <c r="J199" s="4"/>
      <c r="K199" s="4"/>
      <c r="L199" s="4"/>
      <c r="M199" s="4"/>
      <c r="N199" s="4"/>
      <c r="O199" s="4"/>
      <c r="P199" s="4"/>
      <c r="Q199" s="4"/>
      <c r="R199" s="4"/>
      <c r="S199" s="4"/>
      <c r="T199" s="53"/>
      <c r="U199" s="4"/>
      <c r="V199" s="4"/>
      <c r="W199" s="4"/>
      <c r="X199" s="4"/>
      <c r="Y199" s="4"/>
      <c r="Z199" s="4"/>
    </row>
    <row r="200" spans="1:26" ht="15.75" customHeight="1">
      <c r="A200" s="4"/>
      <c r="B200" s="4"/>
      <c r="C200" s="336"/>
      <c r="D200" s="336"/>
      <c r="E200" s="4"/>
      <c r="F200" s="4"/>
      <c r="G200" s="4"/>
      <c r="H200" s="4"/>
      <c r="I200" s="4"/>
      <c r="J200" s="4"/>
      <c r="K200" s="4"/>
      <c r="L200" s="4"/>
      <c r="M200" s="4"/>
      <c r="N200" s="4"/>
      <c r="O200" s="4"/>
      <c r="P200" s="4"/>
      <c r="Q200" s="4"/>
      <c r="R200" s="4"/>
      <c r="S200" s="4"/>
      <c r="T200" s="53"/>
      <c r="U200" s="4"/>
      <c r="V200" s="4"/>
      <c r="W200" s="4"/>
      <c r="X200" s="4"/>
      <c r="Y200" s="4"/>
      <c r="Z200" s="4"/>
    </row>
    <row r="201" spans="1:26" ht="15.75" customHeight="1">
      <c r="A201" s="4"/>
      <c r="B201" s="4"/>
      <c r="C201" s="336"/>
      <c r="D201" s="336"/>
      <c r="E201" s="4"/>
      <c r="F201" s="4"/>
      <c r="G201" s="4"/>
      <c r="H201" s="4"/>
      <c r="I201" s="4"/>
      <c r="J201" s="4"/>
      <c r="K201" s="4"/>
      <c r="L201" s="4"/>
      <c r="M201" s="4"/>
      <c r="N201" s="4"/>
      <c r="O201" s="4"/>
      <c r="P201" s="4"/>
      <c r="Q201" s="4"/>
      <c r="R201" s="4"/>
      <c r="S201" s="4"/>
      <c r="T201" s="53"/>
      <c r="U201" s="4"/>
      <c r="V201" s="4"/>
      <c r="W201" s="4"/>
      <c r="X201" s="4"/>
      <c r="Y201" s="4"/>
      <c r="Z201" s="4"/>
    </row>
    <row r="202" spans="1:26" ht="15.75" customHeight="1">
      <c r="A202" s="4"/>
      <c r="B202" s="4"/>
      <c r="C202" s="336"/>
      <c r="D202" s="336"/>
      <c r="E202" s="4"/>
      <c r="F202" s="4"/>
      <c r="G202" s="4"/>
      <c r="H202" s="4"/>
      <c r="I202" s="4"/>
      <c r="J202" s="4"/>
      <c r="K202" s="4"/>
      <c r="L202" s="4"/>
      <c r="M202" s="4"/>
      <c r="N202" s="4"/>
      <c r="O202" s="4"/>
      <c r="P202" s="4"/>
      <c r="Q202" s="4"/>
      <c r="R202" s="4"/>
      <c r="S202" s="4"/>
      <c r="T202" s="53"/>
      <c r="U202" s="4"/>
      <c r="V202" s="4"/>
      <c r="W202" s="4"/>
      <c r="X202" s="4"/>
      <c r="Y202" s="4"/>
      <c r="Z202" s="4"/>
    </row>
    <row r="203" spans="1:26" ht="15.75" customHeight="1">
      <c r="A203" s="4"/>
      <c r="B203" s="4"/>
      <c r="C203" s="336"/>
      <c r="D203" s="336"/>
      <c r="E203" s="4"/>
      <c r="F203" s="4"/>
      <c r="G203" s="4"/>
      <c r="H203" s="4"/>
      <c r="I203" s="4"/>
      <c r="J203" s="4"/>
      <c r="K203" s="4"/>
      <c r="L203" s="4"/>
      <c r="M203" s="4"/>
      <c r="N203" s="4"/>
      <c r="O203" s="4"/>
      <c r="P203" s="4"/>
      <c r="Q203" s="4"/>
      <c r="R203" s="4"/>
      <c r="S203" s="4"/>
      <c r="T203" s="53"/>
      <c r="U203" s="4"/>
      <c r="V203" s="4"/>
      <c r="W203" s="4"/>
      <c r="X203" s="4"/>
      <c r="Y203" s="4"/>
      <c r="Z203" s="4"/>
    </row>
    <row r="204" spans="1:26" ht="15.75" customHeight="1">
      <c r="A204" s="4"/>
      <c r="B204" s="4"/>
      <c r="C204" s="336"/>
      <c r="D204" s="336"/>
      <c r="E204" s="4"/>
      <c r="F204" s="4"/>
      <c r="G204" s="4"/>
      <c r="H204" s="4"/>
      <c r="I204" s="4"/>
      <c r="J204" s="4"/>
      <c r="K204" s="4"/>
      <c r="L204" s="4"/>
      <c r="M204" s="4"/>
      <c r="N204" s="4"/>
      <c r="O204" s="4"/>
      <c r="P204" s="4"/>
      <c r="Q204" s="4"/>
      <c r="R204" s="4"/>
      <c r="S204" s="4"/>
      <c r="T204" s="53"/>
      <c r="U204" s="4"/>
      <c r="V204" s="4"/>
      <c r="W204" s="4"/>
      <c r="X204" s="4"/>
      <c r="Y204" s="4"/>
      <c r="Z204" s="4"/>
    </row>
    <row r="205" spans="1:26" ht="15.75" customHeight="1">
      <c r="A205" s="4"/>
      <c r="B205" s="4"/>
      <c r="C205" s="336"/>
      <c r="D205" s="336"/>
      <c r="E205" s="4"/>
      <c r="F205" s="4"/>
      <c r="G205" s="4"/>
      <c r="H205" s="4"/>
      <c r="I205" s="4"/>
      <c r="J205" s="4"/>
      <c r="K205" s="4"/>
      <c r="L205" s="4"/>
      <c r="M205" s="4"/>
      <c r="N205" s="4"/>
      <c r="O205" s="4"/>
      <c r="P205" s="4"/>
      <c r="Q205" s="4"/>
      <c r="R205" s="4"/>
      <c r="S205" s="4"/>
      <c r="T205" s="53"/>
      <c r="U205" s="4"/>
      <c r="V205" s="4"/>
      <c r="W205" s="4"/>
      <c r="X205" s="4"/>
      <c r="Y205" s="4"/>
      <c r="Z205" s="4"/>
    </row>
    <row r="206" spans="1:26" ht="15.75" customHeight="1">
      <c r="A206" s="4"/>
      <c r="B206" s="4"/>
      <c r="C206" s="336"/>
      <c r="D206" s="336"/>
      <c r="E206" s="4"/>
      <c r="F206" s="4"/>
      <c r="G206" s="4"/>
      <c r="H206" s="4"/>
      <c r="I206" s="4"/>
      <c r="J206" s="4"/>
      <c r="K206" s="4"/>
      <c r="L206" s="4"/>
      <c r="M206" s="4"/>
      <c r="N206" s="4"/>
      <c r="O206" s="4"/>
      <c r="P206" s="4"/>
      <c r="Q206" s="4"/>
      <c r="R206" s="4"/>
      <c r="S206" s="4"/>
      <c r="T206" s="53"/>
      <c r="U206" s="4"/>
      <c r="V206" s="4"/>
      <c r="W206" s="4"/>
      <c r="X206" s="4"/>
      <c r="Y206" s="4"/>
      <c r="Z206" s="4"/>
    </row>
    <row r="207" spans="1:26" ht="15.75" customHeight="1">
      <c r="A207" s="4"/>
      <c r="B207" s="4"/>
      <c r="C207" s="336"/>
      <c r="D207" s="336"/>
      <c r="E207" s="4"/>
      <c r="F207" s="4"/>
      <c r="G207" s="4"/>
      <c r="H207" s="4"/>
      <c r="I207" s="4"/>
      <c r="J207" s="4"/>
      <c r="K207" s="4"/>
      <c r="L207" s="4"/>
      <c r="M207" s="4"/>
      <c r="N207" s="4"/>
      <c r="O207" s="4"/>
      <c r="P207" s="4"/>
      <c r="Q207" s="4"/>
      <c r="R207" s="4"/>
      <c r="S207" s="4"/>
      <c r="T207" s="53"/>
      <c r="U207" s="4"/>
      <c r="V207" s="4"/>
      <c r="W207" s="4"/>
      <c r="X207" s="4"/>
      <c r="Y207" s="4"/>
      <c r="Z207" s="4"/>
    </row>
    <row r="208" spans="1:26" ht="15.75" customHeight="1">
      <c r="A208" s="4"/>
      <c r="B208" s="4"/>
      <c r="C208" s="336"/>
      <c r="D208" s="336"/>
      <c r="E208" s="4"/>
      <c r="F208" s="4"/>
      <c r="G208" s="4"/>
      <c r="H208" s="4"/>
      <c r="I208" s="4"/>
      <c r="J208" s="4"/>
      <c r="K208" s="4"/>
      <c r="L208" s="4"/>
      <c r="M208" s="4"/>
      <c r="N208" s="4"/>
      <c r="O208" s="4"/>
      <c r="P208" s="4"/>
      <c r="Q208" s="4"/>
      <c r="R208" s="4"/>
      <c r="S208" s="4"/>
      <c r="T208" s="53"/>
      <c r="U208" s="4"/>
      <c r="V208" s="4"/>
      <c r="W208" s="4"/>
      <c r="X208" s="4"/>
      <c r="Y208" s="4"/>
      <c r="Z208" s="4"/>
    </row>
    <row r="209" spans="1:26" ht="15.75" customHeight="1">
      <c r="A209" s="4"/>
      <c r="B209" s="4"/>
      <c r="C209" s="336"/>
      <c r="D209" s="336"/>
      <c r="E209" s="4"/>
      <c r="F209" s="4"/>
      <c r="G209" s="4"/>
      <c r="H209" s="4"/>
      <c r="I209" s="4"/>
      <c r="J209" s="4"/>
      <c r="K209" s="4"/>
      <c r="L209" s="4"/>
      <c r="M209" s="4"/>
      <c r="N209" s="4"/>
      <c r="O209" s="4"/>
      <c r="P209" s="4"/>
      <c r="Q209" s="4"/>
      <c r="R209" s="4"/>
      <c r="S209" s="4"/>
      <c r="T209" s="53"/>
      <c r="U209" s="4"/>
      <c r="V209" s="4"/>
      <c r="W209" s="4"/>
      <c r="X209" s="4"/>
      <c r="Y209" s="4"/>
      <c r="Z209" s="4"/>
    </row>
    <row r="210" spans="1:26" ht="15.75" customHeight="1">
      <c r="A210" s="4"/>
      <c r="B210" s="4"/>
      <c r="C210" s="336"/>
      <c r="D210" s="336"/>
      <c r="E210" s="4"/>
      <c r="F210" s="4"/>
      <c r="G210" s="4"/>
      <c r="H210" s="4"/>
      <c r="I210" s="4"/>
      <c r="J210" s="4"/>
      <c r="K210" s="4"/>
      <c r="L210" s="4"/>
      <c r="M210" s="4"/>
      <c r="N210" s="4"/>
      <c r="O210" s="4"/>
      <c r="P210" s="4"/>
      <c r="Q210" s="4"/>
      <c r="R210" s="4"/>
      <c r="S210" s="4"/>
      <c r="T210" s="53"/>
      <c r="U210" s="4"/>
      <c r="V210" s="4"/>
      <c r="W210" s="4"/>
      <c r="X210" s="4"/>
      <c r="Y210" s="4"/>
      <c r="Z210" s="4"/>
    </row>
    <row r="211" spans="1:26" ht="15.75" customHeight="1">
      <c r="A211" s="4"/>
      <c r="B211" s="4"/>
      <c r="C211" s="336"/>
      <c r="D211" s="336"/>
      <c r="E211" s="4"/>
      <c r="F211" s="4"/>
      <c r="G211" s="4"/>
      <c r="H211" s="4"/>
      <c r="I211" s="4"/>
      <c r="J211" s="4"/>
      <c r="K211" s="4"/>
      <c r="L211" s="4"/>
      <c r="M211" s="4"/>
      <c r="N211" s="4"/>
      <c r="O211" s="4"/>
      <c r="P211" s="4"/>
      <c r="Q211" s="4"/>
      <c r="R211" s="4"/>
      <c r="S211" s="4"/>
      <c r="T211" s="53"/>
      <c r="U211" s="4"/>
      <c r="V211" s="4"/>
      <c r="W211" s="4"/>
      <c r="X211" s="4"/>
      <c r="Y211" s="4"/>
      <c r="Z211" s="4"/>
    </row>
    <row r="212" spans="1:26" ht="15.75" customHeight="1">
      <c r="A212" s="4"/>
      <c r="B212" s="4"/>
      <c r="C212" s="336"/>
      <c r="D212" s="336"/>
      <c r="E212" s="4"/>
      <c r="F212" s="4"/>
      <c r="G212" s="4"/>
      <c r="H212" s="4"/>
      <c r="I212" s="4"/>
      <c r="J212" s="4"/>
      <c r="K212" s="4"/>
      <c r="L212" s="4"/>
      <c r="M212" s="4"/>
      <c r="N212" s="4"/>
      <c r="O212" s="4"/>
      <c r="P212" s="4"/>
      <c r="Q212" s="4"/>
      <c r="R212" s="4"/>
      <c r="S212" s="4"/>
      <c r="T212" s="53"/>
      <c r="U212" s="4"/>
      <c r="V212" s="4"/>
      <c r="W212" s="4"/>
      <c r="X212" s="4"/>
      <c r="Y212" s="4"/>
      <c r="Z212" s="4"/>
    </row>
    <row r="213" spans="1:26" ht="15.75" customHeight="1">
      <c r="A213" s="4"/>
      <c r="B213" s="4"/>
      <c r="C213" s="336"/>
      <c r="D213" s="336"/>
      <c r="E213" s="4"/>
      <c r="F213" s="4"/>
      <c r="G213" s="4"/>
      <c r="H213" s="4"/>
      <c r="I213" s="4"/>
      <c r="J213" s="4"/>
      <c r="K213" s="4"/>
      <c r="L213" s="4"/>
      <c r="M213" s="4"/>
      <c r="N213" s="4"/>
      <c r="O213" s="4"/>
      <c r="P213" s="4"/>
      <c r="Q213" s="4"/>
      <c r="R213" s="4"/>
      <c r="S213" s="4"/>
      <c r="T213" s="53"/>
      <c r="U213" s="4"/>
      <c r="V213" s="4"/>
      <c r="W213" s="4"/>
      <c r="X213" s="4"/>
      <c r="Y213" s="4"/>
      <c r="Z213" s="4"/>
    </row>
    <row r="214" spans="1:26" ht="15.75" customHeight="1">
      <c r="A214" s="4"/>
      <c r="B214" s="4"/>
      <c r="C214" s="336"/>
      <c r="D214" s="336"/>
      <c r="E214" s="4"/>
      <c r="F214" s="4"/>
      <c r="G214" s="4"/>
      <c r="H214" s="4"/>
      <c r="I214" s="4"/>
      <c r="J214" s="4"/>
      <c r="K214" s="4"/>
      <c r="L214" s="4"/>
      <c r="M214" s="4"/>
      <c r="N214" s="4"/>
      <c r="O214" s="4"/>
      <c r="P214" s="4"/>
      <c r="Q214" s="4"/>
      <c r="R214" s="4"/>
      <c r="S214" s="4"/>
      <c r="T214" s="53"/>
      <c r="U214" s="4"/>
      <c r="V214" s="4"/>
      <c r="W214" s="4"/>
      <c r="X214" s="4"/>
      <c r="Y214" s="4"/>
      <c r="Z214" s="4"/>
    </row>
    <row r="215" spans="1:26" ht="15.75" customHeight="1">
      <c r="A215" s="4"/>
      <c r="B215" s="4"/>
      <c r="C215" s="336"/>
      <c r="D215" s="336"/>
      <c r="E215" s="4"/>
      <c r="F215" s="4"/>
      <c r="G215" s="4"/>
      <c r="H215" s="4"/>
      <c r="I215" s="4"/>
      <c r="J215" s="4"/>
      <c r="K215" s="4"/>
      <c r="L215" s="4"/>
      <c r="M215" s="4"/>
      <c r="N215" s="4"/>
      <c r="O215" s="4"/>
      <c r="P215" s="4"/>
      <c r="Q215" s="4"/>
      <c r="R215" s="4"/>
      <c r="S215" s="4"/>
      <c r="T215" s="53"/>
      <c r="U215" s="4"/>
      <c r="V215" s="4"/>
      <c r="W215" s="4"/>
      <c r="X215" s="4"/>
      <c r="Y215" s="4"/>
      <c r="Z215" s="4"/>
    </row>
    <row r="216" spans="1:26" ht="15.75" customHeight="1">
      <c r="A216" s="4"/>
      <c r="B216" s="4"/>
      <c r="C216" s="336"/>
      <c r="D216" s="336"/>
      <c r="E216" s="4"/>
      <c r="F216" s="4"/>
      <c r="G216" s="4"/>
      <c r="H216" s="4"/>
      <c r="I216" s="4"/>
      <c r="J216" s="4"/>
      <c r="K216" s="4"/>
      <c r="L216" s="4"/>
      <c r="M216" s="4"/>
      <c r="N216" s="4"/>
      <c r="O216" s="4"/>
      <c r="P216" s="4"/>
      <c r="Q216" s="4"/>
      <c r="R216" s="4"/>
      <c r="S216" s="4"/>
      <c r="T216" s="53"/>
      <c r="U216" s="4"/>
      <c r="V216" s="4"/>
      <c r="W216" s="4"/>
      <c r="X216" s="4"/>
      <c r="Y216" s="4"/>
      <c r="Z216" s="4"/>
    </row>
    <row r="217" spans="1:26" ht="15.75" customHeight="1">
      <c r="A217" s="4"/>
      <c r="B217" s="4"/>
      <c r="C217" s="336"/>
      <c r="D217" s="336"/>
      <c r="E217" s="4"/>
      <c r="F217" s="4"/>
      <c r="G217" s="4"/>
      <c r="H217" s="4"/>
      <c r="I217" s="4"/>
      <c r="J217" s="4"/>
      <c r="K217" s="4"/>
      <c r="L217" s="4"/>
      <c r="M217" s="4"/>
      <c r="N217" s="4"/>
      <c r="O217" s="4"/>
      <c r="P217" s="4"/>
      <c r="Q217" s="4"/>
      <c r="R217" s="4"/>
      <c r="S217" s="4"/>
      <c r="T217" s="53"/>
      <c r="U217" s="4"/>
      <c r="V217" s="4"/>
      <c r="W217" s="4"/>
      <c r="X217" s="4"/>
      <c r="Y217" s="4"/>
      <c r="Z217" s="4"/>
    </row>
    <row r="218" spans="1:26" ht="15.75" customHeight="1">
      <c r="A218" s="4"/>
      <c r="B218" s="4"/>
      <c r="C218" s="336"/>
      <c r="D218" s="336"/>
      <c r="E218" s="4"/>
      <c r="F218" s="4"/>
      <c r="G218" s="4"/>
      <c r="H218" s="4"/>
      <c r="I218" s="4"/>
      <c r="J218" s="4"/>
      <c r="K218" s="4"/>
      <c r="L218" s="4"/>
      <c r="M218" s="4"/>
      <c r="N218" s="4"/>
      <c r="O218" s="4"/>
      <c r="P218" s="4"/>
      <c r="Q218" s="4"/>
      <c r="R218" s="4"/>
      <c r="S218" s="4"/>
      <c r="T218" s="53"/>
      <c r="U218" s="4"/>
      <c r="V218" s="4"/>
      <c r="W218" s="4"/>
      <c r="X218" s="4"/>
      <c r="Y218" s="4"/>
      <c r="Z218" s="4"/>
    </row>
    <row r="219" spans="1:26" ht="15.75" customHeight="1">
      <c r="A219" s="4"/>
      <c r="B219" s="4"/>
      <c r="C219" s="336"/>
      <c r="D219" s="336"/>
      <c r="E219" s="4"/>
      <c r="F219" s="4"/>
      <c r="G219" s="4"/>
      <c r="H219" s="4"/>
      <c r="I219" s="4"/>
      <c r="J219" s="4"/>
      <c r="K219" s="4"/>
      <c r="L219" s="4"/>
      <c r="M219" s="4"/>
      <c r="N219" s="4"/>
      <c r="O219" s="4"/>
      <c r="P219" s="4"/>
      <c r="Q219" s="4"/>
      <c r="R219" s="4"/>
      <c r="S219" s="4"/>
      <c r="T219" s="53"/>
      <c r="U219" s="4"/>
      <c r="V219" s="4"/>
      <c r="W219" s="4"/>
      <c r="X219" s="4"/>
      <c r="Y219" s="4"/>
      <c r="Z219" s="4"/>
    </row>
    <row r="220" spans="1:26" ht="15.75" customHeight="1">
      <c r="A220" s="4"/>
      <c r="B220" s="4"/>
      <c r="C220" s="336"/>
      <c r="D220" s="336"/>
      <c r="E220" s="4"/>
      <c r="F220" s="4"/>
      <c r="G220" s="4"/>
      <c r="H220" s="4"/>
      <c r="I220" s="4"/>
      <c r="J220" s="4"/>
      <c r="K220" s="4"/>
      <c r="L220" s="4"/>
      <c r="M220" s="4"/>
      <c r="N220" s="4"/>
      <c r="O220" s="4"/>
      <c r="P220" s="4"/>
      <c r="Q220" s="4"/>
      <c r="R220" s="4"/>
      <c r="S220" s="4"/>
      <c r="T220" s="53"/>
      <c r="U220" s="4"/>
      <c r="V220" s="4"/>
      <c r="W220" s="4"/>
      <c r="X220" s="4"/>
      <c r="Y220" s="4"/>
      <c r="Z220" s="4"/>
    </row>
    <row r="221" spans="1:26" ht="15.75" customHeight="1">
      <c r="A221" s="4"/>
      <c r="B221" s="4"/>
      <c r="C221" s="336"/>
      <c r="D221" s="336"/>
      <c r="E221" s="4"/>
      <c r="F221" s="4"/>
      <c r="G221" s="4"/>
      <c r="H221" s="4"/>
      <c r="I221" s="4"/>
      <c r="J221" s="4"/>
      <c r="K221" s="4"/>
      <c r="L221" s="4"/>
      <c r="M221" s="4"/>
      <c r="N221" s="4"/>
      <c r="O221" s="4"/>
      <c r="P221" s="4"/>
      <c r="Q221" s="4"/>
      <c r="R221" s="4"/>
      <c r="S221" s="4"/>
      <c r="T221" s="53"/>
      <c r="U221" s="4"/>
      <c r="V221" s="4"/>
      <c r="W221" s="4"/>
      <c r="X221" s="4"/>
      <c r="Y221" s="4"/>
      <c r="Z221" s="4"/>
    </row>
    <row r="222" spans="1:26" ht="15.75" customHeight="1">
      <c r="A222" s="4"/>
      <c r="B222" s="4"/>
      <c r="C222" s="336"/>
      <c r="D222" s="336"/>
      <c r="E222" s="4"/>
      <c r="F222" s="4"/>
      <c r="G222" s="4"/>
      <c r="H222" s="4"/>
      <c r="I222" s="4"/>
      <c r="J222" s="4"/>
      <c r="K222" s="4"/>
      <c r="L222" s="4"/>
      <c r="M222" s="4"/>
      <c r="N222" s="4"/>
      <c r="O222" s="4"/>
      <c r="P222" s="4"/>
      <c r="Q222" s="4"/>
      <c r="R222" s="4"/>
      <c r="S222" s="4"/>
      <c r="T222" s="53"/>
      <c r="U222" s="4"/>
      <c r="V222" s="4"/>
      <c r="W222" s="4"/>
      <c r="X222" s="4"/>
      <c r="Y222" s="4"/>
      <c r="Z222" s="4"/>
    </row>
    <row r="223" spans="1:26" ht="15.75" customHeight="1">
      <c r="A223" s="4"/>
      <c r="B223" s="4"/>
      <c r="C223" s="336"/>
      <c r="D223" s="336"/>
      <c r="E223" s="4"/>
      <c r="F223" s="4"/>
      <c r="G223" s="4"/>
      <c r="H223" s="4"/>
      <c r="I223" s="4"/>
      <c r="J223" s="4"/>
      <c r="K223" s="4"/>
      <c r="L223" s="4"/>
      <c r="M223" s="4"/>
      <c r="N223" s="4"/>
      <c r="O223" s="4"/>
      <c r="P223" s="4"/>
      <c r="Q223" s="4"/>
      <c r="R223" s="4"/>
      <c r="S223" s="4"/>
      <c r="T223" s="53"/>
      <c r="U223" s="4"/>
      <c r="V223" s="4"/>
      <c r="W223" s="4"/>
      <c r="X223" s="4"/>
      <c r="Y223" s="4"/>
      <c r="Z223" s="4"/>
    </row>
    <row r="224" spans="1:26" ht="15.75" customHeight="1">
      <c r="A224" s="4"/>
      <c r="B224" s="4"/>
      <c r="C224" s="336"/>
      <c r="D224" s="336"/>
      <c r="E224" s="4"/>
      <c r="F224" s="4"/>
      <c r="G224" s="4"/>
      <c r="H224" s="4"/>
      <c r="I224" s="4"/>
      <c r="J224" s="4"/>
      <c r="K224" s="4"/>
      <c r="L224" s="4"/>
      <c r="M224" s="4"/>
      <c r="N224" s="4"/>
      <c r="O224" s="4"/>
      <c r="P224" s="4"/>
      <c r="Q224" s="4"/>
      <c r="R224" s="4"/>
      <c r="S224" s="4"/>
      <c r="T224" s="53"/>
      <c r="U224" s="4"/>
      <c r="V224" s="4"/>
      <c r="W224" s="4"/>
      <c r="X224" s="4"/>
      <c r="Y224" s="4"/>
      <c r="Z224" s="4"/>
    </row>
    <row r="225" spans="1:26" ht="15.75" customHeight="1">
      <c r="A225" s="4"/>
      <c r="B225" s="4"/>
      <c r="C225" s="336"/>
      <c r="D225" s="336"/>
      <c r="E225" s="4"/>
      <c r="F225" s="4"/>
      <c r="G225" s="4"/>
      <c r="H225" s="4"/>
      <c r="I225" s="4"/>
      <c r="J225" s="4"/>
      <c r="K225" s="4"/>
      <c r="L225" s="4"/>
      <c r="M225" s="4"/>
      <c r="N225" s="4"/>
      <c r="O225" s="4"/>
      <c r="P225" s="4"/>
      <c r="Q225" s="4"/>
      <c r="R225" s="4"/>
      <c r="S225" s="4"/>
      <c r="T225" s="53"/>
      <c r="U225" s="4"/>
      <c r="V225" s="4"/>
      <c r="W225" s="4"/>
      <c r="X225" s="4"/>
      <c r="Y225" s="4"/>
      <c r="Z225" s="4"/>
    </row>
    <row r="226" spans="1:26" ht="15.75" customHeight="1">
      <c r="A226" s="4"/>
      <c r="B226" s="4"/>
      <c r="C226" s="336"/>
      <c r="D226" s="336"/>
      <c r="E226" s="4"/>
      <c r="F226" s="4"/>
      <c r="G226" s="4"/>
      <c r="H226" s="4"/>
      <c r="I226" s="4"/>
      <c r="J226" s="4"/>
      <c r="K226" s="4"/>
      <c r="L226" s="4"/>
      <c r="M226" s="4"/>
      <c r="N226" s="4"/>
      <c r="O226" s="4"/>
      <c r="P226" s="4"/>
      <c r="Q226" s="4"/>
      <c r="R226" s="4"/>
      <c r="S226" s="4"/>
      <c r="T226" s="53"/>
      <c r="U226" s="4"/>
      <c r="V226" s="4"/>
      <c r="W226" s="4"/>
      <c r="X226" s="4"/>
      <c r="Y226" s="4"/>
      <c r="Z226" s="4"/>
    </row>
    <row r="227" spans="1:26" ht="15.75" customHeight="1">
      <c r="A227" s="4"/>
      <c r="B227" s="4"/>
      <c r="C227" s="336"/>
      <c r="D227" s="336"/>
      <c r="E227" s="4"/>
      <c r="F227" s="4"/>
      <c r="G227" s="4"/>
      <c r="H227" s="4"/>
      <c r="I227" s="4"/>
      <c r="J227" s="4"/>
      <c r="K227" s="4"/>
      <c r="L227" s="4"/>
      <c r="M227" s="4"/>
      <c r="N227" s="4"/>
      <c r="O227" s="4"/>
      <c r="P227" s="4"/>
      <c r="Q227" s="4"/>
      <c r="R227" s="4"/>
      <c r="S227" s="4"/>
      <c r="T227" s="53"/>
      <c r="U227" s="4"/>
      <c r="V227" s="4"/>
      <c r="W227" s="4"/>
      <c r="X227" s="4"/>
      <c r="Y227" s="4"/>
      <c r="Z227" s="4"/>
    </row>
    <row r="228" spans="1:26" ht="15.75" customHeight="1">
      <c r="A228" s="4"/>
      <c r="B228" s="4"/>
      <c r="C228" s="336"/>
      <c r="D228" s="336"/>
      <c r="E228" s="4"/>
      <c r="F228" s="4"/>
      <c r="G228" s="4"/>
      <c r="H228" s="4"/>
      <c r="I228" s="4"/>
      <c r="J228" s="4"/>
      <c r="K228" s="4"/>
      <c r="L228" s="4"/>
      <c r="M228" s="4"/>
      <c r="N228" s="4"/>
      <c r="O228" s="4"/>
      <c r="P228" s="4"/>
      <c r="Q228" s="4"/>
      <c r="R228" s="4"/>
      <c r="S228" s="4"/>
      <c r="T228" s="53"/>
      <c r="U228" s="4"/>
      <c r="V228" s="4"/>
      <c r="W228" s="4"/>
      <c r="X228" s="4"/>
      <c r="Y228" s="4"/>
      <c r="Z228" s="4"/>
    </row>
    <row r="229" spans="1:26" ht="15.75" customHeight="1">
      <c r="A229" s="4"/>
      <c r="B229" s="4"/>
      <c r="C229" s="336"/>
      <c r="D229" s="336"/>
      <c r="E229" s="4"/>
      <c r="F229" s="4"/>
      <c r="G229" s="4"/>
      <c r="H229" s="4"/>
      <c r="I229" s="4"/>
      <c r="J229" s="4"/>
      <c r="K229" s="4"/>
      <c r="L229" s="4"/>
      <c r="M229" s="4"/>
      <c r="N229" s="4"/>
      <c r="O229" s="4"/>
      <c r="P229" s="4"/>
      <c r="Q229" s="4"/>
      <c r="R229" s="4"/>
      <c r="S229" s="4"/>
      <c r="T229" s="53"/>
      <c r="U229" s="4"/>
      <c r="V229" s="4"/>
      <c r="W229" s="4"/>
      <c r="X229" s="4"/>
      <c r="Y229" s="4"/>
      <c r="Z229" s="4"/>
    </row>
    <row r="230" spans="1:26" ht="15.75" customHeight="1">
      <c r="A230" s="4"/>
      <c r="B230" s="4"/>
      <c r="C230" s="336"/>
      <c r="D230" s="336"/>
      <c r="E230" s="4"/>
      <c r="F230" s="4"/>
      <c r="G230" s="4"/>
      <c r="H230" s="4"/>
      <c r="I230" s="4"/>
      <c r="J230" s="4"/>
      <c r="K230" s="4"/>
      <c r="L230" s="4"/>
      <c r="M230" s="4"/>
      <c r="N230" s="4"/>
      <c r="O230" s="4"/>
      <c r="P230" s="4"/>
      <c r="Q230" s="4"/>
      <c r="R230" s="4"/>
      <c r="S230" s="4"/>
      <c r="T230" s="53"/>
      <c r="U230" s="4"/>
      <c r="V230" s="4"/>
      <c r="W230" s="4"/>
      <c r="X230" s="4"/>
      <c r="Y230" s="4"/>
      <c r="Z230" s="4"/>
    </row>
    <row r="231" spans="1:26" ht="15.75" customHeight="1">
      <c r="A231" s="4"/>
      <c r="B231" s="4"/>
      <c r="C231" s="336"/>
      <c r="D231" s="336"/>
      <c r="E231" s="4"/>
      <c r="F231" s="4"/>
      <c r="G231" s="4"/>
      <c r="H231" s="4"/>
      <c r="I231" s="4"/>
      <c r="J231" s="4"/>
      <c r="K231" s="4"/>
      <c r="L231" s="4"/>
      <c r="M231" s="4"/>
      <c r="N231" s="4"/>
      <c r="O231" s="4"/>
      <c r="P231" s="4"/>
      <c r="Q231" s="4"/>
      <c r="R231" s="4"/>
      <c r="S231" s="4"/>
      <c r="T231" s="53"/>
      <c r="U231" s="4"/>
      <c r="V231" s="4"/>
      <c r="W231" s="4"/>
      <c r="X231" s="4"/>
      <c r="Y231" s="4"/>
      <c r="Z231" s="4"/>
    </row>
    <row r="232" spans="1:26" ht="15.75" customHeight="1">
      <c r="A232" s="4"/>
      <c r="B232" s="4"/>
      <c r="C232" s="336"/>
      <c r="D232" s="336"/>
      <c r="E232" s="4"/>
      <c r="F232" s="4"/>
      <c r="G232" s="4"/>
      <c r="H232" s="4"/>
      <c r="I232" s="4"/>
      <c r="J232" s="4"/>
      <c r="K232" s="4"/>
      <c r="L232" s="4"/>
      <c r="M232" s="4"/>
      <c r="N232" s="4"/>
      <c r="O232" s="4"/>
      <c r="P232" s="4"/>
      <c r="Q232" s="4"/>
      <c r="R232" s="4"/>
      <c r="S232" s="4"/>
      <c r="T232" s="53"/>
      <c r="U232" s="4"/>
      <c r="V232" s="4"/>
      <c r="W232" s="4"/>
      <c r="X232" s="4"/>
      <c r="Y232" s="4"/>
      <c r="Z232" s="4"/>
    </row>
    <row r="233" spans="1:26" ht="15.75" customHeight="1">
      <c r="A233" s="4"/>
      <c r="B233" s="4"/>
      <c r="C233" s="336"/>
      <c r="D233" s="336"/>
      <c r="E233" s="4"/>
      <c r="F233" s="4"/>
      <c r="G233" s="4"/>
      <c r="H233" s="4"/>
      <c r="I233" s="4"/>
      <c r="J233" s="4"/>
      <c r="K233" s="4"/>
      <c r="L233" s="4"/>
      <c r="M233" s="4"/>
      <c r="N233" s="4"/>
      <c r="O233" s="4"/>
      <c r="P233" s="4"/>
      <c r="Q233" s="4"/>
      <c r="R233" s="4"/>
      <c r="S233" s="4"/>
      <c r="T233" s="53"/>
      <c r="U233" s="4"/>
      <c r="V233" s="4"/>
      <c r="W233" s="4"/>
      <c r="X233" s="4"/>
      <c r="Y233" s="4"/>
      <c r="Z233" s="4"/>
    </row>
    <row r="234" spans="1:26" ht="15.75" customHeight="1">
      <c r="A234" s="4"/>
      <c r="B234" s="4"/>
      <c r="C234" s="336"/>
      <c r="D234" s="336"/>
      <c r="E234" s="4"/>
      <c r="F234" s="4"/>
      <c r="G234" s="4"/>
      <c r="H234" s="4"/>
      <c r="I234" s="4"/>
      <c r="J234" s="4"/>
      <c r="K234" s="4"/>
      <c r="L234" s="4"/>
      <c r="M234" s="4"/>
      <c r="N234" s="4"/>
      <c r="O234" s="4"/>
      <c r="P234" s="4"/>
      <c r="Q234" s="4"/>
      <c r="R234" s="4"/>
      <c r="S234" s="4"/>
      <c r="T234" s="53"/>
      <c r="U234" s="4"/>
      <c r="V234" s="4"/>
      <c r="W234" s="4"/>
      <c r="X234" s="4"/>
      <c r="Y234" s="4"/>
      <c r="Z234" s="4"/>
    </row>
    <row r="235" spans="1:26" ht="15.75" customHeight="1">
      <c r="A235" s="4"/>
      <c r="B235" s="4"/>
      <c r="C235" s="336"/>
      <c r="D235" s="336"/>
      <c r="E235" s="4"/>
      <c r="F235" s="4"/>
      <c r="G235" s="4"/>
      <c r="H235" s="4"/>
      <c r="I235" s="4"/>
      <c r="J235" s="4"/>
      <c r="K235" s="4"/>
      <c r="L235" s="4"/>
      <c r="M235" s="4"/>
      <c r="N235" s="4"/>
      <c r="O235" s="4"/>
      <c r="P235" s="4"/>
      <c r="Q235" s="4"/>
      <c r="R235" s="4"/>
      <c r="S235" s="4"/>
      <c r="T235" s="53"/>
      <c r="U235" s="4"/>
      <c r="V235" s="4"/>
      <c r="W235" s="4"/>
      <c r="X235" s="4"/>
      <c r="Y235" s="4"/>
      <c r="Z235" s="4"/>
    </row>
    <row r="236" spans="1:26" ht="15.75" customHeight="1">
      <c r="A236" s="4"/>
      <c r="B236" s="4"/>
      <c r="C236" s="336"/>
      <c r="D236" s="336"/>
      <c r="E236" s="4"/>
      <c r="F236" s="4"/>
      <c r="G236" s="4"/>
      <c r="H236" s="4"/>
      <c r="I236" s="4"/>
      <c r="J236" s="4"/>
      <c r="K236" s="4"/>
      <c r="L236" s="4"/>
      <c r="M236" s="4"/>
      <c r="N236" s="4"/>
      <c r="O236" s="4"/>
      <c r="P236" s="4"/>
      <c r="Q236" s="4"/>
      <c r="R236" s="4"/>
      <c r="S236" s="4"/>
      <c r="T236" s="53"/>
      <c r="U236" s="4"/>
      <c r="V236" s="4"/>
      <c r="W236" s="4"/>
      <c r="X236" s="4"/>
      <c r="Y236" s="4"/>
      <c r="Z236" s="4"/>
    </row>
    <row r="237" spans="1:26" ht="15.75" customHeight="1">
      <c r="A237" s="4"/>
      <c r="B237" s="4"/>
      <c r="C237" s="336"/>
      <c r="D237" s="336"/>
      <c r="E237" s="4"/>
      <c r="F237" s="4"/>
      <c r="G237" s="4"/>
      <c r="H237" s="4"/>
      <c r="I237" s="4"/>
      <c r="J237" s="4"/>
      <c r="K237" s="4"/>
      <c r="L237" s="4"/>
      <c r="M237" s="4"/>
      <c r="N237" s="4"/>
      <c r="O237" s="4"/>
      <c r="P237" s="4"/>
      <c r="Q237" s="4"/>
      <c r="R237" s="4"/>
      <c r="S237" s="4"/>
      <c r="T237" s="53"/>
      <c r="U237" s="4"/>
      <c r="V237" s="4"/>
      <c r="W237" s="4"/>
      <c r="X237" s="4"/>
      <c r="Y237" s="4"/>
      <c r="Z237" s="4"/>
    </row>
    <row r="238" spans="1:26" ht="15.75" customHeight="1">
      <c r="A238" s="4"/>
      <c r="B238" s="4"/>
      <c r="C238" s="336"/>
      <c r="D238" s="336"/>
      <c r="E238" s="4"/>
      <c r="F238" s="4"/>
      <c r="G238" s="4"/>
      <c r="H238" s="4"/>
      <c r="I238" s="4"/>
      <c r="J238" s="4"/>
      <c r="K238" s="4"/>
      <c r="L238" s="4"/>
      <c r="M238" s="4"/>
      <c r="N238" s="4"/>
      <c r="O238" s="4"/>
      <c r="P238" s="4"/>
      <c r="Q238" s="4"/>
      <c r="R238" s="4"/>
      <c r="S238" s="4"/>
      <c r="T238" s="53"/>
      <c r="U238" s="4"/>
      <c r="V238" s="4"/>
      <c r="W238" s="4"/>
      <c r="X238" s="4"/>
      <c r="Y238" s="4"/>
      <c r="Z238" s="4"/>
    </row>
    <row r="239" spans="1:26" ht="15.75" customHeight="1">
      <c r="A239" s="4"/>
      <c r="B239" s="4"/>
      <c r="C239" s="336"/>
      <c r="D239" s="336"/>
      <c r="E239" s="4"/>
      <c r="F239" s="4"/>
      <c r="G239" s="4"/>
      <c r="H239" s="4"/>
      <c r="I239" s="4"/>
      <c r="J239" s="4"/>
      <c r="K239" s="4"/>
      <c r="L239" s="4"/>
      <c r="M239" s="4"/>
      <c r="N239" s="4"/>
      <c r="O239" s="4"/>
      <c r="P239" s="4"/>
      <c r="Q239" s="4"/>
      <c r="R239" s="4"/>
      <c r="S239" s="4"/>
      <c r="T239" s="53"/>
      <c r="U239" s="4"/>
      <c r="V239" s="4"/>
      <c r="W239" s="4"/>
      <c r="X239" s="4"/>
      <c r="Y239" s="4"/>
      <c r="Z239" s="4"/>
    </row>
    <row r="240" spans="1:26" ht="15.75" customHeight="1">
      <c r="A240" s="4"/>
      <c r="B240" s="4"/>
      <c r="C240" s="336"/>
      <c r="D240" s="336"/>
      <c r="E240" s="4"/>
      <c r="F240" s="4"/>
      <c r="G240" s="4"/>
      <c r="H240" s="4"/>
      <c r="I240" s="4"/>
      <c r="J240" s="4"/>
      <c r="K240" s="4"/>
      <c r="L240" s="4"/>
      <c r="M240" s="4"/>
      <c r="N240" s="4"/>
      <c r="O240" s="4"/>
      <c r="P240" s="4"/>
      <c r="Q240" s="4"/>
      <c r="R240" s="4"/>
      <c r="S240" s="4"/>
      <c r="T240" s="53"/>
      <c r="U240" s="4"/>
      <c r="V240" s="4"/>
      <c r="W240" s="4"/>
      <c r="X240" s="4"/>
      <c r="Y240" s="4"/>
      <c r="Z240" s="4"/>
    </row>
    <row r="241" spans="1:26" ht="15.75" customHeight="1">
      <c r="A241" s="4"/>
      <c r="B241" s="4"/>
      <c r="C241" s="336"/>
      <c r="D241" s="336"/>
      <c r="E241" s="4"/>
      <c r="F241" s="4"/>
      <c r="G241" s="4"/>
      <c r="H241" s="4"/>
      <c r="I241" s="4"/>
      <c r="J241" s="4"/>
      <c r="K241" s="4"/>
      <c r="L241" s="4"/>
      <c r="M241" s="4"/>
      <c r="N241" s="4"/>
      <c r="O241" s="4"/>
      <c r="P241" s="4"/>
      <c r="Q241" s="4"/>
      <c r="R241" s="4"/>
      <c r="S241" s="4"/>
      <c r="T241" s="53"/>
      <c r="U241" s="4"/>
      <c r="V241" s="4"/>
      <c r="W241" s="4"/>
      <c r="X241" s="4"/>
      <c r="Y241" s="4"/>
      <c r="Z241" s="4"/>
    </row>
    <row r="242" spans="1:26" ht="15.75" customHeight="1">
      <c r="A242" s="4"/>
      <c r="B242" s="4"/>
      <c r="C242" s="336"/>
      <c r="D242" s="336"/>
      <c r="E242" s="4"/>
      <c r="F242" s="4"/>
      <c r="G242" s="4"/>
      <c r="H242" s="4"/>
      <c r="I242" s="4"/>
      <c r="J242" s="4"/>
      <c r="K242" s="4"/>
      <c r="L242" s="4"/>
      <c r="M242" s="4"/>
      <c r="N242" s="4"/>
      <c r="O242" s="4"/>
      <c r="P242" s="4"/>
      <c r="Q242" s="4"/>
      <c r="R242" s="4"/>
      <c r="S242" s="4"/>
      <c r="T242" s="53"/>
      <c r="U242" s="4"/>
      <c r="V242" s="4"/>
      <c r="W242" s="4"/>
      <c r="X242" s="4"/>
      <c r="Y242" s="4"/>
      <c r="Z242" s="4"/>
    </row>
    <row r="243" spans="1:26" ht="15.75" customHeight="1">
      <c r="A243" s="4"/>
      <c r="B243" s="4"/>
      <c r="C243" s="336"/>
      <c r="D243" s="336"/>
      <c r="E243" s="4"/>
      <c r="F243" s="4"/>
      <c r="G243" s="4"/>
      <c r="H243" s="4"/>
      <c r="I243" s="4"/>
      <c r="J243" s="4"/>
      <c r="K243" s="4"/>
      <c r="L243" s="4"/>
      <c r="M243" s="4"/>
      <c r="N243" s="4"/>
      <c r="O243" s="4"/>
      <c r="P243" s="4"/>
      <c r="Q243" s="4"/>
      <c r="R243" s="4"/>
      <c r="S243" s="4"/>
      <c r="T243" s="53"/>
      <c r="U243" s="4"/>
      <c r="V243" s="4"/>
      <c r="W243" s="4"/>
      <c r="X243" s="4"/>
      <c r="Y243" s="4"/>
      <c r="Z243" s="4"/>
    </row>
    <row r="244" spans="1:26" ht="15.75" customHeight="1">
      <c r="A244" s="4"/>
      <c r="B244" s="4"/>
      <c r="C244" s="336"/>
      <c r="D244" s="336"/>
      <c r="E244" s="4"/>
      <c r="F244" s="4"/>
      <c r="G244" s="4"/>
      <c r="H244" s="4"/>
      <c r="I244" s="4"/>
      <c r="J244" s="4"/>
      <c r="K244" s="4"/>
      <c r="L244" s="4"/>
      <c r="M244" s="4"/>
      <c r="N244" s="4"/>
      <c r="O244" s="4"/>
      <c r="P244" s="4"/>
      <c r="Q244" s="4"/>
      <c r="R244" s="4"/>
      <c r="S244" s="4"/>
      <c r="T244" s="53"/>
      <c r="U244" s="4"/>
      <c r="V244" s="4"/>
      <c r="W244" s="4"/>
      <c r="X244" s="4"/>
      <c r="Y244" s="4"/>
      <c r="Z244" s="4"/>
    </row>
    <row r="245" spans="1:26" ht="15.75" customHeight="1">
      <c r="A245" s="4"/>
      <c r="B245" s="4"/>
      <c r="C245" s="336"/>
      <c r="D245" s="336"/>
      <c r="E245" s="4"/>
      <c r="F245" s="4"/>
      <c r="G245" s="4"/>
      <c r="H245" s="4"/>
      <c r="I245" s="4"/>
      <c r="J245" s="4"/>
      <c r="K245" s="4"/>
      <c r="L245" s="4"/>
      <c r="M245" s="4"/>
      <c r="N245" s="4"/>
      <c r="O245" s="4"/>
      <c r="P245" s="4"/>
      <c r="Q245" s="4"/>
      <c r="R245" s="4"/>
      <c r="S245" s="4"/>
      <c r="T245" s="53"/>
      <c r="U245" s="4"/>
      <c r="V245" s="4"/>
      <c r="W245" s="4"/>
      <c r="X245" s="4"/>
      <c r="Y245" s="4"/>
      <c r="Z245" s="4"/>
    </row>
    <row r="246" spans="1:26" ht="15.75" customHeight="1">
      <c r="A246" s="4"/>
      <c r="B246" s="4"/>
      <c r="C246" s="336"/>
      <c r="D246" s="336"/>
      <c r="E246" s="4"/>
      <c r="F246" s="4"/>
      <c r="G246" s="4"/>
      <c r="H246" s="4"/>
      <c r="I246" s="4"/>
      <c r="J246" s="4"/>
      <c r="K246" s="4"/>
      <c r="L246" s="4"/>
      <c r="M246" s="4"/>
      <c r="N246" s="4"/>
      <c r="O246" s="4"/>
      <c r="P246" s="4"/>
      <c r="Q246" s="4"/>
      <c r="R246" s="4"/>
      <c r="S246" s="4"/>
      <c r="T246" s="53"/>
      <c r="U246" s="4"/>
      <c r="V246" s="4"/>
      <c r="W246" s="4"/>
      <c r="X246" s="4"/>
      <c r="Y246" s="4"/>
      <c r="Z246" s="4"/>
    </row>
    <row r="247" spans="1:26" ht="15.75" customHeight="1">
      <c r="A247" s="4"/>
      <c r="B247" s="4"/>
      <c r="C247" s="336"/>
      <c r="D247" s="336"/>
      <c r="E247" s="4"/>
      <c r="F247" s="4"/>
      <c r="G247" s="4"/>
      <c r="H247" s="4"/>
      <c r="I247" s="4"/>
      <c r="J247" s="4"/>
      <c r="K247" s="4"/>
      <c r="L247" s="4"/>
      <c r="M247" s="4"/>
      <c r="N247" s="4"/>
      <c r="O247" s="4"/>
      <c r="P247" s="4"/>
      <c r="Q247" s="4"/>
      <c r="R247" s="4"/>
      <c r="S247" s="4"/>
      <c r="T247" s="53"/>
      <c r="U247" s="4"/>
      <c r="V247" s="4"/>
      <c r="W247" s="4"/>
      <c r="X247" s="4"/>
      <c r="Y247" s="4"/>
      <c r="Z247" s="4"/>
    </row>
    <row r="248" spans="1:26" ht="15.75" customHeight="1">
      <c r="A248" s="4"/>
      <c r="B248" s="4"/>
      <c r="C248" s="336"/>
      <c r="D248" s="336"/>
      <c r="E248" s="4"/>
      <c r="F248" s="4"/>
      <c r="G248" s="4"/>
      <c r="H248" s="4"/>
      <c r="I248" s="4"/>
      <c r="J248" s="4"/>
      <c r="K248" s="4"/>
      <c r="L248" s="4"/>
      <c r="M248" s="4"/>
      <c r="N248" s="4"/>
      <c r="O248" s="4"/>
      <c r="P248" s="4"/>
      <c r="Q248" s="4"/>
      <c r="R248" s="4"/>
      <c r="S248" s="4"/>
      <c r="T248" s="53"/>
      <c r="U248" s="4"/>
      <c r="V248" s="4"/>
      <c r="W248" s="4"/>
      <c r="X248" s="4"/>
      <c r="Y248" s="4"/>
      <c r="Z248" s="4"/>
    </row>
    <row r="249" spans="1:26" ht="15.75" customHeight="1">
      <c r="A249" s="4"/>
      <c r="B249" s="4"/>
      <c r="C249" s="336"/>
      <c r="D249" s="336"/>
      <c r="E249" s="4"/>
      <c r="F249" s="4"/>
      <c r="G249" s="4"/>
      <c r="H249" s="4"/>
      <c r="I249" s="4"/>
      <c r="J249" s="4"/>
      <c r="K249" s="4"/>
      <c r="L249" s="4"/>
      <c r="M249" s="4"/>
      <c r="N249" s="4"/>
      <c r="O249" s="4"/>
      <c r="P249" s="4"/>
      <c r="Q249" s="4"/>
      <c r="R249" s="4"/>
      <c r="S249" s="4"/>
      <c r="T249" s="53"/>
      <c r="U249" s="4"/>
      <c r="V249" s="4"/>
      <c r="W249" s="4"/>
      <c r="X249" s="4"/>
      <c r="Y249" s="4"/>
      <c r="Z249" s="4"/>
    </row>
    <row r="250" spans="1:26" ht="15.75" customHeight="1">
      <c r="A250" s="4"/>
      <c r="B250" s="4"/>
      <c r="C250" s="336"/>
      <c r="D250" s="336"/>
      <c r="E250" s="4"/>
      <c r="F250" s="4"/>
      <c r="G250" s="4"/>
      <c r="H250" s="4"/>
      <c r="I250" s="4"/>
      <c r="J250" s="4"/>
      <c r="K250" s="4"/>
      <c r="L250" s="4"/>
      <c r="M250" s="4"/>
      <c r="N250" s="4"/>
      <c r="O250" s="4"/>
      <c r="P250" s="4"/>
      <c r="Q250" s="4"/>
      <c r="R250" s="4"/>
      <c r="S250" s="4"/>
      <c r="T250" s="53"/>
      <c r="U250" s="4"/>
      <c r="V250" s="4"/>
      <c r="W250" s="4"/>
      <c r="X250" s="4"/>
      <c r="Y250" s="4"/>
      <c r="Z250" s="4"/>
    </row>
    <row r="251" spans="1:26" ht="15.75" customHeight="1">
      <c r="A251" s="4"/>
      <c r="B251" s="4"/>
      <c r="C251" s="336"/>
      <c r="D251" s="336"/>
      <c r="E251" s="4"/>
      <c r="F251" s="4"/>
      <c r="G251" s="4"/>
      <c r="H251" s="4"/>
      <c r="I251" s="4"/>
      <c r="J251" s="4"/>
      <c r="K251" s="4"/>
      <c r="L251" s="4"/>
      <c r="M251" s="4"/>
      <c r="N251" s="4"/>
      <c r="O251" s="4"/>
      <c r="P251" s="4"/>
      <c r="Q251" s="4"/>
      <c r="R251" s="4"/>
      <c r="S251" s="4"/>
      <c r="T251" s="53"/>
      <c r="U251" s="4"/>
      <c r="V251" s="4"/>
      <c r="W251" s="4"/>
      <c r="X251" s="4"/>
      <c r="Y251" s="4"/>
      <c r="Z251" s="4"/>
    </row>
    <row r="252" spans="1:26" ht="15.75" customHeight="1">
      <c r="A252" s="4"/>
      <c r="B252" s="4"/>
      <c r="C252" s="336"/>
      <c r="D252" s="336"/>
      <c r="E252" s="4"/>
      <c r="F252" s="4"/>
      <c r="G252" s="4"/>
      <c r="H252" s="4"/>
      <c r="I252" s="4"/>
      <c r="J252" s="4"/>
      <c r="K252" s="4"/>
      <c r="L252" s="4"/>
      <c r="M252" s="4"/>
      <c r="N252" s="4"/>
      <c r="O252" s="4"/>
      <c r="P252" s="4"/>
      <c r="Q252" s="4"/>
      <c r="R252" s="4"/>
      <c r="S252" s="4"/>
      <c r="T252" s="53"/>
      <c r="U252" s="4"/>
      <c r="V252" s="4"/>
      <c r="W252" s="4"/>
      <c r="X252" s="4"/>
      <c r="Y252" s="4"/>
      <c r="Z252" s="4"/>
    </row>
    <row r="253" spans="1:26" ht="15.75" customHeight="1">
      <c r="A253" s="4"/>
      <c r="B253" s="4"/>
      <c r="C253" s="336"/>
      <c r="D253" s="336"/>
      <c r="E253" s="4"/>
      <c r="F253" s="4"/>
      <c r="G253" s="4"/>
      <c r="H253" s="4"/>
      <c r="I253" s="4"/>
      <c r="J253" s="4"/>
      <c r="K253" s="4"/>
      <c r="L253" s="4"/>
      <c r="M253" s="4"/>
      <c r="N253" s="4"/>
      <c r="O253" s="4"/>
      <c r="P253" s="4"/>
      <c r="Q253" s="4"/>
      <c r="R253" s="4"/>
      <c r="S253" s="4"/>
      <c r="T253" s="53"/>
      <c r="U253" s="4"/>
      <c r="V253" s="4"/>
      <c r="W253" s="4"/>
      <c r="X253" s="4"/>
      <c r="Y253" s="4"/>
      <c r="Z253" s="4"/>
    </row>
    <row r="254" spans="1:26" ht="15.75" customHeight="1">
      <c r="A254" s="4"/>
      <c r="B254" s="4"/>
      <c r="C254" s="336"/>
      <c r="D254" s="336"/>
      <c r="E254" s="4"/>
      <c r="F254" s="4"/>
      <c r="G254" s="4"/>
      <c r="H254" s="4"/>
      <c r="I254" s="4"/>
      <c r="J254" s="4"/>
      <c r="K254" s="4"/>
      <c r="L254" s="4"/>
      <c r="M254" s="4"/>
      <c r="N254" s="4"/>
      <c r="O254" s="4"/>
      <c r="P254" s="4"/>
      <c r="Q254" s="4"/>
      <c r="R254" s="4"/>
      <c r="S254" s="4"/>
      <c r="T254" s="53"/>
      <c r="U254" s="4"/>
      <c r="V254" s="4"/>
      <c r="W254" s="4"/>
      <c r="X254" s="4"/>
      <c r="Y254" s="4"/>
      <c r="Z254" s="4"/>
    </row>
    <row r="255" spans="1:26" ht="15.75" customHeight="1">
      <c r="A255" s="4"/>
      <c r="B255" s="4"/>
      <c r="C255" s="336"/>
      <c r="D255" s="336"/>
      <c r="E255" s="4"/>
      <c r="F255" s="4"/>
      <c r="G255" s="4"/>
      <c r="H255" s="4"/>
      <c r="I255" s="4"/>
      <c r="J255" s="4"/>
      <c r="K255" s="4"/>
      <c r="L255" s="4"/>
      <c r="M255" s="4"/>
      <c r="N255" s="4"/>
      <c r="O255" s="4"/>
      <c r="P255" s="4"/>
      <c r="Q255" s="4"/>
      <c r="R255" s="4"/>
      <c r="S255" s="4"/>
      <c r="T255" s="53"/>
      <c r="U255" s="4"/>
      <c r="V255" s="4"/>
      <c r="W255" s="4"/>
      <c r="X255" s="4"/>
      <c r="Y255" s="4"/>
      <c r="Z255" s="4"/>
    </row>
    <row r="256" spans="1:26" ht="15.75" customHeight="1">
      <c r="A256" s="4"/>
      <c r="B256" s="4"/>
      <c r="C256" s="336"/>
      <c r="D256" s="336"/>
      <c r="E256" s="4"/>
      <c r="F256" s="4"/>
      <c r="G256" s="4"/>
      <c r="H256" s="4"/>
      <c r="I256" s="4"/>
      <c r="J256" s="4"/>
      <c r="K256" s="4"/>
      <c r="L256" s="4"/>
      <c r="M256" s="4"/>
      <c r="N256" s="4"/>
      <c r="O256" s="4"/>
      <c r="P256" s="4"/>
      <c r="Q256" s="4"/>
      <c r="R256" s="4"/>
      <c r="S256" s="4"/>
      <c r="T256" s="53"/>
      <c r="U256" s="4"/>
      <c r="V256" s="4"/>
      <c r="W256" s="4"/>
      <c r="X256" s="4"/>
      <c r="Y256" s="4"/>
      <c r="Z256" s="4"/>
    </row>
    <row r="257" spans="1:26" ht="15.75" customHeight="1">
      <c r="A257" s="4"/>
      <c r="B257" s="4"/>
      <c r="C257" s="336"/>
      <c r="D257" s="336"/>
      <c r="E257" s="4"/>
      <c r="F257" s="4"/>
      <c r="G257" s="4"/>
      <c r="H257" s="4"/>
      <c r="I257" s="4"/>
      <c r="J257" s="4"/>
      <c r="K257" s="4"/>
      <c r="L257" s="4"/>
      <c r="M257" s="4"/>
      <c r="N257" s="4"/>
      <c r="O257" s="4"/>
      <c r="P257" s="4"/>
      <c r="Q257" s="4"/>
      <c r="R257" s="4"/>
      <c r="S257" s="4"/>
      <c r="T257" s="53"/>
      <c r="U257" s="4"/>
      <c r="V257" s="4"/>
      <c r="W257" s="4"/>
      <c r="X257" s="4"/>
      <c r="Y257" s="4"/>
      <c r="Z257" s="4"/>
    </row>
    <row r="258" spans="1:26" ht="15.75" customHeight="1">
      <c r="A258" s="4"/>
      <c r="B258" s="4"/>
      <c r="C258" s="336"/>
      <c r="D258" s="336"/>
      <c r="E258" s="4"/>
      <c r="F258" s="4"/>
      <c r="G258" s="4"/>
      <c r="H258" s="4"/>
      <c r="I258" s="4"/>
      <c r="J258" s="4"/>
      <c r="K258" s="4"/>
      <c r="L258" s="4"/>
      <c r="M258" s="4"/>
      <c r="N258" s="4"/>
      <c r="O258" s="4"/>
      <c r="P258" s="4"/>
      <c r="Q258" s="4"/>
      <c r="R258" s="4"/>
      <c r="S258" s="4"/>
      <c r="T258" s="53"/>
      <c r="U258" s="4"/>
      <c r="V258" s="4"/>
      <c r="W258" s="4"/>
      <c r="X258" s="4"/>
      <c r="Y258" s="4"/>
      <c r="Z258" s="4"/>
    </row>
    <row r="259" spans="1:26" ht="15.75" customHeight="1">
      <c r="A259" s="4"/>
      <c r="B259" s="4"/>
      <c r="C259" s="336"/>
      <c r="D259" s="336"/>
      <c r="E259" s="4"/>
      <c r="F259" s="4"/>
      <c r="G259" s="4"/>
      <c r="H259" s="4"/>
      <c r="I259" s="4"/>
      <c r="J259" s="4"/>
      <c r="K259" s="4"/>
      <c r="L259" s="4"/>
      <c r="M259" s="4"/>
      <c r="N259" s="4"/>
      <c r="O259" s="4"/>
      <c r="P259" s="4"/>
      <c r="Q259" s="4"/>
      <c r="R259" s="4"/>
      <c r="S259" s="4"/>
      <c r="T259" s="53"/>
      <c r="U259" s="4"/>
      <c r="V259" s="4"/>
      <c r="W259" s="4"/>
      <c r="X259" s="4"/>
      <c r="Y259" s="4"/>
      <c r="Z259" s="4"/>
    </row>
    <row r="260" spans="1:26" ht="15.75" customHeight="1">
      <c r="A260" s="4"/>
      <c r="B260" s="4"/>
      <c r="C260" s="336"/>
      <c r="D260" s="336"/>
      <c r="E260" s="4"/>
      <c r="F260" s="4"/>
      <c r="G260" s="4"/>
      <c r="H260" s="4"/>
      <c r="I260" s="4"/>
      <c r="J260" s="4"/>
      <c r="K260" s="4"/>
      <c r="L260" s="4"/>
      <c r="M260" s="4"/>
      <c r="N260" s="4"/>
      <c r="O260" s="4"/>
      <c r="P260" s="4"/>
      <c r="Q260" s="4"/>
      <c r="R260" s="4"/>
      <c r="S260" s="4"/>
      <c r="T260" s="53"/>
      <c r="U260" s="4"/>
      <c r="V260" s="4"/>
      <c r="W260" s="4"/>
      <c r="X260" s="4"/>
      <c r="Y260" s="4"/>
      <c r="Z260" s="4"/>
    </row>
    <row r="261" spans="1:26" ht="15.75" customHeight="1">
      <c r="A261" s="4"/>
      <c r="B261" s="4"/>
      <c r="C261" s="336"/>
      <c r="D261" s="336"/>
      <c r="E261" s="4"/>
      <c r="F261" s="4"/>
      <c r="G261" s="4"/>
      <c r="H261" s="4"/>
      <c r="I261" s="4"/>
      <c r="J261" s="4"/>
      <c r="K261" s="4"/>
      <c r="L261" s="4"/>
      <c r="M261" s="4"/>
      <c r="N261" s="4"/>
      <c r="O261" s="4"/>
      <c r="P261" s="4"/>
      <c r="Q261" s="4"/>
      <c r="R261" s="4"/>
      <c r="S261" s="4"/>
      <c r="T261" s="53"/>
      <c r="U261" s="4"/>
      <c r="V261" s="4"/>
      <c r="W261" s="4"/>
      <c r="X261" s="4"/>
      <c r="Y261" s="4"/>
      <c r="Z261" s="4"/>
    </row>
    <row r="262" spans="1:26" ht="15.75" customHeight="1">
      <c r="A262" s="4"/>
      <c r="B262" s="4"/>
      <c r="C262" s="336"/>
      <c r="D262" s="336"/>
      <c r="E262" s="4"/>
      <c r="F262" s="4"/>
      <c r="G262" s="4"/>
      <c r="H262" s="4"/>
      <c r="I262" s="4"/>
      <c r="J262" s="4"/>
      <c r="K262" s="4"/>
      <c r="L262" s="4"/>
      <c r="M262" s="4"/>
      <c r="N262" s="4"/>
      <c r="O262" s="4"/>
      <c r="P262" s="4"/>
      <c r="Q262" s="4"/>
      <c r="R262" s="4"/>
      <c r="S262" s="4"/>
      <c r="T262" s="53"/>
      <c r="U262" s="4"/>
      <c r="V262" s="4"/>
      <c r="W262" s="4"/>
      <c r="X262" s="4"/>
      <c r="Y262" s="4"/>
      <c r="Z262" s="4"/>
    </row>
    <row r="263" spans="1:26" ht="15.75" customHeight="1">
      <c r="A263" s="4"/>
      <c r="B263" s="4"/>
      <c r="C263" s="336"/>
      <c r="D263" s="336"/>
      <c r="E263" s="4"/>
      <c r="F263" s="4"/>
      <c r="G263" s="4"/>
      <c r="H263" s="4"/>
      <c r="I263" s="4"/>
      <c r="J263" s="4"/>
      <c r="K263" s="4"/>
      <c r="L263" s="4"/>
      <c r="M263" s="4"/>
      <c r="N263" s="4"/>
      <c r="O263" s="4"/>
      <c r="P263" s="4"/>
      <c r="Q263" s="4"/>
      <c r="R263" s="4"/>
      <c r="S263" s="4"/>
      <c r="T263" s="53"/>
      <c r="U263" s="4"/>
      <c r="V263" s="4"/>
      <c r="W263" s="4"/>
      <c r="X263" s="4"/>
      <c r="Y263" s="4"/>
      <c r="Z263" s="4"/>
    </row>
    <row r="264" spans="1:26" ht="15.75" customHeight="1">
      <c r="A264" s="4"/>
      <c r="B264" s="4"/>
      <c r="C264" s="336"/>
      <c r="D264" s="336"/>
      <c r="E264" s="4"/>
      <c r="F264" s="4"/>
      <c r="G264" s="4"/>
      <c r="H264" s="4"/>
      <c r="I264" s="4"/>
      <c r="J264" s="4"/>
      <c r="K264" s="4"/>
      <c r="L264" s="4"/>
      <c r="M264" s="4"/>
      <c r="N264" s="4"/>
      <c r="O264" s="4"/>
      <c r="P264" s="4"/>
      <c r="Q264" s="4"/>
      <c r="R264" s="4"/>
      <c r="S264" s="4"/>
      <c r="T264" s="53"/>
      <c r="U264" s="4"/>
      <c r="V264" s="4"/>
      <c r="W264" s="4"/>
      <c r="X264" s="4"/>
      <c r="Y264" s="4"/>
      <c r="Z264" s="4"/>
    </row>
    <row r="265" spans="1:26" ht="15.75" customHeight="1">
      <c r="A265" s="4"/>
      <c r="B265" s="4"/>
      <c r="C265" s="336"/>
      <c r="D265" s="336"/>
      <c r="E265" s="4"/>
      <c r="F265" s="4"/>
      <c r="G265" s="4"/>
      <c r="H265" s="4"/>
      <c r="I265" s="4"/>
      <c r="J265" s="4"/>
      <c r="K265" s="4"/>
      <c r="L265" s="4"/>
      <c r="M265" s="4"/>
      <c r="N265" s="4"/>
      <c r="O265" s="4"/>
      <c r="P265" s="4"/>
      <c r="Q265" s="4"/>
      <c r="R265" s="4"/>
      <c r="S265" s="4"/>
      <c r="T265" s="53"/>
      <c r="U265" s="4"/>
      <c r="V265" s="4"/>
      <c r="W265" s="4"/>
      <c r="X265" s="4"/>
      <c r="Y265" s="4"/>
      <c r="Z265" s="4"/>
    </row>
    <row r="266" spans="1:26" ht="15.75" customHeight="1">
      <c r="A266" s="4"/>
      <c r="B266" s="4"/>
      <c r="C266" s="336"/>
      <c r="D266" s="336"/>
      <c r="E266" s="4"/>
      <c r="F266" s="4"/>
      <c r="G266" s="4"/>
      <c r="H266" s="4"/>
      <c r="I266" s="4"/>
      <c r="J266" s="4"/>
      <c r="K266" s="4"/>
      <c r="L266" s="4"/>
      <c r="M266" s="4"/>
      <c r="N266" s="4"/>
      <c r="O266" s="4"/>
      <c r="P266" s="4"/>
      <c r="Q266" s="4"/>
      <c r="R266" s="4"/>
      <c r="S266" s="4"/>
      <c r="T266" s="53"/>
      <c r="U266" s="4"/>
      <c r="V266" s="4"/>
      <c r="W266" s="4"/>
      <c r="X266" s="4"/>
      <c r="Y266" s="4"/>
      <c r="Z266" s="4"/>
    </row>
    <row r="267" spans="1:26" ht="15.75" customHeight="1">
      <c r="A267" s="4"/>
      <c r="B267" s="4"/>
      <c r="C267" s="336"/>
      <c r="D267" s="336"/>
      <c r="E267" s="4"/>
      <c r="F267" s="4"/>
      <c r="G267" s="4"/>
      <c r="H267" s="4"/>
      <c r="I267" s="4"/>
      <c r="J267" s="4"/>
      <c r="K267" s="4"/>
      <c r="L267" s="4"/>
      <c r="M267" s="4"/>
      <c r="N267" s="4"/>
      <c r="O267" s="4"/>
      <c r="P267" s="4"/>
      <c r="Q267" s="4"/>
      <c r="R267" s="4"/>
      <c r="S267" s="4"/>
      <c r="T267" s="53"/>
      <c r="U267" s="4"/>
      <c r="V267" s="4"/>
      <c r="W267" s="4"/>
      <c r="X267" s="4"/>
      <c r="Y267" s="4"/>
      <c r="Z267" s="4"/>
    </row>
    <row r="268" spans="1:26" ht="15.75" customHeight="1">
      <c r="A268" s="4"/>
      <c r="B268" s="4"/>
      <c r="C268" s="336"/>
      <c r="D268" s="336"/>
      <c r="E268" s="4"/>
      <c r="F268" s="4"/>
      <c r="G268" s="4"/>
      <c r="H268" s="4"/>
      <c r="I268" s="4"/>
      <c r="J268" s="4"/>
      <c r="K268" s="4"/>
      <c r="L268" s="4"/>
      <c r="M268" s="4"/>
      <c r="N268" s="4"/>
      <c r="O268" s="4"/>
      <c r="P268" s="4"/>
      <c r="Q268" s="4"/>
      <c r="R268" s="4"/>
      <c r="S268" s="4"/>
      <c r="T268" s="53"/>
      <c r="U268" s="4"/>
      <c r="V268" s="4"/>
      <c r="W268" s="4"/>
      <c r="X268" s="4"/>
      <c r="Y268" s="4"/>
      <c r="Z268" s="4"/>
    </row>
    <row r="269" spans="1:26" ht="15.75" customHeight="1">
      <c r="A269" s="4"/>
      <c r="B269" s="4"/>
      <c r="C269" s="336"/>
      <c r="D269" s="336"/>
      <c r="E269" s="4"/>
      <c r="F269" s="4"/>
      <c r="G269" s="4"/>
      <c r="H269" s="4"/>
      <c r="I269" s="4"/>
      <c r="J269" s="4"/>
      <c r="K269" s="4"/>
      <c r="L269" s="4"/>
      <c r="M269" s="4"/>
      <c r="N269" s="4"/>
      <c r="O269" s="4"/>
      <c r="P269" s="4"/>
      <c r="Q269" s="4"/>
      <c r="R269" s="4"/>
      <c r="S269" s="4"/>
      <c r="T269" s="53"/>
      <c r="U269" s="4"/>
      <c r="V269" s="4"/>
      <c r="W269" s="4"/>
      <c r="X269" s="4"/>
      <c r="Y269" s="4"/>
      <c r="Z269" s="4"/>
    </row>
    <row r="270" spans="1:26" ht="15.75" customHeight="1">
      <c r="A270" s="4"/>
      <c r="B270" s="4"/>
      <c r="C270" s="336"/>
      <c r="D270" s="336"/>
      <c r="E270" s="4"/>
      <c r="F270" s="4"/>
      <c r="G270" s="4"/>
      <c r="H270" s="4"/>
      <c r="I270" s="4"/>
      <c r="J270" s="4"/>
      <c r="K270" s="4"/>
      <c r="L270" s="4"/>
      <c r="M270" s="4"/>
      <c r="N270" s="4"/>
      <c r="O270" s="4"/>
      <c r="P270" s="4"/>
      <c r="Q270" s="4"/>
      <c r="R270" s="4"/>
      <c r="S270" s="4"/>
      <c r="T270" s="53"/>
      <c r="U270" s="4"/>
      <c r="V270" s="4"/>
      <c r="W270" s="4"/>
      <c r="X270" s="4"/>
      <c r="Y270" s="4"/>
      <c r="Z270" s="4"/>
    </row>
    <row r="271" spans="1:26" ht="15.75" customHeight="1">
      <c r="A271" s="4"/>
      <c r="B271" s="4"/>
      <c r="C271" s="336"/>
      <c r="D271" s="336"/>
      <c r="E271" s="4"/>
      <c r="F271" s="4"/>
      <c r="G271" s="4"/>
      <c r="H271" s="4"/>
      <c r="I271" s="4"/>
      <c r="J271" s="4"/>
      <c r="K271" s="4"/>
      <c r="L271" s="4"/>
      <c r="M271" s="4"/>
      <c r="N271" s="4"/>
      <c r="O271" s="4"/>
      <c r="P271" s="4"/>
      <c r="Q271" s="4"/>
      <c r="R271" s="4"/>
      <c r="S271" s="4"/>
      <c r="T271" s="53"/>
      <c r="U271" s="4"/>
      <c r="V271" s="4"/>
      <c r="W271" s="4"/>
      <c r="X271" s="4"/>
      <c r="Y271" s="4"/>
      <c r="Z271" s="4"/>
    </row>
    <row r="272" spans="1:26" ht="15.75" customHeight="1">
      <c r="A272" s="4"/>
      <c r="B272" s="4"/>
      <c r="C272" s="336"/>
      <c r="D272" s="336"/>
      <c r="E272" s="4"/>
      <c r="F272" s="4"/>
      <c r="G272" s="4"/>
      <c r="H272" s="4"/>
      <c r="I272" s="4"/>
      <c r="J272" s="4"/>
      <c r="K272" s="4"/>
      <c r="L272" s="4"/>
      <c r="M272" s="4"/>
      <c r="N272" s="4"/>
      <c r="O272" s="4"/>
      <c r="P272" s="4"/>
      <c r="Q272" s="4"/>
      <c r="R272" s="4"/>
      <c r="S272" s="4"/>
      <c r="T272" s="53"/>
      <c r="U272" s="4"/>
      <c r="V272" s="4"/>
      <c r="W272" s="4"/>
      <c r="X272" s="4"/>
      <c r="Y272" s="4"/>
      <c r="Z272" s="4"/>
    </row>
    <row r="273" spans="1:26" ht="15.75" customHeight="1">
      <c r="A273" s="4"/>
      <c r="B273" s="4"/>
      <c r="C273" s="336"/>
      <c r="D273" s="336"/>
      <c r="E273" s="4"/>
      <c r="F273" s="4"/>
      <c r="G273" s="4"/>
      <c r="H273" s="4"/>
      <c r="I273" s="4"/>
      <c r="J273" s="4"/>
      <c r="K273" s="4"/>
      <c r="L273" s="4"/>
      <c r="M273" s="4"/>
      <c r="N273" s="4"/>
      <c r="O273" s="4"/>
      <c r="P273" s="4"/>
      <c r="Q273" s="4"/>
      <c r="R273" s="4"/>
      <c r="S273" s="4"/>
      <c r="T273" s="53"/>
      <c r="U273" s="4"/>
      <c r="V273" s="4"/>
      <c r="W273" s="4"/>
      <c r="X273" s="4"/>
      <c r="Y273" s="4"/>
      <c r="Z273" s="4"/>
    </row>
    <row r="274" spans="1:26" ht="15.75" customHeight="1">
      <c r="A274" s="4"/>
      <c r="B274" s="4"/>
      <c r="C274" s="336"/>
      <c r="D274" s="336"/>
      <c r="E274" s="4"/>
      <c r="F274" s="4"/>
      <c r="G274" s="4"/>
      <c r="H274" s="4"/>
      <c r="I274" s="4"/>
      <c r="J274" s="4"/>
      <c r="K274" s="4"/>
      <c r="L274" s="4"/>
      <c r="M274" s="4"/>
      <c r="N274" s="4"/>
      <c r="O274" s="4"/>
      <c r="P274" s="4"/>
      <c r="Q274" s="4"/>
      <c r="R274" s="4"/>
      <c r="S274" s="4"/>
      <c r="T274" s="53"/>
      <c r="U274" s="4"/>
      <c r="V274" s="4"/>
      <c r="W274" s="4"/>
      <c r="X274" s="4"/>
      <c r="Y274" s="4"/>
      <c r="Z274" s="4"/>
    </row>
    <row r="275" spans="1:26" ht="15.75" customHeight="1">
      <c r="A275" s="4"/>
      <c r="B275" s="4"/>
      <c r="C275" s="336"/>
      <c r="D275" s="336"/>
      <c r="E275" s="4"/>
      <c r="F275" s="4"/>
      <c r="G275" s="4"/>
      <c r="H275" s="4"/>
      <c r="I275" s="4"/>
      <c r="J275" s="4"/>
      <c r="K275" s="4"/>
      <c r="L275" s="4"/>
      <c r="M275" s="4"/>
      <c r="N275" s="4"/>
      <c r="O275" s="4"/>
      <c r="P275" s="4"/>
      <c r="Q275" s="4"/>
      <c r="R275" s="4"/>
      <c r="S275" s="4"/>
      <c r="T275" s="53"/>
      <c r="U275" s="4"/>
      <c r="V275" s="4"/>
      <c r="W275" s="4"/>
      <c r="X275" s="4"/>
      <c r="Y275" s="4"/>
      <c r="Z275" s="4"/>
    </row>
    <row r="276" spans="1:26" ht="15.75" customHeight="1">
      <c r="A276" s="4"/>
      <c r="B276" s="4"/>
      <c r="C276" s="336"/>
      <c r="D276" s="336"/>
      <c r="E276" s="4"/>
      <c r="F276" s="4"/>
      <c r="G276" s="4"/>
      <c r="H276" s="4"/>
      <c r="I276" s="4"/>
      <c r="J276" s="4"/>
      <c r="K276" s="4"/>
      <c r="L276" s="4"/>
      <c r="M276" s="4"/>
      <c r="N276" s="4"/>
      <c r="O276" s="4"/>
      <c r="P276" s="4"/>
      <c r="Q276" s="4"/>
      <c r="R276" s="4"/>
      <c r="S276" s="4"/>
      <c r="T276" s="53"/>
      <c r="U276" s="4"/>
      <c r="V276" s="4"/>
      <c r="W276" s="4"/>
      <c r="X276" s="4"/>
      <c r="Y276" s="4"/>
      <c r="Z276" s="4"/>
    </row>
    <row r="277" spans="1:26" ht="15.75" customHeight="1">
      <c r="A277" s="4"/>
      <c r="B277" s="4"/>
      <c r="C277" s="336"/>
      <c r="D277" s="336"/>
      <c r="E277" s="4"/>
      <c r="F277" s="4"/>
      <c r="G277" s="4"/>
      <c r="H277" s="4"/>
      <c r="I277" s="4"/>
      <c r="J277" s="4"/>
      <c r="K277" s="4"/>
      <c r="L277" s="4"/>
      <c r="M277" s="4"/>
      <c r="N277" s="4"/>
      <c r="O277" s="4"/>
      <c r="P277" s="4"/>
      <c r="Q277" s="4"/>
      <c r="R277" s="4"/>
      <c r="S277" s="4"/>
      <c r="T277" s="53"/>
      <c r="U277" s="4"/>
      <c r="V277" s="4"/>
      <c r="W277" s="4"/>
      <c r="X277" s="4"/>
      <c r="Y277" s="4"/>
      <c r="Z277" s="4"/>
    </row>
    <row r="278" spans="1:26" ht="15.75" customHeight="1">
      <c r="A278" s="4"/>
      <c r="B278" s="4"/>
      <c r="C278" s="336"/>
      <c r="D278" s="336"/>
      <c r="E278" s="4"/>
      <c r="F278" s="4"/>
      <c r="G278" s="4"/>
      <c r="H278" s="4"/>
      <c r="I278" s="4"/>
      <c r="J278" s="4"/>
      <c r="K278" s="4"/>
      <c r="L278" s="4"/>
      <c r="M278" s="4"/>
      <c r="N278" s="4"/>
      <c r="O278" s="4"/>
      <c r="P278" s="4"/>
      <c r="Q278" s="4"/>
      <c r="R278" s="4"/>
      <c r="S278" s="4"/>
      <c r="T278" s="53"/>
      <c r="U278" s="4"/>
      <c r="V278" s="4"/>
      <c r="W278" s="4"/>
      <c r="X278" s="4"/>
      <c r="Y278" s="4"/>
      <c r="Z278" s="4"/>
    </row>
    <row r="279" spans="1:26" ht="15.75" customHeight="1">
      <c r="A279" s="4"/>
      <c r="B279" s="4"/>
      <c r="C279" s="336"/>
      <c r="D279" s="336"/>
      <c r="E279" s="4"/>
      <c r="F279" s="4"/>
      <c r="G279" s="4"/>
      <c r="H279" s="4"/>
      <c r="I279" s="4"/>
      <c r="J279" s="4"/>
      <c r="K279" s="4"/>
      <c r="L279" s="4"/>
      <c r="M279" s="4"/>
      <c r="N279" s="4"/>
      <c r="O279" s="4"/>
      <c r="P279" s="4"/>
      <c r="Q279" s="4"/>
      <c r="R279" s="4"/>
      <c r="S279" s="4"/>
      <c r="T279" s="53"/>
      <c r="U279" s="4"/>
      <c r="V279" s="4"/>
      <c r="W279" s="4"/>
      <c r="X279" s="4"/>
      <c r="Y279" s="4"/>
      <c r="Z279" s="4"/>
    </row>
    <row r="280" spans="1:26" ht="15.75" customHeight="1">
      <c r="A280" s="4"/>
      <c r="B280" s="4"/>
      <c r="C280" s="336"/>
      <c r="D280" s="336"/>
      <c r="E280" s="4"/>
      <c r="F280" s="4"/>
      <c r="G280" s="4"/>
      <c r="H280" s="4"/>
      <c r="I280" s="4"/>
      <c r="J280" s="4"/>
      <c r="K280" s="4"/>
      <c r="L280" s="4"/>
      <c r="M280" s="4"/>
      <c r="N280" s="4"/>
      <c r="O280" s="4"/>
      <c r="P280" s="4"/>
      <c r="Q280" s="4"/>
      <c r="R280" s="4"/>
      <c r="S280" s="4"/>
      <c r="T280" s="53"/>
      <c r="U280" s="4"/>
      <c r="V280" s="4"/>
      <c r="W280" s="4"/>
      <c r="X280" s="4"/>
      <c r="Y280" s="4"/>
      <c r="Z280" s="4"/>
    </row>
    <row r="281" spans="1:26" ht="15.75" customHeight="1">
      <c r="A281" s="4"/>
      <c r="B281" s="4"/>
      <c r="C281" s="336"/>
      <c r="D281" s="336"/>
      <c r="E281" s="4"/>
      <c r="F281" s="4"/>
      <c r="G281" s="4"/>
      <c r="H281" s="4"/>
      <c r="I281" s="4"/>
      <c r="J281" s="4"/>
      <c r="K281" s="4"/>
      <c r="L281" s="4"/>
      <c r="M281" s="4"/>
      <c r="N281" s="4"/>
      <c r="O281" s="4"/>
      <c r="P281" s="4"/>
      <c r="Q281" s="4"/>
      <c r="R281" s="4"/>
      <c r="S281" s="4"/>
      <c r="T281" s="53"/>
      <c r="U281" s="4"/>
      <c r="V281" s="4"/>
      <c r="W281" s="4"/>
      <c r="X281" s="4"/>
      <c r="Y281" s="4"/>
      <c r="Z281" s="4"/>
    </row>
    <row r="282" spans="1:26" ht="15.75" customHeight="1">
      <c r="A282" s="4"/>
      <c r="B282" s="4"/>
      <c r="C282" s="336"/>
      <c r="D282" s="336"/>
      <c r="E282" s="4"/>
      <c r="F282" s="4"/>
      <c r="G282" s="4"/>
      <c r="H282" s="4"/>
      <c r="I282" s="4"/>
      <c r="J282" s="4"/>
      <c r="K282" s="4"/>
      <c r="L282" s="4"/>
      <c r="M282" s="4"/>
      <c r="N282" s="4"/>
      <c r="O282" s="4"/>
      <c r="P282" s="4"/>
      <c r="Q282" s="4"/>
      <c r="R282" s="4"/>
      <c r="S282" s="4"/>
      <c r="T282" s="53"/>
      <c r="U282" s="4"/>
      <c r="V282" s="4"/>
      <c r="W282" s="4"/>
      <c r="X282" s="4"/>
      <c r="Y282" s="4"/>
      <c r="Z282" s="4"/>
    </row>
    <row r="283" spans="1:26" ht="15.75" customHeight="1">
      <c r="A283" s="4"/>
      <c r="B283" s="4"/>
      <c r="C283" s="336"/>
      <c r="D283" s="336"/>
      <c r="E283" s="4"/>
      <c r="F283" s="4"/>
      <c r="G283" s="4"/>
      <c r="H283" s="4"/>
      <c r="I283" s="4"/>
      <c r="J283" s="4"/>
      <c r="K283" s="4"/>
      <c r="L283" s="4"/>
      <c r="M283" s="4"/>
      <c r="N283" s="4"/>
      <c r="O283" s="4"/>
      <c r="P283" s="4"/>
      <c r="Q283" s="4"/>
      <c r="R283" s="4"/>
      <c r="S283" s="4"/>
      <c r="T283" s="53"/>
      <c r="U283" s="4"/>
      <c r="V283" s="4"/>
      <c r="W283" s="4"/>
      <c r="X283" s="4"/>
      <c r="Y283" s="4"/>
      <c r="Z283" s="4"/>
    </row>
    <row r="284" spans="1:26" ht="15.75" customHeight="1">
      <c r="A284" s="4"/>
      <c r="B284" s="4"/>
      <c r="C284" s="336"/>
      <c r="D284" s="336"/>
      <c r="E284" s="4"/>
      <c r="F284" s="4"/>
      <c r="G284" s="4"/>
      <c r="H284" s="4"/>
      <c r="I284" s="4"/>
      <c r="J284" s="4"/>
      <c r="K284" s="4"/>
      <c r="L284" s="4"/>
      <c r="M284" s="4"/>
      <c r="N284" s="4"/>
      <c r="O284" s="4"/>
      <c r="P284" s="4"/>
      <c r="Q284" s="4"/>
      <c r="R284" s="4"/>
      <c r="S284" s="4"/>
      <c r="T284" s="53"/>
      <c r="U284" s="4"/>
      <c r="V284" s="4"/>
      <c r="W284" s="4"/>
      <c r="X284" s="4"/>
      <c r="Y284" s="4"/>
      <c r="Z284" s="4"/>
    </row>
    <row r="285" spans="1:26" ht="15.75" customHeight="1">
      <c r="A285" s="4"/>
      <c r="B285" s="4"/>
      <c r="C285" s="336"/>
      <c r="D285" s="336"/>
      <c r="E285" s="4"/>
      <c r="F285" s="4"/>
      <c r="G285" s="4"/>
      <c r="H285" s="4"/>
      <c r="I285" s="4"/>
      <c r="J285" s="4"/>
      <c r="K285" s="4"/>
      <c r="L285" s="4"/>
      <c r="M285" s="4"/>
      <c r="N285" s="4"/>
      <c r="O285" s="4"/>
      <c r="P285" s="4"/>
      <c r="Q285" s="4"/>
      <c r="R285" s="4"/>
      <c r="S285" s="4"/>
      <c r="T285" s="53"/>
      <c r="U285" s="4"/>
      <c r="V285" s="4"/>
      <c r="W285" s="4"/>
      <c r="X285" s="4"/>
      <c r="Y285" s="4"/>
      <c r="Z285" s="4"/>
    </row>
    <row r="286" spans="1:26" ht="15.75" customHeight="1">
      <c r="A286" s="4"/>
      <c r="B286" s="4"/>
      <c r="C286" s="336"/>
      <c r="D286" s="336"/>
      <c r="E286" s="4"/>
      <c r="F286" s="4"/>
      <c r="G286" s="4"/>
      <c r="H286" s="4"/>
      <c r="I286" s="4"/>
      <c r="J286" s="4"/>
      <c r="K286" s="4"/>
      <c r="L286" s="4"/>
      <c r="M286" s="4"/>
      <c r="N286" s="4"/>
      <c r="O286" s="4"/>
      <c r="P286" s="4"/>
      <c r="Q286" s="4"/>
      <c r="R286" s="4"/>
      <c r="S286" s="4"/>
      <c r="T286" s="53"/>
      <c r="U286" s="4"/>
      <c r="V286" s="4"/>
      <c r="W286" s="4"/>
      <c r="X286" s="4"/>
      <c r="Y286" s="4"/>
      <c r="Z286" s="4"/>
    </row>
    <row r="287" spans="1:26" ht="15.75" customHeight="1">
      <c r="A287" s="4"/>
      <c r="B287" s="4"/>
      <c r="C287" s="336"/>
      <c r="D287" s="336"/>
      <c r="E287" s="4"/>
      <c r="F287" s="4"/>
      <c r="G287" s="4"/>
      <c r="H287" s="4"/>
      <c r="I287" s="4"/>
      <c r="J287" s="4"/>
      <c r="K287" s="4"/>
      <c r="L287" s="4"/>
      <c r="M287" s="4"/>
      <c r="N287" s="4"/>
      <c r="O287" s="4"/>
      <c r="P287" s="4"/>
      <c r="Q287" s="4"/>
      <c r="R287" s="4"/>
      <c r="S287" s="4"/>
      <c r="T287" s="53"/>
      <c r="U287" s="4"/>
      <c r="V287" s="4"/>
      <c r="W287" s="4"/>
      <c r="X287" s="4"/>
      <c r="Y287" s="4"/>
      <c r="Z287" s="4"/>
    </row>
    <row r="288" spans="1:26" ht="15.75" customHeight="1">
      <c r="A288" s="4"/>
      <c r="B288" s="4"/>
      <c r="C288" s="336"/>
      <c r="D288" s="336"/>
      <c r="E288" s="4"/>
      <c r="F288" s="4"/>
      <c r="G288" s="4"/>
      <c r="H288" s="4"/>
      <c r="I288" s="4"/>
      <c r="J288" s="4"/>
      <c r="K288" s="4"/>
      <c r="L288" s="4"/>
      <c r="M288" s="4"/>
      <c r="N288" s="4"/>
      <c r="O288" s="4"/>
      <c r="P288" s="4"/>
      <c r="Q288" s="4"/>
      <c r="R288" s="4"/>
      <c r="S288" s="4"/>
      <c r="T288" s="53"/>
      <c r="U288" s="4"/>
      <c r="V288" s="4"/>
      <c r="W288" s="4"/>
      <c r="X288" s="4"/>
      <c r="Y288" s="4"/>
      <c r="Z288" s="4"/>
    </row>
    <row r="289" spans="1:26" ht="15.75" customHeight="1">
      <c r="A289" s="4"/>
      <c r="B289" s="4"/>
      <c r="C289" s="336"/>
      <c r="D289" s="336"/>
      <c r="E289" s="4"/>
      <c r="F289" s="4"/>
      <c r="G289" s="4"/>
      <c r="H289" s="4"/>
      <c r="I289" s="4"/>
      <c r="J289" s="4"/>
      <c r="K289" s="4"/>
      <c r="L289" s="4"/>
      <c r="M289" s="4"/>
      <c r="N289" s="4"/>
      <c r="O289" s="4"/>
      <c r="P289" s="4"/>
      <c r="Q289" s="4"/>
      <c r="R289" s="4"/>
      <c r="S289" s="4"/>
      <c r="T289" s="53"/>
      <c r="U289" s="4"/>
      <c r="V289" s="4"/>
      <c r="W289" s="4"/>
      <c r="X289" s="4"/>
      <c r="Y289" s="4"/>
      <c r="Z289" s="4"/>
    </row>
    <row r="290" spans="1:26" ht="15.75" customHeight="1">
      <c r="A290" s="4"/>
      <c r="B290" s="4"/>
      <c r="C290" s="336"/>
      <c r="D290" s="336"/>
      <c r="E290" s="4"/>
      <c r="F290" s="4"/>
      <c r="G290" s="4"/>
      <c r="H290" s="4"/>
      <c r="I290" s="4"/>
      <c r="J290" s="4"/>
      <c r="K290" s="4"/>
      <c r="L290" s="4"/>
      <c r="M290" s="4"/>
      <c r="N290" s="4"/>
      <c r="O290" s="4"/>
      <c r="P290" s="4"/>
      <c r="Q290" s="4"/>
      <c r="R290" s="4"/>
      <c r="S290" s="4"/>
      <c r="T290" s="53"/>
      <c r="U290" s="4"/>
      <c r="V290" s="4"/>
      <c r="W290" s="4"/>
      <c r="X290" s="4"/>
      <c r="Y290" s="4"/>
      <c r="Z290" s="4"/>
    </row>
    <row r="291" spans="1:26" ht="15.75" customHeight="1">
      <c r="A291" s="4"/>
      <c r="B291" s="4"/>
      <c r="C291" s="336"/>
      <c r="D291" s="336"/>
      <c r="E291" s="4"/>
      <c r="F291" s="4"/>
      <c r="G291" s="4"/>
      <c r="H291" s="4"/>
      <c r="I291" s="4"/>
      <c r="J291" s="4"/>
      <c r="K291" s="4"/>
      <c r="L291" s="4"/>
      <c r="M291" s="4"/>
      <c r="N291" s="4"/>
      <c r="O291" s="4"/>
      <c r="P291" s="4"/>
      <c r="Q291" s="4"/>
      <c r="R291" s="4"/>
      <c r="S291" s="4"/>
      <c r="T291" s="53"/>
      <c r="U291" s="4"/>
      <c r="V291" s="4"/>
      <c r="W291" s="4"/>
      <c r="X291" s="4"/>
      <c r="Y291" s="4"/>
      <c r="Z291" s="4"/>
    </row>
    <row r="292" spans="1:26" ht="15.75" customHeight="1">
      <c r="A292" s="4"/>
      <c r="B292" s="4"/>
      <c r="C292" s="336"/>
      <c r="D292" s="336"/>
      <c r="E292" s="4"/>
      <c r="F292" s="4"/>
      <c r="G292" s="4"/>
      <c r="H292" s="4"/>
      <c r="I292" s="4"/>
      <c r="J292" s="4"/>
      <c r="K292" s="4"/>
      <c r="L292" s="4"/>
      <c r="M292" s="4"/>
      <c r="N292" s="4"/>
      <c r="O292" s="4"/>
      <c r="P292" s="4"/>
      <c r="Q292" s="4"/>
      <c r="R292" s="4"/>
      <c r="S292" s="4"/>
      <c r="T292" s="53"/>
      <c r="U292" s="4"/>
      <c r="V292" s="4"/>
      <c r="W292" s="4"/>
      <c r="X292" s="4"/>
      <c r="Y292" s="4"/>
      <c r="Z292" s="4"/>
    </row>
    <row r="293" spans="1:26" ht="15.75" customHeight="1">
      <c r="A293" s="4"/>
      <c r="B293" s="4"/>
      <c r="C293" s="336"/>
      <c r="D293" s="336"/>
      <c r="E293" s="4"/>
      <c r="F293" s="4"/>
      <c r="G293" s="4"/>
      <c r="H293" s="4"/>
      <c r="I293" s="4"/>
      <c r="J293" s="4"/>
      <c r="K293" s="4"/>
      <c r="L293" s="4"/>
      <c r="M293" s="4"/>
      <c r="N293" s="4"/>
      <c r="O293" s="4"/>
      <c r="P293" s="4"/>
      <c r="Q293" s="4"/>
      <c r="R293" s="4"/>
      <c r="S293" s="4"/>
      <c r="T293" s="53"/>
      <c r="U293" s="4"/>
      <c r="V293" s="4"/>
      <c r="W293" s="4"/>
      <c r="X293" s="4"/>
      <c r="Y293" s="4"/>
      <c r="Z293" s="4"/>
    </row>
    <row r="294" spans="1:26" ht="15.75" customHeight="1">
      <c r="A294" s="4"/>
      <c r="B294" s="4"/>
      <c r="C294" s="336"/>
      <c r="D294" s="336"/>
      <c r="E294" s="4"/>
      <c r="F294" s="4"/>
      <c r="G294" s="4"/>
      <c r="H294" s="4"/>
      <c r="I294" s="4"/>
      <c r="J294" s="4"/>
      <c r="K294" s="4"/>
      <c r="L294" s="4"/>
      <c r="M294" s="4"/>
      <c r="N294" s="4"/>
      <c r="O294" s="4"/>
      <c r="P294" s="4"/>
      <c r="Q294" s="4"/>
      <c r="R294" s="4"/>
      <c r="S294" s="4"/>
      <c r="T294" s="53"/>
      <c r="U294" s="4"/>
      <c r="V294" s="4"/>
      <c r="W294" s="4"/>
      <c r="X294" s="4"/>
      <c r="Y294" s="4"/>
      <c r="Z294" s="4"/>
    </row>
    <row r="295" spans="1:26" ht="15.75" customHeight="1">
      <c r="A295" s="4"/>
      <c r="B295" s="4"/>
      <c r="C295" s="336"/>
      <c r="D295" s="336"/>
      <c r="E295" s="4"/>
      <c r="F295" s="4"/>
      <c r="G295" s="4"/>
      <c r="H295" s="4"/>
      <c r="I295" s="4"/>
      <c r="J295" s="4"/>
      <c r="K295" s="4"/>
      <c r="L295" s="4"/>
      <c r="M295" s="4"/>
      <c r="N295" s="4"/>
      <c r="O295" s="4"/>
      <c r="P295" s="4"/>
      <c r="Q295" s="4"/>
      <c r="R295" s="4"/>
      <c r="S295" s="4"/>
      <c r="T295" s="53"/>
      <c r="U295" s="4"/>
      <c r="V295" s="4"/>
      <c r="W295" s="4"/>
      <c r="X295" s="4"/>
      <c r="Y295" s="4"/>
      <c r="Z295" s="4"/>
    </row>
    <row r="296" spans="1:26" ht="15.75" customHeight="1">
      <c r="A296" s="4"/>
      <c r="B296" s="4"/>
      <c r="C296" s="336"/>
      <c r="D296" s="336"/>
      <c r="E296" s="4"/>
      <c r="F296" s="4"/>
      <c r="G296" s="4"/>
      <c r="H296" s="4"/>
      <c r="I296" s="4"/>
      <c r="J296" s="4"/>
      <c r="K296" s="4"/>
      <c r="L296" s="4"/>
      <c r="M296" s="4"/>
      <c r="N296" s="4"/>
      <c r="O296" s="4"/>
      <c r="P296" s="4"/>
      <c r="Q296" s="4"/>
      <c r="R296" s="4"/>
      <c r="S296" s="4"/>
      <c r="T296" s="53"/>
      <c r="U296" s="4"/>
      <c r="V296" s="4"/>
      <c r="W296" s="4"/>
      <c r="X296" s="4"/>
      <c r="Y296" s="4"/>
      <c r="Z296" s="4"/>
    </row>
    <row r="297" spans="1:26" ht="15.75" customHeight="1">
      <c r="A297" s="4"/>
      <c r="B297" s="4"/>
      <c r="C297" s="336"/>
      <c r="D297" s="336"/>
      <c r="E297" s="4"/>
      <c r="F297" s="4"/>
      <c r="G297" s="4"/>
      <c r="H297" s="4"/>
      <c r="I297" s="4"/>
      <c r="J297" s="4"/>
      <c r="K297" s="4"/>
      <c r="L297" s="4"/>
      <c r="M297" s="4"/>
      <c r="N297" s="4"/>
      <c r="O297" s="4"/>
      <c r="P297" s="4"/>
      <c r="Q297" s="4"/>
      <c r="R297" s="4"/>
      <c r="S297" s="4"/>
      <c r="T297" s="53"/>
      <c r="U297" s="4"/>
      <c r="V297" s="4"/>
      <c r="W297" s="4"/>
      <c r="X297" s="4"/>
      <c r="Y297" s="4"/>
      <c r="Z297" s="4"/>
    </row>
    <row r="298" spans="1:26" ht="15.75" customHeight="1">
      <c r="A298" s="4"/>
      <c r="B298" s="4"/>
      <c r="C298" s="336"/>
      <c r="D298" s="336"/>
      <c r="E298" s="4"/>
      <c r="F298" s="4"/>
      <c r="G298" s="4"/>
      <c r="H298" s="4"/>
      <c r="I298" s="4"/>
      <c r="J298" s="4"/>
      <c r="K298" s="4"/>
      <c r="L298" s="4"/>
      <c r="M298" s="4"/>
      <c r="N298" s="4"/>
      <c r="O298" s="4"/>
      <c r="P298" s="4"/>
      <c r="Q298" s="4"/>
      <c r="R298" s="4"/>
      <c r="S298" s="4"/>
      <c r="T298" s="53"/>
      <c r="U298" s="4"/>
      <c r="V298" s="4"/>
      <c r="W298" s="4"/>
      <c r="X298" s="4"/>
      <c r="Y298" s="4"/>
      <c r="Z298" s="4"/>
    </row>
    <row r="299" spans="1:26" ht="15.75" customHeight="1">
      <c r="A299" s="4"/>
      <c r="B299" s="4"/>
      <c r="C299" s="336"/>
      <c r="D299" s="336"/>
      <c r="E299" s="4"/>
      <c r="F299" s="4"/>
      <c r="G299" s="4"/>
      <c r="H299" s="4"/>
      <c r="I299" s="4"/>
      <c r="J299" s="4"/>
      <c r="K299" s="4"/>
      <c r="L299" s="4"/>
      <c r="M299" s="4"/>
      <c r="N299" s="4"/>
      <c r="O299" s="4"/>
      <c r="P299" s="4"/>
      <c r="Q299" s="4"/>
      <c r="R299" s="4"/>
      <c r="S299" s="4"/>
      <c r="T299" s="53"/>
      <c r="U299" s="4"/>
      <c r="V299" s="4"/>
      <c r="W299" s="4"/>
      <c r="X299" s="4"/>
      <c r="Y299" s="4"/>
      <c r="Z299" s="4"/>
    </row>
    <row r="300" spans="1:26" ht="15.75" customHeight="1">
      <c r="A300" s="4"/>
      <c r="B300" s="4"/>
      <c r="C300" s="336"/>
      <c r="D300" s="336"/>
      <c r="E300" s="4"/>
      <c r="F300" s="4"/>
      <c r="G300" s="4"/>
      <c r="H300" s="4"/>
      <c r="I300" s="4"/>
      <c r="J300" s="4"/>
      <c r="K300" s="4"/>
      <c r="L300" s="4"/>
      <c r="M300" s="4"/>
      <c r="N300" s="4"/>
      <c r="O300" s="4"/>
      <c r="P300" s="4"/>
      <c r="Q300" s="4"/>
      <c r="R300" s="4"/>
      <c r="S300" s="4"/>
      <c r="T300" s="53"/>
      <c r="U300" s="4"/>
      <c r="V300" s="4"/>
      <c r="W300" s="4"/>
      <c r="X300" s="4"/>
      <c r="Y300" s="4"/>
      <c r="Z300" s="4"/>
    </row>
    <row r="301" spans="1:26" ht="15.75" customHeight="1">
      <c r="A301" s="4"/>
      <c r="B301" s="4"/>
      <c r="C301" s="336"/>
      <c r="D301" s="336"/>
      <c r="E301" s="4"/>
      <c r="F301" s="4"/>
      <c r="G301" s="4"/>
      <c r="H301" s="4"/>
      <c r="I301" s="4"/>
      <c r="J301" s="4"/>
      <c r="K301" s="4"/>
      <c r="L301" s="4"/>
      <c r="M301" s="4"/>
      <c r="N301" s="4"/>
      <c r="O301" s="4"/>
      <c r="P301" s="4"/>
      <c r="Q301" s="4"/>
      <c r="R301" s="4"/>
      <c r="S301" s="4"/>
      <c r="T301" s="53"/>
      <c r="U301" s="4"/>
      <c r="V301" s="4"/>
      <c r="W301" s="4"/>
      <c r="X301" s="4"/>
      <c r="Y301" s="4"/>
      <c r="Z301" s="4"/>
    </row>
    <row r="302" spans="1:26" ht="15.75" customHeight="1">
      <c r="A302" s="4"/>
      <c r="B302" s="4"/>
      <c r="C302" s="336"/>
      <c r="D302" s="336"/>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336"/>
      <c r="D303" s="336"/>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336"/>
      <c r="D304" s="336"/>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336"/>
      <c r="D305" s="336"/>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336"/>
      <c r="D306" s="336"/>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336"/>
      <c r="D307" s="336"/>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336"/>
      <c r="D308" s="336"/>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336"/>
      <c r="D309" s="336"/>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336"/>
      <c r="D310" s="336"/>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336"/>
      <c r="D311" s="336"/>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336"/>
      <c r="D312" s="336"/>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336"/>
      <c r="D313" s="336"/>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336"/>
      <c r="D314" s="336"/>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336"/>
      <c r="D315" s="336"/>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336"/>
      <c r="D316" s="336"/>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336"/>
      <c r="D317" s="336"/>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336"/>
      <c r="D318" s="336"/>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336"/>
      <c r="D319" s="336"/>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336"/>
      <c r="D320" s="336"/>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336"/>
      <c r="D321" s="336"/>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336"/>
      <c r="D322" s="336"/>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336"/>
      <c r="D323" s="336"/>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336"/>
      <c r="D324" s="336"/>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336"/>
      <c r="D325" s="336"/>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336"/>
      <c r="D326" s="336"/>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336"/>
      <c r="D327" s="336"/>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336"/>
      <c r="D328" s="336"/>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336"/>
      <c r="D329" s="336"/>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336"/>
      <c r="D330" s="336"/>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336"/>
      <c r="D331" s="336"/>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336"/>
      <c r="D332" s="336"/>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336"/>
      <c r="D333" s="336"/>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336"/>
      <c r="D334" s="336"/>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336"/>
      <c r="D335" s="336"/>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336"/>
      <c r="D336" s="336"/>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336"/>
      <c r="D337" s="336"/>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336"/>
      <c r="D338" s="336"/>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336"/>
      <c r="D339" s="336"/>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336"/>
      <c r="D340" s="336"/>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336"/>
      <c r="D341" s="336"/>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336"/>
      <c r="D342" s="336"/>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336"/>
      <c r="D343" s="336"/>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336"/>
      <c r="D344" s="336"/>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336"/>
      <c r="D345" s="336"/>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336"/>
      <c r="D346" s="336"/>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336"/>
      <c r="D347" s="336"/>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336"/>
      <c r="D348" s="336"/>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336"/>
      <c r="D349" s="336"/>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336"/>
      <c r="D350" s="336"/>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336"/>
      <c r="D351" s="336"/>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336"/>
      <c r="D352" s="336"/>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336"/>
      <c r="D353" s="336"/>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336"/>
      <c r="D354" s="336"/>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336"/>
      <c r="D355" s="336"/>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336"/>
      <c r="D356" s="336"/>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336"/>
      <c r="D357" s="336"/>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336"/>
      <c r="D358" s="336"/>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336"/>
      <c r="D359" s="336"/>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336"/>
      <c r="D360" s="336"/>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336"/>
      <c r="D361" s="336"/>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336"/>
      <c r="D362" s="336"/>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336"/>
      <c r="D363" s="336"/>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336"/>
      <c r="D364" s="336"/>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336"/>
      <c r="D365" s="336"/>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336"/>
      <c r="D366" s="336"/>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336"/>
      <c r="D367" s="336"/>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336"/>
      <c r="D368" s="336"/>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336"/>
      <c r="D369" s="336"/>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336"/>
      <c r="D370" s="336"/>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336"/>
      <c r="D371" s="336"/>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336"/>
      <c r="D372" s="336"/>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336"/>
      <c r="D373" s="336"/>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336"/>
      <c r="D374" s="336"/>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336"/>
      <c r="D375" s="336"/>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336"/>
      <c r="D376" s="336"/>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336"/>
      <c r="D377" s="336"/>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336"/>
      <c r="D378" s="336"/>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336"/>
      <c r="D379" s="336"/>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336"/>
      <c r="D380" s="336"/>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336"/>
      <c r="D381" s="336"/>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336"/>
      <c r="D382" s="336"/>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336"/>
      <c r="D383" s="336"/>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336"/>
      <c r="D384" s="336"/>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336"/>
      <c r="D385" s="336"/>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336"/>
      <c r="D386" s="336"/>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C387" s="339"/>
      <c r="D387" s="339"/>
    </row>
    <row r="388" spans="1:26" ht="15.75" customHeight="1">
      <c r="C388" s="339"/>
      <c r="D388" s="339"/>
    </row>
    <row r="389" spans="1:26" ht="15.75" customHeight="1">
      <c r="C389" s="339"/>
      <c r="D389" s="339"/>
    </row>
    <row r="390" spans="1:26" ht="15.75" customHeight="1">
      <c r="C390" s="339"/>
      <c r="D390" s="339"/>
    </row>
    <row r="391" spans="1:26" ht="15.75" customHeight="1">
      <c r="C391" s="339"/>
      <c r="D391" s="339"/>
    </row>
    <row r="392" spans="1:26" ht="15.75" customHeight="1">
      <c r="C392" s="339"/>
      <c r="D392" s="339"/>
    </row>
    <row r="393" spans="1:26" ht="15.75" customHeight="1">
      <c r="C393" s="339"/>
      <c r="D393" s="339"/>
    </row>
    <row r="394" spans="1:26" ht="15.75" customHeight="1">
      <c r="C394" s="339"/>
      <c r="D394" s="339"/>
    </row>
    <row r="395" spans="1:26" ht="15.75" customHeight="1">
      <c r="C395" s="339"/>
      <c r="D395" s="339"/>
    </row>
    <row r="396" spans="1:26" ht="15.75" customHeight="1">
      <c r="C396" s="339"/>
      <c r="D396" s="339"/>
    </row>
    <row r="397" spans="1:26" ht="15.75" customHeight="1">
      <c r="C397" s="339"/>
      <c r="D397" s="339"/>
    </row>
    <row r="398" spans="1:26" ht="15.75" customHeight="1">
      <c r="C398" s="339"/>
      <c r="D398" s="339"/>
    </row>
    <row r="399" spans="1:26" ht="15.75" customHeight="1">
      <c r="C399" s="339"/>
      <c r="D399" s="339"/>
    </row>
    <row r="400" spans="1:26" ht="15.75" customHeight="1">
      <c r="C400" s="339"/>
      <c r="D400" s="339"/>
    </row>
    <row r="401" spans="3:4" ht="15.75" customHeight="1">
      <c r="C401" s="339"/>
      <c r="D401" s="339"/>
    </row>
    <row r="402" spans="3:4" ht="15.75" customHeight="1">
      <c r="C402" s="339"/>
      <c r="D402" s="339"/>
    </row>
    <row r="403" spans="3:4" ht="15.75" customHeight="1">
      <c r="C403" s="339"/>
      <c r="D403" s="339"/>
    </row>
    <row r="404" spans="3:4" ht="15.75" customHeight="1">
      <c r="C404" s="339"/>
      <c r="D404" s="339"/>
    </row>
    <row r="405" spans="3:4" ht="15.75" customHeight="1">
      <c r="C405" s="339"/>
      <c r="D405" s="339"/>
    </row>
    <row r="406" spans="3:4" ht="15.75" customHeight="1">
      <c r="C406" s="339"/>
      <c r="D406" s="339"/>
    </row>
    <row r="407" spans="3:4" ht="15.75" customHeight="1">
      <c r="C407" s="339"/>
      <c r="D407" s="339"/>
    </row>
    <row r="408" spans="3:4" ht="15.75" customHeight="1">
      <c r="C408" s="339"/>
      <c r="D408" s="339"/>
    </row>
    <row r="409" spans="3:4" ht="15.75" customHeight="1">
      <c r="C409" s="339"/>
      <c r="D409" s="339"/>
    </row>
    <row r="410" spans="3:4" ht="15.75" customHeight="1">
      <c r="C410" s="339"/>
      <c r="D410" s="339"/>
    </row>
    <row r="411" spans="3:4" ht="15.75" customHeight="1">
      <c r="C411" s="339"/>
      <c r="D411" s="339"/>
    </row>
    <row r="412" spans="3:4" ht="15.75" customHeight="1">
      <c r="C412" s="339"/>
      <c r="D412" s="339"/>
    </row>
    <row r="413" spans="3:4" ht="15.75" customHeight="1">
      <c r="C413" s="339"/>
      <c r="D413" s="339"/>
    </row>
    <row r="414" spans="3:4" ht="15.75" customHeight="1">
      <c r="C414" s="339"/>
      <c r="D414" s="339"/>
    </row>
    <row r="415" spans="3:4" ht="15.75" customHeight="1">
      <c r="C415" s="339"/>
      <c r="D415" s="339"/>
    </row>
    <row r="416" spans="3:4" ht="15.75" customHeight="1">
      <c r="C416" s="339"/>
      <c r="D416" s="339"/>
    </row>
    <row r="417" spans="3:4" ht="15.75" customHeight="1">
      <c r="C417" s="339"/>
      <c r="D417" s="339"/>
    </row>
    <row r="418" spans="3:4" ht="15.75" customHeight="1">
      <c r="C418" s="339"/>
      <c r="D418" s="339"/>
    </row>
    <row r="419" spans="3:4" ht="15.75" customHeight="1">
      <c r="C419" s="339"/>
      <c r="D419" s="339"/>
    </row>
    <row r="420" spans="3:4" ht="15.75" customHeight="1">
      <c r="C420" s="339"/>
      <c r="D420" s="339"/>
    </row>
    <row r="421" spans="3:4" ht="15.75" customHeight="1">
      <c r="C421" s="339"/>
      <c r="D421" s="339"/>
    </row>
    <row r="422" spans="3:4" ht="15.75" customHeight="1">
      <c r="C422" s="339"/>
      <c r="D422" s="339"/>
    </row>
    <row r="423" spans="3:4" ht="15.75" customHeight="1">
      <c r="C423" s="339"/>
      <c r="D423" s="339"/>
    </row>
    <row r="424" spans="3:4" ht="15.75" customHeight="1">
      <c r="C424" s="339"/>
      <c r="D424" s="339"/>
    </row>
    <row r="425" spans="3:4" ht="15.75" customHeight="1">
      <c r="C425" s="339"/>
      <c r="D425" s="339"/>
    </row>
    <row r="426" spans="3:4" ht="15.75" customHeight="1">
      <c r="C426" s="339"/>
      <c r="D426" s="339"/>
    </row>
    <row r="427" spans="3:4" ht="15.75" customHeight="1">
      <c r="C427" s="339"/>
      <c r="D427" s="339"/>
    </row>
    <row r="428" spans="3:4" ht="15.75" customHeight="1">
      <c r="C428" s="339"/>
      <c r="D428" s="339"/>
    </row>
    <row r="429" spans="3:4" ht="15.75" customHeight="1">
      <c r="C429" s="339"/>
      <c r="D429" s="339"/>
    </row>
    <row r="430" spans="3:4" ht="15.75" customHeight="1">
      <c r="C430" s="339"/>
      <c r="D430" s="339"/>
    </row>
    <row r="431" spans="3:4" ht="15.75" customHeight="1">
      <c r="C431" s="339"/>
      <c r="D431" s="339"/>
    </row>
    <row r="432" spans="3:4" ht="15.75" customHeight="1">
      <c r="C432" s="339"/>
      <c r="D432" s="339"/>
    </row>
    <row r="433" spans="3:4" ht="15.75" customHeight="1">
      <c r="C433" s="339"/>
      <c r="D433" s="339"/>
    </row>
    <row r="434" spans="3:4" ht="15.75" customHeight="1">
      <c r="C434" s="339"/>
      <c r="D434" s="339"/>
    </row>
    <row r="435" spans="3:4" ht="15.75" customHeight="1">
      <c r="C435" s="339"/>
      <c r="D435" s="339"/>
    </row>
    <row r="436" spans="3:4" ht="15.75" customHeight="1">
      <c r="C436" s="339"/>
      <c r="D436" s="339"/>
    </row>
    <row r="437" spans="3:4" ht="15.75" customHeight="1">
      <c r="C437" s="339"/>
      <c r="D437" s="339"/>
    </row>
    <row r="438" spans="3:4" ht="15.75" customHeight="1">
      <c r="C438" s="339"/>
      <c r="D438" s="339"/>
    </row>
    <row r="439" spans="3:4" ht="15.75" customHeight="1">
      <c r="C439" s="339"/>
      <c r="D439" s="339"/>
    </row>
    <row r="440" spans="3:4" ht="15.75" customHeight="1">
      <c r="C440" s="339"/>
      <c r="D440" s="339"/>
    </row>
    <row r="441" spans="3:4" ht="15.75" customHeight="1">
      <c r="C441" s="339"/>
      <c r="D441" s="339"/>
    </row>
    <row r="442" spans="3:4" ht="15.75" customHeight="1">
      <c r="C442" s="339"/>
      <c r="D442" s="339"/>
    </row>
    <row r="443" spans="3:4" ht="15.75" customHeight="1">
      <c r="C443" s="339"/>
      <c r="D443" s="339"/>
    </row>
    <row r="444" spans="3:4" ht="15.75" customHeight="1">
      <c r="C444" s="339"/>
      <c r="D444" s="339"/>
    </row>
    <row r="445" spans="3:4" ht="15.75" customHeight="1">
      <c r="C445" s="339"/>
      <c r="D445" s="339"/>
    </row>
    <row r="446" spans="3:4" ht="15.75" customHeight="1">
      <c r="C446" s="339"/>
      <c r="D446" s="339"/>
    </row>
    <row r="447" spans="3:4" ht="15.75" customHeight="1">
      <c r="C447" s="339"/>
      <c r="D447" s="339"/>
    </row>
    <row r="448" spans="3:4" ht="15.75" customHeight="1">
      <c r="C448" s="339"/>
      <c r="D448" s="339"/>
    </row>
    <row r="449" spans="3:4" ht="15.75" customHeight="1">
      <c r="C449" s="339"/>
      <c r="D449" s="339"/>
    </row>
    <row r="450" spans="3:4" ht="15.75" customHeight="1">
      <c r="C450" s="339"/>
      <c r="D450" s="339"/>
    </row>
    <row r="451" spans="3:4" ht="15.75" customHeight="1">
      <c r="C451" s="339"/>
      <c r="D451" s="339"/>
    </row>
    <row r="452" spans="3:4" ht="15.75" customHeight="1">
      <c r="C452" s="339"/>
      <c r="D452" s="339"/>
    </row>
    <row r="453" spans="3:4" ht="15.75" customHeight="1">
      <c r="C453" s="339"/>
      <c r="D453" s="339"/>
    </row>
    <row r="454" spans="3:4" ht="15.75" customHeight="1">
      <c r="C454" s="339"/>
      <c r="D454" s="339"/>
    </row>
    <row r="455" spans="3:4" ht="15.75" customHeight="1">
      <c r="C455" s="339"/>
      <c r="D455" s="339"/>
    </row>
    <row r="456" spans="3:4" ht="15.75" customHeight="1">
      <c r="C456" s="339"/>
      <c r="D456" s="339"/>
    </row>
    <row r="457" spans="3:4" ht="15.75" customHeight="1">
      <c r="C457" s="339"/>
      <c r="D457" s="339"/>
    </row>
    <row r="458" spans="3:4" ht="15.75" customHeight="1">
      <c r="C458" s="339"/>
      <c r="D458" s="339"/>
    </row>
    <row r="459" spans="3:4" ht="15.75" customHeight="1">
      <c r="C459" s="339"/>
      <c r="D459" s="339"/>
    </row>
    <row r="460" spans="3:4" ht="15.75" customHeight="1">
      <c r="C460" s="339"/>
      <c r="D460" s="339"/>
    </row>
    <row r="461" spans="3:4" ht="15.75" customHeight="1">
      <c r="C461" s="339"/>
      <c r="D461" s="339"/>
    </row>
    <row r="462" spans="3:4" ht="15.75" customHeight="1">
      <c r="C462" s="339"/>
      <c r="D462" s="339"/>
    </row>
    <row r="463" spans="3:4" ht="15.75" customHeight="1">
      <c r="C463" s="339"/>
      <c r="D463" s="339"/>
    </row>
    <row r="464" spans="3:4" ht="15.75" customHeight="1">
      <c r="C464" s="339"/>
      <c r="D464" s="339"/>
    </row>
    <row r="465" spans="3:4" ht="15.75" customHeight="1">
      <c r="C465" s="339"/>
      <c r="D465" s="339"/>
    </row>
    <row r="466" spans="3:4" ht="15.75" customHeight="1">
      <c r="C466" s="339"/>
      <c r="D466" s="339"/>
    </row>
    <row r="467" spans="3:4" ht="15.75" customHeight="1">
      <c r="C467" s="339"/>
      <c r="D467" s="339"/>
    </row>
    <row r="468" spans="3:4" ht="15.75" customHeight="1">
      <c r="C468" s="339"/>
      <c r="D468" s="339"/>
    </row>
    <row r="469" spans="3:4" ht="15.75" customHeight="1">
      <c r="C469" s="339"/>
      <c r="D469" s="339"/>
    </row>
    <row r="470" spans="3:4" ht="15.75" customHeight="1">
      <c r="C470" s="339"/>
      <c r="D470" s="339"/>
    </row>
    <row r="471" spans="3:4" ht="15.75" customHeight="1">
      <c r="C471" s="339"/>
      <c r="D471" s="339"/>
    </row>
    <row r="472" spans="3:4" ht="15.75" customHeight="1">
      <c r="C472" s="339"/>
      <c r="D472" s="339"/>
    </row>
    <row r="473" spans="3:4" ht="15.75" customHeight="1">
      <c r="C473" s="339"/>
      <c r="D473" s="339"/>
    </row>
    <row r="474" spans="3:4" ht="15.75" customHeight="1">
      <c r="C474" s="339"/>
      <c r="D474" s="339"/>
    </row>
    <row r="475" spans="3:4" ht="15.75" customHeight="1">
      <c r="C475" s="339"/>
      <c r="D475" s="339"/>
    </row>
    <row r="476" spans="3:4" ht="15.75" customHeight="1">
      <c r="C476" s="339"/>
      <c r="D476" s="339"/>
    </row>
    <row r="477" spans="3:4" ht="15.75" customHeight="1">
      <c r="C477" s="339"/>
      <c r="D477" s="339"/>
    </row>
    <row r="478" spans="3:4" ht="15.75" customHeight="1">
      <c r="C478" s="339"/>
      <c r="D478" s="339"/>
    </row>
    <row r="479" spans="3:4" ht="15.75" customHeight="1">
      <c r="C479" s="339"/>
      <c r="D479" s="339"/>
    </row>
    <row r="480" spans="3:4" ht="15.75" customHeight="1">
      <c r="C480" s="339"/>
      <c r="D480" s="339"/>
    </row>
    <row r="481" spans="3:4" ht="15.75" customHeight="1">
      <c r="C481" s="339"/>
      <c r="D481" s="339"/>
    </row>
    <row r="482" spans="3:4" ht="15.75" customHeight="1">
      <c r="C482" s="339"/>
      <c r="D482" s="339"/>
    </row>
    <row r="483" spans="3:4" ht="15.75" customHeight="1">
      <c r="C483" s="339"/>
      <c r="D483" s="339"/>
    </row>
    <row r="484" spans="3:4" ht="15.75" customHeight="1">
      <c r="C484" s="339"/>
      <c r="D484" s="339"/>
    </row>
    <row r="485" spans="3:4" ht="15.75" customHeight="1">
      <c r="C485" s="339"/>
      <c r="D485" s="339"/>
    </row>
    <row r="486" spans="3:4" ht="15.75" customHeight="1">
      <c r="C486" s="339"/>
      <c r="D486" s="339"/>
    </row>
    <row r="487" spans="3:4" ht="15.75" customHeight="1">
      <c r="C487" s="339"/>
      <c r="D487" s="339"/>
    </row>
    <row r="488" spans="3:4" ht="15.75" customHeight="1">
      <c r="C488" s="339"/>
      <c r="D488" s="339"/>
    </row>
    <row r="489" spans="3:4" ht="15.75" customHeight="1">
      <c r="C489" s="339"/>
      <c r="D489" s="339"/>
    </row>
    <row r="490" spans="3:4" ht="15.75" customHeight="1">
      <c r="C490" s="339"/>
      <c r="D490" s="339"/>
    </row>
    <row r="491" spans="3:4" ht="15.75" customHeight="1">
      <c r="C491" s="339"/>
      <c r="D491" s="339"/>
    </row>
    <row r="492" spans="3:4" ht="15.75" customHeight="1">
      <c r="C492" s="339"/>
      <c r="D492" s="339"/>
    </row>
    <row r="493" spans="3:4" ht="15.75" customHeight="1">
      <c r="C493" s="339"/>
      <c r="D493" s="339"/>
    </row>
    <row r="494" spans="3:4" ht="15.75" customHeight="1">
      <c r="C494" s="339"/>
      <c r="D494" s="339"/>
    </row>
    <row r="495" spans="3:4" ht="15.75" customHeight="1">
      <c r="C495" s="339"/>
      <c r="D495" s="339"/>
    </row>
    <row r="496" spans="3:4" ht="15.75" customHeight="1">
      <c r="C496" s="339"/>
      <c r="D496" s="339"/>
    </row>
    <row r="497" spans="3:4" ht="15.75" customHeight="1">
      <c r="C497" s="339"/>
      <c r="D497" s="339"/>
    </row>
    <row r="498" spans="3:4" ht="15.75" customHeight="1">
      <c r="C498" s="339"/>
      <c r="D498" s="339"/>
    </row>
    <row r="499" spans="3:4" ht="15.75" customHeight="1">
      <c r="C499" s="339"/>
      <c r="D499" s="339"/>
    </row>
    <row r="500" spans="3:4" ht="15.75" customHeight="1">
      <c r="C500" s="339"/>
      <c r="D500" s="339"/>
    </row>
    <row r="501" spans="3:4" ht="15.75" customHeight="1">
      <c r="C501" s="339"/>
      <c r="D501" s="339"/>
    </row>
    <row r="502" spans="3:4" ht="15.75" customHeight="1">
      <c r="C502" s="339"/>
      <c r="D502" s="339"/>
    </row>
    <row r="503" spans="3:4" ht="15.75" customHeight="1">
      <c r="C503" s="339"/>
      <c r="D503" s="339"/>
    </row>
    <row r="504" spans="3:4" ht="15.75" customHeight="1">
      <c r="C504" s="339"/>
      <c r="D504" s="339"/>
    </row>
    <row r="505" spans="3:4" ht="15.75" customHeight="1">
      <c r="C505" s="339"/>
      <c r="D505" s="339"/>
    </row>
    <row r="506" spans="3:4" ht="15.75" customHeight="1">
      <c r="C506" s="339"/>
      <c r="D506" s="339"/>
    </row>
    <row r="507" spans="3:4" ht="15.75" customHeight="1">
      <c r="C507" s="339"/>
      <c r="D507" s="339"/>
    </row>
    <row r="508" spans="3:4" ht="15.75" customHeight="1">
      <c r="C508" s="339"/>
      <c r="D508" s="339"/>
    </row>
    <row r="509" spans="3:4" ht="15.75" customHeight="1">
      <c r="C509" s="339"/>
      <c r="D509" s="339"/>
    </row>
    <row r="510" spans="3:4" ht="15.75" customHeight="1">
      <c r="C510" s="339"/>
      <c r="D510" s="339"/>
    </row>
    <row r="511" spans="3:4" ht="15.75" customHeight="1">
      <c r="C511" s="339"/>
      <c r="D511" s="339"/>
    </row>
    <row r="512" spans="3:4" ht="15.75" customHeight="1">
      <c r="C512" s="339"/>
      <c r="D512" s="339"/>
    </row>
    <row r="513" spans="3:4" ht="15.75" customHeight="1">
      <c r="C513" s="339"/>
      <c r="D513" s="339"/>
    </row>
    <row r="514" spans="3:4" ht="15.75" customHeight="1">
      <c r="C514" s="339"/>
      <c r="D514" s="339"/>
    </row>
    <row r="515" spans="3:4" ht="15.75" customHeight="1">
      <c r="C515" s="339"/>
      <c r="D515" s="339"/>
    </row>
    <row r="516" spans="3:4" ht="15.75" customHeight="1">
      <c r="C516" s="339"/>
      <c r="D516" s="339"/>
    </row>
    <row r="517" spans="3:4" ht="15.75" customHeight="1">
      <c r="C517" s="339"/>
      <c r="D517" s="339"/>
    </row>
    <row r="518" spans="3:4" ht="15.75" customHeight="1">
      <c r="C518" s="339"/>
      <c r="D518" s="339"/>
    </row>
    <row r="519" spans="3:4" ht="15.75" customHeight="1">
      <c r="C519" s="339"/>
      <c r="D519" s="339"/>
    </row>
    <row r="520" spans="3:4" ht="15.75" customHeight="1">
      <c r="C520" s="339"/>
      <c r="D520" s="339"/>
    </row>
    <row r="521" spans="3:4" ht="15.75" customHeight="1">
      <c r="C521" s="339"/>
      <c r="D521" s="339"/>
    </row>
    <row r="522" spans="3:4" ht="15.75" customHeight="1">
      <c r="C522" s="339"/>
      <c r="D522" s="339"/>
    </row>
    <row r="523" spans="3:4" ht="15.75" customHeight="1">
      <c r="C523" s="339"/>
      <c r="D523" s="339"/>
    </row>
    <row r="524" spans="3:4" ht="15.75" customHeight="1">
      <c r="C524" s="339"/>
      <c r="D524" s="339"/>
    </row>
    <row r="525" spans="3:4" ht="15.75" customHeight="1">
      <c r="C525" s="339"/>
      <c r="D525" s="339"/>
    </row>
    <row r="526" spans="3:4" ht="15.75" customHeight="1">
      <c r="C526" s="339"/>
      <c r="D526" s="339"/>
    </row>
    <row r="527" spans="3:4" ht="15.75" customHeight="1">
      <c r="C527" s="339"/>
      <c r="D527" s="339"/>
    </row>
    <row r="528" spans="3:4" ht="15.75" customHeight="1">
      <c r="C528" s="339"/>
      <c r="D528" s="339"/>
    </row>
    <row r="529" spans="3:4" ht="15.75" customHeight="1">
      <c r="C529" s="339"/>
      <c r="D529" s="339"/>
    </row>
    <row r="530" spans="3:4" ht="15.75" customHeight="1">
      <c r="C530" s="339"/>
      <c r="D530" s="339"/>
    </row>
    <row r="531" spans="3:4" ht="15.75" customHeight="1">
      <c r="C531" s="339"/>
      <c r="D531" s="339"/>
    </row>
    <row r="532" spans="3:4" ht="15.75" customHeight="1">
      <c r="C532" s="339"/>
      <c r="D532" s="339"/>
    </row>
    <row r="533" spans="3:4" ht="15.75" customHeight="1">
      <c r="C533" s="339"/>
      <c r="D533" s="339"/>
    </row>
    <row r="534" spans="3:4" ht="15.75" customHeight="1">
      <c r="C534" s="339"/>
      <c r="D534" s="339"/>
    </row>
    <row r="535" spans="3:4" ht="15.75" customHeight="1">
      <c r="C535" s="339"/>
      <c r="D535" s="339"/>
    </row>
    <row r="536" spans="3:4" ht="15.75" customHeight="1">
      <c r="C536" s="339"/>
      <c r="D536" s="339"/>
    </row>
    <row r="537" spans="3:4" ht="15.75" customHeight="1">
      <c r="C537" s="339"/>
      <c r="D537" s="339"/>
    </row>
    <row r="538" spans="3:4" ht="15.75" customHeight="1">
      <c r="C538" s="339"/>
      <c r="D538" s="339"/>
    </row>
    <row r="539" spans="3:4" ht="15.75" customHeight="1">
      <c r="C539" s="339"/>
      <c r="D539" s="339"/>
    </row>
    <row r="540" spans="3:4" ht="15.75" customHeight="1">
      <c r="C540" s="339"/>
      <c r="D540" s="339"/>
    </row>
    <row r="541" spans="3:4" ht="15.75" customHeight="1">
      <c r="C541" s="339"/>
      <c r="D541" s="339"/>
    </row>
    <row r="542" spans="3:4" ht="15.75" customHeight="1">
      <c r="C542" s="339"/>
      <c r="D542" s="339"/>
    </row>
    <row r="543" spans="3:4" ht="15.75" customHeight="1">
      <c r="C543" s="339"/>
      <c r="D543" s="339"/>
    </row>
    <row r="544" spans="3:4" ht="15.75" customHeight="1">
      <c r="C544" s="339"/>
      <c r="D544" s="339"/>
    </row>
    <row r="545" spans="3:4" ht="15.75" customHeight="1">
      <c r="C545" s="339"/>
      <c r="D545" s="339"/>
    </row>
    <row r="546" spans="3:4" ht="15.75" customHeight="1">
      <c r="C546" s="339"/>
      <c r="D546" s="339"/>
    </row>
    <row r="547" spans="3:4" ht="15.75" customHeight="1">
      <c r="C547" s="339"/>
      <c r="D547" s="339"/>
    </row>
    <row r="548" spans="3:4" ht="15.75" customHeight="1">
      <c r="C548" s="339"/>
      <c r="D548" s="339"/>
    </row>
    <row r="549" spans="3:4" ht="15.75" customHeight="1">
      <c r="C549" s="339"/>
      <c r="D549" s="339"/>
    </row>
    <row r="550" spans="3:4" ht="15.75" customHeight="1">
      <c r="C550" s="339"/>
      <c r="D550" s="339"/>
    </row>
    <row r="551" spans="3:4" ht="15.75" customHeight="1">
      <c r="C551" s="339"/>
      <c r="D551" s="339"/>
    </row>
    <row r="552" spans="3:4" ht="15.75" customHeight="1">
      <c r="C552" s="339"/>
      <c r="D552" s="339"/>
    </row>
    <row r="553" spans="3:4" ht="15.75" customHeight="1">
      <c r="C553" s="339"/>
      <c r="D553" s="339"/>
    </row>
    <row r="554" spans="3:4" ht="15.75" customHeight="1">
      <c r="C554" s="339"/>
      <c r="D554" s="339"/>
    </row>
    <row r="555" spans="3:4" ht="15.75" customHeight="1">
      <c r="C555" s="339"/>
      <c r="D555" s="339"/>
    </row>
    <row r="556" spans="3:4" ht="15.75" customHeight="1">
      <c r="C556" s="339"/>
      <c r="D556" s="339"/>
    </row>
    <row r="557" spans="3:4" ht="15.75" customHeight="1">
      <c r="C557" s="339"/>
      <c r="D557" s="339"/>
    </row>
    <row r="558" spans="3:4" ht="15.75" customHeight="1">
      <c r="C558" s="339"/>
      <c r="D558" s="339"/>
    </row>
    <row r="559" spans="3:4" ht="15.75" customHeight="1">
      <c r="C559" s="339"/>
      <c r="D559" s="339"/>
    </row>
    <row r="560" spans="3:4" ht="15.75" customHeight="1">
      <c r="C560" s="339"/>
      <c r="D560" s="339"/>
    </row>
    <row r="561" spans="3:4" ht="15.75" customHeight="1">
      <c r="C561" s="339"/>
      <c r="D561" s="339"/>
    </row>
    <row r="562" spans="3:4" ht="15.75" customHeight="1">
      <c r="C562" s="339"/>
      <c r="D562" s="339"/>
    </row>
    <row r="563" spans="3:4" ht="15.75" customHeight="1">
      <c r="C563" s="339"/>
      <c r="D563" s="339"/>
    </row>
    <row r="564" spans="3:4" ht="15.75" customHeight="1">
      <c r="C564" s="339"/>
      <c r="D564" s="339"/>
    </row>
    <row r="565" spans="3:4" ht="15.75" customHeight="1">
      <c r="C565" s="339"/>
      <c r="D565" s="339"/>
    </row>
    <row r="566" spans="3:4" ht="15.75" customHeight="1">
      <c r="C566" s="339"/>
      <c r="D566" s="339"/>
    </row>
    <row r="567" spans="3:4" ht="15.75" customHeight="1">
      <c r="C567" s="339"/>
      <c r="D567" s="339"/>
    </row>
    <row r="568" spans="3:4" ht="15.75" customHeight="1">
      <c r="C568" s="339"/>
      <c r="D568" s="339"/>
    </row>
    <row r="569" spans="3:4" ht="15.75" customHeight="1">
      <c r="C569" s="339"/>
      <c r="D569" s="339"/>
    </row>
    <row r="570" spans="3:4" ht="15.75" customHeight="1">
      <c r="C570" s="339"/>
      <c r="D570" s="339"/>
    </row>
    <row r="571" spans="3:4" ht="15.75" customHeight="1">
      <c r="C571" s="339"/>
      <c r="D571" s="339"/>
    </row>
    <row r="572" spans="3:4" ht="15.75" customHeight="1">
      <c r="C572" s="339"/>
      <c r="D572" s="339"/>
    </row>
    <row r="573" spans="3:4" ht="15.75" customHeight="1">
      <c r="C573" s="339"/>
      <c r="D573" s="339"/>
    </row>
    <row r="574" spans="3:4" ht="15.75" customHeight="1">
      <c r="C574" s="339"/>
      <c r="D574" s="339"/>
    </row>
    <row r="575" spans="3:4" ht="15.75" customHeight="1">
      <c r="C575" s="339"/>
      <c r="D575" s="339"/>
    </row>
    <row r="576" spans="3:4" ht="15.75" customHeight="1">
      <c r="C576" s="339"/>
      <c r="D576" s="339"/>
    </row>
    <row r="577" spans="3:4" ht="15.75" customHeight="1">
      <c r="C577" s="339"/>
      <c r="D577" s="339"/>
    </row>
    <row r="578" spans="3:4" ht="15.75" customHeight="1">
      <c r="C578" s="339"/>
      <c r="D578" s="339"/>
    </row>
    <row r="579" spans="3:4" ht="15.75" customHeight="1">
      <c r="C579" s="339"/>
      <c r="D579" s="339"/>
    </row>
    <row r="580" spans="3:4" ht="15.75" customHeight="1">
      <c r="C580" s="339"/>
      <c r="D580" s="339"/>
    </row>
    <row r="581" spans="3:4" ht="15.75" customHeight="1">
      <c r="C581" s="339"/>
      <c r="D581" s="339"/>
    </row>
    <row r="582" spans="3:4" ht="15.75" customHeight="1">
      <c r="C582" s="339"/>
      <c r="D582" s="339"/>
    </row>
    <row r="583" spans="3:4" ht="15.75" customHeight="1">
      <c r="C583" s="339"/>
      <c r="D583" s="339"/>
    </row>
    <row r="584" spans="3:4" ht="15.75" customHeight="1">
      <c r="C584" s="339"/>
      <c r="D584" s="339"/>
    </row>
    <row r="585" spans="3:4" ht="15.75" customHeight="1">
      <c r="C585" s="339"/>
      <c r="D585" s="339"/>
    </row>
    <row r="586" spans="3:4" ht="15.75" customHeight="1">
      <c r="C586" s="339"/>
      <c r="D586" s="339"/>
    </row>
    <row r="587" spans="3:4" ht="15.75" customHeight="1">
      <c r="C587" s="339"/>
      <c r="D587" s="339"/>
    </row>
    <row r="588" spans="3:4" ht="15.75" customHeight="1">
      <c r="C588" s="339"/>
      <c r="D588" s="339"/>
    </row>
    <row r="589" spans="3:4" ht="15.75" customHeight="1">
      <c r="C589" s="339"/>
      <c r="D589" s="339"/>
    </row>
    <row r="590" spans="3:4" ht="15.75" customHeight="1">
      <c r="C590" s="339"/>
      <c r="D590" s="339"/>
    </row>
    <row r="591" spans="3:4" ht="15.75" customHeight="1">
      <c r="C591" s="339"/>
      <c r="D591" s="339"/>
    </row>
    <row r="592" spans="3:4" ht="15.75" customHeight="1">
      <c r="C592" s="339"/>
      <c r="D592" s="339"/>
    </row>
    <row r="593" spans="3:4" ht="15.75" customHeight="1">
      <c r="C593" s="339"/>
      <c r="D593" s="339"/>
    </row>
    <row r="594" spans="3:4" ht="15.75" customHeight="1">
      <c r="C594" s="339"/>
      <c r="D594" s="339"/>
    </row>
    <row r="595" spans="3:4" ht="15.75" customHeight="1">
      <c r="C595" s="339"/>
      <c r="D595" s="339"/>
    </row>
    <row r="596" spans="3:4" ht="15.75" customHeight="1">
      <c r="C596" s="339"/>
      <c r="D596" s="339"/>
    </row>
    <row r="597" spans="3:4" ht="15.75" customHeight="1">
      <c r="C597" s="339"/>
      <c r="D597" s="339"/>
    </row>
    <row r="598" spans="3:4" ht="15.75" customHeight="1">
      <c r="C598" s="339"/>
      <c r="D598" s="339"/>
    </row>
    <row r="599" spans="3:4" ht="15.75" customHeight="1">
      <c r="C599" s="339"/>
      <c r="D599" s="339"/>
    </row>
    <row r="600" spans="3:4" ht="15.75" customHeight="1">
      <c r="C600" s="339"/>
      <c r="D600" s="339"/>
    </row>
    <row r="601" spans="3:4" ht="15.75" customHeight="1">
      <c r="C601" s="339"/>
      <c r="D601" s="339"/>
    </row>
    <row r="602" spans="3:4" ht="15.75" customHeight="1">
      <c r="C602" s="339"/>
      <c r="D602" s="339"/>
    </row>
    <row r="603" spans="3:4" ht="15.75" customHeight="1">
      <c r="C603" s="339"/>
      <c r="D603" s="339"/>
    </row>
    <row r="604" spans="3:4" ht="15.75" customHeight="1">
      <c r="C604" s="339"/>
      <c r="D604" s="339"/>
    </row>
    <row r="605" spans="3:4" ht="15.75" customHeight="1">
      <c r="C605" s="339"/>
      <c r="D605" s="339"/>
    </row>
    <row r="606" spans="3:4" ht="15.75" customHeight="1">
      <c r="C606" s="339"/>
      <c r="D606" s="339"/>
    </row>
    <row r="607" spans="3:4" ht="15.75" customHeight="1">
      <c r="C607" s="339"/>
      <c r="D607" s="339"/>
    </row>
    <row r="608" spans="3:4" ht="15.75" customHeight="1">
      <c r="C608" s="339"/>
      <c r="D608" s="339"/>
    </row>
    <row r="609" spans="3:4" ht="15.75" customHeight="1">
      <c r="C609" s="339"/>
      <c r="D609" s="339"/>
    </row>
    <row r="610" spans="3:4" ht="15.75" customHeight="1">
      <c r="C610" s="339"/>
      <c r="D610" s="339"/>
    </row>
    <row r="611" spans="3:4" ht="15.75" customHeight="1">
      <c r="C611" s="339"/>
      <c r="D611" s="339"/>
    </row>
    <row r="612" spans="3:4" ht="15.75" customHeight="1">
      <c r="C612" s="339"/>
      <c r="D612" s="339"/>
    </row>
    <row r="613" spans="3:4" ht="15.75" customHeight="1">
      <c r="C613" s="339"/>
      <c r="D613" s="339"/>
    </row>
    <row r="614" spans="3:4" ht="15.75" customHeight="1">
      <c r="C614" s="339"/>
      <c r="D614" s="339"/>
    </row>
    <row r="615" spans="3:4" ht="15.75" customHeight="1">
      <c r="C615" s="339"/>
      <c r="D615" s="339"/>
    </row>
    <row r="616" spans="3:4" ht="15.75" customHeight="1">
      <c r="C616" s="339"/>
      <c r="D616" s="339"/>
    </row>
    <row r="617" spans="3:4" ht="15.75" customHeight="1">
      <c r="C617" s="339"/>
      <c r="D617" s="339"/>
    </row>
    <row r="618" spans="3:4" ht="15.75" customHeight="1">
      <c r="C618" s="339"/>
      <c r="D618" s="339"/>
    </row>
    <row r="619" spans="3:4" ht="15.75" customHeight="1">
      <c r="C619" s="339"/>
      <c r="D619" s="339"/>
    </row>
    <row r="620" spans="3:4" ht="15.75" customHeight="1">
      <c r="C620" s="339"/>
      <c r="D620" s="339"/>
    </row>
    <row r="621" spans="3:4" ht="15.75" customHeight="1">
      <c r="C621" s="339"/>
      <c r="D621" s="339"/>
    </row>
    <row r="622" spans="3:4" ht="15.75" customHeight="1">
      <c r="C622" s="339"/>
      <c r="D622" s="339"/>
    </row>
    <row r="623" spans="3:4" ht="15.75" customHeight="1">
      <c r="C623" s="339"/>
      <c r="D623" s="339"/>
    </row>
    <row r="624" spans="3:4" ht="15.75" customHeight="1">
      <c r="C624" s="339"/>
      <c r="D624" s="339"/>
    </row>
    <row r="625" spans="3:4" ht="15.75" customHeight="1">
      <c r="C625" s="339"/>
      <c r="D625" s="339"/>
    </row>
    <row r="626" spans="3:4" ht="15.75" customHeight="1">
      <c r="C626" s="339"/>
      <c r="D626" s="339"/>
    </row>
    <row r="627" spans="3:4" ht="15.75" customHeight="1">
      <c r="C627" s="339"/>
      <c r="D627" s="339"/>
    </row>
    <row r="628" spans="3:4" ht="15.75" customHeight="1">
      <c r="C628" s="339"/>
      <c r="D628" s="339"/>
    </row>
    <row r="629" spans="3:4" ht="15.75" customHeight="1">
      <c r="C629" s="339"/>
      <c r="D629" s="339"/>
    </row>
    <row r="630" spans="3:4" ht="15.75" customHeight="1">
      <c r="C630" s="339"/>
      <c r="D630" s="339"/>
    </row>
    <row r="631" spans="3:4" ht="15.75" customHeight="1">
      <c r="C631" s="339"/>
      <c r="D631" s="339"/>
    </row>
    <row r="632" spans="3:4" ht="15.75" customHeight="1">
      <c r="C632" s="339"/>
      <c r="D632" s="339"/>
    </row>
    <row r="633" spans="3:4" ht="15.75" customHeight="1">
      <c r="C633" s="339"/>
      <c r="D633" s="339"/>
    </row>
    <row r="634" spans="3:4" ht="15.75" customHeight="1">
      <c r="C634" s="339"/>
      <c r="D634" s="339"/>
    </row>
    <row r="635" spans="3:4" ht="15.75" customHeight="1">
      <c r="C635" s="339"/>
      <c r="D635" s="339"/>
    </row>
    <row r="636" spans="3:4" ht="15.75" customHeight="1">
      <c r="C636" s="339"/>
      <c r="D636" s="339"/>
    </row>
    <row r="637" spans="3:4" ht="15.75" customHeight="1">
      <c r="C637" s="339"/>
      <c r="D637" s="339"/>
    </row>
    <row r="638" spans="3:4" ht="15.75" customHeight="1">
      <c r="C638" s="339"/>
      <c r="D638" s="339"/>
    </row>
    <row r="639" spans="3:4" ht="15.75" customHeight="1">
      <c r="C639" s="339"/>
      <c r="D639" s="339"/>
    </row>
    <row r="640" spans="3:4" ht="15.75" customHeight="1">
      <c r="C640" s="339"/>
      <c r="D640" s="339"/>
    </row>
    <row r="641" spans="3:4" ht="15.75" customHeight="1">
      <c r="C641" s="339"/>
      <c r="D641" s="339"/>
    </row>
    <row r="642" spans="3:4" ht="15.75" customHeight="1">
      <c r="C642" s="339"/>
      <c r="D642" s="339"/>
    </row>
    <row r="643" spans="3:4" ht="15.75" customHeight="1">
      <c r="C643" s="339"/>
      <c r="D643" s="339"/>
    </row>
    <row r="644" spans="3:4" ht="15.75" customHeight="1">
      <c r="C644" s="339"/>
      <c r="D644" s="339"/>
    </row>
    <row r="645" spans="3:4" ht="15.75" customHeight="1">
      <c r="C645" s="339"/>
      <c r="D645" s="339"/>
    </row>
    <row r="646" spans="3:4" ht="15.75" customHeight="1">
      <c r="C646" s="339"/>
      <c r="D646" s="339"/>
    </row>
    <row r="647" spans="3:4" ht="15.75" customHeight="1">
      <c r="C647" s="339"/>
      <c r="D647" s="339"/>
    </row>
    <row r="648" spans="3:4" ht="15.75" customHeight="1">
      <c r="C648" s="339"/>
      <c r="D648" s="339"/>
    </row>
    <row r="649" spans="3:4" ht="15.75" customHeight="1">
      <c r="C649" s="339"/>
      <c r="D649" s="339"/>
    </row>
    <row r="650" spans="3:4" ht="15.75" customHeight="1">
      <c r="C650" s="339"/>
      <c r="D650" s="339"/>
    </row>
    <row r="651" spans="3:4" ht="15.75" customHeight="1">
      <c r="C651" s="339"/>
      <c r="D651" s="339"/>
    </row>
    <row r="652" spans="3:4" ht="15.75" customHeight="1">
      <c r="C652" s="339"/>
      <c r="D652" s="339"/>
    </row>
    <row r="653" spans="3:4" ht="15.75" customHeight="1">
      <c r="C653" s="339"/>
      <c r="D653" s="339"/>
    </row>
    <row r="654" spans="3:4" ht="15.75" customHeight="1">
      <c r="C654" s="339"/>
      <c r="D654" s="339"/>
    </row>
    <row r="655" spans="3:4" ht="15.75" customHeight="1">
      <c r="C655" s="339"/>
      <c r="D655" s="339"/>
    </row>
    <row r="656" spans="3:4" ht="15.75" customHeight="1">
      <c r="C656" s="339"/>
      <c r="D656" s="339"/>
    </row>
    <row r="657" spans="3:4" ht="15.75" customHeight="1">
      <c r="C657" s="339"/>
      <c r="D657" s="339"/>
    </row>
    <row r="658" spans="3:4" ht="15.75" customHeight="1">
      <c r="C658" s="339"/>
      <c r="D658" s="339"/>
    </row>
    <row r="659" spans="3:4" ht="15.75" customHeight="1">
      <c r="C659" s="339"/>
      <c r="D659" s="339"/>
    </row>
    <row r="660" spans="3:4" ht="15.75" customHeight="1">
      <c r="C660" s="339"/>
      <c r="D660" s="339"/>
    </row>
    <row r="661" spans="3:4" ht="15.75" customHeight="1">
      <c r="C661" s="339"/>
      <c r="D661" s="339"/>
    </row>
    <row r="662" spans="3:4" ht="15.75" customHeight="1">
      <c r="C662" s="339"/>
      <c r="D662" s="339"/>
    </row>
    <row r="663" spans="3:4" ht="15.75" customHeight="1">
      <c r="C663" s="339"/>
      <c r="D663" s="339"/>
    </row>
    <row r="664" spans="3:4" ht="15.75" customHeight="1">
      <c r="C664" s="339"/>
      <c r="D664" s="339"/>
    </row>
    <row r="665" spans="3:4" ht="15.75" customHeight="1">
      <c r="C665" s="339"/>
      <c r="D665" s="339"/>
    </row>
    <row r="666" spans="3:4" ht="15.75" customHeight="1">
      <c r="C666" s="339"/>
      <c r="D666" s="339"/>
    </row>
    <row r="667" spans="3:4" ht="15.75" customHeight="1">
      <c r="C667" s="339"/>
      <c r="D667" s="339"/>
    </row>
    <row r="668" spans="3:4" ht="15.75" customHeight="1">
      <c r="C668" s="339"/>
      <c r="D668" s="339"/>
    </row>
    <row r="669" spans="3:4" ht="15.75" customHeight="1">
      <c r="C669" s="339"/>
      <c r="D669" s="339"/>
    </row>
    <row r="670" spans="3:4" ht="15.75" customHeight="1">
      <c r="C670" s="339"/>
      <c r="D670" s="339"/>
    </row>
    <row r="671" spans="3:4" ht="15.75" customHeight="1">
      <c r="C671" s="339"/>
      <c r="D671" s="339"/>
    </row>
    <row r="672" spans="3:4" ht="15.75" customHeight="1">
      <c r="C672" s="339"/>
      <c r="D672" s="339"/>
    </row>
    <row r="673" spans="3:4" ht="15.75" customHeight="1">
      <c r="C673" s="339"/>
      <c r="D673" s="339"/>
    </row>
    <row r="674" spans="3:4" ht="15.75" customHeight="1">
      <c r="C674" s="339"/>
      <c r="D674" s="339"/>
    </row>
    <row r="675" spans="3:4" ht="15.75" customHeight="1">
      <c r="C675" s="339"/>
      <c r="D675" s="339"/>
    </row>
    <row r="676" spans="3:4" ht="15.75" customHeight="1">
      <c r="C676" s="339"/>
      <c r="D676" s="339"/>
    </row>
    <row r="677" spans="3:4" ht="15.75" customHeight="1">
      <c r="C677" s="339"/>
      <c r="D677" s="339"/>
    </row>
    <row r="678" spans="3:4" ht="15.75" customHeight="1">
      <c r="C678" s="339"/>
      <c r="D678" s="339"/>
    </row>
    <row r="679" spans="3:4" ht="15.75" customHeight="1">
      <c r="C679" s="339"/>
      <c r="D679" s="339"/>
    </row>
    <row r="680" spans="3:4" ht="15.75" customHeight="1">
      <c r="C680" s="339"/>
      <c r="D680" s="339"/>
    </row>
    <row r="681" spans="3:4" ht="15.75" customHeight="1">
      <c r="C681" s="339"/>
      <c r="D681" s="339"/>
    </row>
    <row r="682" spans="3:4" ht="15.75" customHeight="1">
      <c r="C682" s="339"/>
      <c r="D682" s="339"/>
    </row>
    <row r="683" spans="3:4" ht="15.75" customHeight="1">
      <c r="C683" s="339"/>
      <c r="D683" s="339"/>
    </row>
    <row r="684" spans="3:4" ht="15.75" customHeight="1">
      <c r="C684" s="339"/>
      <c r="D684" s="339"/>
    </row>
    <row r="685" spans="3:4" ht="15.75" customHeight="1">
      <c r="C685" s="339"/>
      <c r="D685" s="339"/>
    </row>
    <row r="686" spans="3:4" ht="15.75" customHeight="1">
      <c r="C686" s="339"/>
      <c r="D686" s="339"/>
    </row>
    <row r="687" spans="3:4" ht="15.75" customHeight="1">
      <c r="C687" s="339"/>
      <c r="D687" s="339"/>
    </row>
    <row r="688" spans="3:4" ht="15.75" customHeight="1">
      <c r="C688" s="339"/>
      <c r="D688" s="339"/>
    </row>
    <row r="689" spans="3:4" ht="15.75" customHeight="1">
      <c r="C689" s="339"/>
      <c r="D689" s="339"/>
    </row>
    <row r="690" spans="3:4" ht="15.75" customHeight="1">
      <c r="C690" s="339"/>
      <c r="D690" s="339"/>
    </row>
    <row r="691" spans="3:4" ht="15.75" customHeight="1">
      <c r="C691" s="339"/>
      <c r="D691" s="339"/>
    </row>
    <row r="692" spans="3:4" ht="15.75" customHeight="1">
      <c r="C692" s="339"/>
      <c r="D692" s="339"/>
    </row>
    <row r="693" spans="3:4" ht="15.75" customHeight="1">
      <c r="C693" s="339"/>
      <c r="D693" s="339"/>
    </row>
    <row r="694" spans="3:4" ht="15.75" customHeight="1">
      <c r="C694" s="339"/>
      <c r="D694" s="339"/>
    </row>
    <row r="695" spans="3:4" ht="15.75" customHeight="1">
      <c r="C695" s="339"/>
      <c r="D695" s="339"/>
    </row>
    <row r="696" spans="3:4" ht="15.75" customHeight="1">
      <c r="C696" s="339"/>
      <c r="D696" s="339"/>
    </row>
    <row r="697" spans="3:4" ht="15.75" customHeight="1">
      <c r="C697" s="339"/>
      <c r="D697" s="339"/>
    </row>
    <row r="698" spans="3:4" ht="15.75" customHeight="1">
      <c r="C698" s="339"/>
      <c r="D698" s="339"/>
    </row>
    <row r="699" spans="3:4" ht="15.75" customHeight="1">
      <c r="C699" s="339"/>
      <c r="D699" s="339"/>
    </row>
    <row r="700" spans="3:4" ht="15.75" customHeight="1">
      <c r="C700" s="339"/>
      <c r="D700" s="339"/>
    </row>
    <row r="701" spans="3:4" ht="15.75" customHeight="1">
      <c r="C701" s="339"/>
      <c r="D701" s="339"/>
    </row>
    <row r="702" spans="3:4" ht="15.75" customHeight="1">
      <c r="C702" s="339"/>
      <c r="D702" s="339"/>
    </row>
    <row r="703" spans="3:4" ht="15.75" customHeight="1">
      <c r="C703" s="339"/>
      <c r="D703" s="339"/>
    </row>
    <row r="704" spans="3:4" ht="15.75" customHeight="1">
      <c r="C704" s="339"/>
      <c r="D704" s="339"/>
    </row>
    <row r="705" spans="3:4" ht="15.75" customHeight="1">
      <c r="C705" s="339"/>
      <c r="D705" s="339"/>
    </row>
    <row r="706" spans="3:4" ht="15.75" customHeight="1">
      <c r="C706" s="339"/>
      <c r="D706" s="339"/>
    </row>
    <row r="707" spans="3:4" ht="15.75" customHeight="1">
      <c r="C707" s="339"/>
      <c r="D707" s="339"/>
    </row>
    <row r="708" spans="3:4" ht="15.75" customHeight="1">
      <c r="C708" s="339"/>
      <c r="D708" s="339"/>
    </row>
    <row r="709" spans="3:4" ht="15.75" customHeight="1">
      <c r="C709" s="339"/>
      <c r="D709" s="339"/>
    </row>
    <row r="710" spans="3:4" ht="15.75" customHeight="1">
      <c r="C710" s="339"/>
      <c r="D710" s="339"/>
    </row>
    <row r="711" spans="3:4" ht="15.75" customHeight="1">
      <c r="C711" s="339"/>
      <c r="D711" s="339"/>
    </row>
    <row r="712" spans="3:4" ht="15.75" customHeight="1">
      <c r="C712" s="339"/>
      <c r="D712" s="339"/>
    </row>
    <row r="713" spans="3:4" ht="15.75" customHeight="1">
      <c r="C713" s="339"/>
      <c r="D713" s="339"/>
    </row>
    <row r="714" spans="3:4" ht="15.75" customHeight="1">
      <c r="C714" s="339"/>
      <c r="D714" s="339"/>
    </row>
    <row r="715" spans="3:4" ht="15.75" customHeight="1">
      <c r="C715" s="339"/>
      <c r="D715" s="339"/>
    </row>
    <row r="716" spans="3:4" ht="15.75" customHeight="1">
      <c r="C716" s="339"/>
      <c r="D716" s="339"/>
    </row>
    <row r="717" spans="3:4" ht="15.75" customHeight="1">
      <c r="C717" s="339"/>
      <c r="D717" s="339"/>
    </row>
    <row r="718" spans="3:4" ht="15.75" customHeight="1">
      <c r="C718" s="339"/>
      <c r="D718" s="339"/>
    </row>
    <row r="719" spans="3:4" ht="15.75" customHeight="1">
      <c r="C719" s="339"/>
      <c r="D719" s="339"/>
    </row>
    <row r="720" spans="3:4" ht="15.75" customHeight="1">
      <c r="C720" s="339"/>
      <c r="D720" s="339"/>
    </row>
    <row r="721" spans="3:4" ht="15.75" customHeight="1">
      <c r="C721" s="339"/>
      <c r="D721" s="339"/>
    </row>
    <row r="722" spans="3:4" ht="15.75" customHeight="1">
      <c r="C722" s="339"/>
      <c r="D722" s="339"/>
    </row>
    <row r="723" spans="3:4" ht="15.75" customHeight="1">
      <c r="C723" s="339"/>
      <c r="D723" s="339"/>
    </row>
    <row r="724" spans="3:4" ht="15.75" customHeight="1">
      <c r="C724" s="339"/>
      <c r="D724" s="339"/>
    </row>
    <row r="725" spans="3:4" ht="15.75" customHeight="1">
      <c r="C725" s="339"/>
      <c r="D725" s="339"/>
    </row>
    <row r="726" spans="3:4" ht="15.75" customHeight="1">
      <c r="C726" s="339"/>
      <c r="D726" s="339"/>
    </row>
    <row r="727" spans="3:4" ht="15.75" customHeight="1">
      <c r="C727" s="339"/>
      <c r="D727" s="339"/>
    </row>
    <row r="728" spans="3:4" ht="15.75" customHeight="1">
      <c r="C728" s="339"/>
      <c r="D728" s="339"/>
    </row>
    <row r="729" spans="3:4" ht="15.75" customHeight="1">
      <c r="C729" s="339"/>
      <c r="D729" s="339"/>
    </row>
    <row r="730" spans="3:4" ht="15.75" customHeight="1">
      <c r="C730" s="339"/>
      <c r="D730" s="339"/>
    </row>
    <row r="731" spans="3:4" ht="15.75" customHeight="1">
      <c r="C731" s="339"/>
      <c r="D731" s="339"/>
    </row>
    <row r="732" spans="3:4" ht="15.75" customHeight="1">
      <c r="C732" s="339"/>
      <c r="D732" s="339"/>
    </row>
    <row r="733" spans="3:4" ht="15.75" customHeight="1">
      <c r="C733" s="339"/>
      <c r="D733" s="339"/>
    </row>
    <row r="734" spans="3:4" ht="15.75" customHeight="1">
      <c r="C734" s="339"/>
      <c r="D734" s="339"/>
    </row>
    <row r="735" spans="3:4" ht="15.75" customHeight="1">
      <c r="C735" s="339"/>
      <c r="D735" s="339"/>
    </row>
    <row r="736" spans="3:4" ht="15.75" customHeight="1">
      <c r="C736" s="339"/>
      <c r="D736" s="339"/>
    </row>
    <row r="737" spans="3:4" ht="15.75" customHeight="1">
      <c r="C737" s="339"/>
      <c r="D737" s="339"/>
    </row>
    <row r="738" spans="3:4" ht="15.75" customHeight="1">
      <c r="C738" s="339"/>
      <c r="D738" s="339"/>
    </row>
    <row r="739" spans="3:4" ht="15.75" customHeight="1">
      <c r="C739" s="339"/>
      <c r="D739" s="339"/>
    </row>
    <row r="740" spans="3:4" ht="15.75" customHeight="1">
      <c r="C740" s="339"/>
      <c r="D740" s="339"/>
    </row>
    <row r="741" spans="3:4" ht="15.75" customHeight="1">
      <c r="C741" s="339"/>
      <c r="D741" s="339"/>
    </row>
    <row r="742" spans="3:4" ht="15.75" customHeight="1">
      <c r="C742" s="339"/>
      <c r="D742" s="339"/>
    </row>
    <row r="743" spans="3:4" ht="15.75" customHeight="1">
      <c r="C743" s="339"/>
      <c r="D743" s="339"/>
    </row>
    <row r="744" spans="3:4" ht="15.75" customHeight="1">
      <c r="C744" s="339"/>
      <c r="D744" s="339"/>
    </row>
    <row r="745" spans="3:4" ht="15.75" customHeight="1">
      <c r="C745" s="339"/>
      <c r="D745" s="339"/>
    </row>
    <row r="746" spans="3:4" ht="15.75" customHeight="1">
      <c r="C746" s="339"/>
      <c r="D746" s="339"/>
    </row>
    <row r="747" spans="3:4" ht="15.75" customHeight="1">
      <c r="C747" s="339"/>
      <c r="D747" s="339"/>
    </row>
    <row r="748" spans="3:4" ht="15.75" customHeight="1">
      <c r="C748" s="339"/>
      <c r="D748" s="339"/>
    </row>
    <row r="749" spans="3:4" ht="15.75" customHeight="1">
      <c r="C749" s="339"/>
      <c r="D749" s="339"/>
    </row>
    <row r="750" spans="3:4" ht="15.75" customHeight="1">
      <c r="C750" s="339"/>
      <c r="D750" s="339"/>
    </row>
    <row r="751" spans="3:4" ht="15.75" customHeight="1">
      <c r="C751" s="339"/>
      <c r="D751" s="339"/>
    </row>
    <row r="752" spans="3:4" ht="15.75" customHeight="1">
      <c r="C752" s="339"/>
      <c r="D752" s="339"/>
    </row>
    <row r="753" spans="3:4" ht="15.75" customHeight="1">
      <c r="C753" s="339"/>
      <c r="D753" s="339"/>
    </row>
    <row r="754" spans="3:4" ht="15.75" customHeight="1">
      <c r="C754" s="339"/>
      <c r="D754" s="339"/>
    </row>
    <row r="755" spans="3:4" ht="15.75" customHeight="1">
      <c r="C755" s="339"/>
      <c r="D755" s="339"/>
    </row>
    <row r="756" spans="3:4" ht="15.75" customHeight="1">
      <c r="C756" s="339"/>
      <c r="D756" s="339"/>
    </row>
    <row r="757" spans="3:4" ht="15.75" customHeight="1">
      <c r="C757" s="339"/>
      <c r="D757" s="339"/>
    </row>
    <row r="758" spans="3:4" ht="15.75" customHeight="1">
      <c r="C758" s="339"/>
      <c r="D758" s="339"/>
    </row>
    <row r="759" spans="3:4" ht="15.75" customHeight="1">
      <c r="C759" s="339"/>
      <c r="D759" s="339"/>
    </row>
    <row r="760" spans="3:4" ht="15.75" customHeight="1">
      <c r="C760" s="339"/>
      <c r="D760" s="339"/>
    </row>
    <row r="761" spans="3:4" ht="15.75" customHeight="1">
      <c r="C761" s="339"/>
      <c r="D761" s="339"/>
    </row>
    <row r="762" spans="3:4" ht="15.75" customHeight="1">
      <c r="C762" s="339"/>
      <c r="D762" s="339"/>
    </row>
    <row r="763" spans="3:4" ht="15.75" customHeight="1">
      <c r="C763" s="339"/>
      <c r="D763" s="339"/>
    </row>
    <row r="764" spans="3:4" ht="15.75" customHeight="1">
      <c r="C764" s="339"/>
      <c r="D764" s="339"/>
    </row>
    <row r="765" spans="3:4" ht="15.75" customHeight="1">
      <c r="C765" s="339"/>
      <c r="D765" s="339"/>
    </row>
    <row r="766" spans="3:4" ht="15.75" customHeight="1">
      <c r="C766" s="339"/>
      <c r="D766" s="339"/>
    </row>
    <row r="767" spans="3:4" ht="15.75" customHeight="1">
      <c r="C767" s="339"/>
      <c r="D767" s="339"/>
    </row>
    <row r="768" spans="3:4" ht="15.75" customHeight="1">
      <c r="C768" s="339"/>
      <c r="D768" s="339"/>
    </row>
    <row r="769" spans="3:4" ht="15.75" customHeight="1">
      <c r="C769" s="339"/>
      <c r="D769" s="339"/>
    </row>
    <row r="770" spans="3:4" ht="15.75" customHeight="1">
      <c r="C770" s="339"/>
      <c r="D770" s="339"/>
    </row>
    <row r="771" spans="3:4" ht="15.75" customHeight="1">
      <c r="C771" s="339"/>
      <c r="D771" s="339"/>
    </row>
    <row r="772" spans="3:4" ht="15.75" customHeight="1">
      <c r="C772" s="339"/>
      <c r="D772" s="339"/>
    </row>
    <row r="773" spans="3:4" ht="15.75" customHeight="1">
      <c r="C773" s="339"/>
      <c r="D773" s="339"/>
    </row>
    <row r="774" spans="3:4" ht="15.75" customHeight="1">
      <c r="C774" s="339"/>
      <c r="D774" s="339"/>
    </row>
    <row r="775" spans="3:4" ht="15.75" customHeight="1">
      <c r="C775" s="339"/>
      <c r="D775" s="339"/>
    </row>
    <row r="776" spans="3:4" ht="15.75" customHeight="1">
      <c r="C776" s="339"/>
      <c r="D776" s="339"/>
    </row>
    <row r="777" spans="3:4" ht="15.75" customHeight="1">
      <c r="C777" s="339"/>
      <c r="D777" s="339"/>
    </row>
    <row r="778" spans="3:4" ht="15.75" customHeight="1">
      <c r="C778" s="339"/>
      <c r="D778" s="339"/>
    </row>
    <row r="779" spans="3:4" ht="15.75" customHeight="1">
      <c r="C779" s="339"/>
      <c r="D779" s="339"/>
    </row>
    <row r="780" spans="3:4" ht="15.75" customHeight="1">
      <c r="C780" s="339"/>
      <c r="D780" s="339"/>
    </row>
    <row r="781" spans="3:4" ht="15.75" customHeight="1">
      <c r="C781" s="339"/>
      <c r="D781" s="339"/>
    </row>
    <row r="782" spans="3:4" ht="15.75" customHeight="1">
      <c r="C782" s="339"/>
      <c r="D782" s="339"/>
    </row>
    <row r="783" spans="3:4" ht="15.75" customHeight="1">
      <c r="C783" s="339"/>
      <c r="D783" s="339"/>
    </row>
    <row r="784" spans="3:4" ht="15.75" customHeight="1">
      <c r="C784" s="339"/>
      <c r="D784" s="339"/>
    </row>
    <row r="785" spans="3:4" ht="15.75" customHeight="1">
      <c r="C785" s="339"/>
      <c r="D785" s="339"/>
    </row>
    <row r="786" spans="3:4" ht="15.75" customHeight="1">
      <c r="C786" s="339"/>
      <c r="D786" s="339"/>
    </row>
    <row r="787" spans="3:4" ht="15.75" customHeight="1">
      <c r="C787" s="339"/>
      <c r="D787" s="339"/>
    </row>
    <row r="788" spans="3:4" ht="15.75" customHeight="1">
      <c r="C788" s="339"/>
      <c r="D788" s="339"/>
    </row>
    <row r="789" spans="3:4" ht="15.75" customHeight="1">
      <c r="C789" s="339"/>
      <c r="D789" s="339"/>
    </row>
    <row r="790" spans="3:4" ht="15.75" customHeight="1">
      <c r="C790" s="339"/>
      <c r="D790" s="339"/>
    </row>
    <row r="791" spans="3:4" ht="15.75" customHeight="1">
      <c r="C791" s="339"/>
      <c r="D791" s="339"/>
    </row>
    <row r="792" spans="3:4" ht="15.75" customHeight="1">
      <c r="C792" s="339"/>
      <c r="D792" s="339"/>
    </row>
    <row r="793" spans="3:4" ht="15.75" customHeight="1">
      <c r="C793" s="339"/>
      <c r="D793" s="339"/>
    </row>
    <row r="794" spans="3:4" ht="15.75" customHeight="1">
      <c r="C794" s="339"/>
      <c r="D794" s="339"/>
    </row>
    <row r="795" spans="3:4" ht="15.75" customHeight="1">
      <c r="C795" s="339"/>
      <c r="D795" s="339"/>
    </row>
    <row r="796" spans="3:4" ht="15.75" customHeight="1">
      <c r="C796" s="339"/>
      <c r="D796" s="339"/>
    </row>
    <row r="797" spans="3:4" ht="15.75" customHeight="1">
      <c r="C797" s="339"/>
      <c r="D797" s="339"/>
    </row>
    <row r="798" spans="3:4" ht="15.75" customHeight="1">
      <c r="C798" s="339"/>
      <c r="D798" s="339"/>
    </row>
    <row r="799" spans="3:4" ht="15.75" customHeight="1">
      <c r="C799" s="339"/>
      <c r="D799" s="339"/>
    </row>
    <row r="800" spans="3:4" ht="15.75" customHeight="1">
      <c r="C800" s="339"/>
      <c r="D800" s="339"/>
    </row>
    <row r="801" spans="3:4" ht="15.75" customHeight="1">
      <c r="C801" s="339"/>
      <c r="D801" s="339"/>
    </row>
    <row r="802" spans="3:4" ht="15.75" customHeight="1">
      <c r="C802" s="339"/>
      <c r="D802" s="339"/>
    </row>
    <row r="803" spans="3:4" ht="15.75" customHeight="1">
      <c r="C803" s="339"/>
      <c r="D803" s="339"/>
    </row>
    <row r="804" spans="3:4" ht="15.75" customHeight="1">
      <c r="C804" s="339"/>
      <c r="D804" s="339"/>
    </row>
    <row r="805" spans="3:4" ht="15.75" customHeight="1">
      <c r="C805" s="339"/>
      <c r="D805" s="339"/>
    </row>
    <row r="806" spans="3:4" ht="15.75" customHeight="1">
      <c r="C806" s="339"/>
      <c r="D806" s="339"/>
    </row>
    <row r="807" spans="3:4" ht="15.75" customHeight="1">
      <c r="C807" s="339"/>
      <c r="D807" s="339"/>
    </row>
    <row r="808" spans="3:4" ht="15.75" customHeight="1">
      <c r="C808" s="339"/>
      <c r="D808" s="339"/>
    </row>
    <row r="809" spans="3:4" ht="15.75" customHeight="1">
      <c r="C809" s="339"/>
      <c r="D809" s="339"/>
    </row>
    <row r="810" spans="3:4" ht="15.75" customHeight="1">
      <c r="C810" s="339"/>
      <c r="D810" s="339"/>
    </row>
    <row r="811" spans="3:4" ht="15.75" customHeight="1">
      <c r="C811" s="339"/>
      <c r="D811" s="339"/>
    </row>
    <row r="812" spans="3:4" ht="15.75" customHeight="1">
      <c r="C812" s="339"/>
      <c r="D812" s="339"/>
    </row>
    <row r="813" spans="3:4" ht="15.75" customHeight="1">
      <c r="C813" s="339"/>
      <c r="D813" s="339"/>
    </row>
    <row r="814" spans="3:4" ht="15.75" customHeight="1">
      <c r="C814" s="339"/>
      <c r="D814" s="339"/>
    </row>
    <row r="815" spans="3:4" ht="15.75" customHeight="1">
      <c r="C815" s="339"/>
      <c r="D815" s="339"/>
    </row>
    <row r="816" spans="3:4" ht="15.75" customHeight="1">
      <c r="C816" s="339"/>
      <c r="D816" s="339"/>
    </row>
    <row r="817" spans="3:4" ht="15.75" customHeight="1">
      <c r="C817" s="339"/>
      <c r="D817" s="339"/>
    </row>
    <row r="818" spans="3:4" ht="15.75" customHeight="1">
      <c r="C818" s="339"/>
      <c r="D818" s="339"/>
    </row>
    <row r="819" spans="3:4" ht="15.75" customHeight="1">
      <c r="C819" s="339"/>
      <c r="D819" s="339"/>
    </row>
    <row r="820" spans="3:4" ht="15.75" customHeight="1">
      <c r="C820" s="339"/>
      <c r="D820" s="339"/>
    </row>
    <row r="821" spans="3:4" ht="15.75" customHeight="1">
      <c r="C821" s="339"/>
      <c r="D821" s="339"/>
    </row>
    <row r="822" spans="3:4" ht="15.75" customHeight="1">
      <c r="C822" s="339"/>
      <c r="D822" s="339"/>
    </row>
    <row r="823" spans="3:4" ht="15.75" customHeight="1">
      <c r="C823" s="339"/>
      <c r="D823" s="339"/>
    </row>
    <row r="824" spans="3:4" ht="15.75" customHeight="1">
      <c r="C824" s="339"/>
      <c r="D824" s="339"/>
    </row>
    <row r="825" spans="3:4" ht="15.75" customHeight="1">
      <c r="C825" s="339"/>
      <c r="D825" s="339"/>
    </row>
    <row r="826" spans="3:4" ht="15.75" customHeight="1">
      <c r="C826" s="339"/>
      <c r="D826" s="339"/>
    </row>
    <row r="827" spans="3:4" ht="15.75" customHeight="1">
      <c r="C827" s="339"/>
      <c r="D827" s="339"/>
    </row>
    <row r="828" spans="3:4" ht="15.75" customHeight="1">
      <c r="C828" s="339"/>
      <c r="D828" s="339"/>
    </row>
    <row r="829" spans="3:4" ht="15.75" customHeight="1">
      <c r="C829" s="339"/>
      <c r="D829" s="339"/>
    </row>
    <row r="830" spans="3:4" ht="15.75" customHeight="1">
      <c r="C830" s="339"/>
      <c r="D830" s="339"/>
    </row>
    <row r="831" spans="3:4" ht="15.75" customHeight="1">
      <c r="C831" s="339"/>
      <c r="D831" s="339"/>
    </row>
    <row r="832" spans="3:4" ht="15.75" customHeight="1">
      <c r="C832" s="339"/>
      <c r="D832" s="339"/>
    </row>
    <row r="833" spans="3:4" ht="15.75" customHeight="1">
      <c r="C833" s="339"/>
      <c r="D833" s="339"/>
    </row>
    <row r="834" spans="3:4" ht="15.75" customHeight="1">
      <c r="C834" s="339"/>
      <c r="D834" s="339"/>
    </row>
    <row r="835" spans="3:4" ht="15.75" customHeight="1">
      <c r="C835" s="339"/>
      <c r="D835" s="339"/>
    </row>
    <row r="836" spans="3:4" ht="15.75" customHeight="1">
      <c r="C836" s="339"/>
      <c r="D836" s="339"/>
    </row>
    <row r="837" spans="3:4" ht="15.75" customHeight="1">
      <c r="C837" s="339"/>
      <c r="D837" s="339"/>
    </row>
    <row r="838" spans="3:4" ht="15.75" customHeight="1">
      <c r="C838" s="339"/>
      <c r="D838" s="339"/>
    </row>
    <row r="839" spans="3:4" ht="15.75" customHeight="1">
      <c r="C839" s="339"/>
      <c r="D839" s="339"/>
    </row>
    <row r="840" spans="3:4" ht="15.75" customHeight="1">
      <c r="C840" s="339"/>
      <c r="D840" s="339"/>
    </row>
    <row r="841" spans="3:4" ht="15.75" customHeight="1">
      <c r="C841" s="339"/>
      <c r="D841" s="339"/>
    </row>
    <row r="842" spans="3:4" ht="15.75" customHeight="1">
      <c r="C842" s="339"/>
      <c r="D842" s="339"/>
    </row>
    <row r="843" spans="3:4" ht="15.75" customHeight="1">
      <c r="C843" s="339"/>
      <c r="D843" s="339"/>
    </row>
    <row r="844" spans="3:4" ht="15.75" customHeight="1">
      <c r="C844" s="339"/>
      <c r="D844" s="339"/>
    </row>
    <row r="845" spans="3:4" ht="15.75" customHeight="1">
      <c r="C845" s="339"/>
      <c r="D845" s="339"/>
    </row>
    <row r="846" spans="3:4" ht="15.75" customHeight="1">
      <c r="C846" s="339"/>
      <c r="D846" s="339"/>
    </row>
    <row r="847" spans="3:4" ht="15.75" customHeight="1">
      <c r="C847" s="339"/>
      <c r="D847" s="339"/>
    </row>
    <row r="848" spans="3:4" ht="15.75" customHeight="1">
      <c r="C848" s="339"/>
      <c r="D848" s="339"/>
    </row>
    <row r="849" spans="3:4" ht="15.75" customHeight="1">
      <c r="C849" s="339"/>
      <c r="D849" s="339"/>
    </row>
    <row r="850" spans="3:4" ht="15.75" customHeight="1">
      <c r="C850" s="339"/>
      <c r="D850" s="339"/>
    </row>
    <row r="851" spans="3:4" ht="15.75" customHeight="1">
      <c r="C851" s="339"/>
      <c r="D851" s="339"/>
    </row>
    <row r="852" spans="3:4" ht="15.75" customHeight="1">
      <c r="C852" s="339"/>
      <c r="D852" s="339"/>
    </row>
    <row r="853" spans="3:4" ht="15.75" customHeight="1">
      <c r="C853" s="339"/>
      <c r="D853" s="339"/>
    </row>
    <row r="854" spans="3:4" ht="15.75" customHeight="1">
      <c r="C854" s="339"/>
      <c r="D854" s="339"/>
    </row>
    <row r="855" spans="3:4" ht="15.75" customHeight="1">
      <c r="C855" s="339"/>
      <c r="D855" s="339"/>
    </row>
    <row r="856" spans="3:4" ht="15.75" customHeight="1">
      <c r="C856" s="339"/>
      <c r="D856" s="339"/>
    </row>
    <row r="857" spans="3:4" ht="15.75" customHeight="1">
      <c r="C857" s="339"/>
      <c r="D857" s="339"/>
    </row>
    <row r="858" spans="3:4" ht="15.75" customHeight="1">
      <c r="C858" s="339"/>
      <c r="D858" s="339"/>
    </row>
    <row r="859" spans="3:4" ht="15.75" customHeight="1">
      <c r="C859" s="339"/>
      <c r="D859" s="339"/>
    </row>
    <row r="860" spans="3:4" ht="15.75" customHeight="1">
      <c r="C860" s="339"/>
      <c r="D860" s="339"/>
    </row>
    <row r="861" spans="3:4" ht="15.75" customHeight="1">
      <c r="C861" s="339"/>
      <c r="D861" s="339"/>
    </row>
    <row r="862" spans="3:4" ht="15.75" customHeight="1">
      <c r="C862" s="339"/>
      <c r="D862" s="339"/>
    </row>
    <row r="863" spans="3:4" ht="15.75" customHeight="1">
      <c r="C863" s="339"/>
      <c r="D863" s="339"/>
    </row>
    <row r="864" spans="3:4" ht="15.75" customHeight="1">
      <c r="C864" s="339"/>
      <c r="D864" s="339"/>
    </row>
    <row r="865" spans="3:4" ht="15.75" customHeight="1">
      <c r="C865" s="339"/>
      <c r="D865" s="339"/>
    </row>
    <row r="866" spans="3:4" ht="15.75" customHeight="1">
      <c r="C866" s="339"/>
      <c r="D866" s="339"/>
    </row>
    <row r="867" spans="3:4" ht="15.75" customHeight="1">
      <c r="C867" s="339"/>
      <c r="D867" s="339"/>
    </row>
    <row r="868" spans="3:4" ht="15.75" customHeight="1">
      <c r="C868" s="339"/>
      <c r="D868" s="339"/>
    </row>
    <row r="869" spans="3:4" ht="15.75" customHeight="1">
      <c r="C869" s="339"/>
      <c r="D869" s="339"/>
    </row>
    <row r="870" spans="3:4" ht="15.75" customHeight="1">
      <c r="C870" s="339"/>
      <c r="D870" s="339"/>
    </row>
    <row r="871" spans="3:4" ht="15.75" customHeight="1">
      <c r="C871" s="339"/>
      <c r="D871" s="339"/>
    </row>
    <row r="872" spans="3:4" ht="15.75" customHeight="1">
      <c r="C872" s="339"/>
      <c r="D872" s="339"/>
    </row>
    <row r="873" spans="3:4" ht="15.75" customHeight="1">
      <c r="C873" s="339"/>
      <c r="D873" s="339"/>
    </row>
    <row r="874" spans="3:4" ht="15.75" customHeight="1">
      <c r="C874" s="339"/>
      <c r="D874" s="339"/>
    </row>
    <row r="875" spans="3:4" ht="15.75" customHeight="1">
      <c r="C875" s="339"/>
      <c r="D875" s="339"/>
    </row>
    <row r="876" spans="3:4" ht="15.75" customHeight="1">
      <c r="C876" s="339"/>
      <c r="D876" s="339"/>
    </row>
    <row r="877" spans="3:4" ht="15.75" customHeight="1">
      <c r="C877" s="339"/>
      <c r="D877" s="339"/>
    </row>
    <row r="878" spans="3:4" ht="15.75" customHeight="1">
      <c r="C878" s="339"/>
      <c r="D878" s="339"/>
    </row>
    <row r="879" spans="3:4" ht="15.75" customHeight="1">
      <c r="C879" s="339"/>
      <c r="D879" s="339"/>
    </row>
    <row r="880" spans="3:4" ht="15.75" customHeight="1">
      <c r="C880" s="339"/>
      <c r="D880" s="339"/>
    </row>
    <row r="881" spans="3:4" ht="15.75" customHeight="1">
      <c r="C881" s="339"/>
      <c r="D881" s="339"/>
    </row>
    <row r="882" spans="3:4" ht="15.75" customHeight="1">
      <c r="C882" s="339"/>
      <c r="D882" s="339"/>
    </row>
    <row r="883" spans="3:4" ht="15.75" customHeight="1">
      <c r="C883" s="339"/>
      <c r="D883" s="339"/>
    </row>
    <row r="884" spans="3:4" ht="15.75" customHeight="1">
      <c r="C884" s="339"/>
      <c r="D884" s="339"/>
    </row>
    <row r="885" spans="3:4" ht="15.75" customHeight="1">
      <c r="C885" s="339"/>
      <c r="D885" s="339"/>
    </row>
    <row r="886" spans="3:4" ht="15.75" customHeight="1">
      <c r="C886" s="339"/>
      <c r="D886" s="339"/>
    </row>
    <row r="887" spans="3:4" ht="15.75" customHeight="1">
      <c r="C887" s="339"/>
      <c r="D887" s="339"/>
    </row>
    <row r="888" spans="3:4" ht="15.75" customHeight="1">
      <c r="C888" s="339"/>
      <c r="D888" s="339"/>
    </row>
    <row r="889" spans="3:4" ht="15.75" customHeight="1">
      <c r="C889" s="339"/>
      <c r="D889" s="339"/>
    </row>
    <row r="890" spans="3:4" ht="15.75" customHeight="1">
      <c r="C890" s="339"/>
      <c r="D890" s="339"/>
    </row>
    <row r="891" spans="3:4" ht="15.75" customHeight="1">
      <c r="C891" s="339"/>
      <c r="D891" s="339"/>
    </row>
    <row r="892" spans="3:4" ht="15.75" customHeight="1">
      <c r="C892" s="339"/>
      <c r="D892" s="339"/>
    </row>
    <row r="893" spans="3:4" ht="15.75" customHeight="1">
      <c r="C893" s="339"/>
      <c r="D893" s="339"/>
    </row>
    <row r="894" spans="3:4" ht="15.75" customHeight="1">
      <c r="C894" s="339"/>
      <c r="D894" s="339"/>
    </row>
    <row r="895" spans="3:4" ht="15.75" customHeight="1">
      <c r="C895" s="339"/>
      <c r="D895" s="339"/>
    </row>
    <row r="896" spans="3:4" ht="15.75" customHeight="1">
      <c r="C896" s="339"/>
      <c r="D896" s="339"/>
    </row>
    <row r="897" spans="3:4" ht="15.75" customHeight="1">
      <c r="C897" s="339"/>
      <c r="D897" s="339"/>
    </row>
    <row r="898" spans="3:4" ht="15.75" customHeight="1">
      <c r="C898" s="339"/>
      <c r="D898" s="339"/>
    </row>
    <row r="899" spans="3:4" ht="15.75" customHeight="1">
      <c r="C899" s="339"/>
      <c r="D899" s="339"/>
    </row>
    <row r="900" spans="3:4" ht="15.75" customHeight="1">
      <c r="C900" s="339"/>
      <c r="D900" s="339"/>
    </row>
    <row r="901" spans="3:4" ht="15.75" customHeight="1">
      <c r="C901" s="339"/>
      <c r="D901" s="339"/>
    </row>
    <row r="902" spans="3:4" ht="15.75" customHeight="1">
      <c r="C902" s="339"/>
      <c r="D902" s="339"/>
    </row>
    <row r="903" spans="3:4" ht="15.75" customHeight="1">
      <c r="C903" s="339"/>
      <c r="D903" s="339"/>
    </row>
    <row r="904" spans="3:4" ht="15.75" customHeight="1">
      <c r="C904" s="339"/>
      <c r="D904" s="339"/>
    </row>
    <row r="905" spans="3:4" ht="15.75" customHeight="1">
      <c r="C905" s="339"/>
      <c r="D905" s="339"/>
    </row>
    <row r="906" spans="3:4" ht="15.75" customHeight="1">
      <c r="C906" s="339"/>
      <c r="D906" s="339"/>
    </row>
    <row r="907" spans="3:4" ht="15.75" customHeight="1">
      <c r="C907" s="339"/>
      <c r="D907" s="339"/>
    </row>
    <row r="908" spans="3:4" ht="15.75" customHeight="1">
      <c r="C908" s="339"/>
      <c r="D908" s="339"/>
    </row>
    <row r="909" spans="3:4" ht="15.75" customHeight="1">
      <c r="C909" s="339"/>
      <c r="D909" s="339"/>
    </row>
    <row r="910" spans="3:4" ht="15.75" customHeight="1">
      <c r="C910" s="339"/>
      <c r="D910" s="339"/>
    </row>
    <row r="911" spans="3:4" ht="15.75" customHeight="1">
      <c r="C911" s="339"/>
      <c r="D911" s="339"/>
    </row>
    <row r="912" spans="3:4" ht="15.75" customHeight="1">
      <c r="C912" s="339"/>
      <c r="D912" s="339"/>
    </row>
    <row r="913" spans="3:4" ht="15.75" customHeight="1">
      <c r="C913" s="339"/>
      <c r="D913" s="339"/>
    </row>
    <row r="914" spans="3:4" ht="15.75" customHeight="1">
      <c r="C914" s="339"/>
      <c r="D914" s="339"/>
    </row>
    <row r="915" spans="3:4" ht="15.75" customHeight="1">
      <c r="C915" s="339"/>
      <c r="D915" s="339"/>
    </row>
    <row r="916" spans="3:4" ht="15.75" customHeight="1">
      <c r="C916" s="339"/>
      <c r="D916" s="339"/>
    </row>
    <row r="917" spans="3:4" ht="15.75" customHeight="1">
      <c r="C917" s="339"/>
      <c r="D917" s="339"/>
    </row>
    <row r="918" spans="3:4" ht="15.75" customHeight="1">
      <c r="C918" s="339"/>
      <c r="D918" s="339"/>
    </row>
    <row r="919" spans="3:4" ht="15.75" customHeight="1">
      <c r="C919" s="339"/>
      <c r="D919" s="339"/>
    </row>
    <row r="920" spans="3:4" ht="15.75" customHeight="1">
      <c r="C920" s="339"/>
      <c r="D920" s="339"/>
    </row>
    <row r="921" spans="3:4" ht="15.75" customHeight="1">
      <c r="C921" s="339"/>
      <c r="D921" s="339"/>
    </row>
    <row r="922" spans="3:4" ht="15.75" customHeight="1">
      <c r="C922" s="339"/>
      <c r="D922" s="339"/>
    </row>
    <row r="923" spans="3:4" ht="15.75" customHeight="1">
      <c r="C923" s="339"/>
      <c r="D923" s="339"/>
    </row>
    <row r="924" spans="3:4" ht="15.75" customHeight="1">
      <c r="C924" s="339"/>
      <c r="D924" s="339"/>
    </row>
    <row r="925" spans="3:4" ht="15.75" customHeight="1">
      <c r="C925" s="339"/>
      <c r="D925" s="339"/>
    </row>
    <row r="926" spans="3:4" ht="15.75" customHeight="1">
      <c r="C926" s="339"/>
      <c r="D926" s="339"/>
    </row>
    <row r="927" spans="3:4" ht="15.75" customHeight="1">
      <c r="C927" s="339"/>
      <c r="D927" s="339"/>
    </row>
    <row r="928" spans="3:4" ht="15.75" customHeight="1">
      <c r="C928" s="339"/>
      <c r="D928" s="339"/>
    </row>
    <row r="929" spans="3:4" ht="15.75" customHeight="1">
      <c r="C929" s="339"/>
      <c r="D929" s="339"/>
    </row>
    <row r="930" spans="3:4" ht="15.75" customHeight="1">
      <c r="C930" s="339"/>
      <c r="D930" s="339"/>
    </row>
    <row r="931" spans="3:4" ht="15.75" customHeight="1">
      <c r="C931" s="339"/>
      <c r="D931" s="339"/>
    </row>
    <row r="932" spans="3:4" ht="15.75" customHeight="1">
      <c r="C932" s="339"/>
      <c r="D932" s="339"/>
    </row>
    <row r="933" spans="3:4" ht="15.75" customHeight="1">
      <c r="C933" s="339"/>
      <c r="D933" s="339"/>
    </row>
    <row r="934" spans="3:4" ht="15.75" customHeight="1">
      <c r="C934" s="339"/>
      <c r="D934" s="339"/>
    </row>
    <row r="935" spans="3:4" ht="15.75" customHeight="1">
      <c r="C935" s="339"/>
      <c r="D935" s="339"/>
    </row>
    <row r="936" spans="3:4" ht="15.75" customHeight="1">
      <c r="C936" s="339"/>
      <c r="D936" s="339"/>
    </row>
    <row r="937" spans="3:4" ht="15.75" customHeight="1">
      <c r="C937" s="339"/>
      <c r="D937" s="339"/>
    </row>
    <row r="938" spans="3:4" ht="15.75" customHeight="1">
      <c r="C938" s="339"/>
      <c r="D938" s="339"/>
    </row>
    <row r="939" spans="3:4" ht="15.75" customHeight="1">
      <c r="C939" s="339"/>
      <c r="D939" s="339"/>
    </row>
    <row r="940" spans="3:4" ht="15.75" customHeight="1">
      <c r="C940" s="339"/>
      <c r="D940" s="339"/>
    </row>
    <row r="941" spans="3:4" ht="15.75" customHeight="1">
      <c r="C941" s="339"/>
      <c r="D941" s="339"/>
    </row>
    <row r="942" spans="3:4" ht="15.75" customHeight="1">
      <c r="C942" s="339"/>
      <c r="D942" s="339"/>
    </row>
    <row r="943" spans="3:4" ht="15.75" customHeight="1">
      <c r="C943" s="339"/>
      <c r="D943" s="339"/>
    </row>
    <row r="944" spans="3:4" ht="15.75" customHeight="1">
      <c r="C944" s="339"/>
      <c r="D944" s="339"/>
    </row>
    <row r="945" spans="3:4" ht="15.75" customHeight="1">
      <c r="C945" s="339"/>
      <c r="D945" s="339"/>
    </row>
    <row r="946" spans="3:4" ht="15.75" customHeight="1">
      <c r="C946" s="339"/>
      <c r="D946" s="339"/>
    </row>
    <row r="947" spans="3:4" ht="15.75" customHeight="1">
      <c r="C947" s="339"/>
      <c r="D947" s="339"/>
    </row>
    <row r="948" spans="3:4" ht="15.75" customHeight="1">
      <c r="C948" s="339"/>
      <c r="D948" s="339"/>
    </row>
    <row r="949" spans="3:4" ht="15.75" customHeight="1">
      <c r="C949" s="339"/>
      <c r="D949" s="339"/>
    </row>
    <row r="950" spans="3:4" ht="15.75" customHeight="1">
      <c r="C950" s="339"/>
      <c r="D950" s="339"/>
    </row>
    <row r="951" spans="3:4" ht="15.75" customHeight="1">
      <c r="C951" s="339"/>
      <c r="D951" s="339"/>
    </row>
    <row r="952" spans="3:4" ht="15.75" customHeight="1">
      <c r="C952" s="339"/>
      <c r="D952" s="339"/>
    </row>
    <row r="953" spans="3:4" ht="15.75" customHeight="1">
      <c r="C953" s="339"/>
      <c r="D953" s="339"/>
    </row>
    <row r="954" spans="3:4" ht="15.75" customHeight="1">
      <c r="C954" s="339"/>
      <c r="D954" s="339"/>
    </row>
    <row r="955" spans="3:4" ht="15.75" customHeight="1">
      <c r="C955" s="339"/>
      <c r="D955" s="339"/>
    </row>
    <row r="956" spans="3:4" ht="15.75" customHeight="1">
      <c r="C956" s="339"/>
      <c r="D956" s="339"/>
    </row>
    <row r="957" spans="3:4" ht="15.75" customHeight="1">
      <c r="C957" s="339"/>
      <c r="D957" s="339"/>
    </row>
    <row r="958" spans="3:4" ht="15.75" customHeight="1">
      <c r="C958" s="339"/>
      <c r="D958" s="339"/>
    </row>
    <row r="959" spans="3:4" ht="15.75" customHeight="1">
      <c r="C959" s="339"/>
      <c r="D959" s="339"/>
    </row>
    <row r="960" spans="3:4" ht="15.75" customHeight="1">
      <c r="C960" s="339"/>
      <c r="D960" s="339"/>
    </row>
    <row r="961" spans="3:4" ht="15.75" customHeight="1">
      <c r="C961" s="339"/>
      <c r="D961" s="339"/>
    </row>
    <row r="962" spans="3:4" ht="15.75" customHeight="1">
      <c r="C962" s="339"/>
      <c r="D962" s="339"/>
    </row>
    <row r="963" spans="3:4" ht="15.75" customHeight="1">
      <c r="C963" s="339"/>
      <c r="D963" s="339"/>
    </row>
    <row r="964" spans="3:4" ht="15.75" customHeight="1">
      <c r="C964" s="339"/>
      <c r="D964" s="339"/>
    </row>
    <row r="965" spans="3:4" ht="15.75" customHeight="1">
      <c r="C965" s="339"/>
      <c r="D965" s="339"/>
    </row>
    <row r="966" spans="3:4" ht="15.75" customHeight="1">
      <c r="C966" s="339"/>
      <c r="D966" s="339"/>
    </row>
    <row r="967" spans="3:4" ht="15.75" customHeight="1">
      <c r="C967" s="339"/>
      <c r="D967" s="339"/>
    </row>
    <row r="968" spans="3:4" ht="15.75" customHeight="1">
      <c r="C968" s="339"/>
      <c r="D968" s="339"/>
    </row>
    <row r="969" spans="3:4" ht="15.75" customHeight="1">
      <c r="C969" s="339"/>
      <c r="D969" s="339"/>
    </row>
    <row r="970" spans="3:4" ht="15.75" customHeight="1">
      <c r="C970" s="339"/>
      <c r="D970" s="339"/>
    </row>
    <row r="971" spans="3:4" ht="15.75" customHeight="1">
      <c r="C971" s="339"/>
      <c r="D971" s="339"/>
    </row>
    <row r="972" spans="3:4" ht="15.75" customHeight="1">
      <c r="C972" s="339"/>
      <c r="D972" s="339"/>
    </row>
    <row r="973" spans="3:4" ht="15.75" customHeight="1">
      <c r="C973" s="339"/>
      <c r="D973" s="339"/>
    </row>
    <row r="974" spans="3:4" ht="15.75" customHeight="1">
      <c r="C974" s="339"/>
      <c r="D974" s="339"/>
    </row>
    <row r="975" spans="3:4" ht="15.75" customHeight="1">
      <c r="C975" s="339"/>
      <c r="D975" s="339"/>
    </row>
    <row r="976" spans="3:4" ht="15.75" customHeight="1">
      <c r="C976" s="339"/>
      <c r="D976" s="339"/>
    </row>
    <row r="977" spans="3:4" ht="15.75" customHeight="1">
      <c r="C977" s="339"/>
      <c r="D977" s="339"/>
    </row>
    <row r="978" spans="3:4" ht="15.75" customHeight="1">
      <c r="C978" s="339"/>
      <c r="D978" s="339"/>
    </row>
    <row r="979" spans="3:4" ht="15.75" customHeight="1">
      <c r="C979" s="339"/>
      <c r="D979" s="339"/>
    </row>
    <row r="980" spans="3:4" ht="15.75" customHeight="1">
      <c r="C980" s="339"/>
      <c r="D980" s="339"/>
    </row>
    <row r="981" spans="3:4" ht="15.75" customHeight="1">
      <c r="C981" s="339"/>
      <c r="D981" s="339"/>
    </row>
    <row r="982" spans="3:4" ht="15.75" customHeight="1">
      <c r="C982" s="339"/>
      <c r="D982" s="339"/>
    </row>
    <row r="983" spans="3:4" ht="15.75" customHeight="1">
      <c r="C983" s="339"/>
      <c r="D983" s="339"/>
    </row>
    <row r="984" spans="3:4" ht="15.75" customHeight="1">
      <c r="C984" s="339"/>
      <c r="D984" s="339"/>
    </row>
    <row r="985" spans="3:4" ht="15.75" customHeight="1">
      <c r="C985" s="339"/>
      <c r="D985" s="339"/>
    </row>
    <row r="986" spans="3:4" ht="15.75" customHeight="1">
      <c r="C986" s="339"/>
      <c r="D986" s="339"/>
    </row>
    <row r="987" spans="3:4" ht="15.75" customHeight="1">
      <c r="C987" s="339"/>
      <c r="D987" s="339"/>
    </row>
    <row r="988" spans="3:4" ht="15.75" customHeight="1">
      <c r="C988" s="339"/>
      <c r="D988" s="339"/>
    </row>
    <row r="989" spans="3:4" ht="15.75" customHeight="1">
      <c r="C989" s="339"/>
      <c r="D989" s="339"/>
    </row>
    <row r="990" spans="3:4" ht="15.75" customHeight="1">
      <c r="C990" s="339"/>
      <c r="D990" s="339"/>
    </row>
    <row r="991" spans="3:4" ht="15.75" customHeight="1">
      <c r="C991" s="339"/>
      <c r="D991" s="339"/>
    </row>
    <row r="992" spans="3:4" ht="15.75" customHeight="1">
      <c r="C992" s="339"/>
      <c r="D992" s="339"/>
    </row>
    <row r="993" spans="3:4" ht="15.75" customHeight="1">
      <c r="C993" s="339"/>
      <c r="D993" s="339"/>
    </row>
    <row r="994" spans="3:4" ht="15.75" customHeight="1">
      <c r="C994" s="339"/>
      <c r="D994" s="339"/>
    </row>
    <row r="995" spans="3:4" ht="15.75" customHeight="1">
      <c r="C995" s="339"/>
      <c r="D995" s="339"/>
    </row>
    <row r="996" spans="3:4" ht="15.75" customHeight="1">
      <c r="C996" s="339"/>
      <c r="D996" s="339"/>
    </row>
    <row r="997" spans="3:4" ht="15.75" customHeight="1">
      <c r="C997" s="339"/>
      <c r="D997" s="339"/>
    </row>
    <row r="998" spans="3:4" ht="15.75" customHeight="1">
      <c r="C998" s="339"/>
      <c r="D998" s="339"/>
    </row>
    <row r="999" spans="3:4" ht="15.75" customHeight="1">
      <c r="C999" s="339"/>
      <c r="D999" s="339"/>
    </row>
    <row r="1000" spans="3:4" ht="15.75" customHeight="1">
      <c r="C1000" s="339"/>
      <c r="D1000" s="339"/>
    </row>
  </sheetData>
  <mergeCells count="1">
    <mergeCell ref="V1:W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Global 1 (1.5)</vt:lpstr>
      <vt:lpstr>Global 2 (1.6)</vt:lpstr>
      <vt:lpstr>Carbon charge rates</vt:lpstr>
      <vt:lpstr>Malawi Norway summary</vt:lpstr>
      <vt:lpstr>Malawi-only</vt:lpstr>
      <vt:lpstr>Norway</vt:lpstr>
      <vt:lpstr>Malawi and Norway</vt:lpstr>
      <vt:lpstr>Per tank of petrol</vt:lpstr>
      <vt:lpstr>Initial endowments</vt:lpstr>
      <vt:lpstr>Brazil</vt:lpstr>
      <vt:lpstr>UK</vt:lpstr>
      <vt:lpstr>Palau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fabre</cp:lastModifiedBy>
  <dcterms:modified xsi:type="dcterms:W3CDTF">2025-10-18T03:33:26Z</dcterms:modified>
</cp:coreProperties>
</file>